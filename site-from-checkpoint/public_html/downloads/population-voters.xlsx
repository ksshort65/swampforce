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in annual" sheetId="1" state="visible" r:id="rId1"/>
    <sheet name="Notes-Definitions" sheetId="2" state="visible" r:id="rId2"/>
    <sheet name="Sources" sheetId="3" state="visible" r:id="rId3"/>
    <sheet name="Registration by method" sheetId="4" state="visible" r:id="rId4"/>
    <sheet name="Noncitizens on benefits" sheetId="5" state="visible" r:id="rId5"/>
    <sheet name="Noncitizens on rolls" sheetId="6" state="visible" r:id="rId6"/>
    <sheet name="Colorado" sheetId="7" state="visible" r:id="rId7"/>
    <sheet name="Discrepancies" sheetId="8" state="visible" r:id="rId8"/>
    <sheet name="Humanitarian &amp; work permits"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top" wrapText="1"/>
    </xf>
    <xf numFmtId="3" fontId="0" fillId="0" borderId="0" pivotButton="0" quotePrefix="0" xfId="0"/>
    <xf numFmtId="0" fontId="0" fillId="3" borderId="0" pivotButton="0" quotePrefix="0" xfId="0"/>
    <xf numFmtId="10" fontId="0" fillId="3"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10" fontId="0" fillId="3" borderId="0" applyAlignment="1" pivotButton="0" quotePrefix="0" xfId="0">
      <alignment vertical="top" wrapText="1"/>
    </xf>
    <xf numFmtId="164" fontId="0" fillId="0" borderId="0" pivotButton="0" quotePrefix="0" xfId="0"/>
    <xf numFmtId="0" fontId="0" fillId="4" borderId="0" pivotButton="0" quotePrefix="0" xfId="0"/>
    <xf numFmtId="3" fontId="0" fillId="4" borderId="0" pivotButton="0" quotePrefix="0" xfId="0"/>
    <xf numFmtId="0" fontId="0" fillId="4" borderId="0" applyAlignment="1" pivotButton="0" quotePrefix="0" xfId="0">
      <alignment vertical="top" wrapText="1"/>
    </xf>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6" customWidth="1" min="3" max="3"/>
    <col width="16" customWidth="1" min="4" max="4"/>
    <col width="16" customWidth="1" min="5" max="5"/>
    <col width="22" customWidth="1" min="6" max="6"/>
    <col width="22" customWidth="1" min="7" max="7"/>
    <col width="22" customWidth="1" min="8" max="8"/>
    <col width="16" customWidth="1" min="9" max="9"/>
    <col width="22" customWidth="1" min="10" max="10"/>
    <col width="16" customWidth="1" min="11" max="11"/>
    <col width="16" customWidth="1" min="12" max="12"/>
    <col width="16" customWidth="1" min="13" max="13"/>
    <col width="22" customWidth="1" min="14" max="14"/>
    <col width="22" customWidth="1" min="15" max="15"/>
    <col width="22" customWidth="1" min="16" max="16"/>
    <col width="22" customWidth="1" min="17" max="17"/>
    <col width="16" customWidth="1" min="18" max="18"/>
    <col width="22" customWidth="1" min="19" max="19"/>
    <col width="22" customWidth="1" min="20" max="20"/>
    <col width="16" customWidth="1" min="21" max="21"/>
    <col width="22" customWidth="1" min="22" max="22"/>
    <col width="22" customWidth="1" min="23" max="23"/>
    <col width="22" customWidth="1" min="24" max="24"/>
    <col width="16" customWidth="1" min="25" max="25"/>
    <col width="16" customWidth="1" min="26" max="26"/>
    <col width="16" customWidth="1" min="27" max="27"/>
    <col width="22"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22" customWidth="1" min="41" max="41"/>
    <col width="16" customWidth="1" min="42" max="42"/>
    <col width="22" customWidth="1" min="43" max="43"/>
    <col width="16" customWidth="1" min="44" max="44"/>
  </cols>
  <sheetData>
    <row r="1" ht="60" customHeight="1">
      <c r="A1" s="1" t="inlineStr">
        <is>
          <t>Year</t>
        </is>
      </c>
      <c r="B1" s="1" t="inlineStr">
        <is>
          <t>PEP total resident population (July 1)</t>
        </is>
      </c>
      <c r="C1" s="1" t="inlineStr">
        <is>
          <t>ACS total population</t>
        </is>
      </c>
      <c r="D1" s="1" t="inlineStr">
        <is>
          <t>ACS US citizens (B05001)</t>
        </is>
      </c>
      <c r="E1" s="1" t="inlineStr">
        <is>
          <t>ACS noncitizens (B05001)</t>
        </is>
      </c>
      <c r="F1" s="1" t="inlineStr">
        <is>
          <t>ACS CVAP (citizens 18+, B29001/B05003)</t>
        </is>
      </c>
      <c r="G1" s="1" t="inlineStr">
        <is>
          <t>YoY CHANGE: ACS citizens (number) [formula]</t>
        </is>
      </c>
      <c r="H1" s="1" t="inlineStr">
        <is>
          <t>YoY CHANGE: ACS citizens (%) [formula]</t>
        </is>
      </c>
      <c r="I1" s="1" t="inlineStr">
        <is>
          <t>ACS comparability note</t>
        </is>
      </c>
      <c r="J1" s="1" t="inlineStr">
        <is>
          <t>EAVS registered voters, total (as published)</t>
        </is>
      </c>
      <c r="K1" s="1" t="inlineStr">
        <is>
          <t>EAVS active</t>
        </is>
      </c>
      <c r="L1" s="1" t="inlineStr">
        <is>
          <t>EAVS inactive</t>
        </is>
      </c>
      <c r="M1" s="1" t="inlineStr">
        <is>
          <t>EAVS note</t>
        </is>
      </c>
      <c r="N1" s="1" t="inlineStr">
        <is>
          <t>CPS citizens 18+ (thousands, even yrs)</t>
        </is>
      </c>
      <c r="O1" s="1" t="inlineStr">
        <is>
          <t>CPS registered citizens (thousands)</t>
        </is>
      </c>
      <c r="P1" s="1" t="inlineStr">
        <is>
          <t>CHANGE vs prior EAVS cycle: total registered [formula]</t>
        </is>
      </c>
      <c r="Q1" s="1" t="inlineStr">
        <is>
          <t>Registration change: documented reason</t>
        </is>
      </c>
      <c r="R1" s="1" t="inlineStr">
        <is>
          <t>DHS persons naturalized (FY)</t>
        </is>
      </c>
      <c r="S1" s="1" t="inlineStr">
        <is>
          <t>DHS naturalization applications filed (FY)</t>
        </is>
      </c>
      <c r="T1" s="1" t="inlineStr">
        <is>
          <t>YoY CHANGE: persons naturalized [formula]</t>
        </is>
      </c>
      <c r="U1" s="1" t="inlineStr">
        <is>
          <t>Naturalization change: reason</t>
        </is>
      </c>
      <c r="V1" s="1" t="inlineStr">
        <is>
          <t>EAVS new valid registrations (exact)</t>
        </is>
      </c>
      <c r="W1" s="1" t="inlineStr">
        <is>
          <t>CHANGE vs prior EAVS cycle: new valid [formula]</t>
        </is>
      </c>
      <c r="X1" s="1" t="inlineStr">
        <is>
          <t>EAVS new valid (rounded narrative, where no exact figure)</t>
        </is>
      </c>
      <c r="Y1" s="1" t="inlineStr">
        <is>
          <t>EAVS removals total</t>
        </is>
      </c>
      <c r="Z1" s="1" t="inlineStr">
        <is>
          <t>Removed: moved</t>
        </is>
      </c>
      <c r="AA1" s="1" t="inlineStr">
        <is>
          <t>Removed: died</t>
        </is>
      </c>
      <c r="AB1" s="1" t="inlineStr">
        <is>
          <t>Removed: failure to respond to confirmation notice + 2 federal elections</t>
        </is>
      </c>
      <c r="AC1" s="1" t="inlineStr">
        <is>
          <t>Removed: felony</t>
        </is>
      </c>
      <c r="AD1" s="1" t="inlineStr">
        <is>
          <t>Removed: voter request</t>
        </is>
      </c>
      <c r="AE1" s="1" t="inlineStr">
        <is>
          <t>Removed: mental incompetence</t>
        </is>
      </c>
      <c r="AF1" s="1" t="inlineStr">
        <is>
          <t>Removed: duplicate</t>
        </is>
      </c>
      <c r="AG1" s="1" t="inlineStr">
        <is>
          <t>Removed: other</t>
        </is>
      </c>
      <c r="AH1" s="1" t="inlineStr">
        <is>
          <t>Removed: not categorized</t>
        </is>
      </c>
      <c r="AI1" s="1" t="inlineStr">
        <is>
          <t>EAVS removals note</t>
        </is>
      </c>
      <c r="AJ1" s="1" t="inlineStr">
        <is>
          <t>CDC births</t>
        </is>
      </c>
      <c r="AK1" s="1" t="inlineStr">
        <is>
          <t>Births status</t>
        </is>
      </c>
      <c r="AL1" s="1" t="inlineStr">
        <is>
          <t>CDC deaths</t>
        </is>
      </c>
      <c r="AM1" s="1" t="inlineStr">
        <is>
          <t>Deaths status</t>
        </is>
      </c>
      <c r="AN1" s="1" t="inlineStr">
        <is>
          <t>SSA SSNs issued (thousands)</t>
        </is>
      </c>
      <c r="AO1" s="1" t="inlineStr">
        <is>
          <t>YoY CHANGE: SSNs issued (thousands) [formula]</t>
        </is>
      </c>
      <c r="AP1" s="1" t="inlineStr">
        <is>
          <t>SSNs issued: % under age 15</t>
        </is>
      </c>
      <c r="AQ1" s="1" t="inlineStr">
        <is>
          <t>SSN citizen/noncitizen split &amp; Enumeration at Birth</t>
        </is>
      </c>
      <c r="AR1" s="1" t="inlineStr">
        <is>
          <t>Notes / missing-data reasons</t>
        </is>
      </c>
    </row>
    <row r="2">
      <c r="A2" t="n">
        <v>2005</v>
      </c>
      <c r="B2" s="2" t="n">
        <v>295516599</v>
      </c>
      <c r="C2" s="2" t="n">
        <v>288378137</v>
      </c>
      <c r="D2" s="2" t="n">
        <v>267656123</v>
      </c>
      <c r="E2" s="2" t="n">
        <v>20722014</v>
      </c>
      <c r="F2" s="2" t="n">
        <v>197004322</v>
      </c>
      <c r="G2" s="3" t="n"/>
      <c r="H2" s="4" t="n"/>
      <c r="I2" s="5" t="inlineStr">
        <is>
          <t>2005 ACS covered household population only (no group quarters); 2005-&gt;2006 change not comparable.</t>
        </is>
      </c>
      <c r="J2" t="inlineStr">
        <is>
          <t>Not reported</t>
        </is>
      </c>
      <c r="K2" t="inlineStr">
        <is>
          <t>Not reported</t>
        </is>
      </c>
      <c r="L2" t="inlineStr">
        <is>
          <t>Not reported</t>
        </is>
      </c>
      <c r="M2" t="inlineStr"/>
      <c r="N2" t="inlineStr">
        <is>
          <t>Not reported</t>
        </is>
      </c>
      <c r="O2" t="inlineStr">
        <is>
          <t>Not reported</t>
        </is>
      </c>
      <c r="P2" s="3" t="n"/>
      <c r="Q2" t="inlineStr"/>
      <c r="R2" s="2" t="n">
        <v>604280</v>
      </c>
      <c r="S2" s="2" t="n">
        <v>602970</v>
      </c>
      <c r="T2" s="3" t="n"/>
      <c r="U2" t="inlineStr"/>
      <c r="V2" t="inlineStr">
        <is>
          <t>Not reported</t>
        </is>
      </c>
      <c r="W2" s="3" t="n"/>
      <c r="X2" t="inlineStr"/>
      <c r="Y2" t="inlineStr">
        <is>
          <t>Not reported</t>
        </is>
      </c>
      <c r="Z2" t="inlineStr">
        <is>
          <t>Not reported</t>
        </is>
      </c>
      <c r="AA2" t="inlineStr">
        <is>
          <t>Not reported</t>
        </is>
      </c>
      <c r="AB2" t="inlineStr">
        <is>
          <t>Not reported</t>
        </is>
      </c>
      <c r="AC2" t="inlineStr">
        <is>
          <t>Not reported</t>
        </is>
      </c>
      <c r="AD2" t="inlineStr">
        <is>
          <t>Not reported</t>
        </is>
      </c>
      <c r="AE2" t="inlineStr">
        <is>
          <t>Not reported</t>
        </is>
      </c>
      <c r="AF2" t="inlineStr">
        <is>
          <t>Not reported</t>
        </is>
      </c>
      <c r="AG2" t="inlineStr">
        <is>
          <t>Not reported</t>
        </is>
      </c>
      <c r="AH2" t="inlineStr">
        <is>
          <t>Not reported</t>
        </is>
      </c>
      <c r="AI2" t="inlineStr"/>
      <c r="AJ2" s="2" t="n">
        <v>4138349</v>
      </c>
      <c r="AK2" t="inlineStr">
        <is>
          <t>Final</t>
        </is>
      </c>
      <c r="AL2" s="2" t="n">
        <v>2448017</v>
      </c>
      <c r="AM2" t="inlineStr">
        <is>
          <t>Final</t>
        </is>
      </c>
      <c r="AN2" s="2" t="n">
        <v>5280</v>
      </c>
      <c r="AO2" s="3" t="n"/>
      <c r="AP2" t="inlineStr">
        <is>
          <t>Not reported</t>
        </is>
      </c>
      <c r="AQ2" s="5" t="inlineStr">
        <is>
          <t>Not reported: SSA statistical tables do not split SSNs by citizenship or show EAB counts; only official split found is GAO-04-12 for FY2002 (4.23M citizens / 1.34M noncitizens; ~89% of citizen SSNs via EAB).</t>
        </is>
      </c>
      <c r="AR2" s="5" t="inlineStr">
        <is>
          <t>EAVS/CPS: Not reported (odd year; surveys are biennial for federal general elections).</t>
        </is>
      </c>
    </row>
    <row r="3">
      <c r="A3" t="n">
        <v>2006</v>
      </c>
      <c r="B3" s="2" t="n">
        <v>298379912</v>
      </c>
      <c r="C3" s="2" t="n">
        <v>299398485</v>
      </c>
      <c r="D3" s="2" t="n">
        <v>277618427</v>
      </c>
      <c r="E3" s="2" t="n">
        <v>21780058</v>
      </c>
      <c r="F3" s="2" t="n">
        <v>206287902</v>
      </c>
      <c r="G3" s="3" t="inlineStr">
        <is>
          <t>Not computed: not comparable</t>
        </is>
      </c>
      <c r="H3" s="4" t="inlineStr">
        <is>
          <t>Not computed: not comparable</t>
        </is>
      </c>
      <c r="I3" t="inlineStr"/>
      <c r="J3" s="2" t="n">
        <v>172805006</v>
      </c>
      <c r="K3" t="inlineStr">
        <is>
          <t>Not reported</t>
        </is>
      </c>
      <c r="L3" t="inlineStr">
        <is>
          <t>Not reported</t>
        </is>
      </c>
      <c r="M3" s="5" t="inlineStr">
        <is>
          <t>EAVS 2006 report TOTAL row. NVRA 2005-06 report gives &gt;=172.8M total, ~160.3M active, 21.2M inactive (rounded). Active/inactive exact figures not reported in the tables pulled.</t>
        </is>
      </c>
      <c r="N3" s="2" t="n">
        <v>201073</v>
      </c>
      <c r="O3" s="2" t="n">
        <v>135847</v>
      </c>
      <c r="P3" s="3" t="n"/>
      <c r="Q3" s="5" t="inlineStr">
        <is>
          <t>Documented (EAC 2005-06 NVRA report): decline from 2004 attributed to HAVA statewide voter-registration databases removing duplicates plus post-presidential-year list maintenance.</t>
        </is>
      </c>
      <c r="R3" s="2" t="n">
        <v>702590</v>
      </c>
      <c r="S3" s="2" t="n">
        <v>730640</v>
      </c>
      <c r="T3" s="6">
        <f>IF(AND(ISNUMBER(R3),ISNUMBER(R2)),R3-R2,"")</f>
        <v/>
      </c>
      <c r="U3" t="inlineStr"/>
      <c r="V3" t="inlineStr">
        <is>
          <t>Not reported</t>
        </is>
      </c>
      <c r="W3" s="3" t="n"/>
      <c r="X3" s="5" t="inlineStr">
        <is>
          <t>~17.3 million (rounded, NVRA 2005-06 report)</t>
        </is>
      </c>
      <c r="Y3" t="inlineStr">
        <is>
          <t>Not reported</t>
        </is>
      </c>
      <c r="Z3" t="inlineStr">
        <is>
          <t>Not reported</t>
        </is>
      </c>
      <c r="AA3" t="inlineStr">
        <is>
          <t>Not reported</t>
        </is>
      </c>
      <c r="AB3" t="inlineStr">
        <is>
          <t>Not reported</t>
        </is>
      </c>
      <c r="AC3" t="inlineStr">
        <is>
          <t>Not reported</t>
        </is>
      </c>
      <c r="AD3" t="inlineStr">
        <is>
          <t>Not reported</t>
        </is>
      </c>
      <c r="AE3" t="inlineStr">
        <is>
          <t>Not reported</t>
        </is>
      </c>
      <c r="AF3" t="inlineStr">
        <is>
          <t>Not reported</t>
        </is>
      </c>
      <c r="AG3" t="inlineStr">
        <is>
          <t>Not reported</t>
        </is>
      </c>
      <c r="AH3" t="inlineStr">
        <is>
          <t>Not reported</t>
        </is>
      </c>
      <c r="AI3" s="5" t="inlineStr">
        <is>
          <t>~13 million (42 states; rounded): failure 3.5M, moved 3.0M, death 2.0M, other 3.7M, felony 0.3M, request 0.4M</t>
        </is>
      </c>
      <c r="AJ3" s="2" t="n">
        <v>4265555</v>
      </c>
      <c r="AK3" t="inlineStr">
        <is>
          <t>Final</t>
        </is>
      </c>
      <c r="AL3" s="2" t="n">
        <v>2426264</v>
      </c>
      <c r="AM3" t="inlineStr">
        <is>
          <t>Final</t>
        </is>
      </c>
      <c r="AN3" s="2" t="n">
        <v>5662</v>
      </c>
      <c r="AO3" s="6">
        <f>IF(AND(ISNUMBER(AN3),ISNUMBER(AN2)),AN3-AN2,"")</f>
        <v/>
      </c>
      <c r="AP3" t="inlineStr">
        <is>
          <t>Not reported</t>
        </is>
      </c>
      <c r="AQ3" s="5" t="inlineStr">
        <is>
          <t>Not reported: SSA statistical tables do not split SSNs by citizenship or show EAB counts; only official split found is GAO-04-12 for FY2002 (4.23M citizens / 1.34M noncitizens; ~89% of citizen SSNs via EAB).</t>
        </is>
      </c>
      <c r="AR3" t="inlineStr"/>
    </row>
    <row r="4">
      <c r="A4" t="n">
        <v>2007</v>
      </c>
      <c r="B4" s="2" t="n">
        <v>301231207</v>
      </c>
      <c r="C4" s="2" t="n">
        <v>301621159</v>
      </c>
      <c r="D4" s="2" t="n">
        <v>279743348</v>
      </c>
      <c r="E4" s="2" t="n">
        <v>21877811</v>
      </c>
      <c r="F4" s="2" t="n">
        <v>208186178</v>
      </c>
      <c r="G4" s="6">
        <f>IF(AND(ISNUMBER(D4),ISNUMBER(D3)),D4-D3,"")</f>
        <v/>
      </c>
      <c r="H4" s="7">
        <f>IF(AND(ISNUMBER(D4),ISNUMBER(D3)),(D4-D3)/D3,"")</f>
        <v/>
      </c>
      <c r="I4" t="inlineStr"/>
      <c r="J4" t="inlineStr">
        <is>
          <t>Not reported</t>
        </is>
      </c>
      <c r="K4" t="inlineStr">
        <is>
          <t>Not reported</t>
        </is>
      </c>
      <c r="L4" t="inlineStr">
        <is>
          <t>Not reported</t>
        </is>
      </c>
      <c r="M4" t="inlineStr"/>
      <c r="N4" t="inlineStr">
        <is>
          <t>Not reported</t>
        </is>
      </c>
      <c r="O4" t="inlineStr">
        <is>
          <t>Not reported</t>
        </is>
      </c>
      <c r="P4" s="3" t="n"/>
      <c r="Q4" t="inlineStr"/>
      <c r="R4" s="2" t="n">
        <v>660480</v>
      </c>
      <c r="S4" s="2" t="n">
        <v>1382990</v>
      </c>
      <c r="T4" s="6">
        <f>IF(AND(ISNUMBER(R4),ISNUMBER(R3)),R4-R3,"")</f>
        <v/>
      </c>
      <c r="U4" s="5" t="inlineStr">
        <is>
          <t>Applications filed jumped to 1,382,990 ahead of the July 30, 2007 USCIS fee increase and the 2008 election (per DHS naturalization flow reporting; reason text not re-verified from box).</t>
        </is>
      </c>
      <c r="V4" t="inlineStr">
        <is>
          <t>Not reported</t>
        </is>
      </c>
      <c r="W4" s="3" t="n"/>
      <c r="X4" t="inlineStr"/>
      <c r="Y4" t="inlineStr">
        <is>
          <t>Not reported</t>
        </is>
      </c>
      <c r="Z4" t="inlineStr">
        <is>
          <t>Not reported</t>
        </is>
      </c>
      <c r="AA4" t="inlineStr">
        <is>
          <t>Not reported</t>
        </is>
      </c>
      <c r="AB4" t="inlineStr">
        <is>
          <t>Not reported</t>
        </is>
      </c>
      <c r="AC4" t="inlineStr">
        <is>
          <t>Not reported</t>
        </is>
      </c>
      <c r="AD4" t="inlineStr">
        <is>
          <t>Not reported</t>
        </is>
      </c>
      <c r="AE4" t="inlineStr">
        <is>
          <t>Not reported</t>
        </is>
      </c>
      <c r="AF4" t="inlineStr">
        <is>
          <t>Not reported</t>
        </is>
      </c>
      <c r="AG4" t="inlineStr">
        <is>
          <t>Not reported</t>
        </is>
      </c>
      <c r="AH4" t="inlineStr">
        <is>
          <t>Not reported</t>
        </is>
      </c>
      <c r="AI4" t="inlineStr"/>
      <c r="AJ4" s="2" t="n">
        <v>4316233</v>
      </c>
      <c r="AK4" t="inlineStr">
        <is>
          <t>Final</t>
        </is>
      </c>
      <c r="AL4" s="2" t="n">
        <v>2423712</v>
      </c>
      <c r="AM4" t="inlineStr">
        <is>
          <t>Final</t>
        </is>
      </c>
      <c r="AN4" s="2" t="n">
        <v>5906</v>
      </c>
      <c r="AO4" s="6">
        <f>IF(AND(ISNUMBER(AN4),ISNUMBER(AN3)),AN4-AN3,"")</f>
        <v/>
      </c>
      <c r="AP4" t="inlineStr">
        <is>
          <t>Not reported</t>
        </is>
      </c>
      <c r="AQ4" s="5" t="inlineStr">
        <is>
          <t>Not reported: SSA statistical tables do not split SSNs by citizenship or show EAB counts; only official split found is GAO-04-12 for FY2002 (4.23M citizens / 1.34M noncitizens; ~89% of citizen SSNs via EAB).</t>
        </is>
      </c>
      <c r="AR4" s="5" t="inlineStr">
        <is>
          <t>EAVS/CPS: Not reported (odd year; surveys are biennial for federal general elections).</t>
        </is>
      </c>
    </row>
    <row r="5">
      <c r="A5" t="n">
        <v>2008</v>
      </c>
      <c r="B5" s="2" t="n">
        <v>304093966</v>
      </c>
      <c r="C5" s="2" t="n">
        <v>304059728</v>
      </c>
      <c r="D5" s="2" t="n">
        <v>282428702</v>
      </c>
      <c r="E5" s="2" t="n">
        <v>21631026</v>
      </c>
      <c r="F5" s="2" t="n">
        <v>210710906</v>
      </c>
      <c r="G5" s="6">
        <f>IF(AND(ISNUMBER(D5),ISNUMBER(D4)),D5-D4,"")</f>
        <v/>
      </c>
      <c r="H5" s="7">
        <f>IF(AND(ISNUMBER(D5),ISNUMBER(D4)),(D5-D4)/D4,"")</f>
        <v/>
      </c>
      <c r="I5" t="inlineStr"/>
      <c r="J5" s="2" t="n">
        <v>189844867</v>
      </c>
      <c r="K5" t="inlineStr">
        <is>
          <t>Not reported</t>
        </is>
      </c>
      <c r="L5" t="inlineStr">
        <is>
          <t>Not reported</t>
        </is>
      </c>
      <c r="M5" s="5" t="inlineStr">
        <is>
          <t>EAC NVRA 2007-08 report. EAVS summary text says 'more than 190 million' (see Discrepancies). Active/inactive not extracted.</t>
        </is>
      </c>
      <c r="N5" s="2" t="n">
        <v>206072</v>
      </c>
      <c r="O5" s="2" t="n">
        <v>146311</v>
      </c>
      <c r="P5" s="6">
        <f>IF(AND(ISNUMBER(J5),ISNUMBER(J3)),J5-J3,"")</f>
        <v/>
      </c>
      <c r="Q5" s="5" t="inlineStr">
        <is>
          <t>No cause documented in source pulled. Presidential-election year.</t>
        </is>
      </c>
      <c r="R5" s="2" t="n">
        <v>1046540</v>
      </c>
      <c r="S5" s="2" t="n">
        <v>525790</v>
      </c>
      <c r="T5" s="6">
        <f>IF(AND(ISNUMBER(R5),ISNUMBER(R4)),R5-R4,"")</f>
        <v/>
      </c>
      <c r="U5" s="5" t="inlineStr">
        <is>
          <t>Surge in persons naturalized (1,046,540) as the FY2007 application spike was processed (DHS flow reporting; not re-verified from box).</t>
        </is>
      </c>
      <c r="V5" t="inlineStr">
        <is>
          <t>Not reported</t>
        </is>
      </c>
      <c r="W5" s="6">
        <f>IF(AND(ISNUMBER(V5),ISNUMBER(V3)),V5-V3,"")</f>
        <v/>
      </c>
      <c r="X5" s="5" t="inlineStr">
        <is>
          <t>24.6 million (rounded, NVRA 2007-08 report)</t>
        </is>
      </c>
      <c r="Y5" t="inlineStr">
        <is>
          <t>Not reported</t>
        </is>
      </c>
      <c r="Z5" t="inlineStr">
        <is>
          <t>Not reported</t>
        </is>
      </c>
      <c r="AA5" t="inlineStr">
        <is>
          <t>Not reported</t>
        </is>
      </c>
      <c r="AB5" t="inlineStr">
        <is>
          <t>Not reported</t>
        </is>
      </c>
      <c r="AC5" t="inlineStr">
        <is>
          <t>Not reported</t>
        </is>
      </c>
      <c r="AD5" t="inlineStr">
        <is>
          <t>Not reported</t>
        </is>
      </c>
      <c r="AE5" t="inlineStr">
        <is>
          <t>Not reported</t>
        </is>
      </c>
      <c r="AF5" t="inlineStr">
        <is>
          <t>Not reported</t>
        </is>
      </c>
      <c r="AG5" t="inlineStr">
        <is>
          <t>Not reported</t>
        </is>
      </c>
      <c r="AH5" t="inlineStr">
        <is>
          <t>Not reported</t>
        </is>
      </c>
      <c r="AI5" s="5" t="inlineStr">
        <is>
          <t>~12.7 million (rounded): moved 2.7M, died 2.4M, failure 3.9M, felony 262,366</t>
        </is>
      </c>
      <c r="AJ5" s="2" t="n">
        <v>4247694</v>
      </c>
      <c r="AK5" t="inlineStr">
        <is>
          <t>Final</t>
        </is>
      </c>
      <c r="AL5" s="2" t="n">
        <v>2471984</v>
      </c>
      <c r="AM5" t="inlineStr">
        <is>
          <t>Final</t>
        </is>
      </c>
      <c r="AN5" s="2" t="n">
        <v>5785</v>
      </c>
      <c r="AO5" s="6">
        <f>IF(AND(ISNUMBER(AN5),ISNUMBER(AN4)),AN5-AN4,"")</f>
        <v/>
      </c>
      <c r="AP5" t="inlineStr">
        <is>
          <t>Not reported</t>
        </is>
      </c>
      <c r="AQ5" s="5" t="inlineStr">
        <is>
          <t>Not reported: SSA statistical tables do not split SSNs by citizenship or show EAB counts; only official split found is GAO-04-12 for FY2002 (4.23M citizens / 1.34M noncitizens; ~89% of citizen SSNs via EAB).</t>
        </is>
      </c>
      <c r="AR5" t="inlineStr"/>
    </row>
    <row r="6">
      <c r="A6" t="n">
        <v>2009</v>
      </c>
      <c r="B6" s="2" t="n">
        <v>306771529</v>
      </c>
      <c r="C6" s="2" t="n">
        <v>307006556</v>
      </c>
      <c r="D6" s="2" t="n">
        <v>285335719</v>
      </c>
      <c r="E6" s="2" t="n">
        <v>21670837</v>
      </c>
      <c r="F6" s="2" t="n">
        <v>213020665</v>
      </c>
      <c r="G6" s="6">
        <f>IF(AND(ISNUMBER(D6),ISNUMBER(D5)),D6-D5,"")</f>
        <v/>
      </c>
      <c r="H6" s="7">
        <f>IF(AND(ISNUMBER(D6),ISNUMBER(D5)),(D6-D5)/D5,"")</f>
        <v/>
      </c>
      <c r="I6" t="inlineStr"/>
      <c r="J6" t="inlineStr">
        <is>
          <t>Not reported</t>
        </is>
      </c>
      <c r="K6" t="inlineStr">
        <is>
          <t>Not reported</t>
        </is>
      </c>
      <c r="L6" t="inlineStr">
        <is>
          <t>Not reported</t>
        </is>
      </c>
      <c r="M6" t="inlineStr"/>
      <c r="N6" t="inlineStr">
        <is>
          <t>Not reported</t>
        </is>
      </c>
      <c r="O6" t="inlineStr">
        <is>
          <t>Not reported</t>
        </is>
      </c>
      <c r="P6" s="3" t="n"/>
      <c r="Q6" t="inlineStr"/>
      <c r="R6" s="2" t="n">
        <v>743720</v>
      </c>
      <c r="S6" s="2" t="n">
        <v>570440</v>
      </c>
      <c r="T6" s="6">
        <f>IF(AND(ISNUMBER(R6),ISNUMBER(R5)),R6-R5,"")</f>
        <v/>
      </c>
      <c r="U6" t="inlineStr"/>
      <c r="V6" t="inlineStr">
        <is>
          <t>Not reported</t>
        </is>
      </c>
      <c r="W6" s="3" t="n"/>
      <c r="X6" t="inlineStr"/>
      <c r="Y6" t="inlineStr">
        <is>
          <t>Not reported</t>
        </is>
      </c>
      <c r="Z6" t="inlineStr">
        <is>
          <t>Not reported</t>
        </is>
      </c>
      <c r="AA6" t="inlineStr">
        <is>
          <t>Not reported</t>
        </is>
      </c>
      <c r="AB6" t="inlineStr">
        <is>
          <t>Not reported</t>
        </is>
      </c>
      <c r="AC6" t="inlineStr">
        <is>
          <t>Not reported</t>
        </is>
      </c>
      <c r="AD6" t="inlineStr">
        <is>
          <t>Not reported</t>
        </is>
      </c>
      <c r="AE6" t="inlineStr">
        <is>
          <t>Not reported</t>
        </is>
      </c>
      <c r="AF6" t="inlineStr">
        <is>
          <t>Not reported</t>
        </is>
      </c>
      <c r="AG6" t="inlineStr">
        <is>
          <t>Not reported</t>
        </is>
      </c>
      <c r="AH6" t="inlineStr">
        <is>
          <t>Not reported</t>
        </is>
      </c>
      <c r="AI6" t="inlineStr"/>
      <c r="AJ6" s="2" t="n">
        <v>4130665</v>
      </c>
      <c r="AK6" t="inlineStr">
        <is>
          <t>Final</t>
        </is>
      </c>
      <c r="AL6" s="2" t="n">
        <v>2437163</v>
      </c>
      <c r="AM6" t="inlineStr">
        <is>
          <t>Final</t>
        </is>
      </c>
      <c r="AN6" s="2" t="n">
        <v>5548</v>
      </c>
      <c r="AO6" s="6">
        <f>IF(AND(ISNUMBER(AN6),ISNUMBER(AN5)),AN6-AN5,"")</f>
        <v/>
      </c>
      <c r="AP6" t="inlineStr">
        <is>
          <t>Not reported</t>
        </is>
      </c>
      <c r="AQ6" s="5" t="inlineStr">
        <is>
          <t>Not reported: SSA statistical tables do not split SSNs by citizenship or show EAB counts; only official split found is GAO-04-12 for FY2002 (4.23M citizens / 1.34M noncitizens; ~89% of citizen SSNs via EAB).</t>
        </is>
      </c>
      <c r="AR6" s="5" t="inlineStr">
        <is>
          <t>EAVS/CPS: Not reported (odd year; surveys are biennial for federal general elections).</t>
        </is>
      </c>
    </row>
    <row r="7">
      <c r="A7" t="n">
        <v>2010</v>
      </c>
      <c r="B7" s="2" t="n">
        <v>309378227</v>
      </c>
      <c r="C7" s="2" t="n">
        <v>309349689</v>
      </c>
      <c r="D7" s="2" t="n">
        <v>286869917</v>
      </c>
      <c r="E7" s="2" t="n">
        <v>22479772</v>
      </c>
      <c r="F7" s="2" t="n">
        <v>214916459</v>
      </c>
      <c r="G7" s="6">
        <f>IF(AND(ISNUMBER(D7),ISNUMBER(D6)),D7-D6,"")</f>
        <v/>
      </c>
      <c r="H7" s="7">
        <f>IF(AND(ISNUMBER(D7),ISNUMBER(D6)),(D7-D6)/D6,"")</f>
        <v/>
      </c>
      <c r="I7" t="inlineStr"/>
      <c r="J7" s="2" t="n">
        <v>186874157</v>
      </c>
      <c r="K7" t="inlineStr">
        <is>
          <t>Not reported</t>
        </is>
      </c>
      <c r="L7" t="inlineStr">
        <is>
          <t>Not reported</t>
        </is>
      </c>
      <c r="M7" s="5" t="inlineStr">
        <is>
          <t>EAC NVRA 2009-10 report. 2012 NVRA summary table shows 186,282,492 for 2010 (see Discrepancies).</t>
        </is>
      </c>
      <c r="N7" s="2" t="n">
        <v>210800</v>
      </c>
      <c r="O7" s="2" t="n">
        <v>137263</v>
      </c>
      <c r="P7" s="6">
        <f>IF(AND(ISNUMBER(J7),ISNUMBER(J5)),J7-J5,"")</f>
        <v/>
      </c>
      <c r="Q7" t="inlineStr">
        <is>
          <t>No cause documented in source pulled.</t>
        </is>
      </c>
      <c r="R7" s="2" t="n">
        <v>619910</v>
      </c>
      <c r="S7" s="2" t="n">
        <v>710540</v>
      </c>
      <c r="T7" s="6">
        <f>IF(AND(ISNUMBER(R7),ISNUMBER(R6)),R7-R6,"")</f>
        <v/>
      </c>
      <c r="U7" t="inlineStr"/>
      <c r="V7" t="inlineStr">
        <is>
          <t>Not reported</t>
        </is>
      </c>
      <c r="W7" s="6">
        <f>IF(AND(ISNUMBER(V7),ISNUMBER(V5)),V7-V5,"")</f>
        <v/>
      </c>
      <c r="X7" t="inlineStr">
        <is>
          <t>~14.4 million (rounded, NVRA 2009-10)</t>
        </is>
      </c>
      <c r="Y7" t="inlineStr">
        <is>
          <t>Not reported</t>
        </is>
      </c>
      <c r="Z7" t="inlineStr">
        <is>
          <t>Not reported</t>
        </is>
      </c>
      <c r="AA7" t="inlineStr">
        <is>
          <t>Not reported</t>
        </is>
      </c>
      <c r="AB7" t="inlineStr">
        <is>
          <t>Not reported</t>
        </is>
      </c>
      <c r="AC7" t="inlineStr">
        <is>
          <t>Not reported</t>
        </is>
      </c>
      <c r="AD7" t="inlineStr">
        <is>
          <t>Not reported</t>
        </is>
      </c>
      <c r="AE7" t="inlineStr">
        <is>
          <t>Not reported</t>
        </is>
      </c>
      <c r="AF7" t="inlineStr">
        <is>
          <t>Not reported</t>
        </is>
      </c>
      <c r="AG7" t="inlineStr">
        <is>
          <t>Not reported</t>
        </is>
      </c>
      <c r="AH7" t="inlineStr">
        <is>
          <t>Not reported</t>
        </is>
      </c>
      <c r="AI7" s="5" t="inlineStr">
        <is>
          <t>&gt;15 million (rounded): moved ~3.8M, died ~3.0M, failure 6.1M, felony 371,414</t>
        </is>
      </c>
      <c r="AJ7" s="2" t="n">
        <v>3999386</v>
      </c>
      <c r="AK7" t="inlineStr">
        <is>
          <t>Final</t>
        </is>
      </c>
      <c r="AL7" s="2" t="n">
        <v>2468435</v>
      </c>
      <c r="AM7" t="inlineStr">
        <is>
          <t>Final</t>
        </is>
      </c>
      <c r="AN7" s="2" t="n">
        <v>5442</v>
      </c>
      <c r="AO7" s="6">
        <f>IF(AND(ISNUMBER(AN7),ISNUMBER(AN6)),AN7-AN6,"")</f>
        <v/>
      </c>
      <c r="AP7" t="inlineStr">
        <is>
          <t>Not reported</t>
        </is>
      </c>
      <c r="AQ7" s="5" t="inlineStr">
        <is>
          <t>Not reported: SSA statistical tables do not split SSNs by citizenship or show EAB counts; only official split found is GAO-04-12 for FY2002 (4.23M citizens / 1.34M noncitizens; ~89% of citizen SSNs via EAB).</t>
        </is>
      </c>
      <c r="AR7" t="inlineStr"/>
    </row>
    <row r="8">
      <c r="A8" t="n">
        <v>2011</v>
      </c>
      <c r="B8" s="2" t="n">
        <v>311839461</v>
      </c>
      <c r="C8" s="2" t="n">
        <v>311591919</v>
      </c>
      <c r="D8" s="2" t="n">
        <v>289354251</v>
      </c>
      <c r="E8" s="2" t="n">
        <v>22237668</v>
      </c>
      <c r="F8" s="2" t="n">
        <v>217462618</v>
      </c>
      <c r="G8" s="6">
        <f>IF(AND(ISNUMBER(D8),ISNUMBER(D7)),D8-D7,"")</f>
        <v/>
      </c>
      <c r="H8" s="7">
        <f>IF(AND(ISNUMBER(D8),ISNUMBER(D7)),(D8-D7)/D7,"")</f>
        <v/>
      </c>
      <c r="I8" t="inlineStr"/>
      <c r="J8" t="inlineStr">
        <is>
          <t>Not reported</t>
        </is>
      </c>
      <c r="K8" t="inlineStr">
        <is>
          <t>Not reported</t>
        </is>
      </c>
      <c r="L8" t="inlineStr">
        <is>
          <t>Not reported</t>
        </is>
      </c>
      <c r="M8" t="inlineStr"/>
      <c r="N8" t="inlineStr">
        <is>
          <t>Not reported</t>
        </is>
      </c>
      <c r="O8" t="inlineStr">
        <is>
          <t>Not reported</t>
        </is>
      </c>
      <c r="P8" s="3" t="n"/>
      <c r="Q8" t="inlineStr"/>
      <c r="R8" s="2" t="n">
        <v>694190</v>
      </c>
      <c r="S8" s="2" t="n">
        <v>756010</v>
      </c>
      <c r="T8" s="6">
        <f>IF(AND(ISNUMBER(R8),ISNUMBER(R7)),R8-R7,"")</f>
        <v/>
      </c>
      <c r="U8" t="inlineStr"/>
      <c r="V8" t="inlineStr">
        <is>
          <t>Not reported</t>
        </is>
      </c>
      <c r="W8" s="3" t="n"/>
      <c r="X8" t="inlineStr"/>
      <c r="Y8" t="inlineStr">
        <is>
          <t>Not reported</t>
        </is>
      </c>
      <c r="Z8" t="inlineStr">
        <is>
          <t>Not reported</t>
        </is>
      </c>
      <c r="AA8" t="inlineStr">
        <is>
          <t>Not reported</t>
        </is>
      </c>
      <c r="AB8" t="inlineStr">
        <is>
          <t>Not reported</t>
        </is>
      </c>
      <c r="AC8" t="inlineStr">
        <is>
          <t>Not reported</t>
        </is>
      </c>
      <c r="AD8" t="inlineStr">
        <is>
          <t>Not reported</t>
        </is>
      </c>
      <c r="AE8" t="inlineStr">
        <is>
          <t>Not reported</t>
        </is>
      </c>
      <c r="AF8" t="inlineStr">
        <is>
          <t>Not reported</t>
        </is>
      </c>
      <c r="AG8" t="inlineStr">
        <is>
          <t>Not reported</t>
        </is>
      </c>
      <c r="AH8" t="inlineStr">
        <is>
          <t>Not reported</t>
        </is>
      </c>
      <c r="AI8" t="inlineStr"/>
      <c r="AJ8" s="2" t="n">
        <v>3953590</v>
      </c>
      <c r="AK8" t="inlineStr">
        <is>
          <t>Final</t>
        </is>
      </c>
      <c r="AL8" s="2" t="n">
        <v>2515458</v>
      </c>
      <c r="AM8" t="inlineStr">
        <is>
          <t>Final</t>
        </is>
      </c>
      <c r="AN8" s="2" t="n">
        <v>5354</v>
      </c>
      <c r="AO8" s="6">
        <f>IF(AND(ISNUMBER(AN8),ISNUMBER(AN7)),AN8-AN7,"")</f>
        <v/>
      </c>
      <c r="AP8" t="inlineStr">
        <is>
          <t>Not reported</t>
        </is>
      </c>
      <c r="AQ8" s="5" t="inlineStr">
        <is>
          <t>Not reported: SSA statistical tables do not split SSNs by citizenship or show EAB counts; only official split found is GAO-04-12 for FY2002 (4.23M citizens / 1.34M noncitizens; ~89% of citizen SSNs via EAB).</t>
        </is>
      </c>
      <c r="AR8" s="5" t="inlineStr">
        <is>
          <t>EAVS/CPS: Not reported (odd year; surveys are biennial for federal general elections).</t>
        </is>
      </c>
    </row>
    <row r="9">
      <c r="A9" t="n">
        <v>2012</v>
      </c>
      <c r="B9" s="2" t="n">
        <v>314339099</v>
      </c>
      <c r="C9" s="2" t="n">
        <v>313914040</v>
      </c>
      <c r="D9" s="2" t="n">
        <v>291775619</v>
      </c>
      <c r="E9" s="2" t="n">
        <v>22138421</v>
      </c>
      <c r="F9" s="2" t="n">
        <v>220008145</v>
      </c>
      <c r="G9" s="6">
        <f>IF(AND(ISNUMBER(D9),ISNUMBER(D8)),D9-D8,"")</f>
        <v/>
      </c>
      <c r="H9" s="7">
        <f>IF(AND(ISNUMBER(D9),ISNUMBER(D8)),(D9-D8)/D8,"")</f>
        <v/>
      </c>
      <c r="I9" t="inlineStr"/>
      <c r="J9" s="2" t="n">
        <v>194198928</v>
      </c>
      <c r="K9" t="inlineStr">
        <is>
          <t>Not reported</t>
        </is>
      </c>
      <c r="L9" t="inlineStr">
        <is>
          <t>Not reported</t>
        </is>
      </c>
      <c r="M9" s="5" t="inlineStr">
        <is>
          <t>EAC NVRA 2011-12 report text. Same report's summary table shows 193,585,443 (see Discrepancies).</t>
        </is>
      </c>
      <c r="N9" s="2" t="n">
        <v>215081</v>
      </c>
      <c r="O9" s="2" t="n">
        <v>153157</v>
      </c>
      <c r="P9" s="6">
        <f>IF(AND(ISNUMBER(J9),ISNUMBER(J7)),J9-J7,"")</f>
        <v/>
      </c>
      <c r="Q9" s="5" t="inlineStr">
        <is>
          <t>No cause documented in source pulled. Presidential-election year.</t>
        </is>
      </c>
      <c r="R9" s="2" t="n">
        <v>757430</v>
      </c>
      <c r="S9" s="2" t="n">
        <v>899160</v>
      </c>
      <c r="T9" s="6">
        <f>IF(AND(ISNUMBER(R9),ISNUMBER(R8)),R9-R8,"")</f>
        <v/>
      </c>
      <c r="U9" t="inlineStr"/>
      <c r="V9" t="inlineStr">
        <is>
          <t>Not reported</t>
        </is>
      </c>
      <c r="W9" s="6">
        <f>IF(AND(ISNUMBER(V9),ISNUMBER(V7)),V9-V7,"")</f>
        <v/>
      </c>
      <c r="X9" t="inlineStr">
        <is>
          <t>23.8 million (rounded, NVRA 2011-12)</t>
        </is>
      </c>
      <c r="Y9" t="inlineStr">
        <is>
          <t>Not reported</t>
        </is>
      </c>
      <c r="Z9" t="inlineStr">
        <is>
          <t>Not reported</t>
        </is>
      </c>
      <c r="AA9" t="inlineStr">
        <is>
          <t>Not reported</t>
        </is>
      </c>
      <c r="AB9" t="inlineStr">
        <is>
          <t>Not reported</t>
        </is>
      </c>
      <c r="AC9" t="inlineStr">
        <is>
          <t>Not reported</t>
        </is>
      </c>
      <c r="AD9" t="inlineStr">
        <is>
          <t>Not reported</t>
        </is>
      </c>
      <c r="AE9" t="inlineStr">
        <is>
          <t>Not reported</t>
        </is>
      </c>
      <c r="AF9" t="inlineStr">
        <is>
          <t>Not reported</t>
        </is>
      </c>
      <c r="AG9" t="inlineStr">
        <is>
          <t>Not reported</t>
        </is>
      </c>
      <c r="AH9" t="inlineStr">
        <is>
          <t>Not reported</t>
        </is>
      </c>
      <c r="AI9" s="5" t="inlineStr">
        <is>
          <t>~13.7 million (rounded): moved &gt;3.7M, died ~3.0M, failure 4.1M, felony 308,797</t>
        </is>
      </c>
      <c r="AJ9" s="2" t="n">
        <v>3952841</v>
      </c>
      <c r="AK9" t="inlineStr">
        <is>
          <t>Final</t>
        </is>
      </c>
      <c r="AL9" s="2" t="n">
        <v>2543279</v>
      </c>
      <c r="AM9" t="inlineStr">
        <is>
          <t>Final</t>
        </is>
      </c>
      <c r="AN9" s="2" t="n">
        <v>5490</v>
      </c>
      <c r="AO9" s="6">
        <f>IF(AND(ISNUMBER(AN9),ISNUMBER(AN8)),AN9-AN8,"")</f>
        <v/>
      </c>
      <c r="AP9" t="inlineStr">
        <is>
          <t>Not reported</t>
        </is>
      </c>
      <c r="AQ9" s="5" t="inlineStr">
        <is>
          <t>Not reported: SSA statistical tables do not split SSNs by citizenship or show EAB counts; only official split found is GAO-04-12 for FY2002 (4.23M citizens / 1.34M noncitizens; ~89% of citizen SSNs via EAB).</t>
        </is>
      </c>
      <c r="AR9" t="inlineStr"/>
    </row>
    <row r="10">
      <c r="A10" t="n">
        <v>2013</v>
      </c>
      <c r="B10" s="2" t="n">
        <v>316726282</v>
      </c>
      <c r="C10" s="2" t="n">
        <v>316128839</v>
      </c>
      <c r="D10" s="2" t="n">
        <v>294075483</v>
      </c>
      <c r="E10" s="2" t="n">
        <v>22053356</v>
      </c>
      <c r="F10" s="2" t="n">
        <v>222363928</v>
      </c>
      <c r="G10" s="6">
        <f>IF(AND(ISNUMBER(D10),ISNUMBER(D9)),D10-D9,"")</f>
        <v/>
      </c>
      <c r="H10" s="7">
        <f>IF(AND(ISNUMBER(D10),ISNUMBER(D9)),(D10-D9)/D9,"")</f>
        <v/>
      </c>
      <c r="I10" t="inlineStr"/>
      <c r="J10" t="inlineStr">
        <is>
          <t>Not reported</t>
        </is>
      </c>
      <c r="K10" t="inlineStr">
        <is>
          <t>Not reported</t>
        </is>
      </c>
      <c r="L10" t="inlineStr">
        <is>
          <t>Not reported</t>
        </is>
      </c>
      <c r="M10" t="inlineStr"/>
      <c r="N10" t="inlineStr">
        <is>
          <t>Not reported</t>
        </is>
      </c>
      <c r="O10" t="inlineStr">
        <is>
          <t>Not reported</t>
        </is>
      </c>
      <c r="P10" s="3" t="n"/>
      <c r="Q10" t="inlineStr"/>
      <c r="R10" s="2" t="n">
        <v>779930</v>
      </c>
      <c r="S10" s="2" t="n">
        <v>772620</v>
      </c>
      <c r="T10" s="6">
        <f>IF(AND(ISNUMBER(R10),ISNUMBER(R9)),R10-R9,"")</f>
        <v/>
      </c>
      <c r="U10" t="inlineStr"/>
      <c r="V10" t="inlineStr">
        <is>
          <t>Not reported</t>
        </is>
      </c>
      <c r="W10" s="3" t="n"/>
      <c r="X10" t="inlineStr"/>
      <c r="Y10" t="inlineStr">
        <is>
          <t>Not reported</t>
        </is>
      </c>
      <c r="Z10" t="inlineStr">
        <is>
          <t>Not reported</t>
        </is>
      </c>
      <c r="AA10" t="inlineStr">
        <is>
          <t>Not reported</t>
        </is>
      </c>
      <c r="AB10" t="inlineStr">
        <is>
          <t>Not reported</t>
        </is>
      </c>
      <c r="AC10" t="inlineStr">
        <is>
          <t>Not reported</t>
        </is>
      </c>
      <c r="AD10" t="inlineStr">
        <is>
          <t>Not reported</t>
        </is>
      </c>
      <c r="AE10" t="inlineStr">
        <is>
          <t>Not reported</t>
        </is>
      </c>
      <c r="AF10" t="inlineStr">
        <is>
          <t>Not reported</t>
        </is>
      </c>
      <c r="AG10" t="inlineStr">
        <is>
          <t>Not reported</t>
        </is>
      </c>
      <c r="AH10" t="inlineStr">
        <is>
          <t>Not reported</t>
        </is>
      </c>
      <c r="AI10" t="inlineStr"/>
      <c r="AJ10" s="2" t="n">
        <v>3932181</v>
      </c>
      <c r="AK10" t="inlineStr">
        <is>
          <t>Final</t>
        </is>
      </c>
      <c r="AL10" s="2" t="n">
        <v>2596993</v>
      </c>
      <c r="AM10" t="inlineStr">
        <is>
          <t>Final</t>
        </is>
      </c>
      <c r="AN10" s="2" t="n">
        <v>5762</v>
      </c>
      <c r="AO10" s="6">
        <f>IF(AND(ISNUMBER(AN10),ISNUMBER(AN9)),AN10-AN9,"")</f>
        <v/>
      </c>
      <c r="AP10" t="inlineStr">
        <is>
          <t>Not reported</t>
        </is>
      </c>
      <c r="AQ10" s="5" t="inlineStr">
        <is>
          <t>Not reported: SSA statistical tables do not split SSNs by citizenship or show EAB counts; only official split found is GAO-04-12 for FY2002 (4.23M citizens / 1.34M noncitizens; ~89% of citizen SSNs via EAB).</t>
        </is>
      </c>
      <c r="AR10" s="5" t="inlineStr">
        <is>
          <t>EAVS/CPS: Not reported (odd year; surveys are biennial for federal general elections).</t>
        </is>
      </c>
    </row>
    <row r="11">
      <c r="A11" t="n">
        <v>2014</v>
      </c>
      <c r="B11" s="2" t="n">
        <v>319257560</v>
      </c>
      <c r="C11" s="2" t="n">
        <v>318857056</v>
      </c>
      <c r="D11" s="2" t="n">
        <v>296450000</v>
      </c>
      <c r="E11" s="2" t="n">
        <v>22407056</v>
      </c>
      <c r="F11" s="2" t="n">
        <v>224744860</v>
      </c>
      <c r="G11" s="6">
        <f>IF(AND(ISNUMBER(D11),ISNUMBER(D10)),D11-D10,"")</f>
        <v/>
      </c>
      <c r="H11" s="7">
        <f>IF(AND(ISNUMBER(D11),ISNUMBER(D10)),(D11-D10)/D10,"")</f>
        <v/>
      </c>
      <c r="I11" t="inlineStr"/>
      <c r="J11" s="2" t="n">
        <v>190669639</v>
      </c>
      <c r="K11" s="2" t="n">
        <v>173518745</v>
      </c>
      <c r="L11" s="2" t="n">
        <v>23051454</v>
      </c>
      <c r="M11" s="5" t="inlineStr">
        <is>
          <t>As shown in the 2018 EAVS report's prior-year table: 'reported' total 190,669,639; active+inactive 196,570,199. Some states reported active-only in 2014.</t>
        </is>
      </c>
      <c r="N11" s="2" t="n">
        <v>219941</v>
      </c>
      <c r="O11" s="2" t="n">
        <v>142166</v>
      </c>
      <c r="P11" s="6">
        <f>IF(AND(ISNUMBER(J11),ISNUMBER(J9)),J11-J9,"")</f>
        <v/>
      </c>
      <c r="Q11" s="5" t="inlineStr">
        <is>
          <t>Not comparable: some states reported active registrants only in 2014 (2018 EAVS prior-year table shows reported 190.7M vs active+inactive 196.6M).</t>
        </is>
      </c>
      <c r="R11" s="2" t="n">
        <v>653420</v>
      </c>
      <c r="S11" s="2" t="n">
        <v>773820</v>
      </c>
      <c r="T11" s="6">
        <f>IF(AND(ISNUMBER(R11),ISNUMBER(R10)),R11-R10,"")</f>
        <v/>
      </c>
      <c r="U11" t="inlineStr"/>
      <c r="V11" t="inlineStr">
        <is>
          <t>Not reported</t>
        </is>
      </c>
      <c r="W11" s="6">
        <f>IF(AND(ISNUMBER(V11),ISNUMBER(V9)),V11-V9,"")</f>
        <v/>
      </c>
      <c r="X11" s="5" t="inlineStr">
        <is>
          <t>16.6 million (rounded, 2014 EAVS narrative)</t>
        </is>
      </c>
      <c r="Y11" t="inlineStr">
        <is>
          <t>Not reported</t>
        </is>
      </c>
      <c r="Z11" t="inlineStr">
        <is>
          <t>Not reported</t>
        </is>
      </c>
      <c r="AA11" t="inlineStr">
        <is>
          <t>Not reported</t>
        </is>
      </c>
      <c r="AB11" t="inlineStr">
        <is>
          <t>Not reported</t>
        </is>
      </c>
      <c r="AC11" t="inlineStr">
        <is>
          <t>Not reported</t>
        </is>
      </c>
      <c r="AD11" t="inlineStr">
        <is>
          <t>Not reported</t>
        </is>
      </c>
      <c r="AE11" t="inlineStr">
        <is>
          <t>Not reported</t>
        </is>
      </c>
      <c r="AF11" t="inlineStr">
        <is>
          <t>Not reported</t>
        </is>
      </c>
      <c r="AG11" t="inlineStr">
        <is>
          <t>Not reported</t>
        </is>
      </c>
      <c r="AH11" t="inlineStr">
        <is>
          <t>Not reported</t>
        </is>
      </c>
      <c r="AI11" s="5" t="inlineStr">
        <is>
          <t>&gt;14.8 million (rounded): moved &gt;4.6M, died &gt;2.7M, failure 5.2M, felony 313,416</t>
        </is>
      </c>
      <c r="AJ11" s="2" t="n">
        <v>3988076</v>
      </c>
      <c r="AK11" t="inlineStr">
        <is>
          <t>Final</t>
        </is>
      </c>
      <c r="AL11" s="2" t="n">
        <v>2626418</v>
      </c>
      <c r="AM11" t="inlineStr">
        <is>
          <t>Final</t>
        </is>
      </c>
      <c r="AN11" s="2" t="n">
        <v>5652</v>
      </c>
      <c r="AO11" s="6">
        <f>IF(AND(ISNUMBER(AN11),ISNUMBER(AN10)),AN11-AN10,"")</f>
        <v/>
      </c>
      <c r="AP11" t="inlineStr">
        <is>
          <t>Not reported</t>
        </is>
      </c>
      <c r="AQ11" s="5" t="inlineStr">
        <is>
          <t>Not reported: SSA statistical tables do not split SSNs by citizenship or show EAB counts; only official split found is GAO-04-12 for FY2002 (4.23M citizens / 1.34M noncitizens; ~89% of citizen SSNs via EAB).</t>
        </is>
      </c>
      <c r="AR11" t="inlineStr"/>
    </row>
    <row r="12">
      <c r="A12" t="n">
        <v>2015</v>
      </c>
      <c r="B12" s="2" t="n">
        <v>321815121</v>
      </c>
      <c r="C12" s="2" t="n">
        <v>321418821</v>
      </c>
      <c r="D12" s="2" t="n">
        <v>298825552</v>
      </c>
      <c r="E12" s="2" t="n">
        <v>22593269</v>
      </c>
      <c r="F12" s="2" t="n">
        <v>227019486</v>
      </c>
      <c r="G12" s="6">
        <f>IF(AND(ISNUMBER(D12),ISNUMBER(D11)),D12-D11,"")</f>
        <v/>
      </c>
      <c r="H12" s="7">
        <f>IF(AND(ISNUMBER(D12),ISNUMBER(D11)),(D12-D11)/D11,"")</f>
        <v/>
      </c>
      <c r="I12" t="inlineStr"/>
      <c r="J12" t="inlineStr">
        <is>
          <t>Not reported</t>
        </is>
      </c>
      <c r="K12" t="inlineStr">
        <is>
          <t>Not reported</t>
        </is>
      </c>
      <c r="L12" t="inlineStr">
        <is>
          <t>Not reported</t>
        </is>
      </c>
      <c r="M12" t="inlineStr"/>
      <c r="N12" t="inlineStr">
        <is>
          <t>Not reported</t>
        </is>
      </c>
      <c r="O12" t="inlineStr">
        <is>
          <t>Not reported</t>
        </is>
      </c>
      <c r="P12" s="3" t="n"/>
      <c r="Q12" t="inlineStr"/>
      <c r="R12" s="2" t="n">
        <v>730260</v>
      </c>
      <c r="S12" s="2" t="n">
        <v>783060</v>
      </c>
      <c r="T12" s="6">
        <f>IF(AND(ISNUMBER(R12),ISNUMBER(R11)),R12-R11,"")</f>
        <v/>
      </c>
      <c r="U12" t="inlineStr"/>
      <c r="V12" t="inlineStr">
        <is>
          <t>Not reported</t>
        </is>
      </c>
      <c r="W12" s="3" t="n"/>
      <c r="X12" t="inlineStr"/>
      <c r="Y12" t="inlineStr">
        <is>
          <t>Not reported</t>
        </is>
      </c>
      <c r="Z12" t="inlineStr">
        <is>
          <t>Not reported</t>
        </is>
      </c>
      <c r="AA12" t="inlineStr">
        <is>
          <t>Not reported</t>
        </is>
      </c>
      <c r="AB12" t="inlineStr">
        <is>
          <t>Not reported</t>
        </is>
      </c>
      <c r="AC12" t="inlineStr">
        <is>
          <t>Not reported</t>
        </is>
      </c>
      <c r="AD12" t="inlineStr">
        <is>
          <t>Not reported</t>
        </is>
      </c>
      <c r="AE12" t="inlineStr">
        <is>
          <t>Not reported</t>
        </is>
      </c>
      <c r="AF12" t="inlineStr">
        <is>
          <t>Not reported</t>
        </is>
      </c>
      <c r="AG12" t="inlineStr">
        <is>
          <t>Not reported</t>
        </is>
      </c>
      <c r="AH12" t="inlineStr">
        <is>
          <t>Not reported</t>
        </is>
      </c>
      <c r="AI12" t="inlineStr"/>
      <c r="AJ12" s="2" t="n">
        <v>3978497</v>
      </c>
      <c r="AK12" t="inlineStr">
        <is>
          <t>Final</t>
        </is>
      </c>
      <c r="AL12" s="2" t="n">
        <v>2712630</v>
      </c>
      <c r="AM12" t="inlineStr">
        <is>
          <t>Final</t>
        </is>
      </c>
      <c r="AN12" s="2" t="n">
        <v>5844</v>
      </c>
      <c r="AO12" s="6">
        <f>IF(AND(ISNUMBER(AN12),ISNUMBER(AN11)),AN12-AN11,"")</f>
        <v/>
      </c>
      <c r="AP12" s="8" t="n">
        <v>73.40000000000001</v>
      </c>
      <c r="AQ12" s="5" t="inlineStr">
        <is>
          <t>Not reported: SSA statistical tables do not split SSNs by citizenship or show EAB counts; only official split found is GAO-04-12 for FY2002 (4.23M citizens / 1.34M noncitizens; ~89% of citizen SSNs via EAB).</t>
        </is>
      </c>
      <c r="AR12" s="5" t="inlineStr">
        <is>
          <t>EAVS/CPS: Not reported (odd year; surveys are biennial for federal general elections).</t>
        </is>
      </c>
    </row>
    <row r="13">
      <c r="A13" t="n">
        <v>2016</v>
      </c>
      <c r="B13" s="2" t="n">
        <v>324353340</v>
      </c>
      <c r="C13" s="2" t="n">
        <v>323127515</v>
      </c>
      <c r="D13" s="2" t="n">
        <v>300626542</v>
      </c>
      <c r="E13" s="2" t="n">
        <v>22500973</v>
      </c>
      <c r="F13" s="2" t="n">
        <v>228849669</v>
      </c>
      <c r="G13" s="6">
        <f>IF(AND(ISNUMBER(D13),ISNUMBER(D12)),D13-D12,"")</f>
        <v/>
      </c>
      <c r="H13" s="7">
        <f>IF(AND(ISNUMBER(D13),ISNUMBER(D12)),(D13-D12)/D12,"")</f>
        <v/>
      </c>
      <c r="I13" t="inlineStr"/>
      <c r="J13" s="2" t="n">
        <v>214109360</v>
      </c>
      <c r="K13" s="2" t="n">
        <v>185714229</v>
      </c>
      <c r="L13" s="2" t="n">
        <v>18629063</v>
      </c>
      <c r="M13" s="5" t="inlineStr">
        <is>
          <t>2016 EAVS Comprehensive Report (Table 3 shows 214,109,367; see Discrepancies).</t>
        </is>
      </c>
      <c r="N13" s="2" t="n">
        <v>224059</v>
      </c>
      <c r="O13" s="2" t="n">
        <v>157596</v>
      </c>
      <c r="P13" s="6">
        <f>IF(AND(ISNUMBER(J13),ISNUMBER(J11)),J13-J11,"")</f>
        <v/>
      </c>
      <c r="Q13" s="5" t="inlineStr">
        <is>
          <t>No cause documented in source pulled. Presidential-election year.</t>
        </is>
      </c>
      <c r="R13" s="2" t="n">
        <v>753060</v>
      </c>
      <c r="S13" s="2" t="n">
        <v>972150</v>
      </c>
      <c r="T13" s="6">
        <f>IF(AND(ISNUMBER(R13),ISNUMBER(R12)),R13-R12,"")</f>
        <v/>
      </c>
      <c r="U13" t="inlineStr"/>
      <c r="V13" s="2" t="n">
        <v>28935330</v>
      </c>
      <c r="W13" s="6">
        <f>IF(AND(ISNUMBER(V13),ISNUMBER(V11)),V13-V11,"")</f>
        <v/>
      </c>
      <c r="X13" t="inlineStr"/>
      <c r="Y13" s="2" t="n">
        <v>16696470</v>
      </c>
      <c r="Z13" s="2" t="n">
        <v>5188806</v>
      </c>
      <c r="AA13" s="2" t="n">
        <v>4110047</v>
      </c>
      <c r="AB13" s="2" t="n">
        <v>4358065</v>
      </c>
      <c r="AC13" s="2" t="n">
        <v>334253</v>
      </c>
      <c r="AD13" s="2" t="n">
        <v>299717</v>
      </c>
      <c r="AE13" s="2" t="n">
        <v>10644</v>
      </c>
      <c r="AF13" t="inlineStr">
        <is>
          <t>Not reported</t>
        </is>
      </c>
      <c r="AG13" s="2" t="n">
        <v>1347664</v>
      </c>
      <c r="AH13" s="2" t="n">
        <v>1047274</v>
      </c>
      <c r="AI13" t="inlineStr"/>
      <c r="AJ13" s="2" t="n">
        <v>3945875</v>
      </c>
      <c r="AK13" t="inlineStr">
        <is>
          <t>Final</t>
        </is>
      </c>
      <c r="AL13" s="2" t="n">
        <v>2744248</v>
      </c>
      <c r="AM13" t="inlineStr">
        <is>
          <t>Final</t>
        </is>
      </c>
      <c r="AN13" s="2" t="n">
        <v>5945</v>
      </c>
      <c r="AO13" s="6">
        <f>IF(AND(ISNUMBER(AN13),ISNUMBER(AN12)),AN13-AN12,"")</f>
        <v/>
      </c>
      <c r="AP13" t="inlineStr">
        <is>
          <t>Not reported</t>
        </is>
      </c>
      <c r="AQ13" s="5" t="inlineStr">
        <is>
          <t>Not reported: SSA statistical tables do not split SSNs by citizenship or show EAB counts; only official split found is GAO-04-12 for FY2002 (4.23M citizens / 1.34M noncitizens; ~89% of citizen SSNs via EAB).</t>
        </is>
      </c>
      <c r="AR13" t="inlineStr"/>
    </row>
    <row r="14">
      <c r="A14" t="n">
        <v>2017</v>
      </c>
      <c r="B14" s="2" t="n">
        <v>326608609</v>
      </c>
      <c r="C14" s="2" t="n">
        <v>325719178</v>
      </c>
      <c r="D14" s="2" t="n">
        <v>303142055</v>
      </c>
      <c r="E14" s="2" t="n">
        <v>22577123</v>
      </c>
      <c r="F14" s="2" t="n">
        <v>231416670</v>
      </c>
      <c r="G14" s="6">
        <f>IF(AND(ISNUMBER(D14),ISNUMBER(D13)),D14-D13,"")</f>
        <v/>
      </c>
      <c r="H14" s="7">
        <f>IF(AND(ISNUMBER(D14),ISNUMBER(D13)),(D14-D13)/D13,"")</f>
        <v/>
      </c>
      <c r="I14" t="inlineStr"/>
      <c r="J14" t="inlineStr">
        <is>
          <t>Not reported</t>
        </is>
      </c>
      <c r="K14" t="inlineStr">
        <is>
          <t>Not reported</t>
        </is>
      </c>
      <c r="L14" t="inlineStr">
        <is>
          <t>Not reported</t>
        </is>
      </c>
      <c r="M14" t="inlineStr"/>
      <c r="N14" t="inlineStr">
        <is>
          <t>Not reported</t>
        </is>
      </c>
      <c r="O14" t="inlineStr">
        <is>
          <t>Not reported</t>
        </is>
      </c>
      <c r="P14" s="3" t="n"/>
      <c r="Q14" t="inlineStr"/>
      <c r="R14" s="2" t="n">
        <v>707270</v>
      </c>
      <c r="S14" s="2" t="n">
        <v>986850</v>
      </c>
      <c r="T14" s="6">
        <f>IF(AND(ISNUMBER(R14),ISNUMBER(R13)),R14-R13,"")</f>
        <v/>
      </c>
      <c r="U14" t="inlineStr"/>
      <c r="V14" t="inlineStr">
        <is>
          <t>Not reported</t>
        </is>
      </c>
      <c r="W14" s="3" t="n"/>
      <c r="X14" t="inlineStr"/>
      <c r="Y14" t="inlineStr">
        <is>
          <t>Not reported</t>
        </is>
      </c>
      <c r="Z14" t="inlineStr">
        <is>
          <t>Not reported</t>
        </is>
      </c>
      <c r="AA14" t="inlineStr">
        <is>
          <t>Not reported</t>
        </is>
      </c>
      <c r="AB14" t="inlineStr">
        <is>
          <t>Not reported</t>
        </is>
      </c>
      <c r="AC14" t="inlineStr">
        <is>
          <t>Not reported</t>
        </is>
      </c>
      <c r="AD14" t="inlineStr">
        <is>
          <t>Not reported</t>
        </is>
      </c>
      <c r="AE14" t="inlineStr">
        <is>
          <t>Not reported</t>
        </is>
      </c>
      <c r="AF14" t="inlineStr">
        <is>
          <t>Not reported</t>
        </is>
      </c>
      <c r="AG14" t="inlineStr">
        <is>
          <t>Not reported</t>
        </is>
      </c>
      <c r="AH14" t="inlineStr">
        <is>
          <t>Not reported</t>
        </is>
      </c>
      <c r="AI14" t="inlineStr"/>
      <c r="AJ14" s="2" t="n">
        <v>3855500</v>
      </c>
      <c r="AK14" t="inlineStr">
        <is>
          <t>Final</t>
        </is>
      </c>
      <c r="AL14" s="2" t="n">
        <v>2813503</v>
      </c>
      <c r="AM14" t="inlineStr">
        <is>
          <t>Final</t>
        </is>
      </c>
      <c r="AN14" s="2" t="n">
        <v>5776</v>
      </c>
      <c r="AO14" s="6">
        <f>IF(AND(ISNUMBER(AN14),ISNUMBER(AN13)),AN14-AN13,"")</f>
        <v/>
      </c>
      <c r="AP14" t="inlineStr">
        <is>
          <t>Not reported</t>
        </is>
      </c>
      <c r="AQ14" s="5" t="inlineStr">
        <is>
          <t>Not reported: SSA statistical tables do not split SSNs by citizenship or show EAB counts; only official split found is GAO-04-12 for FY2002 (4.23M citizens / 1.34M noncitizens; ~89% of citizen SSNs via EAB).</t>
        </is>
      </c>
      <c r="AR14" s="5" t="inlineStr">
        <is>
          <t>EAVS/CPS: Not reported (odd year; surveys are biennial for federal general elections).</t>
        </is>
      </c>
    </row>
    <row r="15">
      <c r="A15" t="n">
        <v>2018</v>
      </c>
      <c r="B15" s="2" t="n">
        <v>328529577</v>
      </c>
      <c r="C15" s="2" t="n">
        <v>327167439</v>
      </c>
      <c r="D15" s="2" t="n">
        <v>305068455</v>
      </c>
      <c r="E15" s="2" t="n">
        <v>22098984</v>
      </c>
      <c r="F15" s="2" t="n">
        <v>233565291</v>
      </c>
      <c r="G15" s="6">
        <f>IF(AND(ISNUMBER(D15),ISNUMBER(D14)),D15-D14,"")</f>
        <v/>
      </c>
      <c r="H15" s="7">
        <f>IF(AND(ISNUMBER(D15),ISNUMBER(D14)),(D15-D14)/D14,"")</f>
        <v/>
      </c>
      <c r="I15" t="inlineStr"/>
      <c r="J15" s="2" t="n">
        <v>211665577</v>
      </c>
      <c r="K15" s="2" t="n">
        <v>190662485</v>
      </c>
      <c r="L15" s="2" t="n">
        <v>21164394</v>
      </c>
      <c r="M15" s="5" t="inlineStr">
        <is>
          <t>2018 EAVS report (active+inactive 211,826,879). 2020 report shows 211,601,918 for 2018 (see Discrepancies).</t>
        </is>
      </c>
      <c r="N15" s="2" t="n">
        <v>228832</v>
      </c>
      <c r="O15" s="2" t="n">
        <v>153066</v>
      </c>
      <c r="P15" s="6">
        <f>IF(AND(ISNUMBER(J15),ISNUMBER(J13)),J15-J13,"")</f>
        <v/>
      </c>
      <c r="Q15" t="inlineStr">
        <is>
          <t>No cause documented in source pulled.</t>
        </is>
      </c>
      <c r="R15" s="2" t="n">
        <v>761900</v>
      </c>
      <c r="S15" s="2" t="n">
        <v>837170</v>
      </c>
      <c r="T15" s="6">
        <f>IF(AND(ISNUMBER(R15),ISNUMBER(R14)),R15-R14,"")</f>
        <v/>
      </c>
      <c r="U15" t="inlineStr"/>
      <c r="V15" s="2" t="n">
        <v>20872886</v>
      </c>
      <c r="W15" s="6">
        <f>IF(AND(ISNUMBER(V15),ISNUMBER(V13)),V15-V13,"")</f>
        <v/>
      </c>
      <c r="X15" t="inlineStr"/>
      <c r="Y15" s="2" t="n">
        <v>17300470</v>
      </c>
      <c r="Z15" s="2" t="n">
        <v>4268463</v>
      </c>
      <c r="AA15" s="2" t="n">
        <v>3730617</v>
      </c>
      <c r="AB15" s="2" t="n">
        <v>6062095</v>
      </c>
      <c r="AC15" s="2" t="n">
        <v>393735</v>
      </c>
      <c r="AD15" s="2" t="n">
        <v>489084</v>
      </c>
      <c r="AE15" s="2" t="n">
        <v>9569</v>
      </c>
      <c r="AF15" t="inlineStr">
        <is>
          <t>Not reported</t>
        </is>
      </c>
      <c r="AG15" s="2" t="n">
        <v>1243759</v>
      </c>
      <c r="AH15" s="2" t="n">
        <v>1103148</v>
      </c>
      <c r="AI15" t="inlineStr"/>
      <c r="AJ15" s="2" t="n">
        <v>3791712</v>
      </c>
      <c r="AK15" t="inlineStr">
        <is>
          <t>Final</t>
        </is>
      </c>
      <c r="AL15" s="2" t="n">
        <v>2839205</v>
      </c>
      <c r="AM15" t="inlineStr">
        <is>
          <t>Final</t>
        </is>
      </c>
      <c r="AN15" s="2" t="n">
        <v>5566</v>
      </c>
      <c r="AO15" s="6">
        <f>IF(AND(ISNUMBER(AN15),ISNUMBER(AN14)),AN15-AN14,"")</f>
        <v/>
      </c>
      <c r="AP15" t="inlineStr">
        <is>
          <t>Not reported</t>
        </is>
      </c>
      <c r="AQ15" s="5" t="inlineStr">
        <is>
          <t>Not reported: SSA statistical tables do not split SSNs by citizenship or show EAB counts; only official split found is GAO-04-12 for FY2002 (4.23M citizens / 1.34M noncitizens; ~89% of citizen SSNs via EAB).</t>
        </is>
      </c>
      <c r="AR15" t="inlineStr"/>
    </row>
    <row r="16">
      <c r="A16" t="n">
        <v>2019</v>
      </c>
      <c r="B16" s="2" t="n">
        <v>330226227</v>
      </c>
      <c r="C16" s="2" t="n">
        <v>328239523</v>
      </c>
      <c r="D16" s="2" t="n">
        <v>306489539</v>
      </c>
      <c r="E16" s="2" t="n">
        <v>21749984</v>
      </c>
      <c r="F16" s="2" t="n">
        <v>235418734</v>
      </c>
      <c r="G16" s="6">
        <f>IF(AND(ISNUMBER(D16),ISNUMBER(D15)),D16-D15,"")</f>
        <v/>
      </c>
      <c r="H16" s="7">
        <f>IF(AND(ISNUMBER(D16),ISNUMBER(D15)),(D16-D15)/D15,"")</f>
        <v/>
      </c>
      <c r="I16" t="inlineStr"/>
      <c r="J16" t="inlineStr">
        <is>
          <t>Not reported</t>
        </is>
      </c>
      <c r="K16" t="inlineStr">
        <is>
          <t>Not reported</t>
        </is>
      </c>
      <c r="L16" t="inlineStr">
        <is>
          <t>Not reported</t>
        </is>
      </c>
      <c r="M16" t="inlineStr"/>
      <c r="N16" t="inlineStr">
        <is>
          <t>Not reported</t>
        </is>
      </c>
      <c r="O16" t="inlineStr">
        <is>
          <t>Not reported</t>
        </is>
      </c>
      <c r="P16" s="3" t="n"/>
      <c r="Q16" t="inlineStr"/>
      <c r="R16" s="2" t="n">
        <v>843590</v>
      </c>
      <c r="S16" s="2" t="n">
        <v>830560</v>
      </c>
      <c r="T16" s="6">
        <f>IF(AND(ISNUMBER(R16),ISNUMBER(R15)),R16-R15,"")</f>
        <v/>
      </c>
      <c r="U16" t="inlineStr"/>
      <c r="V16" t="inlineStr">
        <is>
          <t>Not reported</t>
        </is>
      </c>
      <c r="W16" s="3" t="n"/>
      <c r="X16" t="inlineStr"/>
      <c r="Y16" t="inlineStr">
        <is>
          <t>Not reported</t>
        </is>
      </c>
      <c r="Z16" t="inlineStr">
        <is>
          <t>Not reported</t>
        </is>
      </c>
      <c r="AA16" t="inlineStr">
        <is>
          <t>Not reported</t>
        </is>
      </c>
      <c r="AB16" t="inlineStr">
        <is>
          <t>Not reported</t>
        </is>
      </c>
      <c r="AC16" t="inlineStr">
        <is>
          <t>Not reported</t>
        </is>
      </c>
      <c r="AD16" t="inlineStr">
        <is>
          <t>Not reported</t>
        </is>
      </c>
      <c r="AE16" t="inlineStr">
        <is>
          <t>Not reported</t>
        </is>
      </c>
      <c r="AF16" t="inlineStr">
        <is>
          <t>Not reported</t>
        </is>
      </c>
      <c r="AG16" t="inlineStr">
        <is>
          <t>Not reported</t>
        </is>
      </c>
      <c r="AH16" t="inlineStr">
        <is>
          <t>Not reported</t>
        </is>
      </c>
      <c r="AI16" t="inlineStr"/>
      <c r="AJ16" s="2" t="n">
        <v>3747540</v>
      </c>
      <c r="AK16" t="inlineStr">
        <is>
          <t>Final</t>
        </is>
      </c>
      <c r="AL16" s="2" t="n">
        <v>2854838</v>
      </c>
      <c r="AM16" t="inlineStr">
        <is>
          <t>Final</t>
        </is>
      </c>
      <c r="AN16" s="2" t="n">
        <v>5403</v>
      </c>
      <c r="AO16" s="6">
        <f>IF(AND(ISNUMBER(AN16),ISNUMBER(AN15)),AN16-AN15,"")</f>
        <v/>
      </c>
      <c r="AP16" t="inlineStr">
        <is>
          <t>Not reported</t>
        </is>
      </c>
      <c r="AQ16" s="5" t="inlineStr">
        <is>
          <t>Not reported: SSA statistical tables do not split SSNs by citizenship or show EAB counts; only official split found is GAO-04-12 for FY2002 (4.23M citizens / 1.34M noncitizens; ~89% of citizen SSNs via EAB).</t>
        </is>
      </c>
      <c r="AR16" s="5" t="inlineStr">
        <is>
          <t>EAVS/CPS: Not reported (odd year; surveys are biennial for federal general elections).</t>
        </is>
      </c>
    </row>
    <row r="17">
      <c r="A17" t="n">
        <v>2020</v>
      </c>
      <c r="B17" s="2" t="n">
        <v>331578104</v>
      </c>
      <c r="C17" s="2" t="n">
        <v>329484119</v>
      </c>
      <c r="D17" s="2" t="n">
        <v>309278120</v>
      </c>
      <c r="E17" s="2" t="n">
        <v>20205999</v>
      </c>
      <c r="F17" t="inlineStr">
        <is>
          <t>Not reported</t>
        </is>
      </c>
      <c r="G17" s="3" t="inlineStr">
        <is>
          <t>Not computed: not comparable</t>
        </is>
      </c>
      <c r="H17" s="4" t="inlineStr">
        <is>
          <t>Not computed: not comparable</t>
        </is>
      </c>
      <c r="I17" s="5" t="inlineStr">
        <is>
          <t>2020 = ACS experimental 1-year table XK200501; Census says it should not be compared with other years. No 2020 1-year CVAP table (B05003/B29001) was released.</t>
        </is>
      </c>
      <c r="J17" s="2" t="n">
        <v>228004364</v>
      </c>
      <c r="K17" s="2" t="n">
        <v>209441338</v>
      </c>
      <c r="L17" s="2" t="n">
        <v>18523963</v>
      </c>
      <c r="M17" t="inlineStr">
        <is>
          <t>2020 EAVS report.</t>
        </is>
      </c>
      <c r="N17" s="2" t="n">
        <v>231593</v>
      </c>
      <c r="O17" s="2" t="n">
        <v>168308</v>
      </c>
      <c r="P17" s="6">
        <f>IF(AND(ISNUMBER(J17),ISNUMBER(J15)),J17-J15,"")</f>
        <v/>
      </c>
      <c r="Q17" s="5" t="inlineStr">
        <is>
          <t>No cause documented in source pulled. Presidential-election year; EAVS shows 33.4M new valid registrations.</t>
        </is>
      </c>
      <c r="R17" s="2" t="n">
        <v>628250</v>
      </c>
      <c r="S17" s="2" t="n">
        <v>967760</v>
      </c>
      <c r="T17" s="6">
        <f>IF(AND(ISNUMBER(R17),ISNUMBER(R16)),R17-R16,"")</f>
        <v/>
      </c>
      <c r="U17" s="5" t="inlineStr">
        <is>
          <t>Drop to 628,250: USCIS suspended in-person services/oath ceremonies Mar-Jun 2020 due to COVID-19 (DHS flow reporting; not re-verified from box).</t>
        </is>
      </c>
      <c r="V17" s="2" t="n">
        <v>33437005</v>
      </c>
      <c r="W17" s="6">
        <f>IF(AND(ISNUMBER(V17),ISNUMBER(V15)),V17-V15,"")</f>
        <v/>
      </c>
      <c r="X17" t="inlineStr"/>
      <c r="Y17" s="2" t="n">
        <v>18781054</v>
      </c>
      <c r="Z17" s="2" t="n">
        <v>5342509</v>
      </c>
      <c r="AA17" s="2" t="n">
        <v>4020596</v>
      </c>
      <c r="AB17" s="2" t="n">
        <v>5984924</v>
      </c>
      <c r="AC17" s="2" t="n">
        <v>269439</v>
      </c>
      <c r="AD17" s="2" t="n">
        <v>582352</v>
      </c>
      <c r="AE17" s="2" t="n">
        <v>9643</v>
      </c>
      <c r="AF17" t="inlineStr">
        <is>
          <t>Not reported</t>
        </is>
      </c>
      <c r="AG17" s="2" t="n">
        <v>1592211</v>
      </c>
      <c r="AH17" s="2" t="n">
        <v>979380</v>
      </c>
      <c r="AI17" t="inlineStr"/>
      <c r="AJ17" s="2" t="n">
        <v>3613647</v>
      </c>
      <c r="AK17" t="inlineStr">
        <is>
          <t>Final</t>
        </is>
      </c>
      <c r="AL17" s="2" t="n">
        <v>3383729</v>
      </c>
      <c r="AM17" t="inlineStr">
        <is>
          <t>Final</t>
        </is>
      </c>
      <c r="AN17" s="2" t="n">
        <v>4461</v>
      </c>
      <c r="AO17" s="6">
        <f>IF(AND(ISNUMBER(AN17),ISNUMBER(AN16)),AN17-AN16,"")</f>
        <v/>
      </c>
      <c r="AP17" s="8" t="n">
        <v>83.90000000000001</v>
      </c>
      <c r="AQ17" s="5" t="inlineStr">
        <is>
          <t>Not reported: SSA statistical tables do not split SSNs by citizenship or show EAB counts; only official split found is GAO-04-12 for FY2002 (4.23M citizens / 1.34M noncitizens; ~89% of citizen SSNs via EAB).</t>
        </is>
      </c>
      <c r="AR17" s="5" t="inlineStr">
        <is>
          <t>ACS CVAP 2020: Not reported (no experimental CVAP table).</t>
        </is>
      </c>
    </row>
    <row r="18">
      <c r="A18" t="n">
        <v>2021</v>
      </c>
      <c r="B18" s="2" t="n">
        <v>332100166</v>
      </c>
      <c r="C18" s="2" t="n">
        <v>331893745</v>
      </c>
      <c r="D18" s="2" t="n">
        <v>310667725</v>
      </c>
      <c r="E18" s="2" t="n">
        <v>21226020</v>
      </c>
      <c r="F18" s="2" t="n">
        <v>239035960</v>
      </c>
      <c r="G18" s="3" t="inlineStr">
        <is>
          <t>Not computed: not comparable</t>
        </is>
      </c>
      <c r="H18" s="4" t="inlineStr">
        <is>
          <t>Not computed: not comparable</t>
        </is>
      </c>
      <c r="I18" t="inlineStr"/>
      <c r="J18" t="inlineStr">
        <is>
          <t>Not reported</t>
        </is>
      </c>
      <c r="K18" t="inlineStr">
        <is>
          <t>Not reported</t>
        </is>
      </c>
      <c r="L18" t="inlineStr">
        <is>
          <t>Not reported</t>
        </is>
      </c>
      <c r="M18" t="inlineStr"/>
      <c r="N18" t="inlineStr">
        <is>
          <t>Not reported</t>
        </is>
      </c>
      <c r="O18" t="inlineStr">
        <is>
          <t>Not reported</t>
        </is>
      </c>
      <c r="P18" s="3" t="n"/>
      <c r="Q18" t="inlineStr"/>
      <c r="R18" s="2" t="n">
        <v>813860</v>
      </c>
      <c r="S18" s="2" t="n">
        <v>789120</v>
      </c>
      <c r="T18" s="6">
        <f>IF(AND(ISNUMBER(R18),ISNUMBER(R17)),R18-R17,"")</f>
        <v/>
      </c>
      <c r="U18" t="inlineStr">
        <is>
          <t>Rebound as oath ceremonies resumed.</t>
        </is>
      </c>
      <c r="V18" t="inlineStr">
        <is>
          <t>Not reported</t>
        </is>
      </c>
      <c r="W18" s="3" t="n"/>
      <c r="X18" t="inlineStr"/>
      <c r="Y18" t="inlineStr">
        <is>
          <t>Not reported</t>
        </is>
      </c>
      <c r="Z18" t="inlineStr">
        <is>
          <t>Not reported</t>
        </is>
      </c>
      <c r="AA18" t="inlineStr">
        <is>
          <t>Not reported</t>
        </is>
      </c>
      <c r="AB18" t="inlineStr">
        <is>
          <t>Not reported</t>
        </is>
      </c>
      <c r="AC18" t="inlineStr">
        <is>
          <t>Not reported</t>
        </is>
      </c>
      <c r="AD18" t="inlineStr">
        <is>
          <t>Not reported</t>
        </is>
      </c>
      <c r="AE18" t="inlineStr">
        <is>
          <t>Not reported</t>
        </is>
      </c>
      <c r="AF18" t="inlineStr">
        <is>
          <t>Not reported</t>
        </is>
      </c>
      <c r="AG18" t="inlineStr">
        <is>
          <t>Not reported</t>
        </is>
      </c>
      <c r="AH18" t="inlineStr">
        <is>
          <t>Not reported</t>
        </is>
      </c>
      <c r="AI18" t="inlineStr"/>
      <c r="AJ18" s="2" t="n">
        <v>3664292</v>
      </c>
      <c r="AK18" t="inlineStr">
        <is>
          <t>Final</t>
        </is>
      </c>
      <c r="AL18" s="2" t="n">
        <v>3464231</v>
      </c>
      <c r="AM18" t="inlineStr">
        <is>
          <t>Final</t>
        </is>
      </c>
      <c r="AN18" s="2" t="n">
        <v>4934</v>
      </c>
      <c r="AO18" s="6">
        <f>IF(AND(ISNUMBER(AN18),ISNUMBER(AN17)),AN18-AN17,"")</f>
        <v/>
      </c>
      <c r="AP18" s="8" t="n">
        <v>79</v>
      </c>
      <c r="AQ18" s="5" t="inlineStr">
        <is>
          <t>Not reported: SSA statistical tables do not split SSNs by citizenship or show EAB counts; only official split found is GAO-04-12 for FY2002 (4.23M citizens / 1.34M noncitizens; ~89% of citizen SSNs via EAB).</t>
        </is>
      </c>
      <c r="AR18" s="5" t="inlineStr">
        <is>
          <t>EAVS/CPS: Not reported (odd year; surveys are biennial for federal general elections).</t>
        </is>
      </c>
    </row>
    <row r="19">
      <c r="A19" t="n">
        <v>2022</v>
      </c>
      <c r="B19" s="2" t="n">
        <v>333996304</v>
      </c>
      <c r="C19" s="2" t="n">
        <v>333287562</v>
      </c>
      <c r="D19" s="2" t="n">
        <v>311614516</v>
      </c>
      <c r="E19" s="2" t="n">
        <v>21673046</v>
      </c>
      <c r="F19" s="2" t="n">
        <v>241228116</v>
      </c>
      <c r="G19" s="6">
        <f>IF(AND(ISNUMBER(D19),ISNUMBER(D18)),D19-D18,"")</f>
        <v/>
      </c>
      <c r="H19" s="7">
        <f>IF(AND(ISNUMBER(D19),ISNUMBER(D18)),(D19-D18)/D18,"")</f>
        <v/>
      </c>
      <c r="I19" t="inlineStr"/>
      <c r="J19" s="2" t="n">
        <v>226339980</v>
      </c>
      <c r="K19" s="2" t="n">
        <v>203660564</v>
      </c>
      <c r="L19" s="2" t="n">
        <v>22794555</v>
      </c>
      <c r="M19" t="inlineStr">
        <is>
          <t>2022 EAVS report.</t>
        </is>
      </c>
      <c r="N19" s="2" t="n">
        <v>233546</v>
      </c>
      <c r="O19" s="2" t="n">
        <v>161422</v>
      </c>
      <c r="P19" s="6">
        <f>IF(AND(ISNUMBER(J19),ISNUMBER(J17)),J19-J17,"")</f>
        <v/>
      </c>
      <c r="Q19" t="inlineStr">
        <is>
          <t>No cause documented in source pulled.</t>
        </is>
      </c>
      <c r="R19" s="2" t="n">
        <v>969380</v>
      </c>
      <c r="S19" s="2" t="n">
        <v>781080</v>
      </c>
      <c r="T19" s="6">
        <f>IF(AND(ISNUMBER(R19),ISNUMBER(R18)),R19-R18,"")</f>
        <v/>
      </c>
      <c r="U19" s="5" t="inlineStr">
        <is>
          <t>969,380, highest since FY2008; USCIS backlog-reduction efforts (DHS/USCIS statements; not re-verified from box).</t>
        </is>
      </c>
      <c r="V19" s="2" t="n">
        <v>22810030</v>
      </c>
      <c r="W19" s="6">
        <f>IF(AND(ISNUMBER(V19),ISNUMBER(V17)),V19-V17,"")</f>
        <v/>
      </c>
      <c r="X19" t="inlineStr"/>
      <c r="Y19" s="2" t="n">
        <v>19260000</v>
      </c>
      <c r="Z19" s="2" t="n">
        <v>5117961</v>
      </c>
      <c r="AA19" s="2" t="n">
        <v>4898625</v>
      </c>
      <c r="AB19" s="2" t="n">
        <v>4776706</v>
      </c>
      <c r="AC19" s="2" t="n">
        <v>240887</v>
      </c>
      <c r="AD19" s="2" t="n">
        <v>758405</v>
      </c>
      <c r="AE19" s="2" t="n">
        <v>10637</v>
      </c>
      <c r="AF19" t="inlineStr">
        <is>
          <t>Not reported</t>
        </is>
      </c>
      <c r="AG19" s="2" t="n">
        <v>2324178</v>
      </c>
      <c r="AH19" s="2" t="n">
        <v>1132601</v>
      </c>
      <c r="AI19" t="inlineStr"/>
      <c r="AJ19" s="2" t="n">
        <v>3667758</v>
      </c>
      <c r="AK19" t="inlineStr">
        <is>
          <t>Final</t>
        </is>
      </c>
      <c r="AL19" s="2" t="n">
        <v>3279857</v>
      </c>
      <c r="AM19" t="inlineStr">
        <is>
          <t>Final</t>
        </is>
      </c>
      <c r="AN19" s="2" t="n">
        <v>5975</v>
      </c>
      <c r="AO19" s="6">
        <f>IF(AND(ISNUMBER(AN19),ISNUMBER(AN18)),AN19-AN18,"")</f>
        <v/>
      </c>
      <c r="AP19" s="8" t="n">
        <v>67.3</v>
      </c>
      <c r="AQ19" s="5" t="inlineStr">
        <is>
          <t>Not reported: SSA statistical tables do not split SSNs by citizenship or show EAB counts; only official split found is GAO-04-12 for FY2002 (4.23M citizens / 1.34M noncitizens; ~89% of citizen SSNs via EAB).</t>
        </is>
      </c>
      <c r="AR19" t="inlineStr"/>
    </row>
    <row r="20">
      <c r="A20" t="n">
        <v>2023</v>
      </c>
      <c r="B20" s="2" t="n">
        <v>336755052</v>
      </c>
      <c r="C20" s="2" t="n">
        <v>334914896</v>
      </c>
      <c r="D20" s="2" t="n">
        <v>312053551</v>
      </c>
      <c r="E20" s="2" t="n">
        <v>22861345</v>
      </c>
      <c r="F20" s="2" t="n">
        <v>241601029</v>
      </c>
      <c r="G20" s="6">
        <f>IF(AND(ISNUMBER(D20),ISNUMBER(D19)),D20-D19,"")</f>
        <v/>
      </c>
      <c r="H20" s="7">
        <f>IF(AND(ISNUMBER(D20),ISNUMBER(D19)),(D20-D19)/D19,"")</f>
        <v/>
      </c>
      <c r="I20" t="inlineStr"/>
      <c r="J20" t="inlineStr">
        <is>
          <t>Not reported</t>
        </is>
      </c>
      <c r="K20" t="inlineStr">
        <is>
          <t>Not reported</t>
        </is>
      </c>
      <c r="L20" t="inlineStr">
        <is>
          <t>Not reported</t>
        </is>
      </c>
      <c r="M20" t="inlineStr"/>
      <c r="N20" t="inlineStr">
        <is>
          <t>Not reported</t>
        </is>
      </c>
      <c r="O20" t="inlineStr">
        <is>
          <t>Not reported</t>
        </is>
      </c>
      <c r="P20" s="3" t="n"/>
      <c r="Q20" t="inlineStr"/>
      <c r="R20" s="2" t="n">
        <v>878460</v>
      </c>
      <c r="S20" s="2" t="n">
        <v>827610</v>
      </c>
      <c r="T20" s="6">
        <f>IF(AND(ISNUMBER(R20),ISNUMBER(R19)),R20-R19,"")</f>
        <v/>
      </c>
      <c r="U20" t="inlineStr"/>
      <c r="V20" t="inlineStr">
        <is>
          <t>Not reported</t>
        </is>
      </c>
      <c r="W20" s="3" t="n"/>
      <c r="X20" t="inlineStr"/>
      <c r="Y20" t="inlineStr">
        <is>
          <t>Not reported</t>
        </is>
      </c>
      <c r="Z20" t="inlineStr">
        <is>
          <t>Not reported</t>
        </is>
      </c>
      <c r="AA20" t="inlineStr">
        <is>
          <t>Not reported</t>
        </is>
      </c>
      <c r="AB20" t="inlineStr">
        <is>
          <t>Not reported</t>
        </is>
      </c>
      <c r="AC20" t="inlineStr">
        <is>
          <t>Not reported</t>
        </is>
      </c>
      <c r="AD20" t="inlineStr">
        <is>
          <t>Not reported</t>
        </is>
      </c>
      <c r="AE20" t="inlineStr">
        <is>
          <t>Not reported</t>
        </is>
      </c>
      <c r="AF20" t="inlineStr">
        <is>
          <t>Not reported</t>
        </is>
      </c>
      <c r="AG20" t="inlineStr">
        <is>
          <t>Not reported</t>
        </is>
      </c>
      <c r="AH20" t="inlineStr">
        <is>
          <t>Not reported</t>
        </is>
      </c>
      <c r="AI20" t="inlineStr"/>
      <c r="AJ20" s="2" t="n">
        <v>3596017</v>
      </c>
      <c r="AK20" t="inlineStr">
        <is>
          <t>Final</t>
        </is>
      </c>
      <c r="AL20" s="2" t="n">
        <v>3090964</v>
      </c>
      <c r="AM20" t="inlineStr">
        <is>
          <t>Final</t>
        </is>
      </c>
      <c r="AN20" s="2" t="n">
        <v>6909</v>
      </c>
      <c r="AO20" s="6">
        <f>IF(AND(ISNUMBER(AN20),ISNUMBER(AN19)),AN20-AN19,"")</f>
        <v/>
      </c>
      <c r="AP20" s="8" t="n">
        <v>59.8</v>
      </c>
      <c r="AQ20" s="5" t="inlineStr">
        <is>
          <t>Not reported: SSA statistical tables do not split SSNs by citizenship or show EAB counts; only official split found is GAO-04-12 for FY2002 (4.23M citizens / 1.34M noncitizens; ~89% of citizen SSNs via EAB).</t>
        </is>
      </c>
      <c r="AR20" s="5" t="inlineStr">
        <is>
          <t>EAVS/CPS: Not reported (odd year; surveys are biennial for federal general elections).</t>
        </is>
      </c>
    </row>
    <row r="21">
      <c r="A21" t="n">
        <v>2024</v>
      </c>
      <c r="B21" s="2" t="n">
        <v>340003797</v>
      </c>
      <c r="C21" s="2" t="n">
        <v>340110990</v>
      </c>
      <c r="D21" s="2" t="n">
        <v>315714107</v>
      </c>
      <c r="E21" s="2" t="n">
        <v>24396883</v>
      </c>
      <c r="F21" s="2" t="n">
        <v>245275126</v>
      </c>
      <c r="G21" s="6">
        <f>IF(AND(ISNUMBER(D21),ISNUMBER(D20)),D21-D20,"")</f>
        <v/>
      </c>
      <c r="H21" s="7">
        <f>IF(AND(ISNUMBER(D21),ISNUMBER(D20)),(D21-D20)/D20,"")</f>
        <v/>
      </c>
      <c r="I21" t="inlineStr"/>
      <c r="J21" s="2" t="n">
        <v>234504358</v>
      </c>
      <c r="K21" s="2" t="n">
        <v>211144275</v>
      </c>
      <c r="L21" s="2" t="n">
        <v>23184185</v>
      </c>
      <c r="M21" s="5" t="inlineStr">
        <is>
          <t>2024 EAVS report (Errata v2 Feb 2026 did not revise these totals).</t>
        </is>
      </c>
      <c r="N21" s="2" t="n">
        <v>236138</v>
      </c>
      <c r="O21" s="2" t="n">
        <v>173854</v>
      </c>
      <c r="P21" s="6">
        <f>IF(AND(ISNUMBER(J21),ISNUMBER(J19)),J21-J19,"")</f>
        <v/>
      </c>
      <c r="Q21" s="5" t="inlineStr">
        <is>
          <t>No cause documented in source pulled. Presidential-election year.</t>
        </is>
      </c>
      <c r="R21" s="2" t="n">
        <v>818570</v>
      </c>
      <c r="S21" s="2" t="n">
        <v>994130</v>
      </c>
      <c r="T21" s="6">
        <f>IF(AND(ISNUMBER(R21),ISNUMBER(R20)),R21-R20,"")</f>
        <v/>
      </c>
      <c r="U21" t="inlineStr"/>
      <c r="V21" s="2" t="n">
        <v>26185294</v>
      </c>
      <c r="W21" s="6">
        <f>IF(AND(ISNUMBER(V21),ISNUMBER(V19)),V21-V19,"")</f>
        <v/>
      </c>
      <c r="X21" t="inlineStr"/>
      <c r="Y21" s="2" t="n">
        <v>21298175</v>
      </c>
      <c r="Z21" s="2" t="n">
        <v>6504112</v>
      </c>
      <c r="AA21" s="2" t="n">
        <v>4482207</v>
      </c>
      <c r="AB21" s="2" t="n">
        <v>6693317</v>
      </c>
      <c r="AC21" s="2" t="n">
        <v>293862</v>
      </c>
      <c r="AD21" s="2" t="n">
        <v>494917</v>
      </c>
      <c r="AE21" s="2" t="n">
        <v>13382</v>
      </c>
      <c r="AF21" s="2" t="n">
        <v>1175148</v>
      </c>
      <c r="AG21" s="2" t="n">
        <v>650030</v>
      </c>
      <c r="AH21" s="2" t="n">
        <v>1002042</v>
      </c>
      <c r="AI21" s="5" t="inlineStr">
        <is>
          <t>2024 Errata v2 revises: moved 6,504,140; deceased 4,576,275; felony 296,581; mental incompetence 13,354; not categorized 894,413 (total not restated). Duplicate category (1,175,148) new in 2024.</t>
        </is>
      </c>
      <c r="AJ21" s="2" t="n">
        <v>3628934</v>
      </c>
      <c r="AK21" t="inlineStr">
        <is>
          <t>Final</t>
        </is>
      </c>
      <c r="AL21" s="2" t="n">
        <v>3072666</v>
      </c>
      <c r="AM21" t="inlineStr">
        <is>
          <t>Final</t>
        </is>
      </c>
      <c r="AN21" s="2" t="n">
        <v>7470</v>
      </c>
      <c r="AO21" s="6">
        <f>IF(AND(ISNUMBER(AN21),ISNUMBER(AN20)),AN21-AN20,"")</f>
        <v/>
      </c>
      <c r="AP21" s="8" t="n">
        <v>56.1</v>
      </c>
      <c r="AQ21" s="5" t="inlineStr">
        <is>
          <t>Not reported: SSA statistical tables do not split SSNs by citizenship or show EAB counts; only official split found is GAO-04-12 for FY2002 (4.23M citizens / 1.34M noncitizens; ~89% of citizen SSNs via EAB).</t>
        </is>
      </c>
      <c r="AR21" t="inlineStr"/>
    </row>
    <row r="22">
      <c r="A22" t="n">
        <v>2025</v>
      </c>
      <c r="B22" s="2" t="n">
        <v>341784857</v>
      </c>
      <c r="C22" t="inlineStr">
        <is>
          <t>Not reported</t>
        </is>
      </c>
      <c r="D22" t="inlineStr">
        <is>
          <t>Not reported</t>
        </is>
      </c>
      <c r="E22" t="inlineStr">
        <is>
          <t>Not reported</t>
        </is>
      </c>
      <c r="F22" t="inlineStr">
        <is>
          <t>Not reported</t>
        </is>
      </c>
      <c r="G22" s="6">
        <f>IF(AND(ISNUMBER(D22),ISNUMBER(D21)),D22-D21,"")</f>
        <v/>
      </c>
      <c r="H22" s="7">
        <f>IF(AND(ISNUMBER(D22),ISNUMBER(D21)),(D22-D21)/D21,"")</f>
        <v/>
      </c>
      <c r="I22" s="5" t="inlineStr">
        <is>
          <t>Not reported: 2025 ACS 1-year not yet released (www2.census.gov 2025 summary-file directory empty as of Sep 24, 2026).</t>
        </is>
      </c>
      <c r="J22" t="inlineStr">
        <is>
          <t>Not reported</t>
        </is>
      </c>
      <c r="K22" t="inlineStr">
        <is>
          <t>Not reported</t>
        </is>
      </c>
      <c r="L22" t="inlineStr">
        <is>
          <t>Not reported</t>
        </is>
      </c>
      <c r="M22" t="inlineStr"/>
      <c r="N22" t="inlineStr">
        <is>
          <t>Not reported</t>
        </is>
      </c>
      <c r="O22" t="inlineStr">
        <is>
          <t>Not reported</t>
        </is>
      </c>
      <c r="P22" s="3" t="n"/>
      <c r="Q22" t="inlineStr"/>
      <c r="R22" t="inlineStr">
        <is>
          <t>Not reported</t>
        </is>
      </c>
      <c r="S22" t="inlineStr">
        <is>
          <t>Not reported</t>
        </is>
      </c>
      <c r="T22" s="6">
        <f>IF(AND(ISNUMBER(R22),ISNUMBER(R21)),R22-R21,"")</f>
        <v/>
      </c>
      <c r="U22" s="5" t="inlineStr">
        <is>
          <t>Not reported: FY2025 not yet in the DHS Yearbook (latest table FY2024).</t>
        </is>
      </c>
      <c r="V22" t="inlineStr">
        <is>
          <t>Not reported</t>
        </is>
      </c>
      <c r="W22" s="3" t="n"/>
      <c r="X22" t="inlineStr"/>
      <c r="Y22" t="inlineStr">
        <is>
          <t>Not reported</t>
        </is>
      </c>
      <c r="Z22" t="inlineStr">
        <is>
          <t>Not reported</t>
        </is>
      </c>
      <c r="AA22" t="inlineStr">
        <is>
          <t>Not reported</t>
        </is>
      </c>
      <c r="AB22" t="inlineStr">
        <is>
          <t>Not reported</t>
        </is>
      </c>
      <c r="AC22" t="inlineStr">
        <is>
          <t>Not reported</t>
        </is>
      </c>
      <c r="AD22" t="inlineStr">
        <is>
          <t>Not reported</t>
        </is>
      </c>
      <c r="AE22" t="inlineStr">
        <is>
          <t>Not reported</t>
        </is>
      </c>
      <c r="AF22" t="inlineStr">
        <is>
          <t>Not reported</t>
        </is>
      </c>
      <c r="AG22" t="inlineStr">
        <is>
          <t>Not reported</t>
        </is>
      </c>
      <c r="AH22" t="inlineStr">
        <is>
          <t>Not reported</t>
        </is>
      </c>
      <c r="AI22" t="inlineStr"/>
      <c r="AJ22" s="2" t="n">
        <v>3606400</v>
      </c>
      <c r="AK22" t="inlineStr">
        <is>
          <t>PROVISIONAL (VSRR No. 43)</t>
        </is>
      </c>
      <c r="AL22" s="2" t="n">
        <v>3094593</v>
      </c>
      <c r="AM22" t="inlineStr">
        <is>
          <t>PROVISIONAL (VSRR provisional 2025)</t>
        </is>
      </c>
      <c r="AN22" t="inlineStr">
        <is>
          <t>Not reported</t>
        </is>
      </c>
      <c r="AO22" s="6">
        <f>IF(AND(ISNUMBER(AN22),ISNUMBER(AN21)),AN22-AN21,"")</f>
        <v/>
      </c>
      <c r="AP22" t="inlineStr">
        <is>
          <t>Not reported</t>
        </is>
      </c>
      <c r="AQ22" s="5" t="inlineStr">
        <is>
          <t>Not reported: SSA statistical tables do not split SSNs by citizenship or show EAB counts; only official split found is GAO-04-12 for FY2002 (4.23M citizens / 1.34M noncitizens; ~89% of citizen SSNs via EAB).</t>
        </is>
      </c>
      <c r="AR22" s="5"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40" customWidth="1" min="2" max="2"/>
  </cols>
  <sheetData>
    <row r="1" ht="60" customHeight="1">
      <c r="A1" s="1" t="inlineStr">
        <is>
          <t>Term</t>
        </is>
      </c>
      <c r="B1" s="1" t="inlineStr">
        <is>
          <t>Definition / rule</t>
        </is>
      </c>
    </row>
    <row r="2">
      <c r="A2" t="inlineStr">
        <is>
          <t>Rule</t>
        </is>
      </c>
      <c r="B2" s="5"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c r="A3" t="inlineStr">
        <is>
          <t>ACS citizens</t>
        </is>
      </c>
      <c r="B3" s="5" t="inlineStr">
        <is>
          <t>ACS B05001 'U.S. citizen' = native-born + born in PR/Island Areas + born abroad to US parents + naturalized. Survey estimate with margin of error (not shown). 2005 excludes group quarters. 2020 figures are experimental and not comparable.</t>
        </is>
      </c>
    </row>
    <row r="4">
      <c r="A4" t="inlineStr">
        <is>
          <t>CVAP</t>
        </is>
      </c>
      <c r="B4" s="5" t="inlineStr">
        <is>
          <t>Citizen voting-age population (citizens 18+), ACS B29001 (2009+) / B05003 (earlier). EAVS reports quote CVAP from ACS, sometimes a different vintage (see Discrepancies).</t>
        </is>
      </c>
    </row>
    <row r="5">
      <c r="A5" t="inlineStr">
        <is>
          <t>PEP</t>
        </is>
      </c>
      <c r="B5" s="5" t="inlineStr">
        <is>
          <t>Census Population Estimates Program July 1 resident population. Intercensal series for 2005-2019; Vintage 2025 for 2020-2025. PEP and ACS totals differ by design.</t>
        </is>
      </c>
    </row>
    <row r="6">
      <c r="A6" t="inlineStr">
        <is>
          <t>EAVS registered</t>
        </is>
      </c>
      <c r="B6" s="5"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c r="A7" t="inlineStr">
        <is>
          <t>Active/inactive</t>
        </is>
      </c>
      <c r="B7" s="5" t="inlineStr">
        <is>
          <t>Inactive = registrants sent an NVRA 8(d)(2) confirmation notice who have not responded; they remain eligible to vote and cannot be removed until they fail to respond AND do not vote in two consecutive federal general elections (52 U.S.C. 20507(d)).</t>
        </is>
      </c>
    </row>
    <row r="8">
      <c r="A8" t="inlineStr">
        <is>
          <t>CPS registered</t>
        </is>
      </c>
      <c r="B8" s="5" t="inlineStr">
        <is>
          <t>Census Current Population Survey November supplement: self-reported registration of citizens 18+, in thousands. Self-reports run higher than administrative data would imply; CPS and EAVS are not directly comparable.</t>
        </is>
      </c>
    </row>
    <row r="9">
      <c r="A9" t="inlineStr">
        <is>
          <t>Registration by citizenship type</t>
        </is>
      </c>
      <c r="B9" s="5" t="inlineStr">
        <is>
          <t>No administrative count of registered voters by native-born vs naturalized status exists; voter files do not record how citizenship was acquired. The only breakdown is the CPS self-report (Registration by method sheet, CPS section).</t>
        </is>
      </c>
    </row>
    <row r="10">
      <c r="A10" t="inlineStr">
        <is>
          <t>New valid registrations</t>
        </is>
      </c>
      <c r="B10" s="5" t="inlineStr">
        <is>
          <t>EAVS count of applications that added a new registrant (excludes duplicates, updates, invalid/rejected). Category names changed across cycles; see Registration by method sheet for exact labels.</t>
        </is>
      </c>
    </row>
    <row r="11">
      <c r="A11" t="inlineStr">
        <is>
          <t>Removals</t>
        </is>
      </c>
      <c r="B11" s="5" t="inlineStr">
        <is>
          <t>EAVS 'removed from voter lists' by reason. 'Failure to return confirmation notice' = NVRA 8(d)(1)(B) removal after notice and two federal general elections.</t>
        </is>
      </c>
    </row>
    <row r="12">
      <c r="A12" t="inlineStr">
        <is>
          <t>NVRA 90-day rule</t>
        </is>
      </c>
      <c r="B12" s="5"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c r="A13" t="inlineStr">
        <is>
          <t>NVRA notice-and-wait</t>
        </is>
      </c>
      <c r="B13" s="5"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c r="A14" t="inlineStr">
        <is>
          <t>List-maintenance cost</t>
        </is>
      </c>
      <c r="B14" s="5" t="inlineStr">
        <is>
          <t>Not reported: no official national figure for the cost of voter-list maintenance was found in EAC or GAO sources reviewed.</t>
        </is>
      </c>
    </row>
    <row r="15">
      <c r="A15" t="inlineStr">
        <is>
          <t>CDC births/deaths</t>
        </is>
      </c>
      <c r="B15" s="5" t="inlineStr">
        <is>
          <t>NCHS final counts of registered births/deaths occurring in the US (residents and nonresidents per NCHS convention for the national total). 2025 values are PROVISIONAL and will change.</t>
        </is>
      </c>
    </row>
    <row r="16">
      <c r="A16" t="inlineStr">
        <is>
          <t>SSNs issued</t>
        </is>
      </c>
      <c r="B16" s="5" t="inlineStr">
        <is>
          <t>SSA original SSNs issued (thousands), calendar year per SSA tables. SSA does not publish a citizen/noncitizen split or Enumeration-at-Birth counts in its annual statistical tables.</t>
        </is>
      </c>
    </row>
    <row r="17">
      <c r="A17" t="inlineStr">
        <is>
          <t>Naturalizations</t>
        </is>
      </c>
      <c r="B17" s="5" t="inlineStr">
        <is>
          <t>DHS OHSS Yearbook Table 21, fiscal year (Oct 1-Sep 30). Persons naturalized, and N-400 applications filed.</t>
        </is>
      </c>
    </row>
    <row r="18">
      <c r="A18" t="inlineStr">
        <is>
          <t>Fiscal vs calendar</t>
        </is>
      </c>
      <c r="B18" s="5" t="inlineStr">
        <is>
          <t>DHS, SSI (December counts), SNAP (FY) and humanitarian data are fiscal-year or point-in-time; ACS/PEP/CDC/SSA SSN are calendar-year. Columns are labeled.</t>
        </is>
      </c>
    </row>
    <row r="19">
      <c r="A19" t="inlineStr">
        <is>
          <t>Times</t>
        </is>
      </c>
      <c r="B19" s="5" t="inlineStr">
        <is>
          <t>All times in America/Denver (MT) unless a source date is quoted as-is.</t>
        </is>
      </c>
    </row>
    <row r="20">
      <c r="A20" t="inlineStr">
        <is>
          <t>Labels</t>
        </is>
      </c>
      <c r="B20" s="5" t="inlineStr">
        <is>
          <t>Fact-check labels follow SwampForce rules only: Proven false / Rated misleading / Unsupported / Accurate.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0" customWidth="1" min="2" max="2"/>
    <col width="80" customWidth="1" min="3" max="3"/>
    <col width="40" customWidth="1" min="4" max="4"/>
    <col width="50" customWidth="1" min="5" max="5"/>
  </cols>
  <sheetData>
    <row r="1" ht="60" customHeight="1">
      <c r="A1" s="1" t="inlineStr">
        <is>
          <t>ID</t>
        </is>
      </c>
      <c r="B1" s="1" t="inlineStr">
        <is>
          <t>Source / table</t>
        </is>
      </c>
      <c r="C1" s="1" t="inlineStr">
        <is>
          <t>Exact URL</t>
        </is>
      </c>
      <c r="D1" s="1" t="inlineStr">
        <is>
          <t>Used for</t>
        </is>
      </c>
      <c r="E1" s="1" t="inlineStr">
        <is>
          <t>URL check (Sep 24, 2026)</t>
        </is>
      </c>
    </row>
    <row r="2">
      <c r="A2" t="inlineStr">
        <is>
          <t>ACS-2021-24</t>
        </is>
      </c>
      <c r="B2" s="5" t="inlineStr">
        <is>
          <t>ACS 1-year table-based summary files B05001/B05003/B29001, 2021-2024 (US GEO_ID 0100000US; Colorado 0400000US08). Replace {Y} with year and table.</t>
        </is>
      </c>
      <c r="C2" s="5" t="inlineStr">
        <is>
          <t>https://www2.census.gov/programs-surveys/acs/summary_file/2024/table-based-SF/data/1YRData/acsdt1y2024-b05001.dat</t>
        </is>
      </c>
      <c r="D2" s="5" t="inlineStr">
        <is>
          <t>Main/Colorado: citizens, noncitizens, CVAP 2021-24</t>
        </is>
      </c>
      <c r="E2" t="inlineStr">
        <is>
          <t>Loads (curl HTTP 206, Sep 24, 2026)</t>
        </is>
      </c>
    </row>
    <row r="3">
      <c r="A3" t="inlineStr">
        <is>
          <t>ACS-2021-24b</t>
        </is>
      </c>
      <c r="B3" s="5" t="inlineStr">
        <is>
          <t>ACS 2024 B05003 (sex by age by nativity/citizenship; CVAP)</t>
        </is>
      </c>
      <c r="C3" s="5" t="inlineStr">
        <is>
          <t>https://www2.census.gov/programs-surveys/acs/summary_file/2024/table-based-SF/data/1YRData/acsdt1y2024-b05003.dat</t>
        </is>
      </c>
      <c r="D3" t="inlineStr">
        <is>
          <t>CVAP</t>
        </is>
      </c>
      <c r="E3" t="inlineStr">
        <is>
          <t>Loads (curl HTTP 206, Sep 24, 2026)</t>
        </is>
      </c>
    </row>
    <row r="4">
      <c r="A4" t="inlineStr">
        <is>
          <t>ACS-2021-24c</t>
        </is>
      </c>
      <c r="B4" t="inlineStr">
        <is>
          <t>ACS 2024 B29001 (CVAP)</t>
        </is>
      </c>
      <c r="C4" s="5" t="inlineStr">
        <is>
          <t>https://www2.census.gov/programs-surveys/acs/summary_file/2024/table-based-SF/data/1YRData/acsdt1y2024-b29001.dat</t>
        </is>
      </c>
      <c r="D4" t="inlineStr">
        <is>
          <t>CVAP</t>
        </is>
      </c>
      <c r="E4" t="inlineStr">
        <is>
          <t>Loads (curl HTTP 206, Sep 24, 2026)</t>
        </is>
      </c>
    </row>
    <row r="5">
      <c r="A5" t="inlineStr">
        <is>
          <t>ACS-2019</t>
        </is>
      </c>
      <c r="B5" s="5" t="inlineStr">
        <is>
          <t>ACS 2019 1-year sequence-file (example: seq 0009 = B05001/B05003; seq 0178 = B29001). 2009-2019 use .../{Y}/data/1_year_seq_by_state/UnitedStates/{Y}1us{seq}000.zip</t>
        </is>
      </c>
      <c r="C5" s="5" t="inlineStr">
        <is>
          <t>https://www2.census.gov/programs-surveys/acs/summary_file/2019/data/1_year_seq_by_state/UnitedStates/20191us0009000.zip</t>
        </is>
      </c>
      <c r="D5" t="inlineStr">
        <is>
          <t>Main/Colorado 2009-2019</t>
        </is>
      </c>
      <c r="E5" t="inlineStr">
        <is>
          <t>Loads (curl HTTP 206, Sep 24, 2026)</t>
        </is>
      </c>
    </row>
    <row r="6">
      <c r="A6" t="inlineStr">
        <is>
          <t>ACS-2008</t>
        </is>
      </c>
      <c r="B6" s="5" t="inlineStr">
        <is>
          <t>ACS 2008 1-year sequence file (2007-2008 pattern .../{Y}/data/1_year/UnitedStates/)</t>
        </is>
      </c>
      <c r="C6" s="5" t="inlineStr">
        <is>
          <t>https://www2.census.gov/programs-surveys/acs/summary_file/2008/data/1_year/UnitedStates/20081us0009000.zip</t>
        </is>
      </c>
      <c r="D6" t="inlineStr">
        <is>
          <t>Main/Colorado 2007-2008</t>
        </is>
      </c>
      <c r="E6" t="inlineStr">
        <is>
          <t>Loads (curl HTTP 206, Sep 24, 2026)</t>
        </is>
      </c>
    </row>
    <row r="7">
      <c r="A7" t="inlineStr">
        <is>
          <t>ACS-2006</t>
        </is>
      </c>
      <c r="B7" t="inlineStr">
        <is>
          <t>ACS 2006 summary file</t>
        </is>
      </c>
      <c r="C7" s="5" t="inlineStr">
        <is>
          <t>https://www2.census.gov/programs-surveys/acs/summary_file/2006/data/UnitedStates/20061us0009000.zip</t>
        </is>
      </c>
      <c r="D7" t="inlineStr">
        <is>
          <t>Main/Colorado 2006</t>
        </is>
      </c>
      <c r="E7" t="inlineStr">
        <is>
          <t>Loads (curl HTTP 206, Sep 24, 2026)</t>
        </is>
      </c>
    </row>
    <row r="8">
      <c r="A8" t="inlineStr">
        <is>
          <t>ACS-2005</t>
        </is>
      </c>
      <c r="B8" s="5" t="inlineStr">
        <is>
          <t>ACS 2005 summary file (household population only)</t>
        </is>
      </c>
      <c r="C8" s="5" t="inlineStr">
        <is>
          <t>https://www2.census.gov/programs-surveys/acs/summary_file/2005/data/0UnitedStates/us0000011.2005-1yr.zip</t>
        </is>
      </c>
      <c r="D8" t="inlineStr">
        <is>
          <t>Main 2005</t>
        </is>
      </c>
      <c r="E8" t="inlineStr">
        <is>
          <t>Loads (curl HTTP 206, Sep 24, 2026)</t>
        </is>
      </c>
    </row>
    <row r="9">
      <c r="A9" t="inlineStr">
        <is>
          <t>ACS-2020X</t>
        </is>
      </c>
      <c r="B9" s="5" t="inlineStr">
        <is>
          <t>ACS 2020 experimental 1-year table XK200501 (citizenship), US and states</t>
        </is>
      </c>
      <c r="C9" s="5" t="inlineStr">
        <is>
          <t>https://www2.census.gov/programs-surveys/acs/experimental/2020/data/XK200501.xlsx</t>
        </is>
      </c>
      <c r="D9" t="inlineStr">
        <is>
          <t>Main/Colorado 2020</t>
        </is>
      </c>
      <c r="E9" t="inlineStr">
        <is>
          <t>Loads (curl HTTP 206, Sep 24, 2026)</t>
        </is>
      </c>
    </row>
    <row r="10">
      <c r="A10" t="inlineStr">
        <is>
          <t>PEP-2000s</t>
        </is>
      </c>
      <c r="B10" s="5" t="inlineStr">
        <is>
          <t>Census intercensal national totals 2000-2010</t>
        </is>
      </c>
      <c r="C10" s="5" t="inlineStr">
        <is>
          <t>https://www2.census.gov/programs-surveys/popest/datasets/2000-2010/intercensal/national/us-est00int-tot.csv</t>
        </is>
      </c>
      <c r="D10" t="inlineStr">
        <is>
          <t>PEP 2005-2009</t>
        </is>
      </c>
      <c r="E10" t="inlineStr">
        <is>
          <t>Loads (curl HTTP 206, Sep 24, 2026)</t>
        </is>
      </c>
    </row>
    <row r="11">
      <c r="A11" t="inlineStr">
        <is>
          <t>PEP-2010s</t>
        </is>
      </c>
      <c r="B11" s="5" t="inlineStr">
        <is>
          <t>Census intercensal national age/sex 2010-2020 (SEX=0, AGE=999 rows)</t>
        </is>
      </c>
      <c r="C11" s="5" t="inlineStr">
        <is>
          <t>https://www2.census.gov/programs-surveys/popest/datasets/2010-2020/intercensal/national/asrh/nc-est2020int-agesex-res.csv</t>
        </is>
      </c>
      <c r="D11" t="inlineStr">
        <is>
          <t>PEP 2010-2019</t>
        </is>
      </c>
      <c r="E11" t="inlineStr">
        <is>
          <t>Loads (curl HTTP 206, Sep 24, 2026)</t>
        </is>
      </c>
    </row>
    <row r="12">
      <c r="A12" t="inlineStr">
        <is>
          <t>PEP-2020s</t>
        </is>
      </c>
      <c r="B12" s="5" t="inlineStr">
        <is>
          <t>Census Vintage 2025 state/national totals (NST-EST2025-ALLDATA)</t>
        </is>
      </c>
      <c r="C12" s="5" t="inlineStr">
        <is>
          <t>https://www2.census.gov/programs-surveys/popest/datasets/2020-2025/state/totals/NST-EST2025-ALLDATA.csv</t>
        </is>
      </c>
      <c r="D12" t="inlineStr">
        <is>
          <t>PEP 2020-2025 US &amp; Colorado</t>
        </is>
      </c>
      <c r="E12" t="inlineStr">
        <is>
          <t>Loads (curl HTTP 206, Sep 24, 2026)</t>
        </is>
      </c>
    </row>
    <row r="13">
      <c r="A13" t="inlineStr">
        <is>
          <t>PEP-CO-2000s</t>
        </is>
      </c>
      <c r="B13" s="5" t="inlineStr">
        <is>
          <t>Census intercensal state age/sex 2000-2010</t>
        </is>
      </c>
      <c r="C13" s="5" t="inlineStr">
        <is>
          <t>https://www2.census.gov/programs-surveys/popest/datasets/2000-2010/intercensal/state/st-est00int-agesex.csv</t>
        </is>
      </c>
      <c r="D13" t="inlineStr">
        <is>
          <t>Colorado PEP 2005-2009</t>
        </is>
      </c>
      <c r="E13" t="inlineStr">
        <is>
          <t>Loads (curl HTTP 206, Sep 24, 2026)</t>
        </is>
      </c>
    </row>
    <row r="14">
      <c r="A14" t="inlineStr">
        <is>
          <t>PEP-CO-2010s</t>
        </is>
      </c>
      <c r="B14" s="5" t="inlineStr">
        <is>
          <t>Census intercensal Colorado age/sex 2010-2020 (Total row)</t>
        </is>
      </c>
      <c r="C14" s="5" t="inlineStr">
        <is>
          <t>https://www2.census.gov/programs-surveys/popest/datasets/2010-2020/intercensal/state/asrh/sc-est2020int-agesex-08.xlsx</t>
        </is>
      </c>
      <c r="D14" t="inlineStr">
        <is>
          <t>Colorado PEP 2010-2019</t>
        </is>
      </c>
      <c r="E14" t="inlineStr">
        <is>
          <t>Loads (curl HTTP 206, Sep 24, 2026)</t>
        </is>
      </c>
    </row>
    <row r="15">
      <c r="A15" t="inlineStr">
        <is>
          <t>CPS-2024</t>
        </is>
      </c>
      <c r="B15" s="5" t="inlineStr">
        <is>
          <t>CPS Voting &amp; Registration Supplement 2024, Table 4a (state) and Table 11 (nativity)</t>
        </is>
      </c>
      <c r="C15" s="5" t="inlineStr">
        <is>
          <t>https://www2.census.gov/programs-surveys/cps/tables/p20/587/vote04a_2024.xlsx</t>
        </is>
      </c>
      <c r="D15" t="inlineStr">
        <is>
          <t>CPS registration 2024</t>
        </is>
      </c>
      <c r="E15" t="inlineStr">
        <is>
          <t>Loads (curl HTTP 206, Sep 24, 2026)</t>
        </is>
      </c>
    </row>
    <row r="16">
      <c r="A16" t="inlineStr">
        <is>
          <t>CPS-2024-11</t>
        </is>
      </c>
      <c r="B16" s="5" t="inlineStr">
        <is>
          <t>CPS 2024 Table 11 (native vs naturalized)</t>
        </is>
      </c>
      <c r="C16" s="5" t="inlineStr">
        <is>
          <t>https://www2.census.gov/programs-surveys/cps/tables/p20/587/vote11_2024.xlsx</t>
        </is>
      </c>
      <c r="D16" t="inlineStr">
        <is>
          <t>CPS nativity 2024</t>
        </is>
      </c>
      <c r="E16" t="inlineStr">
        <is>
          <t>Loads (curl HTTP 206, Sep 24, 2026)</t>
        </is>
      </c>
    </row>
    <row r="17">
      <c r="A17" t="inlineStr">
        <is>
          <t>CPS-2022</t>
        </is>
      </c>
      <c r="B17" t="inlineStr">
        <is>
          <t>CPS 2022 Table 4a</t>
        </is>
      </c>
      <c r="C17" s="5" t="inlineStr">
        <is>
          <t>https://www2.census.gov/programs-surveys/cps/tables/p20/586/vote04a_2022.xlsx</t>
        </is>
      </c>
      <c r="D17" t="inlineStr">
        <is>
          <t>CPS 2022</t>
        </is>
      </c>
      <c r="E17" t="inlineStr">
        <is>
          <t>Loads (curl HTTP 206, Sep 24, 2026)</t>
        </is>
      </c>
    </row>
    <row r="18">
      <c r="A18" t="inlineStr">
        <is>
          <t>CPS-2022-11</t>
        </is>
      </c>
      <c r="B18" t="inlineStr">
        <is>
          <t>CPS 2022 Table 11</t>
        </is>
      </c>
      <c r="C18" s="5" t="inlineStr">
        <is>
          <t>https://www2.census.gov/programs-surveys/cps/tables/p20/586/vote11_2022.xlsx</t>
        </is>
      </c>
      <c r="D18" t="inlineStr">
        <is>
          <t>CPS 2022</t>
        </is>
      </c>
      <c r="E18" t="inlineStr">
        <is>
          <t>Loads (curl HTTP 206, Sep 24, 2026)</t>
        </is>
      </c>
    </row>
    <row r="19">
      <c r="A19" t="inlineStr">
        <is>
          <t>CPS-2012</t>
        </is>
      </c>
      <c r="B19" t="inlineStr">
        <is>
          <t>CPS 2012 Table 4a</t>
        </is>
      </c>
      <c r="C19" s="5" t="inlineStr">
        <is>
          <t>https://www2.census.gov/programs-surveys/cps/tables/p20/568/table04a.xls</t>
        </is>
      </c>
      <c r="D19" t="inlineStr">
        <is>
          <t>CPS 2012</t>
        </is>
      </c>
      <c r="E19" t="inlineStr">
        <is>
          <t>Loads (curl HTTP 206, Sep 24, 2026)</t>
        </is>
      </c>
    </row>
    <row r="20">
      <c r="A20" t="inlineStr">
        <is>
          <t>CPS-2010</t>
        </is>
      </c>
      <c r="B20" t="inlineStr">
        <is>
          <t>CPS 2010 Table 4a</t>
        </is>
      </c>
      <c r="C20" s="5" t="inlineStr">
        <is>
          <t>https://www2.census.gov/programs-surveys/cps/tables/p20/voting-registration-2010-election/table4a_2010.xls</t>
        </is>
      </c>
      <c r="D20" t="inlineStr">
        <is>
          <t>CPS 2010</t>
        </is>
      </c>
      <c r="E20" t="inlineStr">
        <is>
          <t>Loads (curl HTTP 206, Sep 24, 2026)</t>
        </is>
      </c>
    </row>
    <row r="21">
      <c r="A21" t="inlineStr">
        <is>
          <t>CPS-2008</t>
        </is>
      </c>
      <c r="B21" t="inlineStr">
        <is>
          <t>CPS 2008 Table 4a</t>
        </is>
      </c>
      <c r="C21" s="5" t="inlineStr">
        <is>
          <t>https://www2.census.gov/programs-surveys/cps/tables/p20/562-rv/table-04a.xls</t>
        </is>
      </c>
      <c r="D21" t="inlineStr">
        <is>
          <t>CPS 2008</t>
        </is>
      </c>
      <c r="E21" t="inlineStr">
        <is>
          <t>Loads (curl HTTP 206, Sep 24, 2026)</t>
        </is>
      </c>
    </row>
    <row r="22">
      <c r="A22" t="inlineStr">
        <is>
          <t>CPS-2006</t>
        </is>
      </c>
      <c r="B22" t="inlineStr">
        <is>
          <t>CPS 2006 Table 4a</t>
        </is>
      </c>
      <c r="C22" s="5" t="inlineStr">
        <is>
          <t>https://www2.census.gov/programs-surveys/cps/tables/p20/557/tab04a.xls</t>
        </is>
      </c>
      <c r="D22" t="inlineStr">
        <is>
          <t>CPS 2006</t>
        </is>
      </c>
      <c r="E22" t="inlineStr">
        <is>
          <t>Loads (curl HTTP 206, Sep 24, 2026)</t>
        </is>
      </c>
    </row>
    <row r="23">
      <c r="A23" t="inlineStr">
        <is>
          <t>CPS-dir</t>
        </is>
      </c>
      <c r="B23" s="5" t="inlineStr">
        <is>
          <t>CPS P20 table directories for 2014 (577/), 2016 (580/), 2018 (583/), 2020 (585/)</t>
        </is>
      </c>
      <c r="C23" s="5" t="inlineStr">
        <is>
          <t>https://www2.census.gov/programs-surveys/cps/tables/p20/585/</t>
        </is>
      </c>
      <c r="D23" t="inlineStr">
        <is>
          <t>CPS 2014-2020</t>
        </is>
      </c>
      <c r="E23" t="inlineStr">
        <is>
          <t>Loads (curl HTTP 200, Sep 24, 2026)</t>
        </is>
      </c>
    </row>
    <row r="24">
      <c r="A24" t="inlineStr">
        <is>
          <t>EAVS-2024</t>
        </is>
      </c>
      <c r="B24" t="inlineStr">
        <is>
          <t>EAC 2024 EAVS Comprehensive Report</t>
        </is>
      </c>
      <c r="C24" s="5" t="inlineStr">
        <is>
          <t>https://www.eac.gov/sites/default/files/2025-07/2024_EAVS_Report_508.pdf</t>
        </is>
      </c>
      <c r="D24" t="inlineStr">
        <is>
          <t>EAVS 2024 US &amp; Colorado</t>
        </is>
      </c>
      <c r="E24" t="inlineStr">
        <is>
          <t>Loads (curl HTTP 206, Sep 24, 2026)</t>
        </is>
      </c>
    </row>
    <row r="25">
      <c r="A25" t="inlineStr">
        <is>
          <t>EAVS-2024E</t>
        </is>
      </c>
      <c r="B25" t="inlineStr">
        <is>
          <t>EAC Errata Note 2024 EAVS v2 (Feb 2026)</t>
        </is>
      </c>
      <c r="C25" s="5" t="inlineStr">
        <is>
          <t>https://www.eac.gov/sites/default/files/2026-02/Errata_Note_2024_EAVS_v2.pdf</t>
        </is>
      </c>
      <c r="D25" t="inlineStr">
        <is>
          <t>2024 revisions</t>
        </is>
      </c>
      <c r="E25" t="inlineStr">
        <is>
          <t>Loads (curl HTTP 206, Sep 24, 2026)</t>
        </is>
      </c>
    </row>
    <row r="26">
      <c r="A26" t="inlineStr">
        <is>
          <t>EAVS-2022</t>
        </is>
      </c>
      <c r="B26" t="inlineStr">
        <is>
          <t>EAC 2022 EAVS Comprehensive Report</t>
        </is>
      </c>
      <c r="C26" s="5" t="inlineStr">
        <is>
          <t>https://www.eac.gov/sites/default/files/2024-11/2022_EAVS_Report_508c.pdf</t>
        </is>
      </c>
      <c r="D26" t="inlineStr">
        <is>
          <t>EAVS 2022</t>
        </is>
      </c>
      <c r="E26" t="inlineStr">
        <is>
          <t>Loads (curl HTTP 206, Sep 24, 2026)</t>
        </is>
      </c>
    </row>
    <row r="27">
      <c r="A27" t="inlineStr">
        <is>
          <t>EAVS-2020</t>
        </is>
      </c>
      <c r="B27" t="inlineStr">
        <is>
          <t>EAC 2020 EAVS Comprehensive Report</t>
        </is>
      </c>
      <c r="C27" s="5" t="inlineStr">
        <is>
          <t>https://www.eac.gov/sites/default/files/document_library/files/2020_EAVS_Report_Final_508c.pdf</t>
        </is>
      </c>
      <c r="D27" t="inlineStr">
        <is>
          <t>EAVS 2020</t>
        </is>
      </c>
      <c r="E27" t="inlineStr">
        <is>
          <t>Loads (curl HTTP 206, Sep 24, 2026)</t>
        </is>
      </c>
    </row>
    <row r="28">
      <c r="A28" t="inlineStr">
        <is>
          <t>EAVS-2018</t>
        </is>
      </c>
      <c r="B28" t="inlineStr">
        <is>
          <t>EAC 2018 EAVS Comprehensive Report</t>
        </is>
      </c>
      <c r="C28" s="5" t="inlineStr">
        <is>
          <t>https://www.eac.gov/sites/default/files/eac_assets/1/6/2018_EAVS_Report.pdf</t>
        </is>
      </c>
      <c r="D28" t="inlineStr">
        <is>
          <t>EAVS 2018</t>
        </is>
      </c>
      <c r="E28" t="inlineStr">
        <is>
          <t>Loads (curl HTTP 206, Sep 24, 2026)</t>
        </is>
      </c>
    </row>
    <row r="29">
      <c r="A29" t="inlineStr">
        <is>
          <t>EAVS-2018A</t>
        </is>
      </c>
      <c r="B29" s="5" t="inlineStr">
        <is>
          <t>EAC 2018 EAVS descriptive tables appendix (xlsx)</t>
        </is>
      </c>
      <c r="C29" s="5" t="inlineStr">
        <is>
          <t>https://www.eac.gov/sites/default/files/eac_assets/1/6/2018_EAVS_and_Policy_Survey_Online_Appendices_-_Descriptive_Tables.xlsx</t>
        </is>
      </c>
      <c r="D29" t="inlineStr">
        <is>
          <t>EAVS 2018 detail</t>
        </is>
      </c>
      <c r="E29" t="inlineStr">
        <is>
          <t>Loads (curl HTTP 206, Sep 24, 2026)</t>
        </is>
      </c>
    </row>
    <row r="30">
      <c r="A30" t="inlineStr">
        <is>
          <t>EAVS-2016</t>
        </is>
      </c>
      <c r="B30" t="inlineStr">
        <is>
          <t>EAC 2016 EAVS Comprehensive Report</t>
        </is>
      </c>
      <c r="C30" s="5" t="inlineStr">
        <is>
          <t>https://www.eac.gov/sites/default/files/eac_assets/1/6/2016_EAVS_Comprehensive_Report.pdf</t>
        </is>
      </c>
      <c r="D30" t="inlineStr">
        <is>
          <t>EAVS 2016</t>
        </is>
      </c>
      <c r="E30" t="inlineStr">
        <is>
          <t>Loads (curl HTTP 206, Sep 24, 2026)</t>
        </is>
      </c>
    </row>
    <row r="31">
      <c r="A31" t="inlineStr">
        <is>
          <t>EAVS-2014</t>
        </is>
      </c>
      <c r="B31" t="inlineStr">
        <is>
          <t>EAC 2014 EAVS Comprehensive Report</t>
        </is>
      </c>
      <c r="C31" s="5" t="inlineStr">
        <is>
          <t>https://www.eac.gov/sites/default/files/eac_assets/1/1/2014_EAC_EAVS_Comprehensive_Report_508_Compliant.pdf</t>
        </is>
      </c>
      <c r="D31" t="inlineStr">
        <is>
          <t>EAVS 2014</t>
        </is>
      </c>
      <c r="E31" t="inlineStr">
        <is>
          <t>Loads (curl HTTP 206, Sep 24, 2026)</t>
        </is>
      </c>
    </row>
    <row r="32">
      <c r="A32" t="inlineStr">
        <is>
          <t>NVRA-2012</t>
        </is>
      </c>
      <c r="B32" t="inlineStr">
        <is>
          <t>EAC NVRA Report 2011-2012</t>
        </is>
      </c>
      <c r="C32" s="5" t="inlineStr">
        <is>
          <t>https://www.eac.gov/sites/default/files/eac_assets/1/28/EAC_NVRA%20Report_lowres.pdf</t>
        </is>
      </c>
      <c r="D32" t="inlineStr">
        <is>
          <t>Registration 2012</t>
        </is>
      </c>
      <c r="E32" t="inlineStr">
        <is>
          <t>Loads (curl HTTP 206, Sep 24, 2026)</t>
        </is>
      </c>
    </row>
    <row r="33">
      <c r="A33" t="inlineStr">
        <is>
          <t>NVRA-2010</t>
        </is>
      </c>
      <c r="B33" t="inlineStr">
        <is>
          <t>EAC NVRA Report 2009-2010</t>
        </is>
      </c>
      <c r="C33" s="5" t="inlineStr">
        <is>
          <t>https://www.eac.gov/sites/default/files/eac_assets/1/28/2010%20NVRA%20FINAL%20REPORT.pdf</t>
        </is>
      </c>
      <c r="D33" t="inlineStr">
        <is>
          <t>Registration 2010</t>
        </is>
      </c>
      <c r="E33" t="inlineStr">
        <is>
          <t>Loads (curl HTTP 206, Sep 24, 2026)</t>
        </is>
      </c>
    </row>
    <row r="34">
      <c r="A34" t="inlineStr">
        <is>
          <t>NVRA-2008</t>
        </is>
      </c>
      <c r="B34" t="inlineStr">
        <is>
          <t>EAC NVRA Report 2007-2008</t>
        </is>
      </c>
      <c r="C34" s="5" t="inlineStr">
        <is>
          <t>https://www.eac.gov/sites/default/files/eac_assets/1/6/The%20Impact%20of%20the%20National%20Voter%20Registration%20Act%20on%20Federal%20Elections%202007-2008.pdf</t>
        </is>
      </c>
      <c r="D34" t="inlineStr">
        <is>
          <t>Registration 2008</t>
        </is>
      </c>
      <c r="E34" t="inlineStr">
        <is>
          <t>Loads (curl HTTP 206, Sep 24, 2026)</t>
        </is>
      </c>
    </row>
    <row r="35">
      <c r="A35" t="inlineStr">
        <is>
          <t>NVRA-2006</t>
        </is>
      </c>
      <c r="B35" t="inlineStr">
        <is>
          <t>EAC NVRA Reports and Data Sets 2005-2006</t>
        </is>
      </c>
      <c r="C35" s="5" t="inlineStr">
        <is>
          <t>https://www.eac.gov/sites/default/files/eac_assets/1/1/NVRA%20Reports%20and%20Data%20Sets%202006-2005.pdf</t>
        </is>
      </c>
      <c r="D35" t="inlineStr">
        <is>
          <t>Registration 2006</t>
        </is>
      </c>
      <c r="E35" t="inlineStr">
        <is>
          <t>Loads (curl HTTP 206, Sep 24, 2026)</t>
        </is>
      </c>
    </row>
    <row r="36">
      <c r="A36" t="inlineStr">
        <is>
          <t>EAVS-2006</t>
        </is>
      </c>
      <c r="B36" t="inlineStr">
        <is>
          <t>EAC 2006 EAVS Report (all chapters)</t>
        </is>
      </c>
      <c r="C36" s="5" t="inlineStr">
        <is>
          <t>https://www.eac.gov/sites/default/files/eac_assets/1/6/2006_EAVS_Report_(All_Chapters).pdf</t>
        </is>
      </c>
      <c r="D36" t="inlineStr">
        <is>
          <t>2006 totals, Colorado 2006</t>
        </is>
      </c>
      <c r="E36" t="inlineStr">
        <is>
          <t>Loads (curl HTTP 206, Sep 24, 2026)</t>
        </is>
      </c>
    </row>
    <row r="37">
      <c r="A37" t="inlineStr">
        <is>
          <t>DHS-NAT</t>
        </is>
      </c>
      <c r="B37" s="5" t="inlineStr">
        <is>
          <t>DHS OHSS Yearbook FY2024 naturalization tables (Table 21)</t>
        </is>
      </c>
      <c r="C37" s="5" t="inlineStr">
        <is>
          <t>https://ohss.dhs.gov/system/files/2026-06/2026_0604_ohss_yearbook_naturalizations_fy2024.xlsx</t>
        </is>
      </c>
      <c r="D37" t="inlineStr">
        <is>
          <t>Naturalizations FY2005-2024</t>
        </is>
      </c>
      <c r="E37" t="inlineStr">
        <is>
          <t>Loads (curl HTTP 206, Sep 24, 2026)</t>
        </is>
      </c>
    </row>
    <row r="38">
      <c r="A38" t="inlineStr">
        <is>
          <t>DHS-REF</t>
        </is>
      </c>
      <c r="B38" s="5" t="inlineStr">
        <is>
          <t>DHS OHSS Yearbook FY2024 refugee tables (Table 13)</t>
        </is>
      </c>
      <c r="C38" s="5" t="inlineStr">
        <is>
          <t>https://ohss.dhs.gov/system/files/2025-08/2025_0812_ohss_yearbook_refugees_fy2024.xlsx</t>
        </is>
      </c>
      <c r="D38" t="inlineStr">
        <is>
          <t>Refugee arrivals</t>
        </is>
      </c>
      <c r="E38" t="inlineStr">
        <is>
          <t>Loads (curl HTTP 206, Sep 24, 2026)</t>
        </is>
      </c>
    </row>
    <row r="39">
      <c r="A39" t="inlineStr">
        <is>
          <t>DHS-ASY</t>
        </is>
      </c>
      <c r="B39" s="5" t="inlineStr">
        <is>
          <t>DHS OHSS Yearbook FY2024 asylee tables (Table 16)</t>
        </is>
      </c>
      <c r="C39" s="5" t="inlineStr">
        <is>
          <t>https://ohss.dhs.gov/system/files/2026-08/2026_0805_ohss_yearbook_asylees_fy2024.xlsx</t>
        </is>
      </c>
      <c r="D39" t="inlineStr">
        <is>
          <t>Asylum grants</t>
        </is>
      </c>
      <c r="E39" t="inlineStr">
        <is>
          <t>Loads (curl HTTP 206, Sep 24, 2026)</t>
        </is>
      </c>
    </row>
    <row r="40">
      <c r="A40" t="inlineStr">
        <is>
          <t>CDC-BIRTHS-API</t>
        </is>
      </c>
      <c r="B40" s="5" t="inlineStr">
        <is>
          <t>NCHS births dataset (data.cdc.gov e6fc-ccez)</t>
        </is>
      </c>
      <c r="C40" s="5" t="inlineStr">
        <is>
          <t>https://data.cdc.gov/resource/e6fc-ccez.json</t>
        </is>
      </c>
      <c r="D40" t="inlineStr">
        <is>
          <t>Births 2005-2018</t>
        </is>
      </c>
      <c r="E40" t="inlineStr">
        <is>
          <t>Loads (curl HTTP 200, Sep 24, 2026)</t>
        </is>
      </c>
    </row>
    <row r="41">
      <c r="A41" t="inlineStr">
        <is>
          <t>CDC-NVSR75-2</t>
        </is>
      </c>
      <c r="B41" s="5" t="inlineStr">
        <is>
          <t>NVSR Vol 75 No 2, Births: Final Data for 2024 (Jun 9, 2026) - CDC Stacks record</t>
        </is>
      </c>
      <c r="C41" t="inlineStr">
        <is>
          <t>https://stacks.cdc.gov/view/cdc/252440</t>
        </is>
      </c>
      <c r="D41" t="inlineStr">
        <is>
          <t>Births 2019-2024</t>
        </is>
      </c>
      <c r="E41" s="5" t="inlineStr">
        <is>
          <t>NOT verified from box: HTTP 403 (site blocks the box); figure taken from search-index/text copy - re-check manually</t>
        </is>
      </c>
    </row>
    <row r="42">
      <c r="A42" t="inlineStr">
        <is>
          <t>CDC-VSRR43</t>
        </is>
      </c>
      <c r="B42" s="5" t="inlineStr">
        <is>
          <t>VSRR No. 43, Births: Provisional Data for 2025 (Apr 2026)</t>
        </is>
      </c>
      <c r="C42" s="5" t="inlineStr">
        <is>
          <t>https://www.cdc.gov/nchs/data/vsrr/vsrr043.pdf</t>
        </is>
      </c>
      <c r="D42" s="5" t="inlineStr">
        <is>
          <t>Births 2025 provisional (cdc.gov returns 403 to the box; figure confirmed via search index only)</t>
        </is>
      </c>
      <c r="E42" s="5" t="inlineStr">
        <is>
          <t>NOT verified from box: HTTP 403 (site blocks the box); figure taken from search-index/text copy - re-check manually</t>
        </is>
      </c>
    </row>
    <row r="43">
      <c r="A43" t="inlineStr">
        <is>
          <t>CDC-DEATHS-API</t>
        </is>
      </c>
      <c r="B43" s="5" t="inlineStr">
        <is>
          <t>NCHS leading causes of death dataset (data.cdc.gov bi63-dtpu), All causes, United States</t>
        </is>
      </c>
      <c r="C43" s="5" t="inlineStr">
        <is>
          <t>https://data.cdc.gov/resource/bi63-dtpu.json</t>
        </is>
      </c>
      <c r="D43" t="inlineStr">
        <is>
          <t>Deaths 2005-2017</t>
        </is>
      </c>
      <c r="E43" t="inlineStr">
        <is>
          <t>Loads (curl HTTP 200, Sep 24, 2026)</t>
        </is>
      </c>
    </row>
    <row r="44">
      <c r="A44" t="inlineStr">
        <is>
          <t>CDC-DB548</t>
        </is>
      </c>
      <c r="B44" s="5" t="inlineStr">
        <is>
          <t>NCHS Data Brief 548, Mortality in the United States 2024 (govinfo mirror)</t>
        </is>
      </c>
      <c r="C44" s="5" t="inlineStr">
        <is>
          <t>https://www.govinfo.gov/content/pkg/GOVPUB-HE20_6200-PURL-gpo252909/pdf/GOVPUB-HE20_6200-PURL-gpo252909.pdf</t>
        </is>
      </c>
      <c r="D44" t="inlineStr">
        <is>
          <t>Deaths 2024</t>
        </is>
      </c>
      <c r="E44" t="inlineStr">
        <is>
          <t>Loads (curl HTTP 206, Sep 24, 2026)</t>
        </is>
      </c>
    </row>
    <row r="45">
      <c r="A45" t="inlineStr">
        <is>
          <t>CDC-DB492</t>
        </is>
      </c>
      <c r="B45" s="5" t="inlineStr">
        <is>
          <t>NCHS Data Brief 492, Mortality 2022 (govinfo mirror)</t>
        </is>
      </c>
      <c r="C45" s="5" t="inlineStr">
        <is>
          <t>https://www.govinfo.gov/content/pkg/GOVPUB-HE20_6200-PURL-gpo224125/pdf/GOVPUB-HE20_6200-PURL-gpo224125.pdf</t>
        </is>
      </c>
      <c r="D45" t="inlineStr">
        <is>
          <t>Deaths 2022</t>
        </is>
      </c>
      <c r="E45" t="inlineStr">
        <is>
          <t>Loads (curl HTTP 206, Sep 24, 2026)</t>
        </is>
      </c>
    </row>
    <row r="46">
      <c r="A46" t="inlineStr">
        <is>
          <t>CDC-DB521</t>
        </is>
      </c>
      <c r="B46" s="5" t="inlineStr">
        <is>
          <t>NCHS Data Brief 521, Mortality 2023 (CDC Stacks)</t>
        </is>
      </c>
      <c r="C46" s="5" t="inlineStr">
        <is>
          <t>https://stacks.cdc.gov/view/cdc/170564/cdc_170564_DS1.pdf</t>
        </is>
      </c>
      <c r="D46" t="inlineStr">
        <is>
          <t>Deaths 2023</t>
        </is>
      </c>
      <c r="E46" s="5" t="inlineStr">
        <is>
          <t>NOT verified from box: HTTP 403 (site blocks the box); figure taken from search-index/text copy - re-check manually</t>
        </is>
      </c>
    </row>
    <row r="47">
      <c r="A47" t="inlineStr">
        <is>
          <t>CDC-DBS</t>
        </is>
      </c>
      <c r="B47" s="5" t="inlineStr">
        <is>
          <t>NCHS Data Briefs 355 (2018), 395 (2019), 427 (2020), 456 (2021): https://www.cdc.gov/nchs/products/databriefs/db{N}.htm</t>
        </is>
      </c>
      <c r="C47" s="5" t="inlineStr">
        <is>
          <t>https://www.cdc.gov/nchs/products/databriefs/db456.htm</t>
        </is>
      </c>
      <c r="D47" s="5" t="inlineStr">
        <is>
          <t>Deaths 2018-2021 (cdc.gov 403 from box; unverifiable from box)</t>
        </is>
      </c>
      <c r="E47" s="5" t="inlineStr">
        <is>
          <t>NOT verified from box: HTTP 403 (site blocks the box); figure taken from search-index/text copy - re-check manually</t>
        </is>
      </c>
    </row>
    <row r="48">
      <c r="A48" t="inlineStr">
        <is>
          <t>CDC-PROV25</t>
        </is>
      </c>
      <c r="B48" s="5" t="inlineStr">
        <is>
          <t>Mortality in the United States: Provisional Data, 2025 (VSRR, ~Jul 2026; NCBI NBK623755)</t>
        </is>
      </c>
      <c r="C48" s="5" t="inlineStr">
        <is>
          <t>https://www.ncbi.nlm.nih.gov/books/NBK623755/</t>
        </is>
      </c>
      <c r="D48" s="5" t="inlineStr">
        <is>
          <t>Deaths 2025 provisional (403 from box; from search index)</t>
        </is>
      </c>
      <c r="E48" t="inlineStr">
        <is>
          <t>Loads (curl HTTP 200, Sep 24, 2026)</t>
        </is>
      </c>
    </row>
    <row r="49">
      <c r="A49" t="inlineStr">
        <is>
          <t>SSA-4B1</t>
        </is>
      </c>
      <c r="B49" s="5" t="inlineStr">
        <is>
          <t>SSA Annual Statistical Supplement 2020, Table 4.B1 (SSNs issued)</t>
        </is>
      </c>
      <c r="C49" s="5" t="inlineStr">
        <is>
          <t>https://www.ssa.gov/policy/docs/statcomps/supplement/2020/4b.html</t>
        </is>
      </c>
      <c r="D49" t="inlineStr">
        <is>
          <t>SSNs 2005-2019</t>
        </is>
      </c>
      <c r="E49" s="5" t="inlineStr">
        <is>
          <t>Loads via WebFetch; curl from box returns HTTP 403 (bot block)</t>
        </is>
      </c>
    </row>
    <row r="50">
      <c r="A50" t="inlineStr">
        <is>
          <t>SSA-2F</t>
        </is>
      </c>
      <c r="B50" s="5" t="inlineStr">
        <is>
          <t>SSA Annual Statistical Supplement 2025, Table 2.F12 (SSNs issued, by age)</t>
        </is>
      </c>
      <c r="C50" s="5" t="inlineStr">
        <is>
          <t>https://www.ssa.gov/policy/docs/statcomps/supplement/2025/2f.html</t>
        </is>
      </c>
      <c r="D50" t="inlineStr">
        <is>
          <t>SSNs 2020-2024</t>
        </is>
      </c>
      <c r="E50" s="5" t="inlineStr">
        <is>
          <t>Loads via WebFetch; curl from box returns HTTP 403 (bot block)</t>
        </is>
      </c>
    </row>
    <row r="51">
      <c r="A51" t="inlineStr">
        <is>
          <t>GAO-04-12</t>
        </is>
      </c>
      <c r="B51" s="5" t="inlineStr">
        <is>
          <t>GAO-04-12 SSA enumeration (FY2002 citizen/noncitizen split)</t>
        </is>
      </c>
      <c r="C51" t="inlineStr">
        <is>
          <t>https://www.gao.gov/assets/gao-04-12.pdf</t>
        </is>
      </c>
      <c r="D51" s="5" t="inlineStr">
        <is>
          <t>Only official citizen/noncitizen SSN split found</t>
        </is>
      </c>
      <c r="E51" s="5" t="inlineStr">
        <is>
          <t>NOT verified from box: HTTP 403 (site blocks the box); figure taken from search-index/text copy - re-check manually</t>
        </is>
      </c>
    </row>
    <row r="52">
      <c r="A52" t="inlineStr">
        <is>
          <t>SSA-SSI-NC</t>
        </is>
      </c>
      <c r="B52" s="5" t="inlineStr">
        <is>
          <t>SSA SSI Annual Statistical Report 2024, Noncitizens (Tables 29-33)</t>
        </is>
      </c>
      <c r="C52" s="5" t="inlineStr">
        <is>
          <t>https://www.ssa.gov/policy/docs/statcomps/ssi_asr/2024/sect05.html</t>
        </is>
      </c>
      <c r="D52" t="inlineStr">
        <is>
          <t>SSI noncitizen recipients 2005-2024</t>
        </is>
      </c>
      <c r="E52" s="5" t="inlineStr">
        <is>
          <t>Loads via WebFetch; curl from box returns HTTP 403 (bot block)</t>
        </is>
      </c>
    </row>
    <row r="53">
      <c r="A53" t="inlineStr">
        <is>
          <t>FNS-SNAP23</t>
        </is>
      </c>
      <c r="B53" s="5" t="inlineStr">
        <is>
          <t>USDA FNS Characteristics of SNAP Households FY2023 (Table A.23 / B.16)</t>
        </is>
      </c>
      <c r="C53" s="5" t="inlineStr">
        <is>
          <t>https://fns-prod.azureedge.us/sites/default/files/resource-files/snap-FY23-Characteristics-Report.pdf</t>
        </is>
      </c>
      <c r="D53" t="inlineStr">
        <is>
          <t>SNAP participants by citizenship FY2023</t>
        </is>
      </c>
      <c r="E53" t="inlineStr">
        <is>
          <t>Loads (curl HTTP 206, Sep 24, 2026)</t>
        </is>
      </c>
    </row>
    <row r="54">
      <c r="A54" t="inlineStr">
        <is>
          <t>CBO-EMED</t>
        </is>
      </c>
      <c r="B54" s="5" t="inlineStr">
        <is>
          <t>CBO letter to Rep. Arrington on Emergency Medicaid spending (Oct 2, 2024)</t>
        </is>
      </c>
      <c r="C54" s="5" t="inlineStr">
        <is>
          <t>https://www.cbo.gov/system/files/2024-10/Arrington_Letter_EmergencyMedicaid_Immigration_final.pdf</t>
        </is>
      </c>
      <c r="D54" s="5" t="inlineStr">
        <is>
          <t>Emergency Medicaid FY2017-2023 (cbo.gov returned 403/500 to the box)</t>
        </is>
      </c>
      <c r="E54" s="5" t="inlineStr">
        <is>
          <t>NOT verified from box: HTTP 403 (site blocks the box); figure taken from search-index/text copy - re-check manually</t>
        </is>
      </c>
    </row>
    <row r="55">
      <c r="A55" t="inlineStr">
        <is>
          <t>KFF-EMED</t>
        </is>
      </c>
      <c r="B55" s="5" t="inlineStr">
        <is>
          <t>KFF Quick Take on CBO Emergency Medicaid figures (Oct 4, 2024)</t>
        </is>
      </c>
      <c r="C55" s="5" t="inlineStr">
        <is>
          <t>https://www.kff.org/quick-insights/less-than-1-of-total-medicaid-spending-goes-to-emergency-care-for-noncitizen-immigrants/</t>
        </is>
      </c>
      <c r="D55" t="inlineStr">
        <is>
          <t>Corroborates $3.8B FY2023</t>
        </is>
      </c>
      <c r="E55" t="inlineStr">
        <is>
          <t>Loads (curl HTTP 200, Sep 24, 2026)</t>
        </is>
      </c>
    </row>
    <row r="56">
      <c r="A56" t="inlineStr">
        <is>
          <t>EO14248</t>
        </is>
      </c>
      <c r="B56" s="5" t="inlineStr">
        <is>
          <t>Executive Order 14248, 90 FR 14005 (Mar 28, 2025)</t>
        </is>
      </c>
      <c r="C56" s="5" t="inlineStr">
        <is>
          <t>https://www.govinfo.gov/content/pkg/FR-2025-03-28/pdf/2025-05523.pdf</t>
        </is>
      </c>
      <c r="D56" t="inlineStr">
        <is>
          <t>Harris claim / federal actions</t>
        </is>
      </c>
      <c r="E56" t="inlineStr">
        <is>
          <t>Loads (curl HTTP 206, Sep 24, 2026)</t>
        </is>
      </c>
    </row>
    <row r="57">
      <c r="A57" t="inlineStr">
        <is>
          <t>LULAC-217</t>
        </is>
      </c>
      <c r="B57" s="5" t="inlineStr">
        <is>
          <t>LULAC v. EOP, D.D.C. 25-cv-946, Oct 31, 2025 order (ECF 217)</t>
        </is>
      </c>
      <c r="C57" s="5" t="inlineStr">
        <is>
          <t>https://assets.aclu.org/live/uploads/2025/10/217-Order-Granting-MSJ.pdf</t>
        </is>
      </c>
      <c r="D57" t="inlineStr">
        <is>
          <t>EO 14248 ruling</t>
        </is>
      </c>
      <c r="E57" t="inlineStr">
        <is>
          <t>Loads (curl HTTP 206, Sep 24, 2026)</t>
        </is>
      </c>
    </row>
    <row r="58">
      <c r="A58" t="inlineStr">
        <is>
          <t>LULAC-235</t>
        </is>
      </c>
      <c r="B58" s="5" t="inlineStr">
        <is>
          <t>LULAC v. EOP, Jan 30, 2026 order (ECF 235)</t>
        </is>
      </c>
      <c r="C58" s="5" t="inlineStr">
        <is>
          <t>https://storage.courtlistener.com/recap/gov.uscourts.dcd.279032/gov.uscourts.dcd.279032.235.0_1.pdf</t>
        </is>
      </c>
      <c r="D58" t="inlineStr">
        <is>
          <t>EO 14248 ruling</t>
        </is>
      </c>
      <c r="E58" t="inlineStr">
        <is>
          <t>Loads (curl HTTP 206, Sep 24, 2026)</t>
        </is>
      </c>
    </row>
    <row r="59">
      <c r="A59" t="inlineStr">
        <is>
          <t>SCOTUS-26A124</t>
        </is>
      </c>
      <c r="B59" s="5" t="inlineStr">
        <is>
          <t>Trump v. California, No. 26A124 (Aug 24, 2026)</t>
        </is>
      </c>
      <c r="C59" s="5" t="inlineStr">
        <is>
          <t>https://www.supremecourt.gov/opinions/25pdf/26a124_hgci.pdf</t>
        </is>
      </c>
      <c r="D59" t="inlineStr">
        <is>
          <t>EO 14399 stay</t>
        </is>
      </c>
      <c r="E59" t="inlineStr">
        <is>
          <t>Loads (curl HTTP 206, Sep 24, 2026)</t>
        </is>
      </c>
    </row>
    <row r="60">
      <c r="A60" t="inlineStr">
        <is>
          <t>LWV-ORDER</t>
        </is>
      </c>
      <c r="B60" s="5" t="inlineStr">
        <is>
          <t>League of Women Voters v. DHS, D.D.C. 25-cv-3501, Jun 22, 2026 order</t>
        </is>
      </c>
      <c r="C60" s="5" t="inlineStr">
        <is>
          <t>https://epic.org/wp-content/uploads/2026/06/LWV-ordr.pdf</t>
        </is>
      </c>
      <c r="D60" t="inlineStr">
        <is>
          <t>SAVE vacatur</t>
        </is>
      </c>
      <c r="E60" t="inlineStr">
        <is>
          <t>Loads (curl HTTP 206, Sep 24, 2026)</t>
        </is>
      </c>
    </row>
    <row r="61">
      <c r="A61" t="inlineStr">
        <is>
          <t>LWV-OP</t>
        </is>
      </c>
      <c r="B61" t="inlineStr">
        <is>
          <t>LWV v. DHS memorandum opinion (Jun 2026)</t>
        </is>
      </c>
      <c r="C61" s="5" t="inlineStr">
        <is>
          <t>https://www.lwv.org/sites/default/files/2026-06/LWV%20v.%20DHS%20Mem%20Op.pdf</t>
        </is>
      </c>
      <c r="D61" t="inlineStr">
        <is>
          <t>SAVE vacatur</t>
        </is>
      </c>
      <c r="E61" t="inlineStr">
        <is>
          <t>Loads (curl HTTP 206, Sep 24, 2026)</t>
        </is>
      </c>
    </row>
    <row r="62">
      <c r="A62" t="inlineStr">
        <is>
          <t>SCOTUS-26A308</t>
        </is>
      </c>
      <c r="B62" s="5" t="inlineStr">
        <is>
          <t>DHS v. League of Women Voters, No. 26A308 stay application (Sep 8, 2026)</t>
        </is>
      </c>
      <c r="C62" s="5" t="inlineStr">
        <is>
          <t>https://www.supremecourt.gov/DocketPDF/26/26A308/423264/20260908101245314_DHS%20v%20League%20of%20Women%20Voters%20Stay%20Application.pdf</t>
        </is>
      </c>
      <c r="D62" s="5" t="inlineStr">
        <is>
          <t>SAVE figures (65M verified; 28,635 flagged)</t>
        </is>
      </c>
      <c r="E62" t="inlineStr">
        <is>
          <t>Loads (curl HTTP 206, Sep 24, 2026)</t>
        </is>
      </c>
    </row>
    <row r="63">
      <c r="A63" t="inlineStr">
        <is>
          <t>NCSL-LISTS</t>
        </is>
      </c>
      <c r="B63" s="5" t="inlineStr">
        <is>
          <t>NCSL, Federal requests for statewide voter lists (updated Sep 15, 2026)</t>
        </is>
      </c>
      <c r="C63" s="5" t="inlineStr">
        <is>
          <t>https://www.ncsl.org/elections-and-campaigns/federal-requests-for-statewide-voter-lists</t>
        </is>
      </c>
      <c r="D63" t="inlineStr">
        <is>
          <t>DOJ voter-list suits</t>
        </is>
      </c>
      <c r="E63" t="inlineStr">
        <is>
          <t>Loads (curl HTTP 200, Sep 24, 2026)</t>
        </is>
      </c>
    </row>
    <row r="64">
      <c r="A64" t="inlineStr">
        <is>
          <t>UW-TRACKER</t>
        </is>
      </c>
      <c r="B64" s="5" t="inlineStr">
        <is>
          <t>UW State Democracy Research Initiative tracker of DOJ voter-data suits</t>
        </is>
      </c>
      <c r="C64" s="5" t="inlineStr">
        <is>
          <t>https://statedemocracy.law.wisc.edu/our-work/tracker-doj-lawsuits-seeking-states-sensitive-voter-data</t>
        </is>
      </c>
      <c r="D64" t="inlineStr">
        <is>
          <t>DOJ suits</t>
        </is>
      </c>
      <c r="E64" t="inlineStr">
        <is>
          <t>Loads (curl HTTP 200, Sep 24, 2026)</t>
        </is>
      </c>
    </row>
    <row r="65">
      <c r="A65" t="inlineStr">
        <is>
          <t>TX-SOS-2026</t>
        </is>
      </c>
      <c r="B65" s="5" t="inlineStr">
        <is>
          <t>Texas SOS news release Sep 15, 2026 (SAVE results)</t>
        </is>
      </c>
      <c r="C65" s="5" t="inlineStr">
        <is>
          <t>https://www.sos.texas.gov/about/newsreleases/2026/091526.shtml</t>
        </is>
      </c>
      <c r="D65" t="inlineStr">
        <is>
          <t>Texas SAVE referrals</t>
        </is>
      </c>
      <c r="E65" t="inlineStr">
        <is>
          <t>Loads (curl HTTP 206, Sep 24, 2026)</t>
        </is>
      </c>
    </row>
    <row r="66">
      <c r="A66" t="inlineStr">
        <is>
          <t>PADILLA-WB</t>
        </is>
      </c>
      <c r="B66" s="5" t="inlineStr">
        <is>
          <t>Sens. Padilla/Schumer release on DHS whistleblower (Sep 14, 2026)</t>
        </is>
      </c>
      <c r="C66" s="5" t="inlineStr">
        <is>
          <t>https://www.padilla.senate.gov/newsroom/press-releases/padilla-schumer-announce-dhs-whistleblower-report-revealing-trump-administration-directed-officers-to-break-state-laws-in-voter-fraud-hunt/</t>
        </is>
      </c>
      <c r="D66" t="inlineStr">
        <is>
          <t>USCIS voter initiative allegations</t>
        </is>
      </c>
      <c r="E66" t="inlineStr">
        <is>
          <t>Loads (curl HTTP 200, Sep 24, 2026)</t>
        </is>
      </c>
    </row>
    <row r="67">
      <c r="A67" t="inlineStr">
        <is>
          <t>DOJ-16</t>
        </is>
      </c>
      <c r="B67" s="5" t="inlineStr">
        <is>
          <t>DOJ OPA release 26-1082, 16 charged (Sep 18, 2026)</t>
        </is>
      </c>
      <c r="C67" s="5" t="inlineStr">
        <is>
          <t>https://www.justice.gov/opa/pr/department-justice-charges-16-individuals-illegal-voting-and-related-election-crimes</t>
        </is>
      </c>
      <c r="D67" t="inlineStr">
        <is>
          <t>Prosecutions</t>
        </is>
      </c>
      <c r="E67" s="5" t="inlineStr">
        <is>
          <t>Loads via WebFetch; curl from box returns HTTP 401 (bot block)</t>
        </is>
      </c>
    </row>
    <row r="68">
      <c r="A68" t="inlineStr">
        <is>
          <t>PBS-AP-160</t>
        </is>
      </c>
      <c r="B68" s="5" t="inlineStr">
        <is>
          <t>AP via PBS, 160 arrests / 70 charged (Sep 23, 2026)</t>
        </is>
      </c>
      <c r="C68" s="5" t="inlineStr">
        <is>
          <t>https://www.pbs.org/newshour/politics/trumps-focus-on-noncitizen-voting-has-led-to-160-arrests-that-shows-its-rare-experts-say</t>
        </is>
      </c>
      <c r="D68" t="inlineStr">
        <is>
          <t>Prosecution totals</t>
        </is>
      </c>
      <c r="E68" t="inlineStr">
        <is>
          <t>Loads (curl HTTP 200, Sep 24, 2026)</t>
        </is>
      </c>
    </row>
    <row r="69">
      <c r="A69" t="inlineStr">
        <is>
          <t>CBS-HARRIS</t>
        </is>
      </c>
      <c r="B69" s="5" t="inlineStr">
        <is>
          <t>AP via CBS Detroit, Harris campaigns with El-Sayed (Sep 23, 2026)</t>
        </is>
      </c>
      <c r="C69" s="5" t="inlineStr">
        <is>
          <t>https://www.cbsnews.com/detroit/news/harris-el-sayed-michigan-senate-campaign/</t>
        </is>
      </c>
      <c r="D69" t="inlineStr">
        <is>
          <t>Harris event</t>
        </is>
      </c>
      <c r="E69" s="5" t="inlineStr">
        <is>
          <t>Loads via WebFetch; curl from box returns HTTP 406 (bot block)</t>
        </is>
      </c>
    </row>
    <row r="70">
      <c r="A70" t="inlineStr">
        <is>
          <t>TOWNHALL-HARRIS</t>
        </is>
      </c>
      <c r="B70" s="5" t="inlineStr">
        <is>
          <t>Townhall transcription of Harris clip (Sep 23, 2026)</t>
        </is>
      </c>
      <c r="C70" s="5" t="inlineStr">
        <is>
          <t>https://townhall.com/news/amy-curtis/2026/09/23/kamala-harris-removing-ineligible-voters-is-cheating-n2683440</t>
        </is>
      </c>
      <c r="D70" t="inlineStr">
        <is>
          <t>Harris quote (secondary)</t>
        </is>
      </c>
      <c r="E70" t="inlineStr">
        <is>
          <t>Loads (curl HTTP 200, Sep 24, 2026)</t>
        </is>
      </c>
    </row>
    <row r="71">
      <c r="A71" t="inlineStr">
        <is>
          <t>BELTWAY-HARRIS</t>
        </is>
      </c>
      <c r="B71" s="5" t="inlineStr">
        <is>
          <t>Beltway Report transcription of Harris clip</t>
        </is>
      </c>
      <c r="C71" s="5" t="inlineStr">
        <is>
          <t>https://thebeltwayreport.com/2026/09/kamala-harris-campaigns-in-detroit-calls-voter-roll-purges-cheating/</t>
        </is>
      </c>
      <c r="D71" t="inlineStr">
        <is>
          <t>Harris quote (secondary)</t>
        </is>
      </c>
      <c r="E71" t="inlineStr">
        <is>
          <t>Loads (curl HTTP 200, Sep 24, 2026)</t>
        </is>
      </c>
    </row>
    <row r="72">
      <c r="A72" t="inlineStr">
        <is>
          <t>FOXBIZ-HARRIS</t>
        </is>
      </c>
      <c r="B72" s="5" t="inlineStr">
        <is>
          <t>Fox Business video page, Harris fireside chat in Detroit (full event)</t>
        </is>
      </c>
      <c r="C72" s="5" t="inlineStr">
        <is>
          <t>https://www.foxbusiness.com/video/6405446700112</t>
        </is>
      </c>
      <c r="D72" s="5" t="inlineStr">
        <is>
          <t>Harris video (could not be played/transcribed from box)</t>
        </is>
      </c>
      <c r="E72" t="inlineStr">
        <is>
          <t>Loads (curl HTTP 206, Sep 24, 2026)</t>
        </is>
      </c>
    </row>
    <row r="73">
      <c r="A73" t="inlineStr">
        <is>
          <t>HR22-STATUS</t>
        </is>
      </c>
      <c r="B73" s="5" t="inlineStr">
        <is>
          <t>H.R. 22 (SAVE Act) bill status XML (govinfo)</t>
        </is>
      </c>
      <c r="C73" s="5" t="inlineStr">
        <is>
          <t>https://www.govinfo.gov/bulkdata/BILLSTATUS/119/hr/BILLSTATUS-119hr22.xml</t>
        </is>
      </c>
      <c r="D73" t="inlineStr">
        <is>
          <t>SAVE Act status</t>
        </is>
      </c>
      <c r="E73" t="inlineStr">
        <is>
          <t>Loads (curl HTTP 200, Sep 24, 2026)</t>
        </is>
      </c>
    </row>
    <row r="74">
      <c r="A74" t="inlineStr">
        <is>
          <t>HR22-TEXT</t>
        </is>
      </c>
      <c r="B74" t="inlineStr">
        <is>
          <t>H.R. 22 engrossed in House (text)</t>
        </is>
      </c>
      <c r="C74" s="5" t="inlineStr">
        <is>
          <t>https://www.govinfo.gov/content/pkg/BILLS-119hr22eh/html/BILLS-119hr22eh.htm</t>
        </is>
      </c>
      <c r="D74" t="inlineStr">
        <is>
          <t>SAVE Act text</t>
        </is>
      </c>
      <c r="E74" t="inlineStr">
        <is>
          <t>Loads (curl HTTP 200, Sep 24, 2026)</t>
        </is>
      </c>
    </row>
    <row r="75">
      <c r="A75" t="inlineStr">
        <is>
          <t>S1383-STATUS</t>
        </is>
      </c>
      <c r="B75" s="5" t="inlineStr">
        <is>
          <t>S. 1383 bill status XML (vehicle for SAVE America Act House amendment)</t>
        </is>
      </c>
      <c r="C75" s="5" t="inlineStr">
        <is>
          <t>https://www.govinfo.gov/bulkdata/BILLSTATUS/119/s/BILLSTATUS-119s1383.xml</t>
        </is>
      </c>
      <c r="D75" t="inlineStr">
        <is>
          <t>SAVE America Act status</t>
        </is>
      </c>
      <c r="E75" t="inlineStr">
        <is>
          <t>Loads (curl HTTP 200, Sep 24, 2026)</t>
        </is>
      </c>
    </row>
    <row r="76">
      <c r="A76" t="inlineStr">
        <is>
          <t>S1383-TEXT</t>
        </is>
      </c>
      <c r="B76" s="5" t="inlineStr">
        <is>
          <t>S. 1383 engrossed House amendment (SAVE America Act text)</t>
        </is>
      </c>
      <c r="C76" s="5" t="inlineStr">
        <is>
          <t>https://www.govinfo.gov/content/pkg/BILLS-119s1383eah/html/BILLS-119s1383eah.htm</t>
        </is>
      </c>
      <c r="D76" t="inlineStr">
        <is>
          <t>SAVE America Act text</t>
        </is>
      </c>
      <c r="E76" t="inlineStr">
        <is>
          <t>Loads (curl HTTP 200, Sep 24, 2026)</t>
        </is>
      </c>
    </row>
    <row r="77">
      <c r="A77" t="inlineStr">
        <is>
          <t>HR7296-STATUS</t>
        </is>
      </c>
      <c r="B77" s="5" t="inlineStr">
        <is>
          <t>H.R. 7296 SAVE America Act bill status (introduced version; referred only)</t>
        </is>
      </c>
      <c r="C77" s="5" t="inlineStr">
        <is>
          <t>https://www.govinfo.gov/bulkdata/BILLSTATUS/119/hr/BILLSTATUS-119hr7296.xml</t>
        </is>
      </c>
      <c r="D77" t="inlineStr">
        <is>
          <t>SAVE America Act status</t>
        </is>
      </c>
      <c r="E77" t="inlineStr">
        <is>
          <t>Loads (curl HTTP 200, Sep 24, 2026)</t>
        </is>
      </c>
    </row>
    <row r="78">
      <c r="A78" t="inlineStr">
        <is>
          <t>HOUSE-ROLL69</t>
        </is>
      </c>
      <c r="B78" s="5" t="inlineStr">
        <is>
          <t>House Clerk roll call 69 (Feb 11, 2026), S. 1383 passage 218-213</t>
        </is>
      </c>
      <c r="C78" s="5" t="inlineStr">
        <is>
          <t>https://clerk.house.gov/evs/2026/roll069.xml</t>
        </is>
      </c>
      <c r="D78" t="inlineStr">
        <is>
          <t>SAVE America Act vote</t>
        </is>
      </c>
      <c r="E78" t="inlineStr">
        <is>
          <t>Loads (curl HTTP 206, Sep 24, 2026)</t>
        </is>
      </c>
    </row>
    <row r="79">
      <c r="A79" t="inlineStr">
        <is>
          <t>ROLLCALL-SAVE</t>
        </is>
      </c>
      <c r="B79" s="5" t="inlineStr">
        <is>
          <t>Roll Call, House passes revamped citizenship and voter ID bill (Feb 11, 2026)</t>
        </is>
      </c>
      <c r="C79" s="5" t="inlineStr">
        <is>
          <t>https://rollcall.com/2026/02/11/house-passes-revamped-citizenship-voter-id-bill/</t>
        </is>
      </c>
      <c r="D79" t="inlineStr">
        <is>
          <t>SAVE America Act context</t>
        </is>
      </c>
      <c r="E79" t="inlineStr">
        <is>
          <t>Loads (curl HTTP 200, Sep 24, 2026)</t>
        </is>
      </c>
    </row>
    <row r="80">
      <c r="A80" t="inlineStr">
        <is>
          <t>CO-SOS-2013</t>
        </is>
      </c>
      <c r="B80" s="5" t="inlineStr">
        <is>
          <t>Colorado SOS release Jul 1, 2013: 155 noncitizen voters referred</t>
        </is>
      </c>
      <c r="C80" s="5" t="inlineStr">
        <is>
          <t>https://www.sos.state.co.us/pubs/newsRoom/pressReleases/2013/PR20130701NoncitizenVoters.html</t>
        </is>
      </c>
      <c r="D80" t="inlineStr">
        <is>
          <t>Colorado referrals</t>
        </is>
      </c>
      <c r="E80" t="inlineStr">
        <is>
          <t>Loads (curl HTTP 206, Sep 24, 2026)</t>
        </is>
      </c>
    </row>
    <row r="81">
      <c r="A81" t="inlineStr">
        <is>
          <t>CBS-CO-2022</t>
        </is>
      </c>
      <c r="B81" s="5" t="inlineStr">
        <is>
          <t>AP via CBS Colorado, 30,000 noncitizens got registration mailer (Oct 2022)</t>
        </is>
      </c>
      <c r="C81" s="5" t="inlineStr">
        <is>
          <t>https://www.cbsnews.com/colorado/news/colorado-30000-noncitizens-vote-registration-mailer/</t>
        </is>
      </c>
      <c r="D81" t="inlineStr">
        <is>
          <t>Griswold postcard</t>
        </is>
      </c>
      <c r="E81" s="5" t="inlineStr">
        <is>
          <t>Loads via WebFetch; curl from box returns HTTP 406 (bot block)</t>
        </is>
      </c>
    </row>
    <row r="82">
      <c r="A82" t="inlineStr">
        <is>
          <t>AFP-CO-2022</t>
        </is>
      </c>
      <c r="B82" s="5" t="inlineStr">
        <is>
          <t>AFP Fact Check on Colorado mailer (Oct 13, 2022)</t>
        </is>
      </c>
      <c r="C82" s="5" t="inlineStr">
        <is>
          <t>https://factcheck.afp.com/doc.afp.com.32LA24U</t>
        </is>
      </c>
      <c r="D82" t="inlineStr">
        <is>
          <t>Griswold postcard</t>
        </is>
      </c>
      <c r="E82" s="5" t="inlineStr">
        <is>
          <t>Loads via WebFetch; curl from box returns HTTP 403 (bot block)</t>
        </is>
      </c>
    </row>
    <row r="83">
      <c r="A83" t="inlineStr">
        <is>
          <t>KUNC-CO-2024</t>
        </is>
      </c>
      <c r="B83" s="5" t="inlineStr">
        <is>
          <t>KUNC, How does Colorado keep noncitizens and dead people from voting? (Oct 31, 2024)</t>
        </is>
      </c>
      <c r="C83" s="5" t="inlineStr">
        <is>
          <t>https://www.kunc.org/news/2024-10-31/how-does-colorado-keep-noncitizens-and-dead-people-from-voting</t>
        </is>
      </c>
      <c r="D83" t="inlineStr">
        <is>
          <t>Colorado safeguards</t>
        </is>
      </c>
      <c r="E83" t="inlineStr">
        <is>
          <t>Loads (curl HTTP 200, Sep 24, 2026)</t>
        </is>
      </c>
    </row>
    <row r="84">
      <c r="A84" t="inlineStr">
        <is>
          <t>JW-CO-113</t>
        </is>
      </c>
      <c r="B84" s="5" t="inlineStr">
        <is>
          <t>Judicial Watch v. Griswold, D. Colo. 20-cv-02992, ECF 113 order (Feb 27, 2024)</t>
        </is>
      </c>
      <c r="C84" s="5" t="inlineStr">
        <is>
          <t>https://storage.courtlistener.com/recap/gov.uscourts.cod.201356/gov.uscourts.cod.201356.113.0.pdf</t>
        </is>
      </c>
      <c r="D84" t="inlineStr">
        <is>
          <t>JW Colorado figures</t>
        </is>
      </c>
      <c r="E84" t="inlineStr">
        <is>
          <t>Loads (curl HTTP 206, Sep 24, 2026)</t>
        </is>
      </c>
    </row>
    <row r="85">
      <c r="A85" t="inlineStr">
        <is>
          <t>JW-CO-105</t>
        </is>
      </c>
      <c r="B85" s="5" t="inlineStr">
        <is>
          <t>Judicial Watch v. Griswold notice of dismissal &amp; settlement (Mar 30, 2023)</t>
        </is>
      </c>
      <c r="C85" s="5" t="inlineStr">
        <is>
          <t>https://www.democracydocket.com/wp-content/uploads/2020/11/105-2-notice-of-dismissal-and-settlement-agreementpdf.pdf</t>
        </is>
      </c>
      <c r="D85" t="inlineStr">
        <is>
          <t>JW Colorado settlement</t>
        </is>
      </c>
      <c r="E85" t="inlineStr">
        <is>
          <t>Loads (curl HTTP 206, Sep 24, 2026)</t>
        </is>
      </c>
    </row>
    <row r="86">
      <c r="A86" t="inlineStr">
        <is>
          <t>JW-LA</t>
        </is>
      </c>
      <c r="B86" s="5" t="inlineStr">
        <is>
          <t>Judicial Watch v. Logan, C.D. Cal. 2:17-cv-08948, settlement agreement (Jan 2019)</t>
        </is>
      </c>
      <c r="C86" s="5" t="inlineStr">
        <is>
          <t>https://www.judicialwatch.org/wp-content/uploads/2019/01/JW-v-Logan-California-NVRA-settlement-08948.pdf</t>
        </is>
      </c>
      <c r="D86" t="inlineStr">
        <is>
          <t>JW LA County</t>
        </is>
      </c>
      <c r="E86" t="inlineStr">
        <is>
          <t>Loads (curl HTTP 206, Sep 24, 2026)</t>
        </is>
      </c>
    </row>
    <row r="87">
      <c r="A87" t="inlineStr">
        <is>
          <t>JW-LA-PR</t>
        </is>
      </c>
      <c r="B87" s="5" t="inlineStr">
        <is>
          <t>Judicial Watch press release on LA settlement</t>
        </is>
      </c>
      <c r="C87" s="5" t="inlineStr">
        <is>
          <t>https://www.judicialwatch.org/california-and-los-angeles-county-to-remove-1-5-million-inactive-voters-from-voter-rolls-settle-judicial-watch-federal-lawsuit/</t>
        </is>
      </c>
      <c r="D87" t="inlineStr">
        <is>
          <t>JW claim</t>
        </is>
      </c>
      <c r="E87" t="inlineStr">
        <is>
          <t>Loads (curl HTTP 200, Sep 24, 2026)</t>
        </is>
      </c>
    </row>
    <row r="88">
      <c r="A88" t="inlineStr">
        <is>
          <t>JW-KY</t>
        </is>
      </c>
      <c r="B88" s="5" t="inlineStr">
        <is>
          <t>Judicial Watch v. Grimes, E.D. Ky. 3:17-cv-94 (Clearinghouse record)</t>
        </is>
      </c>
      <c r="C88" t="inlineStr">
        <is>
          <t>https://clearinghouse.net/case/43775/</t>
        </is>
      </c>
      <c r="D88" t="inlineStr">
        <is>
          <t>JW Kentucky consent judgment</t>
        </is>
      </c>
      <c r="E88" t="inlineStr">
        <is>
          <t>Loads (curl HTTP 200, Sep 24, 2026)</t>
        </is>
      </c>
    </row>
    <row r="89">
      <c r="A89" t="inlineStr">
        <is>
          <t>JW-NC</t>
        </is>
      </c>
      <c r="B89" s="5" t="inlineStr">
        <is>
          <t>Judicial Watch press release, NC settlement (430,000 inactive removed)</t>
        </is>
      </c>
      <c r="C89" s="5" t="inlineStr">
        <is>
          <t>https://www.judicialwatch.org/north-carolina-voter-rolls-lawsuit/</t>
        </is>
      </c>
      <c r="D89" t="inlineStr">
        <is>
          <t>JW North Carolina</t>
        </is>
      </c>
      <c r="E89" t="inlineStr">
        <is>
          <t>Loads (curl HTTP 200, Sep 24, 2026)</t>
        </is>
      </c>
    </row>
    <row r="90">
      <c r="A90" t="inlineStr">
        <is>
          <t>JW-CO-372</t>
        </is>
      </c>
      <c r="B90" s="5" t="inlineStr">
        <is>
          <t>Judicial Watch press release, Colorado removes 372,000 inactive voters</t>
        </is>
      </c>
      <c r="C90" s="5" t="inlineStr">
        <is>
          <t>https://www.judicialwatch.org/colorado-removes-372000-inactive-voters-from-its-rolls-after-lawsuit/</t>
        </is>
      </c>
      <c r="D90" t="inlineStr">
        <is>
          <t>JW claim Colorado</t>
        </is>
      </c>
      <c r="E90" t="inlineStr">
        <is>
          <t>Loads (curl HTTP 200, Sep 24, 2026)</t>
        </is>
      </c>
    </row>
    <row r="91">
      <c r="A91" t="inlineStr">
        <is>
          <t>NJ-GOV-0721</t>
        </is>
      </c>
      <c r="B91" s="5" t="inlineStr">
        <is>
          <t>NJ Governor statement Jul 21, 2026 (MVC software error, ~6,600)</t>
        </is>
      </c>
      <c r="C91" s="5" t="inlineStr">
        <is>
          <t>https://www.nj.gov/governor/news/2026/20260721a.shtml</t>
        </is>
      </c>
      <c r="D91" t="inlineStr">
        <is>
          <t>New Jersey</t>
        </is>
      </c>
      <c r="E91" t="inlineStr">
        <is>
          <t>Loads (curl HTTP 200, Sep 24, 2026)</t>
        </is>
      </c>
    </row>
    <row r="92">
      <c r="A92" t="inlineStr">
        <is>
          <t>NJ-GOV-0819</t>
        </is>
      </c>
      <c r="B92" s="5" t="inlineStr">
        <is>
          <t>NJ Governor update Aug 19, 2026 (5,100 deleted; 1,450 rejected; ~340 voted; ~220 review)</t>
        </is>
      </c>
      <c r="C92" s="5" t="inlineStr">
        <is>
          <t>https://www.nj.gov/governor/news/2026/20260819a.shtml</t>
        </is>
      </c>
      <c r="D92" t="inlineStr">
        <is>
          <t>New Jersey</t>
        </is>
      </c>
      <c r="E92" t="inlineStr">
        <is>
          <t>Loads (curl HTTP 200, Sep 24, 2026)</t>
        </is>
      </c>
    </row>
    <row r="93">
      <c r="A93" t="inlineStr">
        <is>
          <t>REUTERS-30K</t>
        </is>
      </c>
      <c r="B93" s="5" t="inlineStr">
        <is>
          <t>Reuters via USA Today, states may have added 30,000+ self-declared noncitizens since 2000 (Sep 23, 2026)</t>
        </is>
      </c>
      <c r="C93" s="5" t="inlineStr">
        <is>
          <t>https://www.usatoday.com/story/news/politics/elections/2026/09/23/30000-noncitizens-may-have-been-added-to-voter-rolls/91907784007/</t>
        </is>
      </c>
      <c r="D93" t="inlineStr">
        <is>
          <t>Item I</t>
        </is>
      </c>
      <c r="E93" t="inlineStr">
        <is>
          <t>Loads (curl HTTP 206, Sep 24, 2026)</t>
        </is>
      </c>
    </row>
    <row r="94">
      <c r="A94" t="inlineStr">
        <is>
          <t>GA-2024</t>
        </is>
      </c>
      <c r="B94" s="5" t="inlineStr">
        <is>
          <t>Georgia SOS citizenship audit statement copy (Oct 23, 2024)</t>
        </is>
      </c>
      <c r="C94" s="5" t="inlineStr">
        <is>
          <t>https://justthenews.com/sites/default/files/2024-10/FILE_7419.pdf</t>
        </is>
      </c>
      <c r="D94" t="inlineStr">
        <is>
          <t>Georgia audit</t>
        </is>
      </c>
      <c r="E94" t="inlineStr">
        <is>
          <t>Loads (curl HTTP 206, Sep 24, 2026)</t>
        </is>
      </c>
    </row>
    <row r="95">
      <c r="A95" t="inlineStr">
        <is>
          <t>TX-GOV-2024</t>
        </is>
      </c>
      <c r="B95" s="5" t="inlineStr">
        <is>
          <t>Texas Governor release Aug 26, 2024 (6,500 potential noncitizens removed)</t>
        </is>
      </c>
      <c r="C95" s="5" t="inlineStr">
        <is>
          <t>https://gov.texas.gov/news/post/governor-abbott-announces-over-1-million-ineligible-voters-removed-from-voter-rolls</t>
        </is>
      </c>
      <c r="D95" t="inlineStr">
        <is>
          <t>Texas 2024</t>
        </is>
      </c>
      <c r="E95" t="inlineStr">
        <is>
          <t>Loads (curl HTTP 200, Sep 24, 2026)</t>
        </is>
      </c>
    </row>
    <row r="96">
      <c r="A96" t="inlineStr">
        <is>
          <t>TXTRIB-2024</t>
        </is>
      </c>
      <c r="B96" s="5" t="inlineStr">
        <is>
          <t>Texas Tribune/Votebeat Oct 15, 2024 (581 identified as noncitizens)</t>
        </is>
      </c>
      <c r="C96" s="5" t="inlineStr">
        <is>
          <t>https://www.texastribune.org/2024/10/15/texas-noncitizen-voter-roll-removal-included-americans/</t>
        </is>
      </c>
      <c r="D96" t="inlineStr">
        <is>
          <t>Texas discrepancy</t>
        </is>
      </c>
      <c r="E96" t="inlineStr">
        <is>
          <t>Loads (curl HTTP 200, Sep 24, 2026)</t>
        </is>
      </c>
    </row>
    <row r="97">
      <c r="A97" t="inlineStr">
        <is>
          <t>VA-ELECT-2024</t>
        </is>
      </c>
      <c r="B97" s="5" t="inlineStr">
        <is>
          <t>Virginia ELECT 2024 Annual List Maintenance Report</t>
        </is>
      </c>
      <c r="C97" s="5" t="inlineStr">
        <is>
          <t>https://www.elections.virginia.gov/media/formswarehouse/maintenance-reports/2024-Annual-List-Maintenance-Report.pdf</t>
        </is>
      </c>
      <c r="D97" t="inlineStr">
        <is>
          <t>Virginia</t>
        </is>
      </c>
      <c r="E97" t="inlineStr">
        <is>
          <t>Loads (curl HTTP 200, Sep 24, 2026)</t>
        </is>
      </c>
    </row>
    <row r="98">
      <c r="A98" t="inlineStr">
        <is>
          <t>OH-SOS-2025</t>
        </is>
      </c>
      <c r="B98" s="5" t="inlineStr">
        <is>
          <t>Ohio SOS release Jun 3, 2025 (30 referred)</t>
        </is>
      </c>
      <c r="C98" s="5" t="inlineStr">
        <is>
          <t>https://www.ohiosos.gov/media-center/press-releases/2025/2025-06-03/</t>
        </is>
      </c>
      <c r="D98" t="inlineStr">
        <is>
          <t>Ohio</t>
        </is>
      </c>
      <c r="E98" t="inlineStr">
        <is>
          <t>Loads (curl HTTP 200, Sep 24, 2026)</t>
        </is>
      </c>
    </row>
    <row r="99">
      <c r="A99" t="inlineStr">
        <is>
          <t>LA-ILLUM-2025</t>
        </is>
      </c>
      <c r="B99" s="5" t="inlineStr">
        <is>
          <t>Louisiana Illuminator Sep 4, 2025 (390 noncitizens; 79 voted)</t>
        </is>
      </c>
      <c r="C99" s="5" t="inlineStr">
        <is>
          <t>https://lailluminator.com/2025/09/04/louisiana-election-investigation-finds-79-noncitizens-have-voted-since-1980s/</t>
        </is>
      </c>
      <c r="D99" t="inlineStr">
        <is>
          <t>Louisiana</t>
        </is>
      </c>
      <c r="E99" t="inlineStr">
        <is>
          <t>Loads (curl HTTP 200, Sep 24, 2026)</t>
        </is>
      </c>
    </row>
    <row r="100">
      <c r="A100" t="inlineStr">
        <is>
          <t>CHNV-FR</t>
        </is>
      </c>
      <c r="B100" s="5" t="inlineStr">
        <is>
          <t>DHS, Termination of CHNV parole processes, 90 FR 13611 (Mar 25, 2025)</t>
        </is>
      </c>
      <c r="C100" s="5" t="inlineStr">
        <is>
          <t>https://www.govinfo.gov/content/pkg/FR-2025-03-25/html/2025-05128.htm</t>
        </is>
      </c>
      <c r="D100" t="inlineStr">
        <is>
          <t>CHNV ~532,000</t>
        </is>
      </c>
      <c r="E100" t="inlineStr">
        <is>
          <t>Loads (curl HTTP 200, Sep 24, 2026)</t>
        </is>
      </c>
    </row>
    <row r="101">
      <c r="A101" t="inlineStr">
        <is>
          <t>CBP-DEC24</t>
        </is>
      </c>
      <c r="B101" s="5" t="inlineStr">
        <is>
          <t>CBP December 2024 monthly update (CBP One 936,500; CHNV arrivals by nationality)</t>
        </is>
      </c>
      <c r="C101" s="5" t="inlineStr">
        <is>
          <t>https://www.cbp.gov/newsroom/national-media-release/cbp-releases-december-2024-monthly-update</t>
        </is>
      </c>
      <c r="D101" t="inlineStr">
        <is>
          <t>Parole</t>
        </is>
      </c>
      <c r="E101" t="inlineStr">
        <is>
          <t>Loads (curl HTTP 200, Sep 24, 2026)</t>
        </is>
      </c>
    </row>
    <row r="102">
      <c r="A102" t="inlineStr">
        <is>
          <t>CBP-JAN25</t>
        </is>
      </c>
      <c r="B102" s="5" t="inlineStr">
        <is>
          <t>CBP January 2025 monthly update (CBP One scheduling ended Jan 20, 2025)</t>
        </is>
      </c>
      <c r="C102" s="5" t="inlineStr">
        <is>
          <t>https://www.cbp.gov/newsroom/national-media-release/cbp-releases-january-2025-monthly-update</t>
        </is>
      </c>
      <c r="D102" t="inlineStr">
        <is>
          <t>Parole</t>
        </is>
      </c>
      <c r="E102" t="inlineStr">
        <is>
          <t>Loads (curl HTTP 200, Sep 24, 2026)</t>
        </is>
      </c>
    </row>
    <row r="103">
      <c r="A103" t="inlineStr">
        <is>
          <t>USCIS-DACA</t>
        </is>
      </c>
      <c r="B103" s="5" t="inlineStr">
        <is>
          <t>USCIS Active DACA recipients as of Jun 30, 2026</t>
        </is>
      </c>
      <c r="C103" s="5" t="inlineStr">
        <is>
          <t>https://www.uscis.gov/sites/default/files/document/data/active_daca_recipients_fy2026_q3_v1.xlsx</t>
        </is>
      </c>
      <c r="D103" t="inlineStr">
        <is>
          <t>DACA</t>
        </is>
      </c>
      <c r="E103" t="inlineStr">
        <is>
          <t>Loads (curl HTTP 206, Sep 24, 2026)</t>
        </is>
      </c>
    </row>
    <row r="104">
      <c r="A104" t="inlineStr">
        <is>
          <t>USCIS-I765</t>
        </is>
      </c>
      <c r="B104" s="5" t="inlineStr">
        <is>
          <t>USCIS I-765 receipts/approvals by eligibility category, FY2026 Q3 (quarterly only)</t>
        </is>
      </c>
      <c r="C104" s="5" t="inlineStr">
        <is>
          <t>https://www.uscis.gov/sites/default/files/document/data/i765_application_for_employment_fy2026_q3_v1.xlsx</t>
        </is>
      </c>
      <c r="D104" t="inlineStr">
        <is>
          <t>EAD (quarterly)</t>
        </is>
      </c>
      <c r="E104" t="inlineStr">
        <is>
          <t>Loads (curl HTTP 206, Sep 24, 2026)</t>
        </is>
      </c>
    </row>
    <row r="105">
      <c r="A105" t="inlineStr">
        <is>
          <t>NVRA-8</t>
        </is>
      </c>
      <c r="B105" t="inlineStr">
        <is>
          <t>52 U.S.C. 20507 (NVRA section 8)</t>
        </is>
      </c>
      <c r="C105" s="5" t="inlineStr">
        <is>
          <t>https://www.law.cornell.edu/uscode/text/52/20507</t>
        </is>
      </c>
      <c r="D105" t="inlineStr">
        <is>
          <t>List maintenance rules</t>
        </is>
      </c>
      <c r="E105" t="inlineStr">
        <is>
          <t>Loads (curl HTTP 206, Sep 24, 2026)</t>
        </is>
      </c>
    </row>
    <row r="106">
      <c r="A106" t="inlineStr">
        <is>
          <t>USC-611</t>
        </is>
      </c>
      <c r="B106" t="inlineStr">
        <is>
          <t>18 U.S.C. 611</t>
        </is>
      </c>
      <c r="C106" s="5" t="inlineStr">
        <is>
          <t>https://www.law.cornell.edu/uscode/text/18/611</t>
        </is>
      </c>
      <c r="D106" t="inlineStr">
        <is>
          <t>Noncitizen voting ban</t>
        </is>
      </c>
      <c r="E106" t="inlineStr">
        <is>
          <t>Loads (curl HTTP 206, Sep 24, 2026)</t>
        </is>
      </c>
    </row>
    <row r="107">
      <c r="A107" t="inlineStr">
        <is>
          <t>USC-1015</t>
        </is>
      </c>
      <c r="B107" t="inlineStr">
        <is>
          <t>18 U.S.C. 1015</t>
        </is>
      </c>
      <c r="C107" s="5" t="inlineStr">
        <is>
          <t>https://www.law.cornell.edu/uscode/text/18/1015</t>
        </is>
      </c>
      <c r="D107" t="inlineStr">
        <is>
          <t>False citizenship claim</t>
        </is>
      </c>
      <c r="E107" t="inlineStr">
        <is>
          <t>Loads (curl HTTP 206, Sep 24, 2026)</t>
        </is>
      </c>
    </row>
    <row r="108">
      <c r="A108" t="inlineStr">
        <is>
          <t>USC-20511</t>
        </is>
      </c>
      <c r="B108" t="inlineStr">
        <is>
          <t>52 U.S.C. 20511</t>
        </is>
      </c>
      <c r="C108" s="5" t="inlineStr">
        <is>
          <t>https://www.law.cornell.edu/uscode/text/52/20511</t>
        </is>
      </c>
      <c r="D108" t="inlineStr">
        <is>
          <t>NVRA criminal penalties</t>
        </is>
      </c>
      <c r="E108" t="inlineStr">
        <is>
          <t>Loads (curl HTTP 206, Sep 24, 2026)</t>
        </is>
      </c>
    </row>
    <row r="109">
      <c r="A109" t="inlineStr">
        <is>
          <t>USC-21083</t>
        </is>
      </c>
      <c r="B109" s="5" t="inlineStr">
        <is>
          <t>52 U.S.C. 21083 (HAVA computerized list; DL/SSN4 verification)</t>
        </is>
      </c>
      <c r="C109" s="5" t="inlineStr">
        <is>
          <t>https://www.law.cornell.edu/uscode/text/52/21083</t>
        </is>
      </c>
      <c r="D109" t="inlineStr">
        <is>
          <t>HAVA verification</t>
        </is>
      </c>
      <c r="E109" t="inlineStr">
        <is>
          <t>Loads (curl HTTP 206, Sep 24, 2026)</t>
        </is>
      </c>
    </row>
    <row r="110">
      <c r="A110" t="inlineStr">
        <is>
          <t>USC-1611</t>
        </is>
      </c>
      <c r="B110" t="inlineStr">
        <is>
          <t>8 U.S.C. 1611 (PRWORA)</t>
        </is>
      </c>
      <c r="C110" s="5" t="inlineStr">
        <is>
          <t>https://www.law.cornell.edu/uscode/text/8/1611</t>
        </is>
      </c>
      <c r="D110" t="inlineStr">
        <is>
          <t>Benefit eligibility</t>
        </is>
      </c>
      <c r="E110" t="inlineStr">
        <is>
          <t>Loads (curl HTTP 206, Sep 24, 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6" customWidth="1" min="2" max="2"/>
    <col width="48" customWidth="1" min="3" max="3"/>
    <col width="22" customWidth="1" min="4" max="4"/>
    <col width="16" customWidth="1" min="5" max="5"/>
  </cols>
  <sheetData>
    <row r="1" ht="60" customHeight="1">
      <c r="A1" s="1" t="inlineStr">
        <is>
          <t>Geography</t>
        </is>
      </c>
      <c r="B1" s="1" t="inlineStr">
        <is>
          <t>Election year</t>
        </is>
      </c>
      <c r="C1" s="1" t="inlineStr">
        <is>
          <t>EAVS category (label as published that cycle)</t>
        </is>
      </c>
      <c r="D1" s="1" t="inlineStr">
        <is>
          <t>Count (as published)</t>
        </is>
      </c>
      <c r="E1" s="1" t="inlineStr">
        <is>
          <t>Source ID</t>
        </is>
      </c>
    </row>
    <row r="2">
      <c r="A2" t="inlineStr">
        <is>
          <t>US</t>
        </is>
      </c>
      <c r="B2" s="2" t="n">
        <v>2024</v>
      </c>
      <c r="C2" t="inlineStr">
        <is>
          <t>Transactions received (total)</t>
        </is>
      </c>
      <c r="D2" s="2" t="n">
        <v>103512313</v>
      </c>
      <c r="E2" t="inlineStr">
        <is>
          <t>EAVS-2024</t>
        </is>
      </c>
    </row>
    <row r="3">
      <c r="A3" t="inlineStr">
        <is>
          <t>US</t>
        </is>
      </c>
      <c r="B3" s="2" t="n">
        <v>2024</v>
      </c>
      <c r="C3" t="inlineStr">
        <is>
          <t>Mail/email/fax</t>
        </is>
      </c>
      <c r="D3" s="2" t="n">
        <v>8565489</v>
      </c>
      <c r="E3" t="inlineStr">
        <is>
          <t>EAVS-2024</t>
        </is>
      </c>
    </row>
    <row r="4">
      <c r="A4" t="inlineStr">
        <is>
          <t>US</t>
        </is>
      </c>
      <c r="B4" s="2" t="n">
        <v>2024</v>
      </c>
      <c r="C4" t="inlineStr">
        <is>
          <t>In person at election office</t>
        </is>
      </c>
      <c r="D4" s="2" t="n">
        <v>6209202</v>
      </c>
      <c r="E4" t="inlineStr">
        <is>
          <t>EAVS-2024</t>
        </is>
      </c>
    </row>
    <row r="5">
      <c r="A5" t="inlineStr">
        <is>
          <t>US</t>
        </is>
      </c>
      <c r="B5" s="2" t="n">
        <v>2024</v>
      </c>
      <c r="C5" t="inlineStr">
        <is>
          <t>Online</t>
        </is>
      </c>
      <c r="D5" s="2" t="n">
        <v>14424190</v>
      </c>
      <c r="E5" t="inlineStr">
        <is>
          <t>EAVS-2024</t>
        </is>
      </c>
    </row>
    <row r="6">
      <c r="A6" t="inlineStr">
        <is>
          <t>US</t>
        </is>
      </c>
      <c r="B6" s="2" t="n">
        <v>2024</v>
      </c>
      <c r="C6" t="inlineStr">
        <is>
          <t>Automatic voter registration (AVR)</t>
        </is>
      </c>
      <c r="D6" s="2" t="n">
        <v>26099956</v>
      </c>
      <c r="E6" t="inlineStr">
        <is>
          <t>EAVS-2024</t>
        </is>
      </c>
    </row>
    <row r="7">
      <c r="A7" t="inlineStr">
        <is>
          <t>US</t>
        </is>
      </c>
      <c r="B7" s="2" t="n">
        <v>2024</v>
      </c>
      <c r="C7" t="inlineStr">
        <is>
          <t>Motor vehicle offices (non-AVR)</t>
        </is>
      </c>
      <c r="D7" s="2" t="n">
        <v>31829586</v>
      </c>
      <c r="E7" t="inlineStr">
        <is>
          <t>EAVS-2024</t>
        </is>
      </c>
    </row>
    <row r="8">
      <c r="A8" t="inlineStr">
        <is>
          <t>US</t>
        </is>
      </c>
      <c r="B8" s="2" t="n">
        <v>2024</v>
      </c>
      <c r="C8" t="inlineStr">
        <is>
          <t>Public assistance offices</t>
        </is>
      </c>
      <c r="D8" s="2" t="n">
        <v>996390</v>
      </c>
      <c r="E8" t="inlineStr">
        <is>
          <t>EAVS-2024</t>
        </is>
      </c>
    </row>
    <row r="9">
      <c r="A9" t="inlineStr">
        <is>
          <t>US</t>
        </is>
      </c>
      <c r="B9" s="2" t="n">
        <v>2024</v>
      </c>
      <c r="C9" t="inlineStr">
        <is>
          <t>Disability services offices</t>
        </is>
      </c>
      <c r="D9" s="2" t="n">
        <v>65038</v>
      </c>
      <c r="E9" t="inlineStr">
        <is>
          <t>EAVS-2024</t>
        </is>
      </c>
    </row>
    <row r="10">
      <c r="A10" t="inlineStr">
        <is>
          <t>US</t>
        </is>
      </c>
      <c r="B10" s="2" t="n">
        <v>2024</v>
      </c>
      <c r="C10" t="inlineStr">
        <is>
          <t>Armed forces recruitment offices</t>
        </is>
      </c>
      <c r="D10" s="2" t="n">
        <v>50961</v>
      </c>
      <c r="E10" t="inlineStr">
        <is>
          <t>EAVS-2024</t>
        </is>
      </c>
    </row>
    <row r="11">
      <c r="A11" t="inlineStr">
        <is>
          <t>US</t>
        </is>
      </c>
      <c r="B11" s="2" t="n">
        <v>2024</v>
      </c>
      <c r="C11" t="inlineStr">
        <is>
          <t>Other state agencies</t>
        </is>
      </c>
      <c r="D11" s="2" t="n">
        <v>1869606</v>
      </c>
      <c r="E11" t="inlineStr">
        <is>
          <t>EAVS-2024</t>
        </is>
      </c>
    </row>
    <row r="12">
      <c r="A12" t="inlineStr">
        <is>
          <t>US</t>
        </is>
      </c>
      <c r="B12" s="2" t="n">
        <v>2024</v>
      </c>
      <c r="C12" t="inlineStr">
        <is>
          <t>Registration drives</t>
        </is>
      </c>
      <c r="D12" s="2" t="n">
        <v>2104177</v>
      </c>
      <c r="E12" t="inlineStr">
        <is>
          <t>EAVS-2024</t>
        </is>
      </c>
    </row>
    <row r="13">
      <c r="A13" t="inlineStr">
        <is>
          <t>US</t>
        </is>
      </c>
      <c r="B13" s="2" t="n">
        <v>2024</v>
      </c>
      <c r="C13" t="inlineStr">
        <is>
          <t>Polling places / same-day</t>
        </is>
      </c>
      <c r="D13" s="2" t="n">
        <v>2246241</v>
      </c>
      <c r="E13" t="inlineStr">
        <is>
          <t>EAVS-2024</t>
        </is>
      </c>
    </row>
    <row r="14">
      <c r="A14" t="inlineStr">
        <is>
          <t>US</t>
        </is>
      </c>
      <c r="B14" s="2" t="n">
        <v>2024</v>
      </c>
      <c r="C14" t="inlineStr">
        <is>
          <t>Other</t>
        </is>
      </c>
      <c r="D14" s="2" t="n">
        <v>7709087</v>
      </c>
      <c r="E14" t="inlineStr">
        <is>
          <t>EAVS-2024</t>
        </is>
      </c>
    </row>
    <row r="15">
      <c r="A15" t="inlineStr">
        <is>
          <t>US</t>
        </is>
      </c>
      <c r="B15" s="2" t="n">
        <v>2024</v>
      </c>
      <c r="C15" t="inlineStr">
        <is>
          <t>Not categorized</t>
        </is>
      </c>
      <c r="D15" s="2" t="n">
        <v>1342390</v>
      </c>
      <c r="E15" t="inlineStr">
        <is>
          <t>EAVS-2024</t>
        </is>
      </c>
    </row>
    <row r="16">
      <c r="A16" t="inlineStr">
        <is>
          <t>US</t>
        </is>
      </c>
      <c r="B16" s="2" t="n">
        <v>2022</v>
      </c>
      <c r="C16" t="inlineStr">
        <is>
          <t>Applications received (total)</t>
        </is>
      </c>
      <c r="D16" s="2" t="n">
        <v>80764222</v>
      </c>
      <c r="E16" t="inlineStr">
        <is>
          <t>EAVS-2022</t>
        </is>
      </c>
    </row>
    <row r="17">
      <c r="A17" t="inlineStr">
        <is>
          <t>US</t>
        </is>
      </c>
      <c r="B17" s="2" t="n">
        <v>2022</v>
      </c>
      <c r="C17" t="inlineStr">
        <is>
          <t>Mail/email/fax</t>
        </is>
      </c>
      <c r="D17" s="2" t="n">
        <v>7340458</v>
      </c>
      <c r="E17" t="inlineStr">
        <is>
          <t>EAVS-2022</t>
        </is>
      </c>
    </row>
    <row r="18">
      <c r="A18" t="inlineStr">
        <is>
          <t>US</t>
        </is>
      </c>
      <c r="B18" s="2" t="n">
        <v>2022</v>
      </c>
      <c r="C18" t="inlineStr">
        <is>
          <t>In person</t>
        </is>
      </c>
      <c r="D18" s="2" t="n">
        <v>4566735</v>
      </c>
      <c r="E18" t="inlineStr">
        <is>
          <t>EAVS-2022</t>
        </is>
      </c>
    </row>
    <row r="19">
      <c r="A19" t="inlineStr">
        <is>
          <t>US</t>
        </is>
      </c>
      <c r="B19" s="2" t="n">
        <v>2022</v>
      </c>
      <c r="C19" t="inlineStr">
        <is>
          <t>Online</t>
        </is>
      </c>
      <c r="D19" s="2" t="n">
        <v>10822001</v>
      </c>
      <c r="E19" t="inlineStr">
        <is>
          <t>EAVS-2022</t>
        </is>
      </c>
    </row>
    <row r="20">
      <c r="A20" t="inlineStr">
        <is>
          <t>US</t>
        </is>
      </c>
      <c r="B20" s="2" t="n">
        <v>2022</v>
      </c>
      <c r="C20" t="inlineStr">
        <is>
          <t>Motor vehicle offices</t>
        </is>
      </c>
      <c r="D20" s="2" t="n">
        <v>44051378</v>
      </c>
      <c r="E20" t="inlineStr">
        <is>
          <t>EAVS-2022</t>
        </is>
      </c>
    </row>
    <row r="21">
      <c r="A21" t="inlineStr">
        <is>
          <t>US</t>
        </is>
      </c>
      <c r="B21" s="2" t="n">
        <v>2022</v>
      </c>
      <c r="C21" t="inlineStr">
        <is>
          <t>Public assistance</t>
        </is>
      </c>
      <c r="D21" s="2" t="n">
        <v>1113307</v>
      </c>
      <c r="E21" t="inlineStr">
        <is>
          <t>EAVS-2022</t>
        </is>
      </c>
    </row>
    <row r="22">
      <c r="A22" t="inlineStr">
        <is>
          <t>US</t>
        </is>
      </c>
      <c r="B22" s="2" t="n">
        <v>2022</v>
      </c>
      <c r="C22" t="inlineStr">
        <is>
          <t>Disability services</t>
        </is>
      </c>
      <c r="D22" s="2" t="n">
        <v>82698</v>
      </c>
      <c r="E22" t="inlineStr">
        <is>
          <t>EAVS-2022</t>
        </is>
      </c>
    </row>
    <row r="23">
      <c r="A23" t="inlineStr">
        <is>
          <t>US</t>
        </is>
      </c>
      <c r="B23" s="2" t="n">
        <v>2022</v>
      </c>
      <c r="C23" t="inlineStr">
        <is>
          <t>Armed forces</t>
        </is>
      </c>
      <c r="D23" s="2" t="n">
        <v>33554</v>
      </c>
      <c r="E23" t="inlineStr">
        <is>
          <t>EAVS-2022</t>
        </is>
      </c>
    </row>
    <row r="24">
      <c r="A24" t="inlineStr">
        <is>
          <t>US</t>
        </is>
      </c>
      <c r="B24" s="2" t="n">
        <v>2022</v>
      </c>
      <c r="C24" t="inlineStr">
        <is>
          <t>Other state agencies</t>
        </is>
      </c>
      <c r="D24" s="2" t="n">
        <v>1622543</v>
      </c>
      <c r="E24" t="inlineStr">
        <is>
          <t>EAVS-2022</t>
        </is>
      </c>
    </row>
    <row r="25">
      <c r="A25" t="inlineStr">
        <is>
          <t>US</t>
        </is>
      </c>
      <c r="B25" s="2" t="n">
        <v>2022</v>
      </c>
      <c r="C25" t="inlineStr">
        <is>
          <t>Registration drives</t>
        </is>
      </c>
      <c r="D25" s="2" t="n">
        <v>1200404</v>
      </c>
      <c r="E25" t="inlineStr">
        <is>
          <t>EAVS-2022</t>
        </is>
      </c>
    </row>
    <row r="26">
      <c r="A26" t="inlineStr">
        <is>
          <t>US</t>
        </is>
      </c>
      <c r="B26" s="2" t="n">
        <v>2022</v>
      </c>
      <c r="C26" t="inlineStr">
        <is>
          <t>Other</t>
        </is>
      </c>
      <c r="D26" s="2" t="n">
        <v>7585847</v>
      </c>
      <c r="E26" t="inlineStr">
        <is>
          <t>EAVS-2022</t>
        </is>
      </c>
    </row>
    <row r="27">
      <c r="A27" t="inlineStr">
        <is>
          <t>US</t>
        </is>
      </c>
      <c r="B27" s="2" t="n">
        <v>2022</v>
      </c>
      <c r="C27" t="inlineStr">
        <is>
          <t>Not categorized</t>
        </is>
      </c>
      <c r="D27" s="2" t="n">
        <v>2664163</v>
      </c>
      <c r="E27" t="inlineStr">
        <is>
          <t>EAVS-2022</t>
        </is>
      </c>
    </row>
    <row r="28">
      <c r="A28" t="inlineStr">
        <is>
          <t>US</t>
        </is>
      </c>
      <c r="B28" s="2" t="n">
        <v>2020</v>
      </c>
      <c r="C28" t="inlineStr">
        <is>
          <t>Applications received (total)</t>
        </is>
      </c>
      <c r="D28" s="2" t="n">
        <v>103701513</v>
      </c>
      <c r="E28" t="inlineStr">
        <is>
          <t>EAVS-2020</t>
        </is>
      </c>
    </row>
    <row r="29">
      <c r="A29" t="inlineStr">
        <is>
          <t>US</t>
        </is>
      </c>
      <c r="B29" s="2" t="n">
        <v>2020</v>
      </c>
      <c r="C29" t="inlineStr">
        <is>
          <t>Mail/email/fax</t>
        </is>
      </c>
      <c r="D29" s="2" t="n">
        <v>13253501</v>
      </c>
      <c r="E29" t="inlineStr">
        <is>
          <t>EAVS-2020</t>
        </is>
      </c>
    </row>
    <row r="30">
      <c r="A30" t="inlineStr">
        <is>
          <t>US</t>
        </is>
      </c>
      <c r="B30" s="2" t="n">
        <v>2020</v>
      </c>
      <c r="C30" t="inlineStr">
        <is>
          <t>In person</t>
        </is>
      </c>
      <c r="D30" s="2" t="n">
        <v>8605537</v>
      </c>
      <c r="E30" t="inlineStr">
        <is>
          <t>EAVS-2020</t>
        </is>
      </c>
    </row>
    <row r="31">
      <c r="A31" t="inlineStr">
        <is>
          <t>US</t>
        </is>
      </c>
      <c r="B31" s="2" t="n">
        <v>2020</v>
      </c>
      <c r="C31" t="inlineStr">
        <is>
          <t>Online</t>
        </is>
      </c>
      <c r="D31" s="2" t="n">
        <v>27681700</v>
      </c>
      <c r="E31" t="inlineStr">
        <is>
          <t>EAVS-2020</t>
        </is>
      </c>
    </row>
    <row r="32">
      <c r="A32" t="inlineStr">
        <is>
          <t>US</t>
        </is>
      </c>
      <c r="B32" s="2" t="n">
        <v>2020</v>
      </c>
      <c r="C32" t="inlineStr">
        <is>
          <t>Motor vehicle offices</t>
        </is>
      </c>
      <c r="D32" s="2" t="n">
        <v>39705812</v>
      </c>
      <c r="E32" t="inlineStr">
        <is>
          <t>EAVS-2020</t>
        </is>
      </c>
    </row>
    <row r="33">
      <c r="A33" t="inlineStr">
        <is>
          <t>US</t>
        </is>
      </c>
      <c r="B33" s="2" t="n">
        <v>2020</v>
      </c>
      <c r="C33" t="inlineStr">
        <is>
          <t>Public assistance</t>
        </is>
      </c>
      <c r="D33" s="2" t="n">
        <v>1548664</v>
      </c>
      <c r="E33" t="inlineStr">
        <is>
          <t>EAVS-2020</t>
        </is>
      </c>
    </row>
    <row r="34">
      <c r="A34" t="inlineStr">
        <is>
          <t>US</t>
        </is>
      </c>
      <c r="B34" s="2" t="n">
        <v>2020</v>
      </c>
      <c r="C34" t="inlineStr">
        <is>
          <t>Disability services</t>
        </is>
      </c>
      <c r="D34" s="2" t="n">
        <v>129186</v>
      </c>
      <c r="E34" t="inlineStr">
        <is>
          <t>EAVS-2020</t>
        </is>
      </c>
    </row>
    <row r="35">
      <c r="A35" t="inlineStr">
        <is>
          <t>US</t>
        </is>
      </c>
      <c r="B35" s="2" t="n">
        <v>2020</v>
      </c>
      <c r="C35" t="inlineStr">
        <is>
          <t>Armed forces</t>
        </is>
      </c>
      <c r="D35" s="2" t="n">
        <v>67899</v>
      </c>
      <c r="E35" t="inlineStr">
        <is>
          <t>EAVS-2020</t>
        </is>
      </c>
    </row>
    <row r="36">
      <c r="A36" t="inlineStr">
        <is>
          <t>US</t>
        </is>
      </c>
      <c r="B36" s="2" t="n">
        <v>2020</v>
      </c>
      <c r="C36" t="inlineStr">
        <is>
          <t>Other state agencies</t>
        </is>
      </c>
      <c r="D36" s="2" t="n">
        <v>2264124</v>
      </c>
      <c r="E36" t="inlineStr">
        <is>
          <t>EAVS-2020</t>
        </is>
      </c>
    </row>
    <row r="37">
      <c r="A37" t="inlineStr">
        <is>
          <t>US</t>
        </is>
      </c>
      <c r="B37" s="2" t="n">
        <v>2020</v>
      </c>
      <c r="C37" t="inlineStr">
        <is>
          <t>Registration drives</t>
        </is>
      </c>
      <c r="D37" s="2" t="n">
        <v>1740471</v>
      </c>
      <c r="E37" t="inlineStr">
        <is>
          <t>EAVS-2020</t>
        </is>
      </c>
    </row>
    <row r="38">
      <c r="A38" t="inlineStr">
        <is>
          <t>US</t>
        </is>
      </c>
      <c r="B38" s="2" t="n">
        <v>2020</v>
      </c>
      <c r="C38" t="inlineStr">
        <is>
          <t>Other</t>
        </is>
      </c>
      <c r="D38" s="2" t="n">
        <v>7496129</v>
      </c>
      <c r="E38" t="inlineStr">
        <is>
          <t>EAVS-2020</t>
        </is>
      </c>
    </row>
    <row r="39">
      <c r="A39" t="inlineStr">
        <is>
          <t>US</t>
        </is>
      </c>
      <c r="B39" s="2" t="n">
        <v>2020</v>
      </c>
      <c r="C39" t="inlineStr">
        <is>
          <t>Not categorized</t>
        </is>
      </c>
      <c r="D39" s="2" t="n">
        <v>1208490</v>
      </c>
      <c r="E39" t="inlineStr">
        <is>
          <t>EAVS-2020</t>
        </is>
      </c>
    </row>
    <row r="40">
      <c r="A40" t="inlineStr">
        <is>
          <t>US</t>
        </is>
      </c>
      <c r="B40" s="2" t="n">
        <v>2018</v>
      </c>
      <c r="C40" t="inlineStr">
        <is>
          <t>Applications received (total)</t>
        </is>
      </c>
      <c r="D40" s="2" t="n">
        <v>79854972</v>
      </c>
      <c r="E40" t="inlineStr">
        <is>
          <t>EAVS-2018</t>
        </is>
      </c>
    </row>
    <row r="41">
      <c r="A41" t="inlineStr">
        <is>
          <t>US</t>
        </is>
      </c>
      <c r="B41" s="2" t="n">
        <v>2018</v>
      </c>
      <c r="C41" t="inlineStr">
        <is>
          <t>Mail/email/fax</t>
        </is>
      </c>
      <c r="D41" s="2" t="n">
        <v>9050646</v>
      </c>
      <c r="E41" t="inlineStr">
        <is>
          <t>EAVS-2018</t>
        </is>
      </c>
    </row>
    <row r="42">
      <c r="A42" t="inlineStr">
        <is>
          <t>US</t>
        </is>
      </c>
      <c r="B42" s="2" t="n">
        <v>2018</v>
      </c>
      <c r="C42" t="inlineStr">
        <is>
          <t>In person</t>
        </is>
      </c>
      <c r="D42" s="2" t="n">
        <v>6996437</v>
      </c>
      <c r="E42" t="inlineStr">
        <is>
          <t>EAVS-2018</t>
        </is>
      </c>
    </row>
    <row r="43">
      <c r="A43" t="inlineStr">
        <is>
          <t>US</t>
        </is>
      </c>
      <c r="B43" s="2" t="n">
        <v>2018</v>
      </c>
      <c r="C43" t="inlineStr">
        <is>
          <t>Online</t>
        </is>
      </c>
      <c r="D43" s="2" t="n">
        <v>11253404</v>
      </c>
      <c r="E43" t="inlineStr">
        <is>
          <t>EAVS-2018</t>
        </is>
      </c>
    </row>
    <row r="44">
      <c r="A44" t="inlineStr">
        <is>
          <t>US</t>
        </is>
      </c>
      <c r="B44" s="2" t="n">
        <v>2018</v>
      </c>
      <c r="C44" t="inlineStr">
        <is>
          <t>Motor vehicle offices</t>
        </is>
      </c>
      <c r="D44" s="2" t="n">
        <v>35330384</v>
      </c>
      <c r="E44" t="inlineStr">
        <is>
          <t>EAVS-2018</t>
        </is>
      </c>
    </row>
    <row r="45">
      <c r="A45" t="inlineStr">
        <is>
          <t>US</t>
        </is>
      </c>
      <c r="B45" s="2" t="n">
        <v>2018</v>
      </c>
      <c r="C45" t="inlineStr">
        <is>
          <t>Public assistance</t>
        </is>
      </c>
      <c r="D45" s="2" t="n">
        <v>1626156</v>
      </c>
      <c r="E45" t="inlineStr">
        <is>
          <t>EAVS-2018</t>
        </is>
      </c>
    </row>
    <row r="46">
      <c r="A46" t="inlineStr">
        <is>
          <t>US</t>
        </is>
      </c>
      <c r="B46" s="2" t="n">
        <v>2018</v>
      </c>
      <c r="C46" t="inlineStr">
        <is>
          <t>Disability services</t>
        </is>
      </c>
      <c r="D46" s="2" t="n">
        <v>96107</v>
      </c>
      <c r="E46" t="inlineStr">
        <is>
          <t>EAVS-2018</t>
        </is>
      </c>
    </row>
    <row r="47">
      <c r="A47" t="inlineStr">
        <is>
          <t>US</t>
        </is>
      </c>
      <c r="B47" s="2" t="n">
        <v>2018</v>
      </c>
      <c r="C47" t="inlineStr">
        <is>
          <t>Armed forces</t>
        </is>
      </c>
      <c r="D47" s="2" t="n">
        <v>65737</v>
      </c>
      <c r="E47" t="inlineStr">
        <is>
          <t>EAVS-2018</t>
        </is>
      </c>
    </row>
    <row r="48">
      <c r="A48" t="inlineStr">
        <is>
          <t>US</t>
        </is>
      </c>
      <c r="B48" s="2" t="n">
        <v>2018</v>
      </c>
      <c r="C48" t="inlineStr">
        <is>
          <t>Other state agencies</t>
        </is>
      </c>
      <c r="D48" s="2" t="n">
        <v>1657593</v>
      </c>
      <c r="E48" t="inlineStr">
        <is>
          <t>EAVS-2018</t>
        </is>
      </c>
    </row>
    <row r="49">
      <c r="A49" t="inlineStr">
        <is>
          <t>US</t>
        </is>
      </c>
      <c r="B49" s="2" t="n">
        <v>2018</v>
      </c>
      <c r="C49" t="inlineStr">
        <is>
          <t>Registration drives</t>
        </is>
      </c>
      <c r="D49" s="2" t="n">
        <v>2215034</v>
      </c>
      <c r="E49" t="inlineStr">
        <is>
          <t>EAVS-2018</t>
        </is>
      </c>
    </row>
    <row r="50">
      <c r="A50" t="inlineStr">
        <is>
          <t>US</t>
        </is>
      </c>
      <c r="B50" s="2" t="n">
        <v>2018</v>
      </c>
      <c r="C50" t="inlineStr">
        <is>
          <t>Other</t>
        </is>
      </c>
      <c r="D50" s="2" t="n">
        <v>5133476</v>
      </c>
      <c r="E50" t="inlineStr">
        <is>
          <t>EAVS-2018</t>
        </is>
      </c>
    </row>
    <row r="51">
      <c r="A51" t="inlineStr">
        <is>
          <t>US</t>
        </is>
      </c>
      <c r="B51" s="2" t="n">
        <v>2018</v>
      </c>
      <c r="C51" t="inlineStr">
        <is>
          <t>Not categorized</t>
        </is>
      </c>
      <c r="D51" s="2" t="n">
        <v>6940105</v>
      </c>
      <c r="E51" t="inlineStr">
        <is>
          <t>EAVS-2018</t>
        </is>
      </c>
    </row>
    <row r="52">
      <c r="A52" t="inlineStr">
        <is>
          <t>US</t>
        </is>
      </c>
      <c r="B52" s="2" t="n">
        <v>2016</v>
      </c>
      <c r="C52" t="inlineStr">
        <is>
          <t>Applications received (total)</t>
        </is>
      </c>
      <c r="D52" s="2" t="n">
        <v>77516596</v>
      </c>
      <c r="E52" t="inlineStr">
        <is>
          <t>EAVS-2016</t>
        </is>
      </c>
    </row>
    <row r="53">
      <c r="A53" t="inlineStr">
        <is>
          <t>US</t>
        </is>
      </c>
      <c r="B53" s="2" t="n">
        <v>2016</v>
      </c>
      <c r="C53" t="inlineStr">
        <is>
          <t>By mail</t>
        </is>
      </c>
      <c r="D53" s="2" t="n">
        <v>13407280</v>
      </c>
      <c r="E53" t="inlineStr">
        <is>
          <t>EAVS-2016</t>
        </is>
      </c>
    </row>
    <row r="54">
      <c r="A54" t="inlineStr">
        <is>
          <t>US</t>
        </is>
      </c>
      <c r="B54" s="2" t="n">
        <v>2016</v>
      </c>
      <c r="C54" t="inlineStr">
        <is>
          <t>In person</t>
        </is>
      </c>
      <c r="D54" s="2" t="n">
        <v>9424298</v>
      </c>
      <c r="E54" t="inlineStr">
        <is>
          <t>EAVS-2016</t>
        </is>
      </c>
    </row>
    <row r="55">
      <c r="A55" t="inlineStr">
        <is>
          <t>US</t>
        </is>
      </c>
      <c r="B55" s="2" t="n">
        <v>2016</v>
      </c>
      <c r="C55" t="inlineStr">
        <is>
          <t>Internet</t>
        </is>
      </c>
      <c r="D55" s="2" t="n">
        <v>13485127</v>
      </c>
      <c r="E55" t="inlineStr">
        <is>
          <t>EAVS-2016</t>
        </is>
      </c>
    </row>
    <row r="56">
      <c r="A56" t="inlineStr">
        <is>
          <t>US</t>
        </is>
      </c>
      <c r="B56" s="2" t="n">
        <v>2016</v>
      </c>
      <c r="C56" t="inlineStr">
        <is>
          <t>Motor vehicle offices (DMV)</t>
        </is>
      </c>
      <c r="D56" s="2" t="n">
        <v>25373246</v>
      </c>
      <c r="E56" t="inlineStr">
        <is>
          <t>EAVS-2016</t>
        </is>
      </c>
    </row>
    <row r="57">
      <c r="A57" t="inlineStr">
        <is>
          <t>US</t>
        </is>
      </c>
      <c r="B57" s="2" t="n">
        <v>2016</v>
      </c>
      <c r="C57" t="inlineStr">
        <is>
          <t>Public assistance</t>
        </is>
      </c>
      <c r="D57" s="2" t="n">
        <v>2042557</v>
      </c>
      <c r="E57" t="inlineStr">
        <is>
          <t>EAVS-2016</t>
        </is>
      </c>
    </row>
    <row r="58">
      <c r="A58" t="inlineStr">
        <is>
          <t>US</t>
        </is>
      </c>
      <c r="B58" s="2" t="n">
        <v>2016</v>
      </c>
      <c r="C58" t="inlineStr">
        <is>
          <t>Disability services</t>
        </is>
      </c>
      <c r="D58" s="2" t="n">
        <v>164733</v>
      </c>
      <c r="E58" t="inlineStr">
        <is>
          <t>EAVS-2016</t>
        </is>
      </c>
    </row>
    <row r="59">
      <c r="A59" t="inlineStr">
        <is>
          <t>US</t>
        </is>
      </c>
      <c r="B59" s="2" t="n">
        <v>2016</v>
      </c>
      <c r="C59" t="inlineStr">
        <is>
          <t>Armed forces</t>
        </is>
      </c>
      <c r="D59" s="2" t="n">
        <v>100184</v>
      </c>
      <c r="E59" t="inlineStr">
        <is>
          <t>EAVS-2016</t>
        </is>
      </c>
    </row>
    <row r="60">
      <c r="A60" t="inlineStr">
        <is>
          <t>US</t>
        </is>
      </c>
      <c r="B60" s="2" t="n">
        <v>2016</v>
      </c>
      <c r="C60" t="inlineStr">
        <is>
          <t>Other state agencies</t>
        </is>
      </c>
      <c r="D60" s="2" t="n">
        <v>1644701</v>
      </c>
      <c r="E60" t="inlineStr">
        <is>
          <t>EAVS-2016</t>
        </is>
      </c>
    </row>
    <row r="61">
      <c r="A61" t="inlineStr">
        <is>
          <t>US</t>
        </is>
      </c>
      <c r="B61" s="2" t="n">
        <v>2016</v>
      </c>
      <c r="C61" t="inlineStr">
        <is>
          <t>Registration drives</t>
        </is>
      </c>
      <c r="D61" s="2" t="n">
        <v>2604814</v>
      </c>
      <c r="E61" t="inlineStr">
        <is>
          <t>EAVS-2016</t>
        </is>
      </c>
    </row>
    <row r="62">
      <c r="A62" t="inlineStr">
        <is>
          <t>US</t>
        </is>
      </c>
      <c r="B62" s="2" t="n">
        <v>2016</v>
      </c>
      <c r="C62" t="inlineStr">
        <is>
          <t>Other</t>
        </is>
      </c>
      <c r="D62" s="2" t="n">
        <v>5270517</v>
      </c>
      <c r="E62" t="inlineStr">
        <is>
          <t>EAVS-2016</t>
        </is>
      </c>
    </row>
    <row r="63">
      <c r="A63" t="inlineStr">
        <is>
          <t>US</t>
        </is>
      </c>
      <c r="B63" s="2" t="n">
        <v>2016</v>
      </c>
      <c r="C63" t="inlineStr">
        <is>
          <t>Not categorized</t>
        </is>
      </c>
      <c r="D63" s="2" t="n">
        <v>3999139</v>
      </c>
      <c r="E63" t="inlineStr">
        <is>
          <t>EAVS-2016</t>
        </is>
      </c>
    </row>
    <row r="64">
      <c r="A64" t="inlineStr">
        <is>
          <t>US</t>
        </is>
      </c>
      <c r="B64" s="2" t="n">
        <v>2014</v>
      </c>
      <c r="C64" t="inlineStr">
        <is>
          <t>Applications (rounded narrative)</t>
        </is>
      </c>
      <c r="D64" t="inlineStr">
        <is>
          <t>~49.4 million</t>
        </is>
      </c>
      <c r="E64" t="inlineStr">
        <is>
          <t>EAVS-2014</t>
        </is>
      </c>
    </row>
    <row r="65">
      <c r="A65" t="inlineStr">
        <is>
          <t>US</t>
        </is>
      </c>
      <c r="B65" s="2" t="n">
        <v>2014</v>
      </c>
      <c r="C65" t="inlineStr">
        <is>
          <t>Motor vehicle (rounded)</t>
        </is>
      </c>
      <c r="D65" t="inlineStr">
        <is>
          <t>~17.5 million</t>
        </is>
      </c>
      <c r="E65" t="inlineStr">
        <is>
          <t>EAVS-2014</t>
        </is>
      </c>
    </row>
    <row r="66">
      <c r="A66" t="inlineStr">
        <is>
          <t>US</t>
        </is>
      </c>
      <c r="B66" s="2" t="n">
        <v>2014</v>
      </c>
      <c r="C66" t="inlineStr">
        <is>
          <t>Mail (rounded)</t>
        </is>
      </c>
      <c r="D66" t="inlineStr">
        <is>
          <t>~7.8 million</t>
        </is>
      </c>
      <c r="E66" t="inlineStr">
        <is>
          <t>EAVS-2014</t>
        </is>
      </c>
    </row>
    <row r="67">
      <c r="A67" t="inlineStr">
        <is>
          <t>US</t>
        </is>
      </c>
      <c r="B67" s="2" t="n">
        <v>2014</v>
      </c>
      <c r="C67" t="inlineStr">
        <is>
          <t>In person (rounded)</t>
        </is>
      </c>
      <c r="D67" t="inlineStr">
        <is>
          <t>~5.5 million</t>
        </is>
      </c>
      <c r="E67" t="inlineStr">
        <is>
          <t>EAVS-2014</t>
        </is>
      </c>
    </row>
    <row r="68">
      <c r="A68" t="inlineStr">
        <is>
          <t>US</t>
        </is>
      </c>
      <c r="B68" s="2" t="n">
        <v>2012</v>
      </c>
      <c r="C68" t="inlineStr">
        <is>
          <t>Forms (rounded narrative)</t>
        </is>
      </c>
      <c r="D68" t="inlineStr">
        <is>
          <t>&gt;62.5 million</t>
        </is>
      </c>
      <c r="E68" t="inlineStr">
        <is>
          <t>NVRA-2012</t>
        </is>
      </c>
    </row>
    <row r="69">
      <c r="A69" t="inlineStr">
        <is>
          <t>US</t>
        </is>
      </c>
      <c r="B69" s="2" t="n">
        <v>2012</v>
      </c>
      <c r="C69" t="inlineStr">
        <is>
          <t>Motor vehicle (rounded)</t>
        </is>
      </c>
      <c r="D69" t="inlineStr">
        <is>
          <t>~20.3 million</t>
        </is>
      </c>
      <c r="E69" t="inlineStr">
        <is>
          <t>NVRA-2012</t>
        </is>
      </c>
    </row>
    <row r="70">
      <c r="A70" t="inlineStr">
        <is>
          <t>US</t>
        </is>
      </c>
      <c r="B70" s="2" t="n">
        <v>2012</v>
      </c>
      <c r="C70" t="inlineStr">
        <is>
          <t>Mail (rounded)</t>
        </is>
      </c>
      <c r="D70" t="inlineStr">
        <is>
          <t>~14.6 million</t>
        </is>
      </c>
      <c r="E70" t="inlineStr">
        <is>
          <t>NVRA-2012</t>
        </is>
      </c>
    </row>
    <row r="71">
      <c r="A71" t="inlineStr">
        <is>
          <t>US</t>
        </is>
      </c>
      <c r="B71" s="2" t="n">
        <v>2012</v>
      </c>
      <c r="C71" t="inlineStr">
        <is>
          <t>In person (rounded)</t>
        </is>
      </c>
      <c r="D71" t="inlineStr">
        <is>
          <t>~10.3 million</t>
        </is>
      </c>
      <c r="E71" t="inlineStr">
        <is>
          <t>NVRA-2012</t>
        </is>
      </c>
    </row>
    <row r="72">
      <c r="A72" t="inlineStr">
        <is>
          <t>US</t>
        </is>
      </c>
      <c r="B72" s="2" t="n">
        <v>2012</v>
      </c>
      <c r="C72" t="inlineStr">
        <is>
          <t>Internet</t>
        </is>
      </c>
      <c r="D72" s="2" t="n">
        <v>3329216</v>
      </c>
      <c r="E72" t="inlineStr">
        <is>
          <t>NVRA-2012</t>
        </is>
      </c>
    </row>
    <row r="73">
      <c r="A73" t="inlineStr">
        <is>
          <t>US</t>
        </is>
      </c>
      <c r="B73" s="2" t="n">
        <v>2010</v>
      </c>
      <c r="C73" t="inlineStr">
        <is>
          <t>Forms (rounded)</t>
        </is>
      </c>
      <c r="D73" t="inlineStr">
        <is>
          <t>~45.5 million</t>
        </is>
      </c>
      <c r="E73" t="inlineStr">
        <is>
          <t>NVRA-2010</t>
        </is>
      </c>
    </row>
    <row r="74">
      <c r="A74" t="inlineStr">
        <is>
          <t>US</t>
        </is>
      </c>
      <c r="B74" s="2" t="n">
        <v>2010</v>
      </c>
      <c r="C74" t="inlineStr">
        <is>
          <t>Motor vehicle (rounded)</t>
        </is>
      </c>
      <c r="D74" t="inlineStr">
        <is>
          <t>~16.9 million</t>
        </is>
      </c>
      <c r="E74" t="inlineStr">
        <is>
          <t>NVRA-2010</t>
        </is>
      </c>
    </row>
    <row r="75">
      <c r="A75" t="inlineStr">
        <is>
          <t>US</t>
        </is>
      </c>
      <c r="B75" s="2" t="n">
        <v>2010</v>
      </c>
      <c r="C75" t="inlineStr">
        <is>
          <t>Mail (rounded)</t>
        </is>
      </c>
      <c r="D75" t="inlineStr">
        <is>
          <t>9.5 million</t>
        </is>
      </c>
      <c r="E75" t="inlineStr">
        <is>
          <t>NVRA-2010</t>
        </is>
      </c>
    </row>
    <row r="76">
      <c r="A76" t="inlineStr">
        <is>
          <t>US</t>
        </is>
      </c>
      <c r="B76" s="2" t="n">
        <v>2010</v>
      </c>
      <c r="C76" t="inlineStr">
        <is>
          <t>In person (rounded)</t>
        </is>
      </c>
      <c r="D76" t="inlineStr">
        <is>
          <t>6.6 million</t>
        </is>
      </c>
      <c r="E76" t="inlineStr">
        <is>
          <t>NVRA-2010</t>
        </is>
      </c>
    </row>
    <row r="77">
      <c r="A77" t="inlineStr">
        <is>
          <t>US</t>
        </is>
      </c>
      <c r="B77" s="2" t="n">
        <v>2010</v>
      </c>
      <c r="C77" t="inlineStr">
        <is>
          <t>Internet</t>
        </is>
      </c>
      <c r="D77" s="2" t="n">
        <v>768211</v>
      </c>
      <c r="E77" t="inlineStr">
        <is>
          <t>NVRA-2010</t>
        </is>
      </c>
    </row>
    <row r="78">
      <c r="A78" t="inlineStr">
        <is>
          <t>US</t>
        </is>
      </c>
      <c r="B78" s="2" t="n">
        <v>2008</v>
      </c>
      <c r="C78" t="inlineStr">
        <is>
          <t>Forms (rounded)</t>
        </is>
      </c>
      <c r="D78" t="inlineStr">
        <is>
          <t>&gt;60.3 million</t>
        </is>
      </c>
      <c r="E78" t="inlineStr">
        <is>
          <t>NVRA-2008</t>
        </is>
      </c>
    </row>
    <row r="79">
      <c r="A79" t="inlineStr">
        <is>
          <t>US</t>
        </is>
      </c>
      <c r="B79" s="2" t="n">
        <v>2008</v>
      </c>
      <c r="C79" t="inlineStr">
        <is>
          <t>Motor vehicle (rounded)</t>
        </is>
      </c>
      <c r="D79" t="inlineStr">
        <is>
          <t>&gt;18.1 million</t>
        </is>
      </c>
      <c r="E79" t="inlineStr">
        <is>
          <t>NVRA-2008</t>
        </is>
      </c>
    </row>
    <row r="80">
      <c r="A80" t="inlineStr">
        <is>
          <t>US</t>
        </is>
      </c>
      <c r="B80" s="2" t="n">
        <v>2008</v>
      </c>
      <c r="C80" t="inlineStr">
        <is>
          <t>Mail (rounded)</t>
        </is>
      </c>
      <c r="D80" t="inlineStr">
        <is>
          <t>17.4 million</t>
        </is>
      </c>
      <c r="E80" t="inlineStr">
        <is>
          <t>NVRA-2008</t>
        </is>
      </c>
    </row>
    <row r="81">
      <c r="A81" t="inlineStr">
        <is>
          <t>US</t>
        </is>
      </c>
      <c r="B81" s="2" t="n">
        <v>2008</v>
      </c>
      <c r="C81" t="inlineStr">
        <is>
          <t>In person (rounded)</t>
        </is>
      </c>
      <c r="D81" t="inlineStr">
        <is>
          <t>9 million</t>
        </is>
      </c>
      <c r="E81" t="inlineStr">
        <is>
          <t>NVRA-2008</t>
        </is>
      </c>
    </row>
    <row r="82">
      <c r="A82" t="inlineStr">
        <is>
          <t>US</t>
        </is>
      </c>
      <c r="B82" s="2" t="n">
        <v>2008</v>
      </c>
      <c r="C82" t="inlineStr">
        <is>
          <t>Internet (rounded)</t>
        </is>
      </c>
      <c r="D82" t="inlineStr">
        <is>
          <t>~700,000</t>
        </is>
      </c>
      <c r="E82" t="inlineStr">
        <is>
          <t>NVRA-2008</t>
        </is>
      </c>
    </row>
    <row r="83">
      <c r="A83" t="inlineStr">
        <is>
          <t>US</t>
        </is>
      </c>
      <c r="B83" s="2" t="n">
        <v>2006</v>
      </c>
      <c r="C83" t="inlineStr">
        <is>
          <t>Applications (rounded)</t>
        </is>
      </c>
      <c r="D83" t="inlineStr">
        <is>
          <t>36.3 million</t>
        </is>
      </c>
      <c r="E83" t="inlineStr">
        <is>
          <t>NVRA-2006</t>
        </is>
      </c>
    </row>
    <row r="84">
      <c r="A84" t="inlineStr">
        <is>
          <t>US</t>
        </is>
      </c>
      <c r="B84" s="2" t="n">
        <v>2006</v>
      </c>
      <c r="C84" t="inlineStr">
        <is>
          <t>Mail (rounded)</t>
        </is>
      </c>
      <c r="D84" t="inlineStr">
        <is>
          <t>8.2 million</t>
        </is>
      </c>
      <c r="E84" t="inlineStr">
        <is>
          <t>NVRA-2006</t>
        </is>
      </c>
    </row>
    <row r="85">
      <c r="A85" t="inlineStr">
        <is>
          <t>US</t>
        </is>
      </c>
      <c r="B85" s="2" t="n">
        <v>2006</v>
      </c>
      <c r="C85" t="inlineStr">
        <is>
          <t>In person (rounded)</t>
        </is>
      </c>
      <c r="D85" t="inlineStr">
        <is>
          <t>7.1 million</t>
        </is>
      </c>
      <c r="E85" t="inlineStr">
        <is>
          <t>NVRA-2006</t>
        </is>
      </c>
    </row>
    <row r="86">
      <c r="A86" t="inlineStr">
        <is>
          <t>US</t>
        </is>
      </c>
      <c r="B86" s="2" t="n">
        <v>2006</v>
      </c>
      <c r="C86" t="inlineStr">
        <is>
          <t>Motor vehicle (rounded)</t>
        </is>
      </c>
      <c r="D86" t="inlineStr">
        <is>
          <t>~16.6 million</t>
        </is>
      </c>
      <c r="E86" t="inlineStr">
        <is>
          <t>NVRA-2006</t>
        </is>
      </c>
    </row>
    <row r="87">
      <c r="A87" t="inlineStr">
        <is>
          <t>Colorado</t>
        </is>
      </c>
      <c r="B87" s="2" t="n">
        <v>2024</v>
      </c>
      <c r="C87" t="inlineStr">
        <is>
          <t>Transactions received (total)</t>
        </is>
      </c>
      <c r="D87" s="2" t="n">
        <v>3832931</v>
      </c>
      <c r="E87" t="inlineStr">
        <is>
          <t>EAVS-2024</t>
        </is>
      </c>
    </row>
    <row r="88">
      <c r="A88" t="inlineStr">
        <is>
          <t>Colorado</t>
        </is>
      </c>
      <c r="B88" s="2" t="n">
        <v>2024</v>
      </c>
      <c r="C88" t="inlineStr">
        <is>
          <t>Mail/email/fax</t>
        </is>
      </c>
      <c r="D88" s="2" t="n">
        <v>270637</v>
      </c>
      <c r="E88" t="inlineStr">
        <is>
          <t>EAVS-2024</t>
        </is>
      </c>
    </row>
    <row r="89">
      <c r="A89" t="inlineStr">
        <is>
          <t>Colorado</t>
        </is>
      </c>
      <c r="B89" s="2" t="n">
        <v>2024</v>
      </c>
      <c r="C89" t="inlineStr">
        <is>
          <t>In person</t>
        </is>
      </c>
      <c r="D89" s="2" t="n">
        <v>64193</v>
      </c>
      <c r="E89" t="inlineStr">
        <is>
          <t>EAVS-2024</t>
        </is>
      </c>
    </row>
    <row r="90">
      <c r="A90" t="inlineStr">
        <is>
          <t>Colorado</t>
        </is>
      </c>
      <c r="B90" s="2" t="n">
        <v>2024</v>
      </c>
      <c r="C90" t="inlineStr">
        <is>
          <t>Online</t>
        </is>
      </c>
      <c r="D90" s="2" t="n">
        <v>711329</v>
      </c>
      <c r="E90" t="inlineStr">
        <is>
          <t>EAVS-2024</t>
        </is>
      </c>
    </row>
    <row r="91">
      <c r="A91" t="inlineStr">
        <is>
          <t>Colorado</t>
        </is>
      </c>
      <c r="B91" s="2" t="n">
        <v>2024</v>
      </c>
      <c r="C91" t="inlineStr">
        <is>
          <t>Automatic voter registration (AVR)</t>
        </is>
      </c>
      <c r="D91" s="2" t="n">
        <v>2202812</v>
      </c>
      <c r="E91" t="inlineStr">
        <is>
          <t>EAVS-2024</t>
        </is>
      </c>
    </row>
    <row r="92">
      <c r="A92" t="inlineStr">
        <is>
          <t>Colorado</t>
        </is>
      </c>
      <c r="B92" s="2" t="n">
        <v>2024</v>
      </c>
      <c r="C92" t="inlineStr">
        <is>
          <t>Motor vehicle offices (non-AVR)</t>
        </is>
      </c>
      <c r="D92" s="2" t="n">
        <v>0</v>
      </c>
      <c r="E92" t="inlineStr">
        <is>
          <t>EAVS-2024</t>
        </is>
      </c>
    </row>
    <row r="93">
      <c r="A93" t="inlineStr">
        <is>
          <t>Colorado</t>
        </is>
      </c>
      <c r="B93" s="2" t="n">
        <v>2024</v>
      </c>
      <c r="C93" t="inlineStr">
        <is>
          <t>Public assistance</t>
        </is>
      </c>
      <c r="D93" s="2" t="n">
        <v>24511</v>
      </c>
      <c r="E93" t="inlineStr">
        <is>
          <t>EAVS-2024</t>
        </is>
      </c>
    </row>
    <row r="94">
      <c r="A94" t="inlineStr">
        <is>
          <t>Colorado</t>
        </is>
      </c>
      <c r="B94" s="2" t="n">
        <v>2024</v>
      </c>
      <c r="C94" t="inlineStr">
        <is>
          <t>Disability services</t>
        </is>
      </c>
      <c r="D94" s="2" t="n">
        <v>187</v>
      </c>
      <c r="E94" t="inlineStr">
        <is>
          <t>EAVS-2024</t>
        </is>
      </c>
    </row>
    <row r="95">
      <c r="A95" t="inlineStr">
        <is>
          <t>Colorado</t>
        </is>
      </c>
      <c r="B95" s="2" t="n">
        <v>2024</v>
      </c>
      <c r="C95" t="inlineStr">
        <is>
          <t>Armed forces</t>
        </is>
      </c>
      <c r="D95" s="2" t="n">
        <v>5</v>
      </c>
      <c r="E95" t="inlineStr">
        <is>
          <t>EAVS-2024</t>
        </is>
      </c>
    </row>
    <row r="96">
      <c r="A96" t="inlineStr">
        <is>
          <t>Colorado</t>
        </is>
      </c>
      <c r="B96" s="2" t="n">
        <v>2024</v>
      </c>
      <c r="C96" t="inlineStr">
        <is>
          <t>Other state agencies</t>
        </is>
      </c>
      <c r="D96" t="inlineStr">
        <is>
          <t>-- (not reported by state)</t>
        </is>
      </c>
      <c r="E96" t="inlineStr">
        <is>
          <t>EAVS-2024</t>
        </is>
      </c>
    </row>
    <row r="97">
      <c r="A97" t="inlineStr">
        <is>
          <t>Colorado</t>
        </is>
      </c>
      <c r="B97" s="2" t="n">
        <v>2024</v>
      </c>
      <c r="C97" t="inlineStr">
        <is>
          <t>Registration drives</t>
        </is>
      </c>
      <c r="D97" s="2" t="n">
        <v>16112</v>
      </c>
      <c r="E97" t="inlineStr">
        <is>
          <t>EAVS-2024</t>
        </is>
      </c>
    </row>
    <row r="98">
      <c r="A98" t="inlineStr">
        <is>
          <t>Colorado</t>
        </is>
      </c>
      <c r="B98" s="2" t="n">
        <v>2024</v>
      </c>
      <c r="C98" t="inlineStr">
        <is>
          <t>Polling places / same-day</t>
        </is>
      </c>
      <c r="D98" s="2" t="n">
        <v>224672</v>
      </c>
      <c r="E98" t="inlineStr">
        <is>
          <t>EAVS-2024</t>
        </is>
      </c>
    </row>
    <row r="99">
      <c r="A99" t="inlineStr">
        <is>
          <t>Colorado</t>
        </is>
      </c>
      <c r="B99" s="2" t="n">
        <v>2024</v>
      </c>
      <c r="C99" t="inlineStr">
        <is>
          <t>Other</t>
        </is>
      </c>
      <c r="D99" s="2" t="n">
        <v>318473</v>
      </c>
      <c r="E99" t="inlineStr">
        <is>
          <t>EAVS-2024</t>
        </is>
      </c>
    </row>
    <row r="100">
      <c r="A100" t="inlineStr">
        <is>
          <t>Colorado</t>
        </is>
      </c>
      <c r="B100" s="2" t="n">
        <v>2024</v>
      </c>
      <c r="C100" t="inlineStr">
        <is>
          <t>Not categorized</t>
        </is>
      </c>
      <c r="D100" s="2" t="n">
        <v>0</v>
      </c>
      <c r="E100" t="inlineStr">
        <is>
          <t>EAVS-2024</t>
        </is>
      </c>
    </row>
    <row r="101">
      <c r="A101" t="inlineStr">
        <is>
          <t>Colorado</t>
        </is>
      </c>
      <c r="B101" s="2" t="n">
        <v>2022</v>
      </c>
      <c r="C101" t="inlineStr">
        <is>
          <t>Applications (total)</t>
        </is>
      </c>
      <c r="D101" s="2" t="n">
        <v>3042434</v>
      </c>
      <c r="E101" t="inlineStr">
        <is>
          <t>EAVS-2022</t>
        </is>
      </c>
    </row>
    <row r="102">
      <c r="A102" t="inlineStr">
        <is>
          <t>Colorado</t>
        </is>
      </c>
      <c r="B102" s="2" t="n">
        <v>2022</v>
      </c>
      <c r="C102" t="inlineStr">
        <is>
          <t>Mail</t>
        </is>
      </c>
      <c r="D102" s="2" t="n">
        <v>248408</v>
      </c>
      <c r="E102" t="inlineStr">
        <is>
          <t>EAVS-2022</t>
        </is>
      </c>
    </row>
    <row r="103">
      <c r="A103" t="inlineStr">
        <is>
          <t>Colorado</t>
        </is>
      </c>
      <c r="B103" s="2" t="n">
        <v>2022</v>
      </c>
      <c r="C103" t="inlineStr">
        <is>
          <t>In person</t>
        </is>
      </c>
      <c r="D103" s="2" t="n">
        <v>39533</v>
      </c>
      <c r="E103" t="inlineStr">
        <is>
          <t>EAVS-2022</t>
        </is>
      </c>
    </row>
    <row r="104">
      <c r="A104" t="inlineStr">
        <is>
          <t>Colorado</t>
        </is>
      </c>
      <c r="B104" s="2" t="n">
        <v>2022</v>
      </c>
      <c r="C104" t="inlineStr">
        <is>
          <t>Online</t>
        </is>
      </c>
      <c r="D104" s="2" t="n">
        <v>468561</v>
      </c>
      <c r="E104" t="inlineStr">
        <is>
          <t>EAVS-2022</t>
        </is>
      </c>
    </row>
    <row r="105">
      <c r="A105" t="inlineStr">
        <is>
          <t>Colorado</t>
        </is>
      </c>
      <c r="B105" s="2" t="n">
        <v>2022</v>
      </c>
      <c r="C105" t="inlineStr">
        <is>
          <t>Motor vehicle</t>
        </is>
      </c>
      <c r="D105" s="2" t="n">
        <v>2171174</v>
      </c>
      <c r="E105" t="inlineStr">
        <is>
          <t>EAVS-2022</t>
        </is>
      </c>
    </row>
    <row r="106">
      <c r="A106" t="inlineStr">
        <is>
          <t>Colorado</t>
        </is>
      </c>
      <c r="B106" s="2" t="n">
        <v>2022</v>
      </c>
      <c r="C106" t="inlineStr">
        <is>
          <t>Public assistance</t>
        </is>
      </c>
      <c r="D106" s="2" t="n">
        <v>24508</v>
      </c>
      <c r="E106" t="inlineStr">
        <is>
          <t>EAVS-2022</t>
        </is>
      </c>
    </row>
    <row r="107">
      <c r="A107" t="inlineStr">
        <is>
          <t>Colorado</t>
        </is>
      </c>
      <c r="B107" s="2" t="n">
        <v>2022</v>
      </c>
      <c r="C107" t="inlineStr">
        <is>
          <t>Disability</t>
        </is>
      </c>
      <c r="D107" s="2" t="n">
        <v>316</v>
      </c>
      <c r="E107" t="inlineStr">
        <is>
          <t>EAVS-2022</t>
        </is>
      </c>
    </row>
    <row r="108">
      <c r="A108" t="inlineStr">
        <is>
          <t>Colorado</t>
        </is>
      </c>
      <c r="B108" s="2" t="n">
        <v>2022</v>
      </c>
      <c r="C108" t="inlineStr">
        <is>
          <t>Armed forces</t>
        </is>
      </c>
      <c r="D108" s="2" t="n">
        <v>13</v>
      </c>
      <c r="E108" t="inlineStr">
        <is>
          <t>EAVS-2022</t>
        </is>
      </c>
    </row>
    <row r="109">
      <c r="A109" t="inlineStr">
        <is>
          <t>Colorado</t>
        </is>
      </c>
      <c r="B109" s="2" t="n">
        <v>2022</v>
      </c>
      <c r="C109" t="inlineStr">
        <is>
          <t>Registration drives</t>
        </is>
      </c>
      <c r="D109" s="2" t="n">
        <v>37581</v>
      </c>
      <c r="E109" t="inlineStr">
        <is>
          <t>EAVS-2022</t>
        </is>
      </c>
    </row>
    <row r="110">
      <c r="A110" t="inlineStr">
        <is>
          <t>Colorado</t>
        </is>
      </c>
      <c r="B110" s="2" t="n">
        <v>2022</v>
      </c>
      <c r="C110" t="inlineStr">
        <is>
          <t>Other</t>
        </is>
      </c>
      <c r="D110" s="2" t="n">
        <v>52340</v>
      </c>
      <c r="E110" t="inlineStr">
        <is>
          <t>EAVS-2022</t>
        </is>
      </c>
    </row>
    <row r="111">
      <c r="A111" t="inlineStr">
        <is>
          <t>Colorado</t>
        </is>
      </c>
      <c r="B111" s="2" t="n">
        <v>2020</v>
      </c>
      <c r="C111" t="inlineStr">
        <is>
          <t>Applications (total)</t>
        </is>
      </c>
      <c r="D111" s="2" t="n">
        <v>3195131</v>
      </c>
      <c r="E111" t="inlineStr">
        <is>
          <t>EAVS-2020</t>
        </is>
      </c>
    </row>
    <row r="112">
      <c r="A112" t="inlineStr">
        <is>
          <t>Colorado</t>
        </is>
      </c>
      <c r="B112" s="2" t="n">
        <v>2020</v>
      </c>
      <c r="C112" t="inlineStr">
        <is>
          <t>Mail</t>
        </is>
      </c>
      <c r="D112" s="2" t="n">
        <v>449231</v>
      </c>
      <c r="E112" t="inlineStr">
        <is>
          <t>EAVS-2020</t>
        </is>
      </c>
    </row>
    <row r="113">
      <c r="A113" t="inlineStr">
        <is>
          <t>Colorado</t>
        </is>
      </c>
      <c r="B113" s="2" t="n">
        <v>2020</v>
      </c>
      <c r="C113" t="inlineStr">
        <is>
          <t>In person</t>
        </is>
      </c>
      <c r="D113" s="2" t="n">
        <v>70691</v>
      </c>
      <c r="E113" t="inlineStr">
        <is>
          <t>EAVS-2020</t>
        </is>
      </c>
    </row>
    <row r="114">
      <c r="A114" t="inlineStr">
        <is>
          <t>Colorado</t>
        </is>
      </c>
      <c r="B114" s="2" t="n">
        <v>2020</v>
      </c>
      <c r="C114" t="inlineStr">
        <is>
          <t>Online</t>
        </is>
      </c>
      <c r="D114" s="2" t="n">
        <v>873530</v>
      </c>
      <c r="E114" t="inlineStr">
        <is>
          <t>EAVS-2020</t>
        </is>
      </c>
    </row>
    <row r="115">
      <c r="A115" t="inlineStr">
        <is>
          <t>Colorado</t>
        </is>
      </c>
      <c r="B115" s="2" t="n">
        <v>2020</v>
      </c>
      <c r="C115" t="inlineStr">
        <is>
          <t>Motor vehicle</t>
        </is>
      </c>
      <c r="D115" s="2" t="n">
        <v>1587291</v>
      </c>
      <c r="E115" t="inlineStr">
        <is>
          <t>EAVS-2020</t>
        </is>
      </c>
    </row>
    <row r="116">
      <c r="A116" t="inlineStr">
        <is>
          <t>Colorado</t>
        </is>
      </c>
      <c r="B116" s="2" t="n">
        <v>2020</v>
      </c>
      <c r="C116" t="inlineStr">
        <is>
          <t>Public assistance</t>
        </is>
      </c>
      <c r="D116" s="2" t="n">
        <v>38028</v>
      </c>
      <c r="E116" t="inlineStr">
        <is>
          <t>EAVS-2020</t>
        </is>
      </c>
    </row>
    <row r="117">
      <c r="A117" t="inlineStr">
        <is>
          <t>Colorado</t>
        </is>
      </c>
      <c r="B117" s="2" t="n">
        <v>2020</v>
      </c>
      <c r="C117" t="inlineStr">
        <is>
          <t>Disability</t>
        </is>
      </c>
      <c r="D117" s="2" t="n">
        <v>2108</v>
      </c>
      <c r="E117" t="inlineStr">
        <is>
          <t>EAVS-2020</t>
        </is>
      </c>
    </row>
    <row r="118">
      <c r="A118" t="inlineStr">
        <is>
          <t>Colorado</t>
        </is>
      </c>
      <c r="B118" s="2" t="n">
        <v>2020</v>
      </c>
      <c r="C118" t="inlineStr">
        <is>
          <t>Armed forces</t>
        </is>
      </c>
      <c r="D118" s="2" t="n">
        <v>37</v>
      </c>
      <c r="E118" t="inlineStr">
        <is>
          <t>EAVS-2020</t>
        </is>
      </c>
    </row>
    <row r="119">
      <c r="A119" t="inlineStr">
        <is>
          <t>Colorado</t>
        </is>
      </c>
      <c r="B119" s="2" t="n">
        <v>2020</v>
      </c>
      <c r="C119" t="inlineStr">
        <is>
          <t>Registration drives</t>
        </is>
      </c>
      <c r="D119" s="2" t="n">
        <v>86182</v>
      </c>
      <c r="E119" t="inlineStr">
        <is>
          <t>EAVS-2020</t>
        </is>
      </c>
    </row>
    <row r="120">
      <c r="A120" t="inlineStr">
        <is>
          <t>Colorado</t>
        </is>
      </c>
      <c r="B120" s="2" t="n">
        <v>2020</v>
      </c>
      <c r="C120" t="inlineStr">
        <is>
          <t>Other</t>
        </is>
      </c>
      <c r="D120" s="2" t="n">
        <v>88033</v>
      </c>
      <c r="E120" t="inlineStr">
        <is>
          <t>EAVS-2020</t>
        </is>
      </c>
    </row>
    <row r="121">
      <c r="A121" t="inlineStr">
        <is>
          <t>Colorado</t>
        </is>
      </c>
      <c r="B121" s="2" t="n">
        <v>2018</v>
      </c>
      <c r="C121" t="inlineStr">
        <is>
          <t>Applications (total)</t>
        </is>
      </c>
      <c r="D121" s="2" t="n">
        <v>1434349</v>
      </c>
      <c r="E121" t="inlineStr">
        <is>
          <t>EAVS-2018</t>
        </is>
      </c>
    </row>
    <row r="122">
      <c r="A122" t="inlineStr">
        <is>
          <t>Colorado</t>
        </is>
      </c>
      <c r="B122" s="2" t="n">
        <v>2018</v>
      </c>
      <c r="C122" t="inlineStr">
        <is>
          <t>Mail</t>
        </is>
      </c>
      <c r="D122" s="2" t="n">
        <v>101488</v>
      </c>
      <c r="E122" t="inlineStr">
        <is>
          <t>EAVS-2018</t>
        </is>
      </c>
    </row>
    <row r="123">
      <c r="A123" t="inlineStr">
        <is>
          <t>Colorado</t>
        </is>
      </c>
      <c r="B123" s="2" t="n">
        <v>2018</v>
      </c>
      <c r="C123" t="inlineStr">
        <is>
          <t>In person</t>
        </is>
      </c>
      <c r="D123" s="2" t="n">
        <v>33453</v>
      </c>
      <c r="E123" t="inlineStr">
        <is>
          <t>EAVS-2018</t>
        </is>
      </c>
    </row>
    <row r="124">
      <c r="A124" t="inlineStr">
        <is>
          <t>Colorado</t>
        </is>
      </c>
      <c r="B124" s="2" t="n">
        <v>2018</v>
      </c>
      <c r="C124" t="inlineStr">
        <is>
          <t>Online</t>
        </is>
      </c>
      <c r="D124" s="2" t="n">
        <v>351629</v>
      </c>
      <c r="E124" t="inlineStr">
        <is>
          <t>EAVS-2018</t>
        </is>
      </c>
    </row>
    <row r="125">
      <c r="A125" t="inlineStr">
        <is>
          <t>Colorado</t>
        </is>
      </c>
      <c r="B125" s="2" t="n">
        <v>2018</v>
      </c>
      <c r="C125" t="inlineStr">
        <is>
          <t>Motor vehicle</t>
        </is>
      </c>
      <c r="D125" s="2" t="n">
        <v>782426</v>
      </c>
      <c r="E125" t="inlineStr">
        <is>
          <t>EAVS-2018</t>
        </is>
      </c>
    </row>
    <row r="126">
      <c r="A126" t="inlineStr">
        <is>
          <t>Colorado</t>
        </is>
      </c>
      <c r="B126" s="2" t="n">
        <v>2018</v>
      </c>
      <c r="C126" t="inlineStr">
        <is>
          <t>Public assistance</t>
        </is>
      </c>
      <c r="D126" s="2" t="n">
        <v>31576</v>
      </c>
      <c r="E126" t="inlineStr">
        <is>
          <t>EAVS-2018</t>
        </is>
      </c>
    </row>
    <row r="127">
      <c r="A127" t="inlineStr">
        <is>
          <t>Colorado</t>
        </is>
      </c>
      <c r="B127" s="2" t="n">
        <v>2018</v>
      </c>
      <c r="C127" t="inlineStr">
        <is>
          <t>Disability</t>
        </is>
      </c>
      <c r="D127" s="2" t="n">
        <v>181</v>
      </c>
      <c r="E127" t="inlineStr">
        <is>
          <t>EAVS-2018</t>
        </is>
      </c>
    </row>
    <row r="128">
      <c r="A128" t="inlineStr">
        <is>
          <t>Colorado</t>
        </is>
      </c>
      <c r="B128" s="2" t="n">
        <v>2018</v>
      </c>
      <c r="C128" t="inlineStr">
        <is>
          <t>Armed forces</t>
        </is>
      </c>
      <c r="D128" s="2" t="n">
        <v>28</v>
      </c>
      <c r="E128" t="inlineStr">
        <is>
          <t>EAVS-2018</t>
        </is>
      </c>
    </row>
    <row r="129">
      <c r="A129" t="inlineStr">
        <is>
          <t>Colorado</t>
        </is>
      </c>
      <c r="B129" s="2" t="n">
        <v>2018</v>
      </c>
      <c r="C129" t="inlineStr">
        <is>
          <t>Registration drives</t>
        </is>
      </c>
      <c r="D129" s="2" t="n">
        <v>89963</v>
      </c>
      <c r="E129" t="inlineStr">
        <is>
          <t>EAVS-2018</t>
        </is>
      </c>
    </row>
    <row r="130">
      <c r="A130" t="inlineStr">
        <is>
          <t>Colorado</t>
        </is>
      </c>
      <c r="B130" s="2" t="n">
        <v>2018</v>
      </c>
      <c r="C130" t="inlineStr">
        <is>
          <t>Other</t>
        </is>
      </c>
      <c r="D130" s="2" t="n">
        <v>43605</v>
      </c>
      <c r="E130" t="inlineStr">
        <is>
          <t>EAVS-2018</t>
        </is>
      </c>
    </row>
    <row r="131">
      <c r="A131" t="inlineStr">
        <is>
          <t>Colorado</t>
        </is>
      </c>
      <c r="B131" s="2" t="n">
        <v>2016</v>
      </c>
      <c r="C131" t="inlineStr">
        <is>
          <t>Applications (total)</t>
        </is>
      </c>
      <c r="D131" s="2" t="n">
        <v>1580143</v>
      </c>
      <c r="E131" t="inlineStr">
        <is>
          <t>EAVS-2016</t>
        </is>
      </c>
    </row>
    <row r="132">
      <c r="A132" t="inlineStr">
        <is>
          <t>Colorado</t>
        </is>
      </c>
      <c r="B132" s="2" t="n">
        <v>2016</v>
      </c>
      <c r="C132" t="inlineStr">
        <is>
          <t>Mail</t>
        </is>
      </c>
      <c r="D132" s="2" t="n">
        <v>225180</v>
      </c>
      <c r="E132" t="inlineStr">
        <is>
          <t>EAVS-2016</t>
        </is>
      </c>
    </row>
    <row r="133">
      <c r="A133" t="inlineStr">
        <is>
          <t>Colorado</t>
        </is>
      </c>
      <c r="B133" s="2" t="n">
        <v>2016</v>
      </c>
      <c r="C133" t="inlineStr">
        <is>
          <t>In person</t>
        </is>
      </c>
      <c r="D133" s="2" t="n">
        <v>54442</v>
      </c>
      <c r="E133" t="inlineStr">
        <is>
          <t>EAVS-2016</t>
        </is>
      </c>
    </row>
    <row r="134">
      <c r="A134" t="inlineStr">
        <is>
          <t>Colorado</t>
        </is>
      </c>
      <c r="B134" s="2" t="n">
        <v>2016</v>
      </c>
      <c r="C134" t="inlineStr">
        <is>
          <t>Internet</t>
        </is>
      </c>
      <c r="D134" s="2" t="n">
        <v>548799</v>
      </c>
      <c r="E134" t="inlineStr">
        <is>
          <t>EAVS-2016</t>
        </is>
      </c>
    </row>
    <row r="135">
      <c r="A135" t="inlineStr">
        <is>
          <t>Colorado</t>
        </is>
      </c>
      <c r="B135" s="2" t="n">
        <v>2016</v>
      </c>
      <c r="C135" t="inlineStr">
        <is>
          <t>Motor vehicle</t>
        </is>
      </c>
      <c r="D135" s="2" t="n">
        <v>468901</v>
      </c>
      <c r="E135" t="inlineStr">
        <is>
          <t>EAVS-2016</t>
        </is>
      </c>
    </row>
    <row r="136">
      <c r="A136" t="inlineStr">
        <is>
          <t>Colorado</t>
        </is>
      </c>
      <c r="B136" s="2" t="n">
        <v>2016</v>
      </c>
      <c r="C136" t="inlineStr">
        <is>
          <t>Public assistance</t>
        </is>
      </c>
      <c r="D136" s="2" t="n">
        <v>33077</v>
      </c>
      <c r="E136" t="inlineStr">
        <is>
          <t>EAVS-2016</t>
        </is>
      </c>
    </row>
    <row r="137">
      <c r="A137" t="inlineStr">
        <is>
          <t>Colorado</t>
        </is>
      </c>
      <c r="B137" s="2" t="n">
        <v>2016</v>
      </c>
      <c r="C137" t="inlineStr">
        <is>
          <t>Disability</t>
        </is>
      </c>
      <c r="D137" s="2" t="n">
        <v>518</v>
      </c>
      <c r="E137" t="inlineStr">
        <is>
          <t>EAVS-2016</t>
        </is>
      </c>
    </row>
    <row r="138">
      <c r="A138" t="inlineStr">
        <is>
          <t>Colorado</t>
        </is>
      </c>
      <c r="B138" s="2" t="n">
        <v>2016</v>
      </c>
      <c r="C138" t="inlineStr">
        <is>
          <t>Armed forces</t>
        </is>
      </c>
      <c r="D138" s="2" t="n">
        <v>22</v>
      </c>
      <c r="E138" t="inlineStr">
        <is>
          <t>EAVS-2016</t>
        </is>
      </c>
    </row>
    <row r="139">
      <c r="A139" t="inlineStr">
        <is>
          <t>Colorado</t>
        </is>
      </c>
      <c r="B139" s="2" t="n">
        <v>2016</v>
      </c>
      <c r="C139" t="inlineStr">
        <is>
          <t>Other state agencies</t>
        </is>
      </c>
      <c r="D139" s="2" t="n">
        <v>0</v>
      </c>
      <c r="E139" t="inlineStr">
        <is>
          <t>EAVS-2016</t>
        </is>
      </c>
    </row>
    <row r="140">
      <c r="A140" t="inlineStr">
        <is>
          <t>Colorado</t>
        </is>
      </c>
      <c r="B140" s="2" t="n">
        <v>2016</v>
      </c>
      <c r="C140" t="inlineStr">
        <is>
          <t>Registration drives</t>
        </is>
      </c>
      <c r="D140" s="2" t="n">
        <v>199124</v>
      </c>
      <c r="E140" t="inlineStr">
        <is>
          <t>EAVS-2016</t>
        </is>
      </c>
    </row>
    <row r="141">
      <c r="A141" t="inlineStr">
        <is>
          <t>Colorado</t>
        </is>
      </c>
      <c r="B141" s="2" t="n">
        <v>2016</v>
      </c>
      <c r="C141" t="inlineStr">
        <is>
          <t>Other</t>
        </is>
      </c>
      <c r="D141" s="2" t="n">
        <v>50080</v>
      </c>
      <c r="E141" t="inlineStr">
        <is>
          <t>EAVS-2016</t>
        </is>
      </c>
    </row>
    <row r="142">
      <c r="A142" t="inlineStr">
        <is>
          <t>Colorado</t>
        </is>
      </c>
      <c r="B142" s="2" t="n">
        <v>2014</v>
      </c>
      <c r="C142" t="inlineStr">
        <is>
          <t>Applications (total)</t>
        </is>
      </c>
      <c r="D142" s="2" t="n">
        <v>875547</v>
      </c>
      <c r="E142" t="inlineStr">
        <is>
          <t>EAVS-2014</t>
        </is>
      </c>
    </row>
    <row r="143">
      <c r="A143" t="inlineStr">
        <is>
          <t>Colorado</t>
        </is>
      </c>
      <c r="B143" s="2" t="n">
        <v>2014</v>
      </c>
      <c r="C143" t="inlineStr">
        <is>
          <t>Mail</t>
        </is>
      </c>
      <c r="D143" s="2" t="n">
        <v>143869</v>
      </c>
      <c r="E143" t="inlineStr">
        <is>
          <t>EAVS-2014</t>
        </is>
      </c>
    </row>
    <row r="144">
      <c r="A144" t="inlineStr">
        <is>
          <t>Colorado</t>
        </is>
      </c>
      <c r="B144" s="2" t="n">
        <v>2014</v>
      </c>
      <c r="C144" t="inlineStr">
        <is>
          <t>In person</t>
        </is>
      </c>
      <c r="D144" s="2" t="n">
        <v>93088</v>
      </c>
      <c r="E144" t="inlineStr">
        <is>
          <t>EAVS-2014</t>
        </is>
      </c>
    </row>
    <row r="145">
      <c r="A145" t="inlineStr">
        <is>
          <t>Colorado</t>
        </is>
      </c>
      <c r="B145" s="2" t="n">
        <v>2014</v>
      </c>
      <c r="C145" t="inlineStr">
        <is>
          <t>Internet</t>
        </is>
      </c>
      <c r="D145" s="2" t="n">
        <v>206786</v>
      </c>
      <c r="E145" t="inlineStr">
        <is>
          <t>EAVS-2014</t>
        </is>
      </c>
    </row>
    <row r="146">
      <c r="A146" t="inlineStr"/>
      <c r="B146" t="inlineStr"/>
      <c r="C146" t="inlineStr"/>
      <c r="D146" t="inlineStr"/>
      <c r="E146" t="inlineStr"/>
    </row>
    <row r="147">
      <c r="A147" s="5" t="inlineStr">
        <is>
          <t>CPS: native-born vs naturalized citizens (thousands; self-reported)</t>
        </is>
      </c>
      <c r="B147" t="inlineStr"/>
      <c r="C147" t="inlineStr"/>
      <c r="D147" t="inlineStr"/>
      <c r="E147" t="inlineStr"/>
    </row>
    <row r="148">
      <c r="A148" t="inlineStr">
        <is>
          <t>Year</t>
        </is>
      </c>
      <c r="B148" t="inlineStr">
        <is>
          <t>Native-born citizens 18+</t>
        </is>
      </c>
      <c r="C148" t="inlineStr">
        <is>
          <t>Native-born registered</t>
        </is>
      </c>
      <c r="D148" t="inlineStr">
        <is>
          <t>Naturalized citizens 18+</t>
        </is>
      </c>
      <c r="E148" t="inlineStr">
        <is>
          <t>Naturalized registered</t>
        </is>
      </c>
    </row>
    <row r="149">
      <c r="A149" t="n">
        <v>2006</v>
      </c>
      <c r="B149" s="2" t="n">
        <v>187132</v>
      </c>
      <c r="C149" s="2" t="n">
        <v>128282</v>
      </c>
      <c r="D149" s="2" t="n">
        <v>13941</v>
      </c>
      <c r="E149" s="2" t="n">
        <v>7565</v>
      </c>
    </row>
    <row r="150">
      <c r="A150" t="n">
        <v>2008</v>
      </c>
      <c r="B150" s="2" t="n">
        <v>190683</v>
      </c>
      <c r="C150" s="2" t="n">
        <v>137001</v>
      </c>
      <c r="D150" s="2" t="n">
        <v>15390</v>
      </c>
      <c r="E150" s="2" t="n">
        <v>9310</v>
      </c>
    </row>
    <row r="151">
      <c r="A151" t="n">
        <v>2010</v>
      </c>
      <c r="B151" s="2" t="n">
        <v>193897</v>
      </c>
      <c r="C151" s="2" t="n">
        <v>128098</v>
      </c>
      <c r="D151" s="2" t="n">
        <v>16903</v>
      </c>
      <c r="E151" s="2" t="n">
        <v>9165</v>
      </c>
    </row>
    <row r="152">
      <c r="A152" t="n">
        <v>2012</v>
      </c>
      <c r="B152" s="2" t="n">
        <v>197756</v>
      </c>
      <c r="C152" s="2" t="n">
        <v>142404</v>
      </c>
      <c r="D152" s="2" t="n">
        <v>17325</v>
      </c>
      <c r="E152" s="2" t="n">
        <v>10753</v>
      </c>
    </row>
    <row r="153">
      <c r="A153" t="n">
        <v>2014</v>
      </c>
      <c r="B153" s="2" t="n">
        <v>200605</v>
      </c>
      <c r="C153" s="2" t="n">
        <v>131359</v>
      </c>
      <c r="D153" s="2" t="n">
        <v>19336</v>
      </c>
      <c r="E153" s="2" t="n">
        <v>10807</v>
      </c>
    </row>
    <row r="154">
      <c r="A154" t="n">
        <v>2016</v>
      </c>
      <c r="B154" s="2" t="n">
        <v>204212</v>
      </c>
      <c r="C154" s="2" t="n">
        <v>145351</v>
      </c>
      <c r="D154" s="2" t="n">
        <v>19847</v>
      </c>
      <c r="E154" s="2" t="n">
        <v>12245</v>
      </c>
    </row>
    <row r="155">
      <c r="A155" t="n">
        <v>2018</v>
      </c>
      <c r="B155" s="2" t="n">
        <v>207022</v>
      </c>
      <c r="C155" s="2" t="n">
        <v>140377</v>
      </c>
      <c r="D155" s="2" t="n">
        <v>21810</v>
      </c>
      <c r="E155" s="2" t="n">
        <v>12689</v>
      </c>
    </row>
    <row r="156">
      <c r="A156" t="n">
        <v>2020</v>
      </c>
      <c r="B156" s="2" t="n">
        <v>210083</v>
      </c>
      <c r="C156" s="2" t="n">
        <v>154035</v>
      </c>
      <c r="D156" s="2" t="n">
        <v>21509</v>
      </c>
      <c r="E156" s="2" t="n">
        <v>14273</v>
      </c>
    </row>
    <row r="157">
      <c r="A157" t="n">
        <v>2022</v>
      </c>
      <c r="B157" s="2" t="n">
        <v>209835</v>
      </c>
      <c r="C157" s="2" t="n">
        <v>146950</v>
      </c>
      <c r="D157" s="2" t="n">
        <v>23711</v>
      </c>
      <c r="E157" s="2" t="n">
        <v>14473</v>
      </c>
    </row>
    <row r="158">
      <c r="A158" t="n">
        <v>2024</v>
      </c>
      <c r="B158" s="2" t="n">
        <v>212399</v>
      </c>
      <c r="C158" s="2" t="n">
        <v>157935</v>
      </c>
      <c r="D158" s="2" t="n">
        <v>23739</v>
      </c>
      <c r="E158" s="2" t="n">
        <v>15919</v>
      </c>
    </row>
    <row r="159">
      <c r="A159" t="inlineStr">
        <is>
          <t>Note</t>
        </is>
      </c>
      <c r="B159" s="5" t="inlineStr">
        <is>
          <t>CPS Table 11 (Table 13 in 2006/2008). No administrative count of registrants by citizenship type exists.</t>
        </is>
      </c>
      <c r="C159" t="inlineStr"/>
      <c r="D159" t="inlineStr"/>
      <c r="E159"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16" customWidth="1" min="3" max="3"/>
    <col width="24" customWidth="1" min="4" max="4"/>
    <col width="16" customWidth="1" min="5" max="5"/>
    <col width="16" customWidth="1" min="6" max="6"/>
    <col width="16" customWidth="1" min="7" max="7"/>
    <col width="16" customWidth="1" min="8" max="8"/>
    <col width="70" customWidth="1" min="9" max="9"/>
  </cols>
  <sheetData>
    <row r="1" ht="60" customHeight="1">
      <c r="A1" s="1" t="inlineStr">
        <is>
          <t>Program</t>
        </is>
      </c>
      <c r="B1" s="1" t="inlineStr">
        <is>
          <t>Population (eligible vs ineligible kept separate)</t>
        </is>
      </c>
      <c r="C1" s="1" t="inlineStr">
        <is>
          <t>Period</t>
        </is>
      </c>
      <c r="D1" s="1" t="inlineStr">
        <is>
          <t>Number / amount (as published)</t>
        </is>
      </c>
      <c r="E1" s="1" t="inlineStr">
        <is>
          <t>% of all recipients</t>
        </is>
      </c>
      <c r="F1" s="1" t="inlineStr">
        <is>
          <t>Aged (SSI)</t>
        </is>
      </c>
      <c r="G1" s="1" t="inlineStr">
        <is>
          <t>Blind &amp; disabled (SSI)</t>
        </is>
      </c>
      <c r="H1" s="1" t="inlineStr">
        <is>
          <t>Source ID</t>
        </is>
      </c>
      <c r="I1" s="1" t="inlineStr">
        <is>
          <t>Notes</t>
        </is>
      </c>
    </row>
    <row r="2">
      <c r="A2" t="inlineStr">
        <is>
          <t>SSI</t>
        </is>
      </c>
      <c r="B2" s="5" t="inlineStr">
        <is>
          <t>Lawfully present/qualified noncitizens meeting PRWORA exceptions (eligible)</t>
        </is>
      </c>
      <c r="C2" t="inlineStr">
        <is>
          <t>Dec 2005</t>
        </is>
      </c>
      <c r="D2" s="2" t="n">
        <v>680397</v>
      </c>
      <c r="E2" s="8" t="n">
        <v>9.6</v>
      </c>
      <c r="F2" s="2" t="n">
        <v>344166</v>
      </c>
      <c r="G2" s="2" t="n">
        <v>336231</v>
      </c>
      <c r="H2" t="inlineStr">
        <is>
          <t>SSA-SSI-NC</t>
        </is>
      </c>
      <c r="I2" s="5" t="inlineStr">
        <is>
          <t>Table 29. Noncitizen recipients total / % of all SSI / aged / blind &amp; disabled.</t>
        </is>
      </c>
    </row>
    <row r="3">
      <c r="A3" t="inlineStr">
        <is>
          <t>SSI</t>
        </is>
      </c>
      <c r="B3" s="5" t="inlineStr">
        <is>
          <t>Lawfully present/qualified noncitizens meeting PRWORA exceptions (eligible)</t>
        </is>
      </c>
      <c r="C3" t="inlineStr">
        <is>
          <t>Dec 2006</t>
        </is>
      </c>
      <c r="D3" s="2" t="n">
        <v>674250</v>
      </c>
      <c r="E3" s="8" t="n">
        <v>9.300000000000001</v>
      </c>
      <c r="F3" s="2" t="n">
        <v>339073</v>
      </c>
      <c r="G3" s="2" t="n">
        <v>335177</v>
      </c>
      <c r="H3" t="inlineStr">
        <is>
          <t>SSA-SSI-NC</t>
        </is>
      </c>
      <c r="I3" s="5" t="inlineStr">
        <is>
          <t>Table 29. Noncitizen recipients total / % of all SSI / aged / blind &amp; disabled.</t>
        </is>
      </c>
    </row>
    <row r="4">
      <c r="A4" t="inlineStr">
        <is>
          <t>SSI</t>
        </is>
      </c>
      <c r="B4" s="5" t="inlineStr">
        <is>
          <t>Lawfully present/qualified noncitizens meeting PRWORA exceptions (eligible)</t>
        </is>
      </c>
      <c r="C4" t="inlineStr">
        <is>
          <t>Dec 2007</t>
        </is>
      </c>
      <c r="D4" s="2" t="n">
        <v>663210</v>
      </c>
      <c r="E4" s="8" t="n">
        <v>9</v>
      </c>
      <c r="F4" s="2" t="n">
        <v>330665</v>
      </c>
      <c r="G4" s="2" t="n">
        <v>332545</v>
      </c>
      <c r="H4" t="inlineStr">
        <is>
          <t>SSA-SSI-NC</t>
        </is>
      </c>
      <c r="I4" s="5" t="inlineStr">
        <is>
          <t>Table 29. Noncitizen recipients total / % of all SSI / aged / blind &amp; disabled.</t>
        </is>
      </c>
    </row>
    <row r="5">
      <c r="A5" t="inlineStr">
        <is>
          <t>SSI</t>
        </is>
      </c>
      <c r="B5" s="5" t="inlineStr">
        <is>
          <t>Lawfully present/qualified noncitizens meeting PRWORA exceptions (eligible)</t>
        </is>
      </c>
      <c r="C5" t="inlineStr">
        <is>
          <t>Dec 2008</t>
        </is>
      </c>
      <c r="D5" s="2" t="n">
        <v>655988</v>
      </c>
      <c r="E5" s="8" t="n">
        <v>8.699999999999999</v>
      </c>
      <c r="F5" s="2" t="n">
        <v>324271</v>
      </c>
      <c r="G5" s="2" t="n">
        <v>331717</v>
      </c>
      <c r="H5" t="inlineStr">
        <is>
          <t>SSA-SSI-NC</t>
        </is>
      </c>
      <c r="I5" s="5" t="inlineStr">
        <is>
          <t>Table 29. Noncitizen recipients total / % of all SSI / aged / blind &amp; disabled.</t>
        </is>
      </c>
    </row>
    <row r="6">
      <c r="A6" t="inlineStr">
        <is>
          <t>SSI</t>
        </is>
      </c>
      <c r="B6" s="5" t="inlineStr">
        <is>
          <t>Lawfully present/qualified noncitizens meeting PRWORA exceptions (eligible)</t>
        </is>
      </c>
      <c r="C6" t="inlineStr">
        <is>
          <t>Dec 2009</t>
        </is>
      </c>
      <c r="D6" s="2" t="n">
        <v>644966</v>
      </c>
      <c r="E6" s="8" t="n">
        <v>8.4</v>
      </c>
      <c r="F6" s="2" t="n">
        <v>316216</v>
      </c>
      <c r="G6" s="2" t="n">
        <v>328750</v>
      </c>
      <c r="H6" t="inlineStr">
        <is>
          <t>SSA-SSI-NC</t>
        </is>
      </c>
      <c r="I6" s="5" t="inlineStr">
        <is>
          <t>Table 29. Noncitizen recipients total / % of all SSI / aged / blind &amp; disabled.</t>
        </is>
      </c>
    </row>
    <row r="7">
      <c r="A7" t="inlineStr">
        <is>
          <t>SSI</t>
        </is>
      </c>
      <c r="B7" s="5" t="inlineStr">
        <is>
          <t>Lawfully present/qualified noncitizens meeting PRWORA exceptions (eligible)</t>
        </is>
      </c>
      <c r="C7" t="inlineStr">
        <is>
          <t>Dec 2010</t>
        </is>
      </c>
      <c r="D7" s="2" t="n">
        <v>627271</v>
      </c>
      <c r="E7" s="8" t="n">
        <v>7.9</v>
      </c>
      <c r="F7" s="2" t="n">
        <v>303457</v>
      </c>
      <c r="G7" s="2" t="n">
        <v>323814</v>
      </c>
      <c r="H7" t="inlineStr">
        <is>
          <t>SSA-SSI-NC</t>
        </is>
      </c>
      <c r="I7" s="5" t="inlineStr">
        <is>
          <t>Table 29. Noncitizen recipients total / % of all SSI / aged / blind &amp; disabled.</t>
        </is>
      </c>
    </row>
    <row r="8">
      <c r="A8" t="inlineStr">
        <is>
          <t>SSI</t>
        </is>
      </c>
      <c r="B8" s="5" t="inlineStr">
        <is>
          <t>Lawfully present/qualified noncitizens meeting PRWORA exceptions (eligible)</t>
        </is>
      </c>
      <c r="C8" t="inlineStr">
        <is>
          <t>Dec 2011</t>
        </is>
      </c>
      <c r="D8" s="2" t="n">
        <v>604908</v>
      </c>
      <c r="E8" s="8" t="n">
        <v>7.5</v>
      </c>
      <c r="F8" s="2" t="n">
        <v>290275</v>
      </c>
      <c r="G8" s="2" t="n">
        <v>314633</v>
      </c>
      <c r="H8" t="inlineStr">
        <is>
          <t>SSA-SSI-NC</t>
        </is>
      </c>
      <c r="I8" s="5" t="inlineStr">
        <is>
          <t>Table 29. Noncitizen recipients total / % of all SSI / aged / blind &amp; disabled.</t>
        </is>
      </c>
    </row>
    <row r="9">
      <c r="A9" t="inlineStr">
        <is>
          <t>SSI</t>
        </is>
      </c>
      <c r="B9" s="5" t="inlineStr">
        <is>
          <t>Lawfully present/qualified noncitizens meeting PRWORA exceptions (eligible)</t>
        </is>
      </c>
      <c r="C9" t="inlineStr">
        <is>
          <t>Dec 2012</t>
        </is>
      </c>
      <c r="D9" s="2" t="n">
        <v>582345</v>
      </c>
      <c r="E9" s="8" t="n">
        <v>7</v>
      </c>
      <c r="F9" s="2" t="n">
        <v>273500</v>
      </c>
      <c r="G9" s="2" t="n">
        <v>308845</v>
      </c>
      <c r="H9" t="inlineStr">
        <is>
          <t>SSA-SSI-NC</t>
        </is>
      </c>
      <c r="I9" s="5" t="inlineStr">
        <is>
          <t>Table 29. Noncitizen recipients total / % of all SSI / aged / blind &amp; disabled.</t>
        </is>
      </c>
    </row>
    <row r="10">
      <c r="A10" t="inlineStr">
        <is>
          <t>SSI</t>
        </is>
      </c>
      <c r="B10" s="5" t="inlineStr">
        <is>
          <t>Lawfully present/qualified noncitizens meeting PRWORA exceptions (eligible)</t>
        </is>
      </c>
      <c r="C10" t="inlineStr">
        <is>
          <t>Dec 2013</t>
        </is>
      </c>
      <c r="D10" s="2" t="n">
        <v>562423</v>
      </c>
      <c r="E10" s="8" t="n">
        <v>6.7</v>
      </c>
      <c r="F10" s="2" t="n">
        <v>261280</v>
      </c>
      <c r="G10" s="2" t="n">
        <v>301143</v>
      </c>
      <c r="H10" t="inlineStr">
        <is>
          <t>SSA-SSI-NC</t>
        </is>
      </c>
      <c r="I10" s="5" t="inlineStr">
        <is>
          <t>Table 29. Noncitizen recipients total / % of all SSI / aged / blind &amp; disabled.</t>
        </is>
      </c>
    </row>
    <row r="11">
      <c r="A11" t="inlineStr">
        <is>
          <t>SSI</t>
        </is>
      </c>
      <c r="B11" s="5" t="inlineStr">
        <is>
          <t>Lawfully present/qualified noncitizens meeting PRWORA exceptions (eligible)</t>
        </is>
      </c>
      <c r="C11" t="inlineStr">
        <is>
          <t>Dec 2014</t>
        </is>
      </c>
      <c r="D11" s="2" t="n">
        <v>540121</v>
      </c>
      <c r="E11" s="8" t="n">
        <v>6.5</v>
      </c>
      <c r="F11" s="2" t="n">
        <v>253104</v>
      </c>
      <c r="G11" s="2" t="n">
        <v>287017</v>
      </c>
      <c r="H11" t="inlineStr">
        <is>
          <t>SSA-SSI-NC</t>
        </is>
      </c>
      <c r="I11" s="5" t="inlineStr">
        <is>
          <t>Table 29. Noncitizen recipients total / % of all SSI / aged / blind &amp; disabled.</t>
        </is>
      </c>
    </row>
    <row r="12">
      <c r="A12" t="inlineStr">
        <is>
          <t>SSI</t>
        </is>
      </c>
      <c r="B12" s="5" t="inlineStr">
        <is>
          <t>Lawfully present/qualified noncitizens meeting PRWORA exceptions (eligible)</t>
        </is>
      </c>
      <c r="C12" t="inlineStr">
        <is>
          <t>Dec 2015</t>
        </is>
      </c>
      <c r="D12" s="2" t="n">
        <v>525595</v>
      </c>
      <c r="E12" s="8" t="n">
        <v>6.3</v>
      </c>
      <c r="F12" s="2" t="n">
        <v>248119</v>
      </c>
      <c r="G12" s="2" t="n">
        <v>277476</v>
      </c>
      <c r="H12" t="inlineStr">
        <is>
          <t>SSA-SSI-NC</t>
        </is>
      </c>
      <c r="I12" s="5" t="inlineStr">
        <is>
          <t>Table 29. Noncitizen recipients total / % of all SSI / aged / blind &amp; disabled.</t>
        </is>
      </c>
    </row>
    <row r="13">
      <c r="A13" t="inlineStr">
        <is>
          <t>SSI</t>
        </is>
      </c>
      <c r="B13" s="5" t="inlineStr">
        <is>
          <t>Lawfully present/qualified noncitizens meeting PRWORA exceptions (eligible)</t>
        </is>
      </c>
      <c r="C13" t="inlineStr">
        <is>
          <t>Dec 2016</t>
        </is>
      </c>
      <c r="D13" s="2" t="n">
        <v>507229</v>
      </c>
      <c r="E13" s="8" t="n">
        <v>6.1</v>
      </c>
      <c r="F13" s="2" t="n">
        <v>241383</v>
      </c>
      <c r="G13" s="2" t="n">
        <v>265846</v>
      </c>
      <c r="H13" t="inlineStr">
        <is>
          <t>SSA-SSI-NC</t>
        </is>
      </c>
      <c r="I13" s="5" t="inlineStr">
        <is>
          <t>Table 29. Noncitizen recipients total / % of all SSI / aged / blind &amp; disabled.</t>
        </is>
      </c>
    </row>
    <row r="14">
      <c r="A14" t="inlineStr">
        <is>
          <t>SSI</t>
        </is>
      </c>
      <c r="B14" s="5" t="inlineStr">
        <is>
          <t>Lawfully present/qualified noncitizens meeting PRWORA exceptions (eligible)</t>
        </is>
      </c>
      <c r="C14" t="inlineStr">
        <is>
          <t>Dec 2017</t>
        </is>
      </c>
      <c r="D14" s="2" t="n">
        <v>492642</v>
      </c>
      <c r="E14" s="8" t="n">
        <v>6</v>
      </c>
      <c r="F14" s="2" t="n">
        <v>236010</v>
      </c>
      <c r="G14" s="2" t="n">
        <v>256632</v>
      </c>
      <c r="H14" t="inlineStr">
        <is>
          <t>SSA-SSI-NC</t>
        </is>
      </c>
      <c r="I14" s="5" t="inlineStr">
        <is>
          <t>Table 29. Noncitizen recipients total / % of all SSI / aged / blind &amp; disabled.</t>
        </is>
      </c>
    </row>
    <row r="15">
      <c r="A15" t="inlineStr">
        <is>
          <t>SSI</t>
        </is>
      </c>
      <c r="B15" s="5" t="inlineStr">
        <is>
          <t>Lawfully present/qualified noncitizens meeting PRWORA exceptions (eligible)</t>
        </is>
      </c>
      <c r="C15" t="inlineStr">
        <is>
          <t>Dec 2018</t>
        </is>
      </c>
      <c r="D15" s="2" t="n">
        <v>463411</v>
      </c>
      <c r="E15" s="8" t="n">
        <v>5.7</v>
      </c>
      <c r="F15" s="2" t="n">
        <v>220798</v>
      </c>
      <c r="G15" s="2" t="n">
        <v>242613</v>
      </c>
      <c r="H15" t="inlineStr">
        <is>
          <t>SSA-SSI-NC</t>
        </is>
      </c>
      <c r="I15" s="5" t="inlineStr">
        <is>
          <t>Table 29. Noncitizen recipients total / % of all SSI / aged / blind &amp; disabled.</t>
        </is>
      </c>
    </row>
    <row r="16">
      <c r="A16" t="inlineStr">
        <is>
          <t>SSI</t>
        </is>
      </c>
      <c r="B16" s="5" t="inlineStr">
        <is>
          <t>Lawfully present/qualified noncitizens meeting PRWORA exceptions (eligible)</t>
        </is>
      </c>
      <c r="C16" t="inlineStr">
        <is>
          <t>Dec 2019</t>
        </is>
      </c>
      <c r="D16" s="2" t="n">
        <v>430352</v>
      </c>
      <c r="E16" s="8" t="n">
        <v>5.3</v>
      </c>
      <c r="F16" s="2" t="n">
        <v>205351</v>
      </c>
      <c r="G16" s="2" t="n">
        <v>225001</v>
      </c>
      <c r="H16" t="inlineStr">
        <is>
          <t>SSA-SSI-NC</t>
        </is>
      </c>
      <c r="I16" s="5" t="inlineStr">
        <is>
          <t>Table 29. Noncitizen recipients total / % of all SSI / aged / blind &amp; disabled.</t>
        </is>
      </c>
    </row>
    <row r="17">
      <c r="A17" t="inlineStr">
        <is>
          <t>SSI</t>
        </is>
      </c>
      <c r="B17" s="5" t="inlineStr">
        <is>
          <t>Lawfully present/qualified noncitizens meeting PRWORA exceptions (eligible)</t>
        </is>
      </c>
      <c r="C17" t="inlineStr">
        <is>
          <t>Dec 2020</t>
        </is>
      </c>
      <c r="D17" s="2" t="n">
        <v>397447</v>
      </c>
      <c r="E17" s="8" t="n">
        <v>5</v>
      </c>
      <c r="F17" s="2" t="n">
        <v>189539</v>
      </c>
      <c r="G17" s="2" t="n">
        <v>207908</v>
      </c>
      <c r="H17" t="inlineStr">
        <is>
          <t>SSA-SSI-NC</t>
        </is>
      </c>
      <c r="I17" s="5" t="inlineStr">
        <is>
          <t>Table 29. Noncitizen recipients total / % of all SSI / aged / blind &amp; disabled.</t>
        </is>
      </c>
    </row>
    <row r="18">
      <c r="A18" t="inlineStr">
        <is>
          <t>SSI</t>
        </is>
      </c>
      <c r="B18" s="5" t="inlineStr">
        <is>
          <t>Lawfully present/qualified noncitizens meeting PRWORA exceptions (eligible)</t>
        </is>
      </c>
      <c r="C18" t="inlineStr">
        <is>
          <t>Dec 2021</t>
        </is>
      </c>
      <c r="D18" s="2" t="n">
        <v>365714</v>
      </c>
      <c r="E18" s="8" t="n">
        <v>4.8</v>
      </c>
      <c r="F18" s="2" t="n">
        <v>176625</v>
      </c>
      <c r="G18" s="2" t="n">
        <v>189089</v>
      </c>
      <c r="H18" t="inlineStr">
        <is>
          <t>SSA-SSI-NC</t>
        </is>
      </c>
      <c r="I18" s="5" t="inlineStr">
        <is>
          <t>Table 29. Noncitizen recipients total / % of all SSI / aged / blind &amp; disabled.</t>
        </is>
      </c>
    </row>
    <row r="19">
      <c r="A19" t="inlineStr">
        <is>
          <t>SSI</t>
        </is>
      </c>
      <c r="B19" s="5" t="inlineStr">
        <is>
          <t>Lawfully present/qualified noncitizens meeting PRWORA exceptions (eligible)</t>
        </is>
      </c>
      <c r="C19" t="inlineStr">
        <is>
          <t>Dec 2022</t>
        </is>
      </c>
      <c r="D19" s="2" t="n">
        <v>342890</v>
      </c>
      <c r="E19" s="8" t="n">
        <v>4.5</v>
      </c>
      <c r="F19" s="2" t="n">
        <v>169443</v>
      </c>
      <c r="G19" s="2" t="n">
        <v>173447</v>
      </c>
      <c r="H19" t="inlineStr">
        <is>
          <t>SSA-SSI-NC</t>
        </is>
      </c>
      <c r="I19" s="5" t="inlineStr">
        <is>
          <t>Table 29. Noncitizen recipients total / % of all SSI / aged / blind &amp; disabled.</t>
        </is>
      </c>
    </row>
    <row r="20">
      <c r="A20" t="inlineStr">
        <is>
          <t>SSI</t>
        </is>
      </c>
      <c r="B20" s="5" t="inlineStr">
        <is>
          <t>Lawfully present/qualified noncitizens meeting PRWORA exceptions (eligible)</t>
        </is>
      </c>
      <c r="C20" t="inlineStr">
        <is>
          <t>Dec 2023</t>
        </is>
      </c>
      <c r="D20" s="2" t="n">
        <v>324723</v>
      </c>
      <c r="E20" s="8" t="n">
        <v>4.4</v>
      </c>
      <c r="F20" s="2" t="n">
        <v>166514</v>
      </c>
      <c r="G20" s="2" t="n">
        <v>158209</v>
      </c>
      <c r="H20" t="inlineStr">
        <is>
          <t>SSA-SSI-NC</t>
        </is>
      </c>
      <c r="I20" s="5" t="inlineStr">
        <is>
          <t>Table 29. Noncitizen recipients total / % of all SSI / aged / blind &amp; disabled.</t>
        </is>
      </c>
    </row>
    <row r="21">
      <c r="A21" t="inlineStr">
        <is>
          <t>SSI</t>
        </is>
      </c>
      <c r="B21" s="5" t="inlineStr">
        <is>
          <t>Lawfully present/qualified noncitizens meeting PRWORA exceptions (eligible)</t>
        </is>
      </c>
      <c r="C21" t="inlineStr">
        <is>
          <t>Dec 2024</t>
        </is>
      </c>
      <c r="D21" s="2" t="n">
        <v>319391</v>
      </c>
      <c r="E21" s="8" t="n">
        <v>4.3</v>
      </c>
      <c r="F21" s="2" t="n">
        <v>169351</v>
      </c>
      <c r="G21" s="2" t="n">
        <v>150040</v>
      </c>
      <c r="H21" t="inlineStr">
        <is>
          <t>SSA-SSI-NC</t>
        </is>
      </c>
      <c r="I21" s="5" t="inlineStr">
        <is>
          <t>Table 29. Noncitizen recipients total / % of all SSI / aged / blind &amp; disabled.</t>
        </is>
      </c>
    </row>
    <row r="22">
      <c r="A22" t="inlineStr">
        <is>
          <t>SSI</t>
        </is>
      </c>
      <c r="B22" s="5" t="inlineStr">
        <is>
          <t>Colorado noncitizen recipients (eligible)</t>
        </is>
      </c>
      <c r="C22" t="inlineStr">
        <is>
          <t>Dec 2024</t>
        </is>
      </c>
      <c r="D22" s="2" t="n">
        <v>2806</v>
      </c>
      <c r="F22" s="2" t="n">
        <v>1625</v>
      </c>
      <c r="G22" s="2" t="n">
        <v>1181</v>
      </c>
      <c r="H22" t="inlineStr">
        <is>
          <t>SSA-SSI-NC</t>
        </is>
      </c>
      <c r="I22" t="inlineStr">
        <is>
          <t>Table 31.</t>
        </is>
      </c>
    </row>
    <row r="23">
      <c r="A23" t="inlineStr">
        <is>
          <t>SNAP</t>
        </is>
      </c>
      <c r="B23" s="5" t="inlineStr">
        <is>
          <t>Refugees (incl. asylees, stay of deportation) - eligible</t>
        </is>
      </c>
      <c r="C23" t="inlineStr">
        <is>
          <t>FY2023 avg month</t>
        </is>
      </c>
      <c r="D23" s="2" t="n">
        <v>434000</v>
      </c>
      <c r="E23" s="8" t="n">
        <v>1.1</v>
      </c>
      <c r="H23" t="inlineStr">
        <is>
          <t>FNS-SNAP23</t>
        </is>
      </c>
      <c r="I23" s="5" t="inlineStr">
        <is>
          <t>Table A.23: 434 thousand participants (1.1% of participants). Weighted QC sample estimate.</t>
        </is>
      </c>
    </row>
    <row r="24">
      <c r="A24" t="inlineStr">
        <is>
          <t>SNAP</t>
        </is>
      </c>
      <c r="B24" s="5" t="inlineStr">
        <is>
          <t>Other noncitizens (LPRs and other eligible noncitizens) - eligible</t>
        </is>
      </c>
      <c r="C24" t="inlineStr">
        <is>
          <t>FY2023 avg month</t>
        </is>
      </c>
      <c r="D24" s="2" t="n">
        <v>1330000</v>
      </c>
      <c r="E24" s="8" t="n">
        <v>3.3</v>
      </c>
      <c r="H24" t="inlineStr">
        <is>
          <t>FNS-SNAP23</t>
        </is>
      </c>
      <c r="I24" t="inlineStr">
        <is>
          <t>Table A.23: 1,330 thousand (3.3%).</t>
        </is>
      </c>
    </row>
    <row r="25">
      <c r="A25" t="inlineStr">
        <is>
          <t>SNAP</t>
        </is>
      </c>
      <c r="B25" s="5" t="inlineStr">
        <is>
          <t>Naturalized citizens (citizens, shown for context)</t>
        </is>
      </c>
      <c r="C25" t="inlineStr">
        <is>
          <t>FY2023 avg month</t>
        </is>
      </c>
      <c r="D25" s="2" t="n">
        <v>2470000</v>
      </c>
      <c r="E25" s="8" t="n">
        <v>6.2</v>
      </c>
      <c r="H25" t="inlineStr">
        <is>
          <t>FNS-SNAP23</t>
        </is>
      </c>
      <c r="I25" t="inlineStr">
        <is>
          <t>Table A.23.</t>
        </is>
      </c>
    </row>
    <row r="26">
      <c r="A26" t="inlineStr">
        <is>
          <t>SNAP</t>
        </is>
      </c>
      <c r="B26" s="5" t="inlineStr">
        <is>
          <t>Citizen children living with noncitizen adults</t>
        </is>
      </c>
      <c r="C26" t="inlineStr">
        <is>
          <t>FY2023 avg month</t>
        </is>
      </c>
      <c r="D26" s="2" t="n">
        <v>2488000</v>
      </c>
      <c r="E26" s="8" t="n">
        <v>6.2</v>
      </c>
      <c r="H26" t="inlineStr">
        <is>
          <t>FNS-SNAP23</t>
        </is>
      </c>
      <c r="I26" s="5" t="inlineStr">
        <is>
          <t>Table A.23; noncitizen adults may be outside the SNAP household.</t>
        </is>
      </c>
    </row>
    <row r="27">
      <c r="A27" t="inlineStr">
        <is>
          <t>SNAP</t>
        </is>
      </c>
      <c r="B27" t="inlineStr">
        <is>
          <t>Earlier fiscal years</t>
        </is>
      </c>
      <c r="C27" t="inlineStr">
        <is>
          <t>FY2005-FY2022</t>
        </is>
      </c>
      <c r="D27" t="inlineStr">
        <is>
          <t>Not compiled</t>
        </is>
      </c>
      <c r="H27" t="inlineStr">
        <is>
          <t>FNS characteristics reports</t>
        </is>
      </c>
      <c r="I27" s="5" t="inlineStr">
        <is>
          <t>Not reported here: the same table exists in each annual FNS Characteristics report but was not extracted in this pass.</t>
        </is>
      </c>
    </row>
    <row r="28">
      <c r="A28" t="inlineStr">
        <is>
          <t>Emergency Medicaid</t>
        </is>
      </c>
      <c r="B28" s="5" t="inlineStr">
        <is>
          <t>Emergency services for people otherwise Medicaid-eligible but lacking qualifying status (undocumented AND lawfully present within 5-year bar)</t>
        </is>
      </c>
      <c r="C28" t="inlineStr">
        <is>
          <t>FY2023</t>
        </is>
      </c>
      <c r="D28" s="5" t="inlineStr">
        <is>
          <t>$3.775 billion (federal $2.746B + state $1.029B)</t>
        </is>
      </c>
      <c r="H28" t="inlineStr">
        <is>
          <t>CBO-EMED; KFF-EMED</t>
        </is>
      </c>
      <c r="I28" s="5" t="inlineStr">
        <is>
          <t>CBO (Form CMS-64). CBO PDF returned 403 to the box; figures from search index, corroborated by KFF ($3.8B, 0.4% of Medicaid). FY2017-2023 total $26.554B (CBO).</t>
        </is>
      </c>
    </row>
    <row r="29">
      <c r="A29" t="inlineStr">
        <is>
          <t>Medicaid/CHIP</t>
        </is>
      </c>
      <c r="B29" s="5" t="inlineStr">
        <is>
          <t>Noncitizen enrollees by status (national)</t>
        </is>
      </c>
      <c r="C29" t="inlineStr">
        <is>
          <t>any</t>
        </is>
      </c>
      <c r="D29" t="inlineStr">
        <is>
          <t>Not reported</t>
        </is>
      </c>
      <c r="H29" t="inlineStr">
        <is>
          <t>—</t>
        </is>
      </c>
      <c r="I29" s="5" t="inlineStr">
        <is>
          <t>CMS does not publish a routine national count of Medicaid/CHIP enrollees by immigration status in the sources checked.</t>
        </is>
      </c>
    </row>
    <row r="30">
      <c r="A30" t="inlineStr">
        <is>
          <t>Improper payments</t>
        </is>
      </c>
      <c r="B30" s="5" t="inlineStr">
        <is>
          <t>Payments to ineligible noncitizens specifically</t>
        </is>
      </c>
      <c r="C30" t="inlineStr">
        <is>
          <t>any</t>
        </is>
      </c>
      <c r="D30" t="inlineStr">
        <is>
          <t>Not reported</t>
        </is>
      </c>
      <c r="H30" t="inlineStr">
        <is>
          <t>GAO/PaymentAccuracy</t>
        </is>
      </c>
      <c r="I30" s="5" t="inlineStr">
        <is>
          <t>No GAO, CBO or HHS-OIG estimate isolating improper payments to ineligible noncitizens was found; government-wide improper-payment estimates are not broken out by citizenship.</t>
        </is>
      </c>
    </row>
    <row r="31">
      <c r="A31" t="inlineStr">
        <is>
          <t>Law</t>
        </is>
      </c>
      <c r="B31" t="inlineStr">
        <is>
          <t>PRWORA 8 U.S.C. 1611-1613</t>
        </is>
      </c>
      <c r="C31" t="inlineStr">
        <is>
          <t>—</t>
        </is>
      </c>
      <c r="D31" t="inlineStr">
        <is>
          <t>—</t>
        </is>
      </c>
      <c r="H31" t="inlineStr">
        <is>
          <t>USC-1611</t>
        </is>
      </c>
      <c r="I31" s="5"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0" customWidth="1" min="3" max="3"/>
    <col width="16" customWidth="1" min="4" max="4"/>
    <col width="16" customWidth="1" min="5" max="5"/>
    <col width="22" customWidth="1" min="6" max="6"/>
    <col width="16" customWidth="1" min="7" max="7"/>
    <col width="80" customWidth="1" min="8" max="8"/>
    <col width="16" customWidth="1" min="9" max="9"/>
  </cols>
  <sheetData>
    <row r="1" ht="60" customHeight="1">
      <c r="A1" s="1" t="inlineStr">
        <is>
          <t>Jurisdiction / office</t>
        </is>
      </c>
      <c r="B1" s="1" t="inlineStr">
        <is>
          <t>Date</t>
        </is>
      </c>
      <c r="C1" s="1" t="inlineStr">
        <is>
          <t>What was counted</t>
        </is>
      </c>
      <c r="D1" s="1" t="inlineStr">
        <is>
          <t>Number found / flagged</t>
        </is>
      </c>
      <c r="E1" s="1" t="inlineStr">
        <is>
          <t>Number removed</t>
        </is>
      </c>
      <c r="F1" s="1" t="inlineStr">
        <is>
          <t>Number referred for prosecution</t>
        </is>
      </c>
      <c r="G1" s="1" t="inlineStr">
        <is>
          <t>Roll size</t>
        </is>
      </c>
      <c r="H1" s="1" t="inlineStr">
        <is>
          <t>Details</t>
        </is>
      </c>
      <c r="I1" s="1" t="inlineStr">
        <is>
          <t>Source ID</t>
        </is>
      </c>
    </row>
    <row r="2">
      <c r="A2" t="inlineStr">
        <is>
          <t>Colorado (SOS Gessler)</t>
        </is>
      </c>
      <c r="B2" t="inlineStr">
        <is>
          <t>Jul 1, 2013</t>
        </is>
      </c>
      <c r="C2" s="5" t="inlineStr">
        <is>
          <t>Registrants who showed green-card-equivalent at DMV and were flagged by DHS SAVE</t>
        </is>
      </c>
      <c r="F2" s="2" t="n">
        <v>155</v>
      </c>
      <c r="G2" t="inlineStr">
        <is>
          <t>~3.5M (2012 EAVS: 3,651,091)</t>
        </is>
      </c>
      <c r="H2" s="5" t="inlineStr">
        <is>
          <t>155 referred to 15 district attorneys. Arapahoe County DA later charged 4 (Denver Post, Nov 22, 2013); outcomes mixed.</t>
        </is>
      </c>
      <c r="I2" t="inlineStr">
        <is>
          <t>CO-SOS-2013</t>
        </is>
      </c>
    </row>
    <row r="3">
      <c r="A3" t="inlineStr">
        <is>
          <t>Georgia (SOS citizenship audit)</t>
        </is>
      </c>
      <c r="B3" t="inlineStr">
        <is>
          <t>Oct 23, 2024</t>
        </is>
      </c>
      <c r="C3" t="inlineStr">
        <is>
          <t>Noncitizens found on rolls</t>
        </is>
      </c>
      <c r="D3" s="2" t="n">
        <v>20</v>
      </c>
      <c r="E3" s="2" t="n">
        <v>20</v>
      </c>
      <c r="F3" s="2" t="n">
        <v>20</v>
      </c>
      <c r="G3" t="inlineStr">
        <is>
          <t>~8.2 million</t>
        </is>
      </c>
      <c r="H3" s="5" t="inlineStr">
        <is>
          <t>All 20 canceled and referred; 9 had voted; 156 need further review.</t>
        </is>
      </c>
      <c r="I3" t="inlineStr">
        <is>
          <t>GA-2024</t>
        </is>
      </c>
    </row>
    <row r="4">
      <c r="A4" t="inlineStr">
        <is>
          <t>Texas (Governor)</t>
        </is>
      </c>
      <c r="B4" t="inlineStr">
        <is>
          <t>Aug 26, 2024</t>
        </is>
      </c>
      <c r="C4" t="inlineStr">
        <is>
          <t>'Potential noncitizens' removed</t>
        </is>
      </c>
      <c r="E4" s="2" t="n">
        <v>6500</v>
      </c>
      <c r="F4" s="2" t="n">
        <v>1930</v>
      </c>
      <c r="G4" t="inlineStr">
        <is>
          <t>~18 million</t>
        </is>
      </c>
      <c r="H4" s="5" t="inlineStr">
        <is>
          <t>Governor: over 6,500 removed; ~1,930 with voting history referred. Texas Tribune: only 581 identified as noncitizens; ~5,900 removed for not responding to notices (see Discrepancies).</t>
        </is>
      </c>
      <c r="I4" t="inlineStr">
        <is>
          <t>TX-GOV-2024; TXTRIB-2024</t>
        </is>
      </c>
    </row>
    <row r="5">
      <c r="A5" t="inlineStr">
        <is>
          <t>Texas (SOS, federal SAVE run)</t>
        </is>
      </c>
      <c r="B5" t="inlineStr">
        <is>
          <t>Sep 15, 2026</t>
        </is>
      </c>
      <c r="C5" s="5" t="inlineStr">
        <is>
          <t>Potential noncitizens flagged by SAVE out of 18M registrants</t>
        </is>
      </c>
      <c r="D5" s="2" t="n">
        <v>2724</v>
      </c>
      <c r="E5" t="inlineStr">
        <is>
          <t>Not reported (county-level)</t>
        </is>
      </c>
      <c r="F5" s="2" t="n">
        <v>117</v>
      </c>
      <c r="G5" t="inlineStr">
        <is>
          <t>~18 million</t>
        </is>
      </c>
      <c r="H5" s="5" t="inlineStr">
        <is>
          <t>2,724 referred to county registrars; 578 later demonstrated citizenship (506 because passport data was added to SAVE after the run) - counties told to reinstate if removed; 117 referred to AG. 7 charged federally mid-Sep 2026 (AP).</t>
        </is>
      </c>
      <c r="I5" t="inlineStr">
        <is>
          <t>TX-SOS-2026; PBS-AP-160</t>
        </is>
      </c>
    </row>
    <row r="6">
      <c r="A6" t="inlineStr">
        <is>
          <t>Virginia (ELECT / EO 35)</t>
        </is>
      </c>
      <c r="B6" t="inlineStr">
        <is>
          <t>Aug 7, 2024</t>
        </is>
      </c>
      <c r="C6" s="5" t="inlineStr">
        <is>
          <t>Registrations canceled as noncitizens via DMV data, Jan 2022-Jul 2024</t>
        </is>
      </c>
      <c r="E6" s="2" t="n">
        <v>6303</v>
      </c>
      <c r="G6" t="inlineStr">
        <is>
          <t>~6 million</t>
        </is>
      </c>
      <c r="H6" s="5" t="inlineStr">
        <is>
          <t>Governor's figure. Reuters (Sep 2026): &gt;4,500 self-identified noncitizens on rolls in 2025 per annual ELECT reports (includes some later citizens and people removed).</t>
        </is>
      </c>
      <c r="I6" t="inlineStr">
        <is>
          <t>VA-ELECT-2024; REUTERS-30K</t>
        </is>
      </c>
    </row>
    <row r="7">
      <c r="A7" t="inlineStr">
        <is>
          <t>Ohio (SOS)</t>
        </is>
      </c>
      <c r="B7" t="inlineStr">
        <is>
          <t>Aug 2024</t>
        </is>
      </c>
      <c r="C7" t="inlineStr">
        <is>
          <t>Noncitizen registrations referred</t>
        </is>
      </c>
      <c r="D7" s="2" t="n">
        <v>597</v>
      </c>
      <c r="F7" s="2" t="n">
        <v>597</v>
      </c>
      <c r="G7" t="inlineStr">
        <is>
          <t>~8 million</t>
        </is>
      </c>
      <c r="H7" s="5" t="inlineStr">
        <is>
          <t>459 registered only, 138 voted. Earlier referrals: 148 (2022), 117 (2021), 354 (2019).</t>
        </is>
      </c>
      <c r="I7" t="inlineStr">
        <is>
          <t>OH-SOS-2025 (and prior SOS releases)</t>
        </is>
      </c>
    </row>
    <row r="8">
      <c r="A8" t="inlineStr">
        <is>
          <t>Ohio (SOS)</t>
        </is>
      </c>
      <c r="B8" t="inlineStr">
        <is>
          <t>Jun 3, 2025</t>
        </is>
      </c>
      <c r="C8" t="inlineStr">
        <is>
          <t>Noncitizen registrations referred</t>
        </is>
      </c>
      <c r="D8" s="2" t="n">
        <v>30</v>
      </c>
      <c r="F8" s="2" t="n">
        <v>30</v>
      </c>
      <c r="G8" t="inlineStr">
        <is>
          <t>~8 million</t>
        </is>
      </c>
      <c r="H8" t="inlineStr"/>
      <c r="I8" t="inlineStr">
        <is>
          <t>OH-SOS-2025</t>
        </is>
      </c>
    </row>
    <row r="9">
      <c r="A9" t="inlineStr">
        <is>
          <t>Ohio (SOS)</t>
        </is>
      </c>
      <c r="B9" t="inlineStr">
        <is>
          <t>Oct 2025</t>
        </is>
      </c>
      <c r="C9" t="inlineStr">
        <is>
          <t>Referred to US DOJ</t>
        </is>
      </c>
      <c r="D9" s="2" t="n">
        <v>1084</v>
      </c>
      <c r="F9" s="2" t="n">
        <v>1084</v>
      </c>
      <c r="G9" t="inlineStr">
        <is>
          <t>~8 million</t>
        </is>
      </c>
      <c r="H9" s="5" t="inlineStr">
        <is>
          <t>Includes 167 alleged federal voters (secondary source; not verified from primary).</t>
        </is>
      </c>
      <c r="I9" t="inlineStr">
        <is>
          <t>secondary</t>
        </is>
      </c>
    </row>
    <row r="10">
      <c r="A10" t="inlineStr">
        <is>
          <t>Louisiana (SOS)</t>
        </is>
      </c>
      <c r="B10" t="inlineStr">
        <is>
          <t>Sep 4, 2025</t>
        </is>
      </c>
      <c r="C10" t="inlineStr">
        <is>
          <t>Suspected noncitizens via SAVE</t>
        </is>
      </c>
      <c r="D10" s="2" t="n">
        <v>390</v>
      </c>
      <c r="G10" t="inlineStr">
        <is>
          <t>~2.9 million</t>
        </is>
      </c>
      <c r="H10" s="5" t="inlineStr">
        <is>
          <t>79 had voted at some point since the 1980s.</t>
        </is>
      </c>
      <c r="I10" t="inlineStr">
        <is>
          <t>LA-ILLUM-2025</t>
        </is>
      </c>
    </row>
    <row r="11">
      <c r="A11" t="inlineStr">
        <is>
          <t>Iowa (SOS)</t>
        </is>
      </c>
      <c r="B11" t="inlineStr">
        <is>
          <t>Oct 2024 -&gt; 2025</t>
        </is>
      </c>
      <c r="C11" t="inlineStr">
        <is>
          <t>Self-reported noncitizens (DOT) on rolls</t>
        </is>
      </c>
      <c r="D11" s="2" t="n">
        <v>277</v>
      </c>
      <c r="G11" t="inlineStr">
        <is>
          <t>1.6M voted in 2024</t>
        </is>
      </c>
      <c r="H11" s="5" t="inlineStr">
        <is>
          <t>Initial announcement &gt;2,000; revised to 277; 35 cast counted ballots in 2024 (Reuters).</t>
        </is>
      </c>
      <c r="I11" t="inlineStr">
        <is>
          <t>REUTERS-30K</t>
        </is>
      </c>
    </row>
    <row r="12">
      <c r="A12" t="inlineStr">
        <is>
          <t>New Jersey (Governor)</t>
        </is>
      </c>
      <c r="B12" t="inlineStr">
        <is>
          <t>Jul 21 &amp; Aug 19, 2026</t>
        </is>
      </c>
      <c r="C12" s="5" t="inlineStr">
        <is>
          <t>People who answered 'not a citizen' at MVC but were registered by a software error, Jun 2023-Jun 2024</t>
        </is>
      </c>
      <c r="D12" s="2" t="n">
        <v>6600</v>
      </c>
      <c r="E12" s="2" t="n">
        <v>5100</v>
      </c>
      <c r="F12" s="5" t="inlineStr">
        <is>
          <t>~1,450 to counties; ~220 voters referred for review</t>
        </is>
      </c>
      <c r="G12" t="inlineStr">
        <is>
          <t>Not reported in release</t>
        </is>
      </c>
      <c r="H12" s="5" t="inlineStr">
        <is>
          <t>~5,100 deleted; ~1,450 set to 'rejected' pending county review; ~340 newly registered via error voted; ~220 affected who voted had separate registrations/attestations and are under review.</t>
        </is>
      </c>
      <c r="I12" t="inlineStr">
        <is>
          <t>NJ-GOV-0721; NJ-GOV-0819</t>
        </is>
      </c>
    </row>
    <row r="13">
      <c r="A13" t="inlineStr">
        <is>
          <t>California (DMV)</t>
        </is>
      </c>
      <c r="B13" t="inlineStr">
        <is>
          <t>2018</t>
        </is>
      </c>
      <c r="C13" s="5" t="inlineStr">
        <is>
          <t>Noncitizens registered by DMV processing error</t>
        </is>
      </c>
      <c r="D13" s="2" t="n">
        <v>1500</v>
      </c>
      <c r="G13" t="inlineStr">
        <is>
          <t>~19 million</t>
        </is>
      </c>
      <c r="H13" s="5" t="inlineStr">
        <is>
          <t>'As many as 1,500' per media reports; state did not confirm to Reuters.</t>
        </is>
      </c>
      <c r="I13" t="inlineStr">
        <is>
          <t>REUTERS-30K</t>
        </is>
      </c>
    </row>
    <row r="14">
      <c r="A14" t="inlineStr">
        <is>
          <t>National: SAVE bulk checks (DHS)</t>
        </is>
      </c>
      <c r="B14" t="inlineStr">
        <is>
          <t>May 2025-2026</t>
        </is>
      </c>
      <c r="C14" s="5" t="inlineStr">
        <is>
          <t>Potential non-US citizens flagged on state lists (not confirmed)</t>
        </is>
      </c>
      <c r="D14" s="2" t="n">
        <v>28635</v>
      </c>
      <c r="E14" t="inlineStr">
        <is>
          <t>Not reported</t>
        </is>
      </c>
      <c r="F14" t="inlineStr">
        <is>
          <t>Not reported</t>
        </is>
      </c>
      <c r="G14" t="inlineStr">
        <is>
          <t>65M+ verified, 26 states</t>
        </is>
      </c>
      <c r="H14" s="5" t="inlineStr">
        <is>
          <t>Government figure in SCOTUS No. 26A308. DHS: a SAVE response changes no voter's status; only states cancel. SAVE modified system vacated Jun 22, 2026 (LWV v. DHS); stay denied (D.D.C. Jul 8; D.C. Cir. Sep 4); SCOTUS application pending.</t>
        </is>
      </c>
      <c r="I14" t="inlineStr">
        <is>
          <t>SCOTUS-26A308; LWV-ORDER</t>
        </is>
      </c>
    </row>
    <row r="15">
      <c r="A15" t="inlineStr">
        <is>
          <t>National: DOJ prosecutions</t>
        </is>
      </c>
      <c r="B15" t="inlineStr">
        <is>
          <t>Jan 2025-Sep 2026</t>
        </is>
      </c>
      <c r="C15" s="5" t="inlineStr">
        <is>
          <t>Defendants charged with unlawful voting/registration offenses</t>
        </is>
      </c>
      <c r="F15" s="2" t="n">
        <v>70</v>
      </c>
      <c r="G15" t="inlineStr">
        <is>
          <t>211M+ active</t>
        </is>
      </c>
      <c r="H15" s="5" t="inlineStr">
        <is>
          <t>DOJ: 70 charged. HSI: ~1,600 voter-fraud cases, 160 arrests (many for related offenses).</t>
        </is>
      </c>
      <c r="I15" t="inlineStr">
        <is>
          <t>PBS-AP-160; DOJ-16</t>
        </is>
      </c>
    </row>
    <row r="16">
      <c r="A16" t="inlineStr">
        <is>
          <t>National: Reuters compilation</t>
        </is>
      </c>
      <c r="B16" t="inlineStr">
        <is>
          <t>2000-2026</t>
        </is>
      </c>
      <c r="C16" s="5" t="inlineStr">
        <is>
          <t>Self-declared noncitizens added to rolls by state processing errors (12 states)</t>
        </is>
      </c>
      <c r="D16" s="2" t="n">
        <v>30000</v>
      </c>
      <c r="G16" t="inlineStr">
        <is>
          <t>170M+ registered</t>
        </is>
      </c>
      <c r="H16" s="5" t="inlineStr">
        <is>
          <t>'May have added more than 30,000'; number who voted not determined.</t>
        </is>
      </c>
      <c r="I16" t="inlineStr">
        <is>
          <t>REUTERS-30K</t>
        </is>
      </c>
    </row>
    <row r="18">
      <c r="A18" t="inlineStr">
        <is>
          <t>NVRA 52 U.S.C. 20507</t>
        </is>
      </c>
      <c r="B18" t="inlineStr"/>
      <c r="C18"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F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22" customWidth="1" min="7" max="7"/>
    <col width="16" customWidth="1" min="8" max="8"/>
    <col width="16" customWidth="1" min="9" max="9"/>
    <col width="16" customWidth="1" min="10" max="10"/>
    <col width="16" customWidth="1" min="11" max="11"/>
    <col width="16" customWidth="1" min="12" max="12"/>
    <col width="16" customWidth="1" min="13" max="13"/>
    <col width="22" customWidth="1" min="14" max="14"/>
    <col width="16" customWidth="1" min="15" max="15"/>
    <col width="16" customWidth="1" min="16" max="16"/>
    <col width="16" customWidth="1" min="17" max="17"/>
    <col width="16" customWidth="1" min="18" max="18"/>
    <col width="22"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ht="60" customHeight="1">
      <c r="A1" s="1" t="inlineStr">
        <is>
          <t>Year</t>
        </is>
      </c>
      <c r="B1" s="1" t="inlineStr">
        <is>
          <t>PEP population (July 1)</t>
        </is>
      </c>
      <c r="C1" s="1" t="inlineStr">
        <is>
          <t>ACS total</t>
        </is>
      </c>
      <c r="D1" s="1" t="inlineStr">
        <is>
          <t>ACS citizens</t>
        </is>
      </c>
      <c r="E1" s="1" t="inlineStr">
        <is>
          <t>ACS noncitizens</t>
        </is>
      </c>
      <c r="F1" s="1" t="inlineStr">
        <is>
          <t>ACS CVAP</t>
        </is>
      </c>
      <c r="G1" s="1" t="inlineStr">
        <is>
          <t>YoY CHANGE: ACS citizens [formula]</t>
        </is>
      </c>
      <c r="H1" s="1" t="inlineStr">
        <is>
          <t>CPS citizens 18+ (thous.)</t>
        </is>
      </c>
      <c r="I1" s="1" t="inlineStr">
        <is>
          <t>CPS registered (thous.)</t>
        </is>
      </c>
      <c r="J1" s="1" t="inlineStr">
        <is>
          <t>EAVS registered total</t>
        </is>
      </c>
      <c r="K1" s="1" t="inlineStr">
        <is>
          <t>EAVS active</t>
        </is>
      </c>
      <c r="L1" s="1" t="inlineStr">
        <is>
          <t>EAVS inactive</t>
        </is>
      </c>
      <c r="M1" s="1" t="inlineStr">
        <is>
          <t>EAVS reg. source</t>
        </is>
      </c>
      <c r="N1" s="1" t="inlineStr">
        <is>
          <t>CHANGE vs prior cycle: registered [formula]</t>
        </is>
      </c>
      <c r="O1" s="1" t="inlineStr">
        <is>
          <t>EAVS new valid registrations</t>
        </is>
      </c>
      <c r="P1" s="1" t="inlineStr">
        <is>
          <t>EAVS removals total</t>
        </is>
      </c>
      <c r="Q1" s="1" t="inlineStr">
        <is>
          <t>Removed: moved</t>
        </is>
      </c>
      <c r="R1" s="1" t="inlineStr">
        <is>
          <t>Removed: died</t>
        </is>
      </c>
      <c r="S1" s="1" t="inlineStr">
        <is>
          <t>Removed: failure to respond to confirmation</t>
        </is>
      </c>
      <c r="T1" s="1" t="inlineStr">
        <is>
          <t>Removed: felony</t>
        </is>
      </c>
      <c r="U1" s="1" t="inlineStr">
        <is>
          <t>Removed: voter request</t>
        </is>
      </c>
      <c r="V1" s="1" t="inlineStr">
        <is>
          <t>Confirmation notices sent</t>
        </is>
      </c>
      <c r="W1" s="1" t="inlineStr">
        <is>
          <t>Ballots/turnout total (EAVS)</t>
        </is>
      </c>
      <c r="X1" s="1" t="inlineStr">
        <is>
          <t>In-person Election Day</t>
        </is>
      </c>
      <c r="Y1" s="1" t="inlineStr">
        <is>
          <t>In-person early</t>
        </is>
      </c>
      <c r="Z1" s="1" t="inlineStr">
        <is>
          <t>Mail ballots counted</t>
        </is>
      </c>
      <c r="AA1" s="1" t="inlineStr">
        <is>
          <t>Provisional</t>
        </is>
      </c>
      <c r="AB1" s="1" t="inlineStr">
        <is>
          <t>UOCAVA</t>
        </is>
      </c>
      <c r="AC1" s="1" t="inlineStr">
        <is>
          <t>Mail ballots transmitted</t>
        </is>
      </c>
      <c r="AD1" s="1" t="inlineStr">
        <is>
          <t>Mail ballots returned</t>
        </is>
      </c>
      <c r="AE1" s="1" t="inlineStr">
        <is>
          <t>Ballots note</t>
        </is>
      </c>
      <c r="AF1" s="1" t="inlineStr">
        <is>
          <t>Notes</t>
        </is>
      </c>
    </row>
    <row r="2">
      <c r="A2" t="n">
        <v>2005</v>
      </c>
      <c r="B2" s="2" t="n">
        <v>4631888</v>
      </c>
      <c r="C2" t="inlineStr">
        <is>
          <t>Not reported</t>
        </is>
      </c>
      <c r="D2" t="inlineStr">
        <is>
          <t>Not reported</t>
        </is>
      </c>
      <c r="E2" t="inlineStr">
        <is>
          <t>Not reported</t>
        </is>
      </c>
      <c r="F2" t="inlineStr">
        <is>
          <t>Not reported</t>
        </is>
      </c>
      <c r="G2" s="3" t="n"/>
      <c r="H2" t="inlineStr">
        <is>
          <t>Not reported</t>
        </is>
      </c>
      <c r="I2" t="inlineStr">
        <is>
          <t>Not reported</t>
        </is>
      </c>
      <c r="J2" t="inlineStr">
        <is>
          <t>Not reported</t>
        </is>
      </c>
      <c r="K2" t="inlineStr">
        <is>
          <t>Not reported</t>
        </is>
      </c>
      <c r="L2" t="inlineStr">
        <is>
          <t>Not reported</t>
        </is>
      </c>
      <c r="M2" t="inlineStr"/>
      <c r="N2" s="3" t="n"/>
      <c r="O2" t="inlineStr">
        <is>
          <t>Not reported</t>
        </is>
      </c>
      <c r="P2" t="inlineStr">
        <is>
          <t>Not reported</t>
        </is>
      </c>
      <c r="Q2" t="inlineStr">
        <is>
          <t>Not reported</t>
        </is>
      </c>
      <c r="R2" t="inlineStr">
        <is>
          <t>Not reported</t>
        </is>
      </c>
      <c r="S2" t="inlineStr">
        <is>
          <t>Not reported</t>
        </is>
      </c>
      <c r="T2" t="inlineStr">
        <is>
          <t>Not reported</t>
        </is>
      </c>
      <c r="U2" t="inlineStr">
        <is>
          <t>Not reported</t>
        </is>
      </c>
      <c r="V2" t="inlineStr">
        <is>
          <t>Not reported</t>
        </is>
      </c>
      <c r="W2" t="inlineStr">
        <is>
          <t>Not reported</t>
        </is>
      </c>
      <c r="X2" t="inlineStr">
        <is>
          <t>Not reported</t>
        </is>
      </c>
      <c r="Y2" t="inlineStr">
        <is>
          <t>Not reported</t>
        </is>
      </c>
      <c r="Z2" t="inlineStr">
        <is>
          <t>Not reported</t>
        </is>
      </c>
      <c r="AA2" t="inlineStr">
        <is>
          <t>Not reported</t>
        </is>
      </c>
      <c r="AB2" t="inlineStr">
        <is>
          <t>Not reported</t>
        </is>
      </c>
      <c r="AC2" t="inlineStr">
        <is>
          <t>Not reported</t>
        </is>
      </c>
      <c r="AD2" t="inlineStr">
        <is>
          <t>Not reported</t>
        </is>
      </c>
      <c r="AE2" t="inlineStr"/>
      <c r="AF2" s="5" t="inlineStr">
        <is>
          <t>ACS Colorado 2005: Not reported (not extracted; 2005 ACS household population only).</t>
        </is>
      </c>
    </row>
    <row r="3">
      <c r="A3" t="n">
        <v>2006</v>
      </c>
      <c r="B3" s="2" t="n">
        <v>4720423</v>
      </c>
      <c r="C3" s="2" t="n">
        <v>4753377</v>
      </c>
      <c r="D3" s="2" t="n">
        <v>4414931</v>
      </c>
      <c r="E3" s="2" t="n">
        <v>338446</v>
      </c>
      <c r="F3" s="2" t="n">
        <v>3292556</v>
      </c>
      <c r="G3" s="6">
        <f>IF(AND(ISNUMBER(D3),ISNUMBER(D2)),D3-D2,"")</f>
        <v/>
      </c>
      <c r="H3" s="2" t="n">
        <v>3187</v>
      </c>
      <c r="I3" s="2" t="n">
        <v>2275</v>
      </c>
      <c r="J3" s="2" t="n">
        <v>3000836</v>
      </c>
      <c r="K3" t="inlineStr">
        <is>
          <t>Not reported</t>
        </is>
      </c>
      <c r="L3" t="inlineStr">
        <is>
          <t>Not reported</t>
        </is>
      </c>
      <c r="M3" t="inlineStr">
        <is>
          <t>2006 EAVS report state table</t>
        </is>
      </c>
      <c r="N3" s="3" t="n"/>
      <c r="O3" t="inlineStr">
        <is>
          <t>Not reported</t>
        </is>
      </c>
      <c r="P3" t="inlineStr">
        <is>
          <t>Not reported</t>
        </is>
      </c>
      <c r="Q3" t="inlineStr">
        <is>
          <t>Not reported</t>
        </is>
      </c>
      <c r="R3" t="inlineStr">
        <is>
          <t>Not reported</t>
        </is>
      </c>
      <c r="S3" t="inlineStr">
        <is>
          <t>Not reported</t>
        </is>
      </c>
      <c r="T3" t="inlineStr">
        <is>
          <t>Not reported</t>
        </is>
      </c>
      <c r="U3" t="inlineStr">
        <is>
          <t>Not reported</t>
        </is>
      </c>
      <c r="V3" t="inlineStr">
        <is>
          <t>Not reported</t>
        </is>
      </c>
      <c r="W3" s="2" t="n">
        <v>1598728</v>
      </c>
      <c r="X3" s="2" t="n">
        <v>702492</v>
      </c>
      <c r="Y3" s="2" t="n">
        <v>234498</v>
      </c>
      <c r="Z3" s="2" t="n">
        <v>632793</v>
      </c>
      <c r="AA3" s="2" t="n">
        <v>26455</v>
      </c>
      <c r="AB3" t="inlineStr">
        <is>
          <t>Not reported</t>
        </is>
      </c>
      <c r="AC3" t="inlineStr">
        <is>
          <t>Not reported</t>
        </is>
      </c>
      <c r="AD3" t="inlineStr">
        <is>
          <t>Not reported</t>
        </is>
      </c>
      <c r="AE3" s="5" t="inlineStr">
        <is>
          <t>2006 EAVS: at polls / early / absentee (domestic) / provisional</t>
        </is>
      </c>
      <c r="AF3" t="inlineStr"/>
    </row>
    <row r="4">
      <c r="A4" t="n">
        <v>2007</v>
      </c>
      <c r="B4" s="2" t="n">
        <v>4803868</v>
      </c>
      <c r="C4" s="2" t="n">
        <v>4861515</v>
      </c>
      <c r="D4" s="2" t="n">
        <v>4529302</v>
      </c>
      <c r="E4" s="2" t="n">
        <v>332213</v>
      </c>
      <c r="F4" s="2" t="n">
        <v>3380977</v>
      </c>
      <c r="G4" s="6">
        <f>IF(AND(ISNUMBER(D4),ISNUMBER(D3)),D4-D3,"")</f>
        <v/>
      </c>
      <c r="H4" t="inlineStr">
        <is>
          <t>Not reported</t>
        </is>
      </c>
      <c r="I4" t="inlineStr">
        <is>
          <t>Not reported</t>
        </is>
      </c>
      <c r="J4" t="inlineStr">
        <is>
          <t>Not reported</t>
        </is>
      </c>
      <c r="K4" t="inlineStr">
        <is>
          <t>Not reported</t>
        </is>
      </c>
      <c r="L4" t="inlineStr">
        <is>
          <t>Not reported</t>
        </is>
      </c>
      <c r="M4" t="inlineStr"/>
      <c r="N4" s="3" t="n"/>
      <c r="O4" t="inlineStr">
        <is>
          <t>Not reported</t>
        </is>
      </c>
      <c r="P4" t="inlineStr">
        <is>
          <t>Not reported</t>
        </is>
      </c>
      <c r="Q4" t="inlineStr">
        <is>
          <t>Not reported</t>
        </is>
      </c>
      <c r="R4" t="inlineStr">
        <is>
          <t>Not reported</t>
        </is>
      </c>
      <c r="S4" t="inlineStr">
        <is>
          <t>Not reported</t>
        </is>
      </c>
      <c r="T4" t="inlineStr">
        <is>
          <t>Not reported</t>
        </is>
      </c>
      <c r="U4" t="inlineStr">
        <is>
          <t>Not reported</t>
        </is>
      </c>
      <c r="V4" t="inlineStr">
        <is>
          <t>Not reported</t>
        </is>
      </c>
      <c r="W4" t="inlineStr">
        <is>
          <t>Not reported</t>
        </is>
      </c>
      <c r="X4" t="inlineStr">
        <is>
          <t>Not reported</t>
        </is>
      </c>
      <c r="Y4" t="inlineStr">
        <is>
          <t>Not reported</t>
        </is>
      </c>
      <c r="Z4" t="inlineStr">
        <is>
          <t>Not reported</t>
        </is>
      </c>
      <c r="AA4" t="inlineStr">
        <is>
          <t>Not reported</t>
        </is>
      </c>
      <c r="AB4" t="inlineStr">
        <is>
          <t>Not reported</t>
        </is>
      </c>
      <c r="AC4" t="inlineStr">
        <is>
          <t>Not reported</t>
        </is>
      </c>
      <c r="AD4" t="inlineStr">
        <is>
          <t>Not reported</t>
        </is>
      </c>
      <c r="AE4" t="inlineStr"/>
      <c r="AF4" t="inlineStr"/>
    </row>
    <row r="5">
      <c r="A5" t="n">
        <v>2008</v>
      </c>
      <c r="B5" s="2" t="n">
        <v>4889730</v>
      </c>
      <c r="C5" s="2" t="n">
        <v>4939456</v>
      </c>
      <c r="D5" s="2" t="n">
        <v>4599143</v>
      </c>
      <c r="E5" s="2" t="n">
        <v>340313</v>
      </c>
      <c r="F5" s="2" t="n">
        <v>3435250</v>
      </c>
      <c r="G5" s="6">
        <f>IF(AND(ISNUMBER(D5),ISNUMBER(D4)),D5-D4,"")</f>
        <v/>
      </c>
      <c r="H5" s="2" t="n">
        <v>3374</v>
      </c>
      <c r="I5" s="2" t="n">
        <v>2437</v>
      </c>
      <c r="J5" s="2" t="n">
        <v>3214382</v>
      </c>
      <c r="K5" t="inlineStr">
        <is>
          <t>Not reported</t>
        </is>
      </c>
      <c r="L5" t="inlineStr">
        <is>
          <t>Not reported</t>
        </is>
      </c>
      <c r="M5" t="inlineStr">
        <is>
          <t>2008 EAVS report state table</t>
        </is>
      </c>
      <c r="N5" s="6">
        <f>IF(AND(ISNUMBER(J5),ISNUMBER(J3)),J5-J3,"")</f>
        <v/>
      </c>
      <c r="O5" t="inlineStr">
        <is>
          <t>Not reported</t>
        </is>
      </c>
      <c r="P5" t="inlineStr">
        <is>
          <t>Not reported</t>
        </is>
      </c>
      <c r="Q5" t="inlineStr">
        <is>
          <t>Not reported</t>
        </is>
      </c>
      <c r="R5" t="inlineStr">
        <is>
          <t>Not reported</t>
        </is>
      </c>
      <c r="S5" t="inlineStr">
        <is>
          <t>Not reported</t>
        </is>
      </c>
      <c r="T5" t="inlineStr">
        <is>
          <t>Not reported</t>
        </is>
      </c>
      <c r="U5" t="inlineStr">
        <is>
          <t>Not reported</t>
        </is>
      </c>
      <c r="V5" t="inlineStr">
        <is>
          <t>Not reported</t>
        </is>
      </c>
      <c r="W5" s="2" t="n">
        <v>2426253</v>
      </c>
      <c r="X5" s="2" t="n">
        <v>490535</v>
      </c>
      <c r="Y5" s="2" t="n">
        <v>364969</v>
      </c>
      <c r="Z5" s="2" t="n">
        <v>1510842</v>
      </c>
      <c r="AA5" s="2" t="n">
        <v>47214</v>
      </c>
      <c r="AB5" t="inlineStr">
        <is>
          <t>Not reported</t>
        </is>
      </c>
      <c r="AC5" t="inlineStr">
        <is>
          <t>Not reported</t>
        </is>
      </c>
      <c r="AD5" t="inlineStr">
        <is>
          <t>Not reported</t>
        </is>
      </c>
      <c r="AE5" t="inlineStr">
        <is>
          <t>2008 EAVS Table 28-type</t>
        </is>
      </c>
      <c r="AF5" t="inlineStr"/>
    </row>
    <row r="6">
      <c r="A6" t="n">
        <v>2009</v>
      </c>
      <c r="B6" s="2" t="n">
        <v>4972195</v>
      </c>
      <c r="C6" s="2" t="n">
        <v>5024748</v>
      </c>
      <c r="D6" s="2" t="n">
        <v>4699098</v>
      </c>
      <c r="E6" s="2" t="n">
        <v>325650</v>
      </c>
      <c r="F6" s="2" t="n">
        <v>3504141</v>
      </c>
      <c r="G6" s="6">
        <f>IF(AND(ISNUMBER(D6),ISNUMBER(D5)),D6-D5,"")</f>
        <v/>
      </c>
      <c r="H6" t="inlineStr">
        <is>
          <t>Not reported</t>
        </is>
      </c>
      <c r="I6" t="inlineStr">
        <is>
          <t>Not reported</t>
        </is>
      </c>
      <c r="J6" t="inlineStr">
        <is>
          <t>Not reported</t>
        </is>
      </c>
      <c r="K6" t="inlineStr">
        <is>
          <t>Not reported</t>
        </is>
      </c>
      <c r="L6" t="inlineStr">
        <is>
          <t>Not reported</t>
        </is>
      </c>
      <c r="M6" t="inlineStr"/>
      <c r="N6" s="3" t="n"/>
      <c r="O6" t="inlineStr">
        <is>
          <t>Not reported</t>
        </is>
      </c>
      <c r="P6" t="inlineStr">
        <is>
          <t>Not reported</t>
        </is>
      </c>
      <c r="Q6" t="inlineStr">
        <is>
          <t>Not reported</t>
        </is>
      </c>
      <c r="R6" t="inlineStr">
        <is>
          <t>Not reported</t>
        </is>
      </c>
      <c r="S6" t="inlineStr">
        <is>
          <t>Not reported</t>
        </is>
      </c>
      <c r="T6" t="inlineStr">
        <is>
          <t>Not reported</t>
        </is>
      </c>
      <c r="U6" t="inlineStr">
        <is>
          <t>Not reported</t>
        </is>
      </c>
      <c r="V6" t="inlineStr">
        <is>
          <t>Not reported</t>
        </is>
      </c>
      <c r="W6" t="inlineStr">
        <is>
          <t>Not reported</t>
        </is>
      </c>
      <c r="X6" t="inlineStr">
        <is>
          <t>Not reported</t>
        </is>
      </c>
      <c r="Y6" t="inlineStr">
        <is>
          <t>Not reported</t>
        </is>
      </c>
      <c r="Z6" t="inlineStr">
        <is>
          <t>Not reported</t>
        </is>
      </c>
      <c r="AA6" t="inlineStr">
        <is>
          <t>Not reported</t>
        </is>
      </c>
      <c r="AB6" t="inlineStr">
        <is>
          <t>Not reported</t>
        </is>
      </c>
      <c r="AC6" t="inlineStr">
        <is>
          <t>Not reported</t>
        </is>
      </c>
      <c r="AD6" t="inlineStr">
        <is>
          <t>Not reported</t>
        </is>
      </c>
      <c r="AE6" t="inlineStr"/>
      <c r="AF6" t="inlineStr"/>
    </row>
    <row r="7">
      <c r="A7" t="n">
        <v>2010</v>
      </c>
      <c r="B7" s="2" t="n">
        <v>5046928</v>
      </c>
      <c r="C7" s="2" t="n">
        <v>5049071</v>
      </c>
      <c r="D7" s="2" t="n">
        <v>4729312</v>
      </c>
      <c r="E7" s="2" t="n">
        <v>319759</v>
      </c>
      <c r="F7" s="2" t="n">
        <v>3534106</v>
      </c>
      <c r="G7" s="6">
        <f>IF(AND(ISNUMBER(D7),ISNUMBER(D6)),D7-D6,"")</f>
        <v/>
      </c>
      <c r="H7" s="2" t="n">
        <v>3473</v>
      </c>
      <c r="I7" s="2" t="n">
        <v>2299</v>
      </c>
      <c r="J7" s="2" t="n">
        <v>3293942</v>
      </c>
      <c r="K7" t="inlineStr">
        <is>
          <t>Not reported</t>
        </is>
      </c>
      <c r="L7" t="inlineStr">
        <is>
          <t>Not reported</t>
        </is>
      </c>
      <c r="M7" t="inlineStr">
        <is>
          <t>2010 EAVS report state table</t>
        </is>
      </c>
      <c r="N7" s="6">
        <f>IF(AND(ISNUMBER(J7),ISNUMBER(J5)),J7-J5,"")</f>
        <v/>
      </c>
      <c r="O7" t="inlineStr">
        <is>
          <t>Not reported</t>
        </is>
      </c>
      <c r="P7" t="inlineStr">
        <is>
          <t>Not reported</t>
        </is>
      </c>
      <c r="Q7" t="inlineStr">
        <is>
          <t>Not reported</t>
        </is>
      </c>
      <c r="R7" t="inlineStr">
        <is>
          <t>Not reported</t>
        </is>
      </c>
      <c r="S7" t="inlineStr">
        <is>
          <t>Not reported</t>
        </is>
      </c>
      <c r="T7" t="inlineStr">
        <is>
          <t>Not reported</t>
        </is>
      </c>
      <c r="U7" t="inlineStr">
        <is>
          <t>Not reported</t>
        </is>
      </c>
      <c r="V7" t="inlineStr">
        <is>
          <t>Not reported</t>
        </is>
      </c>
      <c r="W7" s="2" t="n">
        <v>1828323</v>
      </c>
      <c r="X7" s="2" t="n">
        <v>400163</v>
      </c>
      <c r="Y7" s="2" t="n">
        <v>122053</v>
      </c>
      <c r="Z7" s="2" t="n">
        <v>1266035</v>
      </c>
      <c r="AA7" s="2" t="n">
        <v>35694</v>
      </c>
      <c r="AB7" t="inlineStr">
        <is>
          <t>Not reported</t>
        </is>
      </c>
      <c r="AC7" t="inlineStr">
        <is>
          <t>Not reported</t>
        </is>
      </c>
      <c r="AD7" t="inlineStr">
        <is>
          <t>Not reported</t>
        </is>
      </c>
      <c r="AE7" t="inlineStr">
        <is>
          <t>2010 EAVS Table 28A</t>
        </is>
      </c>
      <c r="AF7" t="inlineStr"/>
    </row>
    <row r="8">
      <c r="A8" t="n">
        <v>2011</v>
      </c>
      <c r="B8" s="2" t="n">
        <v>5118837</v>
      </c>
      <c r="C8" s="2" t="n">
        <v>5116796</v>
      </c>
      <c r="D8" s="2" t="n">
        <v>4799788</v>
      </c>
      <c r="E8" s="2" t="n">
        <v>317008</v>
      </c>
      <c r="F8" s="2" t="n">
        <v>3603892</v>
      </c>
      <c r="G8" s="6">
        <f>IF(AND(ISNUMBER(D8),ISNUMBER(D7)),D8-D7,"")</f>
        <v/>
      </c>
      <c r="H8" t="inlineStr">
        <is>
          <t>Not reported</t>
        </is>
      </c>
      <c r="I8" t="inlineStr">
        <is>
          <t>Not reported</t>
        </is>
      </c>
      <c r="J8" t="inlineStr">
        <is>
          <t>Not reported</t>
        </is>
      </c>
      <c r="K8" t="inlineStr">
        <is>
          <t>Not reported</t>
        </is>
      </c>
      <c r="L8" t="inlineStr">
        <is>
          <t>Not reported</t>
        </is>
      </c>
      <c r="M8" t="inlineStr"/>
      <c r="N8" s="3" t="n"/>
      <c r="O8" t="inlineStr">
        <is>
          <t>Not reported</t>
        </is>
      </c>
      <c r="P8" t="inlineStr">
        <is>
          <t>Not reported</t>
        </is>
      </c>
      <c r="Q8" t="inlineStr">
        <is>
          <t>Not reported</t>
        </is>
      </c>
      <c r="R8" t="inlineStr">
        <is>
          <t>Not reported</t>
        </is>
      </c>
      <c r="S8" t="inlineStr">
        <is>
          <t>Not reported</t>
        </is>
      </c>
      <c r="T8" t="inlineStr">
        <is>
          <t>Not reported</t>
        </is>
      </c>
      <c r="U8" t="inlineStr">
        <is>
          <t>Not reported</t>
        </is>
      </c>
      <c r="V8" t="inlineStr">
        <is>
          <t>Not reported</t>
        </is>
      </c>
      <c r="W8" t="inlineStr">
        <is>
          <t>Not reported</t>
        </is>
      </c>
      <c r="X8" t="inlineStr">
        <is>
          <t>Not reported</t>
        </is>
      </c>
      <c r="Y8" t="inlineStr">
        <is>
          <t>Not reported</t>
        </is>
      </c>
      <c r="Z8" t="inlineStr">
        <is>
          <t>Not reported</t>
        </is>
      </c>
      <c r="AA8" t="inlineStr">
        <is>
          <t>Not reported</t>
        </is>
      </c>
      <c r="AB8" t="inlineStr">
        <is>
          <t>Not reported</t>
        </is>
      </c>
      <c r="AC8" t="inlineStr">
        <is>
          <t>Not reported</t>
        </is>
      </c>
      <c r="AD8" t="inlineStr">
        <is>
          <t>Not reported</t>
        </is>
      </c>
      <c r="AE8" t="inlineStr"/>
      <c r="AF8" t="inlineStr"/>
    </row>
    <row r="9">
      <c r="A9" t="n">
        <v>2012</v>
      </c>
      <c r="B9" s="2" t="n">
        <v>5188139</v>
      </c>
      <c r="C9" s="2" t="n">
        <v>5187582</v>
      </c>
      <c r="D9" s="2" t="n">
        <v>4882536</v>
      </c>
      <c r="E9" s="2" t="n">
        <v>305046</v>
      </c>
      <c r="F9" s="2" t="n">
        <v>3682926</v>
      </c>
      <c r="G9" s="6">
        <f>IF(AND(ISNUMBER(D9),ISNUMBER(D8)),D9-D8,"")</f>
        <v/>
      </c>
      <c r="H9" s="2" t="n">
        <v>3544</v>
      </c>
      <c r="I9" s="2" t="n">
        <v>2635</v>
      </c>
      <c r="J9" s="2" t="n">
        <v>3651091</v>
      </c>
      <c r="K9" t="inlineStr">
        <is>
          <t>Not reported</t>
        </is>
      </c>
      <c r="L9" t="inlineStr">
        <is>
          <t>Not reported</t>
        </is>
      </c>
      <c r="M9" t="inlineStr">
        <is>
          <t>2012 EAVS report state table</t>
        </is>
      </c>
      <c r="N9" s="6">
        <f>IF(AND(ISNUMBER(J9),ISNUMBER(J7)),J9-J7,"")</f>
        <v/>
      </c>
      <c r="O9" t="inlineStr">
        <is>
          <t>Not reported</t>
        </is>
      </c>
      <c r="P9" t="inlineStr">
        <is>
          <t>Not reported</t>
        </is>
      </c>
      <c r="Q9" t="inlineStr">
        <is>
          <t>Not reported</t>
        </is>
      </c>
      <c r="R9" t="inlineStr">
        <is>
          <t>Not reported</t>
        </is>
      </c>
      <c r="S9" t="inlineStr">
        <is>
          <t>Not reported</t>
        </is>
      </c>
      <c r="T9" t="inlineStr">
        <is>
          <t>Not reported</t>
        </is>
      </c>
      <c r="U9" t="inlineStr">
        <is>
          <t>Not reported</t>
        </is>
      </c>
      <c r="V9" t="inlineStr">
        <is>
          <t>Not reported</t>
        </is>
      </c>
      <c r="W9" s="2" t="n">
        <v>2594628</v>
      </c>
      <c r="X9" s="2" t="n">
        <v>421980</v>
      </c>
      <c r="Y9" s="2" t="n">
        <v>250797</v>
      </c>
      <c r="Z9" s="2" t="n">
        <v>1851529</v>
      </c>
      <c r="AA9" s="2" t="n">
        <v>52977</v>
      </c>
      <c r="AB9" t="inlineStr">
        <is>
          <t>Not reported</t>
        </is>
      </c>
      <c r="AC9" t="inlineStr">
        <is>
          <t>Not reported</t>
        </is>
      </c>
      <c r="AD9" t="inlineStr">
        <is>
          <t>Not reported</t>
        </is>
      </c>
      <c r="AE9" t="inlineStr">
        <is>
          <t>2012 EAVS Table 28</t>
        </is>
      </c>
      <c r="AF9" t="inlineStr"/>
    </row>
    <row r="10">
      <c r="A10" t="n">
        <v>2013</v>
      </c>
      <c r="B10" s="2" t="n">
        <v>5262801</v>
      </c>
      <c r="C10" s="2" t="n">
        <v>5268367</v>
      </c>
      <c r="D10" s="2" t="n">
        <v>4965333</v>
      </c>
      <c r="E10" s="2" t="n">
        <v>303034</v>
      </c>
      <c r="F10" s="2" t="n">
        <v>3756032</v>
      </c>
      <c r="G10" s="6">
        <f>IF(AND(ISNUMBER(D10),ISNUMBER(D9)),D10-D9,"")</f>
        <v/>
      </c>
      <c r="H10" t="inlineStr">
        <is>
          <t>Not reported</t>
        </is>
      </c>
      <c r="I10" t="inlineStr">
        <is>
          <t>Not reported</t>
        </is>
      </c>
      <c r="J10" t="inlineStr">
        <is>
          <t>Not reported</t>
        </is>
      </c>
      <c r="K10" t="inlineStr">
        <is>
          <t>Not reported</t>
        </is>
      </c>
      <c r="L10" t="inlineStr">
        <is>
          <t>Not reported</t>
        </is>
      </c>
      <c r="M10" t="inlineStr"/>
      <c r="N10" s="3" t="n"/>
      <c r="O10" t="inlineStr">
        <is>
          <t>Not reported</t>
        </is>
      </c>
      <c r="P10" t="inlineStr">
        <is>
          <t>Not reported</t>
        </is>
      </c>
      <c r="Q10" t="inlineStr">
        <is>
          <t>Not reported</t>
        </is>
      </c>
      <c r="R10" t="inlineStr">
        <is>
          <t>Not reported</t>
        </is>
      </c>
      <c r="S10" t="inlineStr">
        <is>
          <t>Not reported</t>
        </is>
      </c>
      <c r="T10" t="inlineStr">
        <is>
          <t>Not reported</t>
        </is>
      </c>
      <c r="U10" t="inlineStr">
        <is>
          <t>Not reported</t>
        </is>
      </c>
      <c r="V10" t="inlineStr">
        <is>
          <t>Not reported</t>
        </is>
      </c>
      <c r="W10" t="inlineStr">
        <is>
          <t>Not reported</t>
        </is>
      </c>
      <c r="X10" t="inlineStr">
        <is>
          <t>Not reported</t>
        </is>
      </c>
      <c r="Y10" t="inlineStr">
        <is>
          <t>Not reported</t>
        </is>
      </c>
      <c r="Z10" t="inlineStr">
        <is>
          <t>Not reported</t>
        </is>
      </c>
      <c r="AA10" t="inlineStr">
        <is>
          <t>Not reported</t>
        </is>
      </c>
      <c r="AB10" t="inlineStr">
        <is>
          <t>Not reported</t>
        </is>
      </c>
      <c r="AC10" t="inlineStr">
        <is>
          <t>Not reported</t>
        </is>
      </c>
      <c r="AD10" t="inlineStr">
        <is>
          <t>Not reported</t>
        </is>
      </c>
      <c r="AE10" t="inlineStr"/>
      <c r="AF10" s="5" t="inlineStr">
        <is>
          <t>HB13-1303 (May 2013) made Colorado an all-mail-ballot state with voter service &amp; polling centers and same-day registration; first statewide general under it: Nov 2013 (odd-year), first federal general: 2014.</t>
        </is>
      </c>
    </row>
    <row r="11">
      <c r="A11" t="n">
        <v>2014</v>
      </c>
      <c r="B11" s="2" t="n">
        <v>5342212</v>
      </c>
      <c r="C11" s="2" t="n">
        <v>5355866</v>
      </c>
      <c r="D11" s="2" t="n">
        <v>5031995</v>
      </c>
      <c r="E11" s="2" t="n">
        <v>323871</v>
      </c>
      <c r="F11" s="2" t="n">
        <v>3811144</v>
      </c>
      <c r="G11" s="6">
        <f>IF(AND(ISNUMBER(D11),ISNUMBER(D10)),D11-D10,"")</f>
        <v/>
      </c>
      <c r="H11" s="2" t="n">
        <v>3732</v>
      </c>
      <c r="I11" s="2" t="n">
        <v>2654</v>
      </c>
      <c r="J11" s="2" t="n">
        <v>3649105</v>
      </c>
      <c r="K11" s="2" t="n">
        <v>2889034</v>
      </c>
      <c r="L11" s="2" t="n">
        <v>760071</v>
      </c>
      <c r="M11" t="inlineStr">
        <is>
          <t>2014 EAVS report</t>
        </is>
      </c>
      <c r="N11" s="6">
        <f>IF(AND(ISNUMBER(J11),ISNUMBER(J9)),J11-J9,"")</f>
        <v/>
      </c>
      <c r="O11" t="inlineStr">
        <is>
          <t>Not reported</t>
        </is>
      </c>
      <c r="P11" s="2" t="n">
        <v>163902</v>
      </c>
      <c r="Q11" s="2" t="n">
        <v>62432</v>
      </c>
      <c r="R11" s="2" t="n">
        <v>17565</v>
      </c>
      <c r="S11" s="2" t="n">
        <v>50228</v>
      </c>
      <c r="T11" t="inlineStr">
        <is>
          <t>Not reported</t>
        </is>
      </c>
      <c r="U11" s="2" t="n">
        <v>15116</v>
      </c>
      <c r="V11" t="inlineStr">
        <is>
          <t>Not reported</t>
        </is>
      </c>
      <c r="W11" s="2" t="n">
        <v>2075858</v>
      </c>
      <c r="X11" s="2" t="n">
        <v>83440</v>
      </c>
      <c r="Y11" s="2" t="n">
        <v>17620</v>
      </c>
      <c r="Z11" s="2" t="n">
        <v>1967491</v>
      </c>
      <c r="AA11" s="2" t="n">
        <v>578</v>
      </c>
      <c r="AB11" s="2" t="n">
        <v>6729</v>
      </c>
      <c r="AC11" t="inlineStr">
        <is>
          <t>Not reported</t>
        </is>
      </c>
      <c r="AD11" t="inlineStr">
        <is>
          <t>Not reported</t>
        </is>
      </c>
      <c r="AE11" s="5" t="inlineStr">
        <is>
          <t>2014 EAVS Table 28; mail = 'vote by mail jurisdiction' column; first general election under HB13-1303</t>
        </is>
      </c>
      <c r="AF11" t="inlineStr"/>
    </row>
    <row r="12">
      <c r="A12" t="n">
        <v>2015</v>
      </c>
      <c r="B12" s="2" t="n">
        <v>5441452</v>
      </c>
      <c r="C12" s="2" t="n">
        <v>5456574</v>
      </c>
      <c r="D12" s="2" t="n">
        <v>5127202</v>
      </c>
      <c r="E12" s="2" t="n">
        <v>329372</v>
      </c>
      <c r="F12" s="2" t="n">
        <v>3896986</v>
      </c>
      <c r="G12" s="6">
        <f>IF(AND(ISNUMBER(D12),ISNUMBER(D11)),D12-D11,"")</f>
        <v/>
      </c>
      <c r="H12" t="inlineStr">
        <is>
          <t>Not reported</t>
        </is>
      </c>
      <c r="I12" t="inlineStr">
        <is>
          <t>Not reported</t>
        </is>
      </c>
      <c r="J12" t="inlineStr">
        <is>
          <t>Not reported</t>
        </is>
      </c>
      <c r="K12" t="inlineStr">
        <is>
          <t>Not reported</t>
        </is>
      </c>
      <c r="L12" t="inlineStr">
        <is>
          <t>Not reported</t>
        </is>
      </c>
      <c r="M12" t="inlineStr"/>
      <c r="N12" s="3" t="n"/>
      <c r="O12" t="inlineStr">
        <is>
          <t>Not reported</t>
        </is>
      </c>
      <c r="P12" t="inlineStr">
        <is>
          <t>Not reported</t>
        </is>
      </c>
      <c r="Q12" t="inlineStr">
        <is>
          <t>Not reported</t>
        </is>
      </c>
      <c r="R12" t="inlineStr">
        <is>
          <t>Not reported</t>
        </is>
      </c>
      <c r="S12" t="inlineStr">
        <is>
          <t>Not reported</t>
        </is>
      </c>
      <c r="T12" t="inlineStr">
        <is>
          <t>Not reported</t>
        </is>
      </c>
      <c r="U12" t="inlineStr">
        <is>
          <t>Not reported</t>
        </is>
      </c>
      <c r="V12" t="inlineStr">
        <is>
          <t>Not reported</t>
        </is>
      </c>
      <c r="W12" t="inlineStr">
        <is>
          <t>Not reported</t>
        </is>
      </c>
      <c r="X12" t="inlineStr">
        <is>
          <t>Not reported</t>
        </is>
      </c>
      <c r="Y12" t="inlineStr">
        <is>
          <t>Not reported</t>
        </is>
      </c>
      <c r="Z12" t="inlineStr">
        <is>
          <t>Not reported</t>
        </is>
      </c>
      <c r="AA12" t="inlineStr">
        <is>
          <t>Not reported</t>
        </is>
      </c>
      <c r="AB12" t="inlineStr">
        <is>
          <t>Not reported</t>
        </is>
      </c>
      <c r="AC12" t="inlineStr">
        <is>
          <t>Not reported</t>
        </is>
      </c>
      <c r="AD12" t="inlineStr">
        <is>
          <t>Not reported</t>
        </is>
      </c>
      <c r="AE12" t="inlineStr"/>
      <c r="AF12" t="inlineStr"/>
    </row>
    <row r="13">
      <c r="A13" t="n">
        <v>2016</v>
      </c>
      <c r="B13" s="2" t="n">
        <v>5528510</v>
      </c>
      <c r="C13" s="2" t="n">
        <v>5540545</v>
      </c>
      <c r="D13" s="2" t="n">
        <v>5211807</v>
      </c>
      <c r="E13" s="2" t="n">
        <v>328738</v>
      </c>
      <c r="F13" s="2" t="n">
        <v>3979278</v>
      </c>
      <c r="G13" s="6">
        <f>IF(AND(ISNUMBER(D13),ISNUMBER(D12)),D13-D12,"")</f>
        <v/>
      </c>
      <c r="H13" s="2" t="n">
        <v>3895</v>
      </c>
      <c r="I13" s="2" t="n">
        <v>2893</v>
      </c>
      <c r="J13" s="2" t="n">
        <v>3840303</v>
      </c>
      <c r="K13" s="2" t="n">
        <v>3336663</v>
      </c>
      <c r="L13" s="2" t="n">
        <v>503640</v>
      </c>
      <c r="M13" t="inlineStr">
        <is>
          <t>2016 EAVS report</t>
        </is>
      </c>
      <c r="N13" s="6">
        <f>IF(AND(ISNUMBER(J13),ISNUMBER(J11)),J13-J11,"")</f>
        <v/>
      </c>
      <c r="O13" s="2" t="n">
        <v>536680</v>
      </c>
      <c r="P13" t="inlineStr">
        <is>
          <t>Not reported</t>
        </is>
      </c>
      <c r="Q13" t="inlineStr">
        <is>
          <t>Not reported</t>
        </is>
      </c>
      <c r="R13" t="inlineStr">
        <is>
          <t>Not reported</t>
        </is>
      </c>
      <c r="S13" t="inlineStr">
        <is>
          <t>Not reported</t>
        </is>
      </c>
      <c r="T13" t="inlineStr">
        <is>
          <t>Not reported</t>
        </is>
      </c>
      <c r="U13" t="inlineStr">
        <is>
          <t>Not reported</t>
        </is>
      </c>
      <c r="V13" s="2" t="n">
        <v>461029</v>
      </c>
      <c r="W13" s="2" t="n">
        <v>2884199</v>
      </c>
      <c r="X13" t="inlineStr">
        <is>
          <t>Not reported</t>
        </is>
      </c>
      <c r="Y13" t="inlineStr">
        <is>
          <t>Not reported</t>
        </is>
      </c>
      <c r="Z13" s="2" t="n">
        <v>2631744</v>
      </c>
      <c r="AA13" t="inlineStr">
        <is>
          <t>Not reported</t>
        </is>
      </c>
      <c r="AB13" t="inlineStr">
        <is>
          <t>Not reported</t>
        </is>
      </c>
      <c r="AC13" s="2" t="n">
        <v>3411107</v>
      </c>
      <c r="AD13" s="2" t="n">
        <v>2654993</v>
      </c>
      <c r="AE13" s="5" t="inlineStr">
        <is>
          <t>2016 EAVS; in-person breakdown not extracted</t>
        </is>
      </c>
      <c r="AF13" s="5" t="inlineStr">
        <is>
          <t>2016 Colorado removals not captured in this pass.</t>
        </is>
      </c>
    </row>
    <row r="14">
      <c r="A14" t="n">
        <v>2017</v>
      </c>
      <c r="B14" s="2" t="n">
        <v>5599635</v>
      </c>
      <c r="C14" s="2" t="n">
        <v>5607154</v>
      </c>
      <c r="D14" s="2" t="n">
        <v>5290660</v>
      </c>
      <c r="E14" s="2" t="n">
        <v>316494</v>
      </c>
      <c r="F14" s="2" t="n">
        <v>4057437</v>
      </c>
      <c r="G14" s="6">
        <f>IF(AND(ISNUMBER(D14),ISNUMBER(D13)),D14-D13,"")</f>
        <v/>
      </c>
      <c r="H14" t="inlineStr">
        <is>
          <t>Not reported</t>
        </is>
      </c>
      <c r="I14" t="inlineStr">
        <is>
          <t>Not reported</t>
        </is>
      </c>
      <c r="J14" t="inlineStr">
        <is>
          <t>Not reported</t>
        </is>
      </c>
      <c r="K14" t="inlineStr">
        <is>
          <t>Not reported</t>
        </is>
      </c>
      <c r="L14" t="inlineStr">
        <is>
          <t>Not reported</t>
        </is>
      </c>
      <c r="M14" t="inlineStr"/>
      <c r="N14" s="3" t="n"/>
      <c r="O14" t="inlineStr">
        <is>
          <t>Not reported</t>
        </is>
      </c>
      <c r="P14" t="inlineStr">
        <is>
          <t>Not reported</t>
        </is>
      </c>
      <c r="Q14" t="inlineStr">
        <is>
          <t>Not reported</t>
        </is>
      </c>
      <c r="R14" t="inlineStr">
        <is>
          <t>Not reported</t>
        </is>
      </c>
      <c r="S14" t="inlineStr">
        <is>
          <t>Not reported</t>
        </is>
      </c>
      <c r="T14" t="inlineStr">
        <is>
          <t>Not reported</t>
        </is>
      </c>
      <c r="U14" t="inlineStr">
        <is>
          <t>Not reported</t>
        </is>
      </c>
      <c r="V14" t="inlineStr">
        <is>
          <t>Not reported</t>
        </is>
      </c>
      <c r="W14" t="inlineStr">
        <is>
          <t>Not reported</t>
        </is>
      </c>
      <c r="X14" t="inlineStr">
        <is>
          <t>Not reported</t>
        </is>
      </c>
      <c r="Y14" t="inlineStr">
        <is>
          <t>Not reported</t>
        </is>
      </c>
      <c r="Z14" t="inlineStr">
        <is>
          <t>Not reported</t>
        </is>
      </c>
      <c r="AA14" t="inlineStr">
        <is>
          <t>Not reported</t>
        </is>
      </c>
      <c r="AB14" t="inlineStr">
        <is>
          <t>Not reported</t>
        </is>
      </c>
      <c r="AC14" t="inlineStr">
        <is>
          <t>Not reported</t>
        </is>
      </c>
      <c r="AD14" t="inlineStr">
        <is>
          <t>Not reported</t>
        </is>
      </c>
      <c r="AE14" t="inlineStr"/>
      <c r="AF14" t="inlineStr"/>
    </row>
    <row r="15">
      <c r="A15" t="n">
        <v>2018</v>
      </c>
      <c r="B15" s="2" t="n">
        <v>5676918</v>
      </c>
      <c r="C15" s="2" t="n">
        <v>5695564</v>
      </c>
      <c r="D15" s="2" t="n">
        <v>5393398</v>
      </c>
      <c r="E15" s="2" t="n">
        <v>302166</v>
      </c>
      <c r="F15" s="2" t="n">
        <v>4151040</v>
      </c>
      <c r="G15" s="6">
        <f>IF(AND(ISNUMBER(D15),ISNUMBER(D14)),D15-D14,"")</f>
        <v/>
      </c>
      <c r="H15" s="2" t="n">
        <v>4029</v>
      </c>
      <c r="I15" s="2" t="n">
        <v>2645</v>
      </c>
      <c r="J15" s="2" t="n">
        <v>3953613</v>
      </c>
      <c r="K15" s="2" t="n">
        <v>3426499</v>
      </c>
      <c r="L15" s="2" t="n">
        <v>527114</v>
      </c>
      <c r="M15" t="inlineStr">
        <is>
          <t>2020 EAVS report prior-year table</t>
        </is>
      </c>
      <c r="N15" s="6">
        <f>IF(AND(ISNUMBER(J15),ISNUMBER(J13)),J15-J13,"")</f>
        <v/>
      </c>
      <c r="O15" s="2" t="n">
        <v>378688</v>
      </c>
      <c r="P15" s="2" t="n">
        <v>289247</v>
      </c>
      <c r="Q15" s="2" t="n">
        <v>31257</v>
      </c>
      <c r="R15" s="2" t="n">
        <v>55825</v>
      </c>
      <c r="S15" s="2" t="n">
        <v>172379</v>
      </c>
      <c r="T15" s="2" t="n">
        <v>6506</v>
      </c>
      <c r="U15" s="2" t="n">
        <v>22745</v>
      </c>
      <c r="V15" s="2" t="n">
        <v>323475</v>
      </c>
      <c r="W15" s="2" t="n">
        <v>2586432</v>
      </c>
      <c r="X15" t="inlineStr">
        <is>
          <t>Not reported</t>
        </is>
      </c>
      <c r="Y15" s="2" t="n">
        <v>89355</v>
      </c>
      <c r="Z15" s="2" t="n">
        <v>2430239</v>
      </c>
      <c r="AA15" t="inlineStr">
        <is>
          <t>Not reported</t>
        </is>
      </c>
      <c r="AB15" t="inlineStr">
        <is>
          <t>Not reported</t>
        </is>
      </c>
      <c r="AC15" s="2" t="n">
        <v>3467664</v>
      </c>
      <c r="AD15" s="2" t="n">
        <v>2449409</v>
      </c>
      <c r="AE15" s="5" t="inlineStr">
        <is>
          <t>2018 EAVS Overview Table 2; ED in-person not extracted</t>
        </is>
      </c>
      <c r="AF15" t="inlineStr"/>
    </row>
    <row r="16">
      <c r="A16" t="n">
        <v>2019</v>
      </c>
      <c r="B16" s="2" t="n">
        <v>5735797</v>
      </c>
      <c r="C16" s="2" t="n">
        <v>5758736</v>
      </c>
      <c r="D16" s="2" t="n">
        <v>5479562</v>
      </c>
      <c r="E16" s="2" t="n">
        <v>279174</v>
      </c>
      <c r="F16" s="2" t="n">
        <v>4244210</v>
      </c>
      <c r="G16" s="6">
        <f>IF(AND(ISNUMBER(D16),ISNUMBER(D15)),D16-D15,"")</f>
        <v/>
      </c>
      <c r="H16" t="inlineStr">
        <is>
          <t>Not reported</t>
        </is>
      </c>
      <c r="I16" t="inlineStr">
        <is>
          <t>Not reported</t>
        </is>
      </c>
      <c r="J16" t="inlineStr">
        <is>
          <t>Not reported</t>
        </is>
      </c>
      <c r="K16" t="inlineStr">
        <is>
          <t>Not reported</t>
        </is>
      </c>
      <c r="L16" t="inlineStr">
        <is>
          <t>Not reported</t>
        </is>
      </c>
      <c r="M16" t="inlineStr"/>
      <c r="N16" s="3" t="n"/>
      <c r="O16" t="inlineStr">
        <is>
          <t>Not reported</t>
        </is>
      </c>
      <c r="P16" t="inlineStr">
        <is>
          <t>Not reported</t>
        </is>
      </c>
      <c r="Q16" t="inlineStr">
        <is>
          <t>Not reported</t>
        </is>
      </c>
      <c r="R16" t="inlineStr">
        <is>
          <t>Not reported</t>
        </is>
      </c>
      <c r="S16" t="inlineStr">
        <is>
          <t>Not reported</t>
        </is>
      </c>
      <c r="T16" t="inlineStr">
        <is>
          <t>Not reported</t>
        </is>
      </c>
      <c r="U16" t="inlineStr">
        <is>
          <t>Not reported</t>
        </is>
      </c>
      <c r="V16" t="inlineStr">
        <is>
          <t>Not reported</t>
        </is>
      </c>
      <c r="W16" t="inlineStr">
        <is>
          <t>Not reported</t>
        </is>
      </c>
      <c r="X16" t="inlineStr">
        <is>
          <t>Not reported</t>
        </is>
      </c>
      <c r="Y16" t="inlineStr">
        <is>
          <t>Not reported</t>
        </is>
      </c>
      <c r="Z16" t="inlineStr">
        <is>
          <t>Not reported</t>
        </is>
      </c>
      <c r="AA16" t="inlineStr">
        <is>
          <t>Not reported</t>
        </is>
      </c>
      <c r="AB16" t="inlineStr">
        <is>
          <t>Not reported</t>
        </is>
      </c>
      <c r="AC16" t="inlineStr">
        <is>
          <t>Not reported</t>
        </is>
      </c>
      <c r="AD16" t="inlineStr">
        <is>
          <t>Not reported</t>
        </is>
      </c>
      <c r="AE16" t="inlineStr"/>
      <c r="AF16" t="inlineStr"/>
    </row>
    <row r="17">
      <c r="A17" t="n">
        <v>2020</v>
      </c>
      <c r="B17" s="2" t="n">
        <v>5786873</v>
      </c>
      <c r="C17" s="2" t="n">
        <v>5807719</v>
      </c>
      <c r="D17" s="2" t="n">
        <v>5539302</v>
      </c>
      <c r="E17" s="2" t="n">
        <v>268417</v>
      </c>
      <c r="F17" t="inlineStr">
        <is>
          <t>Not reported</t>
        </is>
      </c>
      <c r="G17" s="3" t="inlineStr">
        <is>
          <t>Not computed: not comparable</t>
        </is>
      </c>
      <c r="H17" s="2" t="n">
        <v>4200</v>
      </c>
      <c r="I17" s="2" t="n">
        <v>2993</v>
      </c>
      <c r="J17" s="2" t="n">
        <v>4211528</v>
      </c>
      <c r="K17" s="2" t="n">
        <v>3803762</v>
      </c>
      <c r="L17" s="2" t="n">
        <v>407766</v>
      </c>
      <c r="M17" t="inlineStr">
        <is>
          <t>2020 EAVS report</t>
        </is>
      </c>
      <c r="N17" s="6">
        <f>IF(AND(ISNUMBER(J17),ISNUMBER(J15)),J17-J15,"")</f>
        <v/>
      </c>
      <c r="O17" s="2" t="n">
        <v>1486922</v>
      </c>
      <c r="P17" s="2" t="n">
        <v>416819</v>
      </c>
      <c r="Q17" s="2" t="n">
        <v>104155</v>
      </c>
      <c r="R17" s="2" t="n">
        <v>62005</v>
      </c>
      <c r="S17" s="2" t="n">
        <v>210941</v>
      </c>
      <c r="T17" s="2" t="n">
        <v>5183</v>
      </c>
      <c r="U17" s="2" t="n">
        <v>32908</v>
      </c>
      <c r="V17" s="2" t="n">
        <v>705625</v>
      </c>
      <c r="W17" s="2" t="n">
        <v>3320607</v>
      </c>
      <c r="X17" s="2" t="n">
        <v>89789</v>
      </c>
      <c r="Y17" s="2" t="n">
        <v>108856</v>
      </c>
      <c r="Z17" s="2" t="n">
        <v>3092904</v>
      </c>
      <c r="AA17" s="2" t="n">
        <v>642</v>
      </c>
      <c r="AB17" s="2" t="n">
        <v>28908</v>
      </c>
      <c r="AC17" s="2" t="n">
        <v>3904381</v>
      </c>
      <c r="AD17" s="2" t="n">
        <v>3122440</v>
      </c>
      <c r="AE17" t="inlineStr">
        <is>
          <t>2020 EAVS</t>
        </is>
      </c>
      <c r="AF17" s="5" t="inlineStr">
        <is>
          <t>ACS 2020 experimental XK200501; not comparable; no CVAP.</t>
        </is>
      </c>
    </row>
    <row r="18">
      <c r="A18" t="n">
        <v>2021</v>
      </c>
      <c r="B18" s="2" t="n">
        <v>5814368</v>
      </c>
      <c r="C18" s="2" t="n">
        <v>5812069</v>
      </c>
      <c r="D18" s="2" t="n">
        <v>5521011</v>
      </c>
      <c r="E18" s="2" t="n">
        <v>291058</v>
      </c>
      <c r="F18" s="2" t="n">
        <v>4303604</v>
      </c>
      <c r="G18" s="3" t="inlineStr">
        <is>
          <t>Not computed: not comparable</t>
        </is>
      </c>
      <c r="H18" t="inlineStr">
        <is>
          <t>Not reported</t>
        </is>
      </c>
      <c r="I18" t="inlineStr">
        <is>
          <t>Not reported</t>
        </is>
      </c>
      <c r="J18" t="inlineStr">
        <is>
          <t>Not reported</t>
        </is>
      </c>
      <c r="K18" t="inlineStr">
        <is>
          <t>Not reported</t>
        </is>
      </c>
      <c r="L18" t="inlineStr">
        <is>
          <t>Not reported</t>
        </is>
      </c>
      <c r="M18" t="inlineStr"/>
      <c r="N18" s="3" t="n"/>
      <c r="O18" t="inlineStr">
        <is>
          <t>Not reported</t>
        </is>
      </c>
      <c r="P18" t="inlineStr">
        <is>
          <t>Not reported</t>
        </is>
      </c>
      <c r="Q18" t="inlineStr">
        <is>
          <t>Not reported</t>
        </is>
      </c>
      <c r="R18" t="inlineStr">
        <is>
          <t>Not reported</t>
        </is>
      </c>
      <c r="S18" t="inlineStr">
        <is>
          <t>Not reported</t>
        </is>
      </c>
      <c r="T18" t="inlineStr">
        <is>
          <t>Not reported</t>
        </is>
      </c>
      <c r="U18" t="inlineStr">
        <is>
          <t>Not reported</t>
        </is>
      </c>
      <c r="V18" t="inlineStr">
        <is>
          <t>Not reported</t>
        </is>
      </c>
      <c r="W18" t="inlineStr">
        <is>
          <t>Not reported</t>
        </is>
      </c>
      <c r="X18" t="inlineStr">
        <is>
          <t>Not reported</t>
        </is>
      </c>
      <c r="Y18" t="inlineStr">
        <is>
          <t>Not reported</t>
        </is>
      </c>
      <c r="Z18" t="inlineStr">
        <is>
          <t>Not reported</t>
        </is>
      </c>
      <c r="AA18" t="inlineStr">
        <is>
          <t>Not reported</t>
        </is>
      </c>
      <c r="AB18" t="inlineStr">
        <is>
          <t>Not reported</t>
        </is>
      </c>
      <c r="AC18" t="inlineStr">
        <is>
          <t>Not reported</t>
        </is>
      </c>
      <c r="AD18" t="inlineStr">
        <is>
          <t>Not reported</t>
        </is>
      </c>
      <c r="AE18" t="inlineStr"/>
      <c r="AF18" t="inlineStr"/>
    </row>
    <row r="19">
      <c r="A19" t="n">
        <v>2022</v>
      </c>
      <c r="B19" s="2" t="n">
        <v>5853355</v>
      </c>
      <c r="C19" s="2" t="n">
        <v>5839926</v>
      </c>
      <c r="D19" s="2" t="n">
        <v>5554892</v>
      </c>
      <c r="E19" s="2" t="n">
        <v>285034</v>
      </c>
      <c r="F19" s="2" t="n">
        <v>4369352</v>
      </c>
      <c r="G19" s="6">
        <f>IF(AND(ISNUMBER(D19),ISNUMBER(D18)),D19-D18,"")</f>
        <v/>
      </c>
      <c r="H19" s="2" t="n">
        <v>4384</v>
      </c>
      <c r="I19" s="2" t="n">
        <v>3162</v>
      </c>
      <c r="J19" s="2" t="n">
        <v>4355778</v>
      </c>
      <c r="K19" s="2" t="n">
        <v>3839814</v>
      </c>
      <c r="L19" s="2" t="n">
        <v>515964</v>
      </c>
      <c r="M19" t="inlineStr">
        <is>
          <t>2022 EAVS report</t>
        </is>
      </c>
      <c r="N19" s="6">
        <f>IF(AND(ISNUMBER(J19),ISNUMBER(J17)),J19-J17,"")</f>
        <v/>
      </c>
      <c r="O19" s="2" t="n">
        <v>1189963</v>
      </c>
      <c r="P19" s="2" t="n">
        <v>394628</v>
      </c>
      <c r="Q19" s="2" t="n">
        <v>59977</v>
      </c>
      <c r="R19" s="2" t="n">
        <v>99024</v>
      </c>
      <c r="S19" s="2" t="n">
        <v>161607</v>
      </c>
      <c r="T19" s="2" t="n">
        <v>9480</v>
      </c>
      <c r="U19" s="2" t="n">
        <v>64478</v>
      </c>
      <c r="V19" s="2" t="n">
        <v>651897</v>
      </c>
      <c r="W19" s="2" t="n">
        <v>2539897</v>
      </c>
      <c r="X19" s="2" t="n">
        <v>93149</v>
      </c>
      <c r="Y19" s="2" t="n">
        <v>27022</v>
      </c>
      <c r="Z19" s="2" t="n">
        <v>2406246</v>
      </c>
      <c r="AA19" s="2" t="n">
        <v>370</v>
      </c>
      <c r="AB19" s="2" t="n">
        <v>13426</v>
      </c>
      <c r="AC19" s="2" t="n">
        <v>3890522</v>
      </c>
      <c r="AD19" s="2" t="n">
        <v>2431292</v>
      </c>
      <c r="AE19" t="inlineStr">
        <is>
          <t>2022 EAVS</t>
        </is>
      </c>
      <c r="AF19" t="inlineStr"/>
    </row>
    <row r="20">
      <c r="A20" t="n">
        <v>2023</v>
      </c>
      <c r="B20" s="2" t="n">
        <v>5912240</v>
      </c>
      <c r="C20" s="2" t="n">
        <v>5877610</v>
      </c>
      <c r="D20" s="2" t="n">
        <v>5576792</v>
      </c>
      <c r="E20" s="2" t="n">
        <v>300818</v>
      </c>
      <c r="F20" s="2" t="n">
        <v>4390366</v>
      </c>
      <c r="G20" s="6">
        <f>IF(AND(ISNUMBER(D20),ISNUMBER(D19)),D20-D19,"")</f>
        <v/>
      </c>
      <c r="H20" t="inlineStr">
        <is>
          <t>Not reported</t>
        </is>
      </c>
      <c r="I20" t="inlineStr">
        <is>
          <t>Not reported</t>
        </is>
      </c>
      <c r="J20" t="inlineStr">
        <is>
          <t>Not reported</t>
        </is>
      </c>
      <c r="K20" t="inlineStr">
        <is>
          <t>Not reported</t>
        </is>
      </c>
      <c r="L20" t="inlineStr">
        <is>
          <t>Not reported</t>
        </is>
      </c>
      <c r="M20" t="inlineStr"/>
      <c r="N20" s="3" t="n"/>
      <c r="O20" t="inlineStr">
        <is>
          <t>Not reported</t>
        </is>
      </c>
      <c r="P20" t="inlineStr">
        <is>
          <t>Not reported</t>
        </is>
      </c>
      <c r="Q20" t="inlineStr">
        <is>
          <t>Not reported</t>
        </is>
      </c>
      <c r="R20" t="inlineStr">
        <is>
          <t>Not reported</t>
        </is>
      </c>
      <c r="S20" t="inlineStr">
        <is>
          <t>Not reported</t>
        </is>
      </c>
      <c r="T20" t="inlineStr">
        <is>
          <t>Not reported</t>
        </is>
      </c>
      <c r="U20" t="inlineStr">
        <is>
          <t>Not reported</t>
        </is>
      </c>
      <c r="V20" t="inlineStr">
        <is>
          <t>Not reported</t>
        </is>
      </c>
      <c r="W20" t="inlineStr">
        <is>
          <t>Not reported</t>
        </is>
      </c>
      <c r="X20" t="inlineStr">
        <is>
          <t>Not reported</t>
        </is>
      </c>
      <c r="Y20" t="inlineStr">
        <is>
          <t>Not reported</t>
        </is>
      </c>
      <c r="Z20" t="inlineStr">
        <is>
          <t>Not reported</t>
        </is>
      </c>
      <c r="AA20" t="inlineStr">
        <is>
          <t>Not reported</t>
        </is>
      </c>
      <c r="AB20" t="inlineStr">
        <is>
          <t>Not reported</t>
        </is>
      </c>
      <c r="AC20" t="inlineStr">
        <is>
          <t>Not reported</t>
        </is>
      </c>
      <c r="AD20" t="inlineStr">
        <is>
          <t>Not reported</t>
        </is>
      </c>
      <c r="AE20" t="inlineStr"/>
      <c r="AF20" t="inlineStr"/>
    </row>
    <row r="21">
      <c r="A21" t="n">
        <v>2024</v>
      </c>
      <c r="B21" s="2" t="n">
        <v>5988502</v>
      </c>
      <c r="C21" s="2" t="n">
        <v>5957494</v>
      </c>
      <c r="D21" s="2" t="n">
        <v>5625494</v>
      </c>
      <c r="E21" s="2" t="n">
        <v>332000</v>
      </c>
      <c r="F21" s="2" t="n">
        <v>4453187</v>
      </c>
      <c r="G21" s="6">
        <f>IF(AND(ISNUMBER(D21),ISNUMBER(D20)),D21-D20,"")</f>
        <v/>
      </c>
      <c r="H21" s="2" t="n">
        <v>4277</v>
      </c>
      <c r="I21" s="2" t="n">
        <v>3158</v>
      </c>
      <c r="J21" s="2" t="n">
        <v>4583280</v>
      </c>
      <c r="K21" s="2" t="n">
        <v>4074612</v>
      </c>
      <c r="L21" s="2" t="n">
        <v>508668</v>
      </c>
      <c r="M21" t="inlineStr">
        <is>
          <t>2024 EAVS report</t>
        </is>
      </c>
      <c r="N21" s="6">
        <f>IF(AND(ISNUMBER(J21),ISNUMBER(J19)),J21-J19,"")</f>
        <v/>
      </c>
      <c r="O21" s="2" t="n">
        <v>498308</v>
      </c>
      <c r="P21" s="2" t="n">
        <v>389334</v>
      </c>
      <c r="Q21" s="2" t="n">
        <v>51622</v>
      </c>
      <c r="R21" s="2" t="n">
        <v>104494</v>
      </c>
      <c r="S21" s="2" t="n">
        <v>160239</v>
      </c>
      <c r="T21" s="2" t="n">
        <v>11331</v>
      </c>
      <c r="U21" s="2" t="n">
        <v>60643</v>
      </c>
      <c r="V21" s="2" t="n">
        <v>523868</v>
      </c>
      <c r="W21" s="2" t="n">
        <v>3240754</v>
      </c>
      <c r="X21" s="2" t="n">
        <v>141556</v>
      </c>
      <c r="Y21" s="2" t="n">
        <v>109209</v>
      </c>
      <c r="Z21" s="2" t="n">
        <v>2957550</v>
      </c>
      <c r="AA21" s="2" t="n">
        <v>205</v>
      </c>
      <c r="AB21" s="2" t="n">
        <v>32234</v>
      </c>
      <c r="AC21" s="2" t="n">
        <v>4090266</v>
      </c>
      <c r="AD21" s="2" t="n">
        <v>3000301</v>
      </c>
      <c r="AE21" t="inlineStr">
        <is>
          <t>2024 EAVS Overview Tables 1-2</t>
        </is>
      </c>
      <c r="AF21" t="inlineStr"/>
    </row>
    <row r="22">
      <c r="A22" t="n">
        <v>2025</v>
      </c>
      <c r="B22" s="2" t="n">
        <v>6012561</v>
      </c>
      <c r="C22" t="inlineStr">
        <is>
          <t>Not reported</t>
        </is>
      </c>
      <c r="D22" t="inlineStr">
        <is>
          <t>Not reported</t>
        </is>
      </c>
      <c r="E22" t="inlineStr">
        <is>
          <t>Not reported</t>
        </is>
      </c>
      <c r="F22" t="inlineStr">
        <is>
          <t>Not reported</t>
        </is>
      </c>
      <c r="G22" s="6">
        <f>IF(AND(ISNUMBER(D22),ISNUMBER(D21)),D22-D21,"")</f>
        <v/>
      </c>
      <c r="H22" t="inlineStr">
        <is>
          <t>Not reported</t>
        </is>
      </c>
      <c r="I22" t="inlineStr">
        <is>
          <t>Not reported</t>
        </is>
      </c>
      <c r="J22" t="inlineStr">
        <is>
          <t>Not reported</t>
        </is>
      </c>
      <c r="K22" t="inlineStr">
        <is>
          <t>Not reported</t>
        </is>
      </c>
      <c r="L22" t="inlineStr">
        <is>
          <t>Not reported</t>
        </is>
      </c>
      <c r="M22" t="inlineStr"/>
      <c r="N22" s="3" t="n"/>
      <c r="O22" t="inlineStr">
        <is>
          <t>Not reported</t>
        </is>
      </c>
      <c r="P22" t="inlineStr">
        <is>
          <t>Not reported</t>
        </is>
      </c>
      <c r="Q22" t="inlineStr">
        <is>
          <t>Not reported</t>
        </is>
      </c>
      <c r="R22" t="inlineStr">
        <is>
          <t>Not reported</t>
        </is>
      </c>
      <c r="S22" t="inlineStr">
        <is>
          <t>Not reported</t>
        </is>
      </c>
      <c r="T22" t="inlineStr">
        <is>
          <t>Not reported</t>
        </is>
      </c>
      <c r="U22" t="inlineStr">
        <is>
          <t>Not reported</t>
        </is>
      </c>
      <c r="V22" t="inlineStr">
        <is>
          <t>Not reported</t>
        </is>
      </c>
      <c r="W22" t="inlineStr">
        <is>
          <t>Not reported</t>
        </is>
      </c>
      <c r="X22" t="inlineStr">
        <is>
          <t>Not reported</t>
        </is>
      </c>
      <c r="Y22" t="inlineStr">
        <is>
          <t>Not reported</t>
        </is>
      </c>
      <c r="Z22" t="inlineStr">
        <is>
          <t>Not reported</t>
        </is>
      </c>
      <c r="AA22" t="inlineStr">
        <is>
          <t>Not reported</t>
        </is>
      </c>
      <c r="AB22" t="inlineStr">
        <is>
          <t>Not reported</t>
        </is>
      </c>
      <c r="AC22" t="inlineStr">
        <is>
          <t>Not reported</t>
        </is>
      </c>
      <c r="AD22" t="inlineStr">
        <is>
          <t>Not reported</t>
        </is>
      </c>
      <c r="AE22" t="inlineStr"/>
      <c r="AF22" s="5" t="inlineStr">
        <is>
          <t>ACS 2025 not released; 2025 was a coordinated (odd-year) election - EAVS does not cover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4" customWidth="1" min="2" max="2"/>
    <col width="26" customWidth="1" min="3" max="3"/>
    <col width="34" customWidth="1" min="4" max="4"/>
    <col width="34" customWidth="1" min="5" max="5"/>
    <col width="70" customWidth="1" min="6" max="6"/>
  </cols>
  <sheetData>
    <row r="1" ht="60" customHeight="1">
      <c r="A1" s="1" t="inlineStr">
        <is>
          <t>Item</t>
        </is>
      </c>
      <c r="B1" s="1" t="inlineStr">
        <is>
          <t>Source A</t>
        </is>
      </c>
      <c r="C1" s="1" t="inlineStr">
        <is>
          <t>Value A</t>
        </is>
      </c>
      <c r="D1" s="1" t="inlineStr">
        <is>
          <t>Source B</t>
        </is>
      </c>
      <c r="E1" s="1" t="inlineStr">
        <is>
          <t>Value B</t>
        </is>
      </c>
      <c r="F1" s="1" t="inlineStr">
        <is>
          <t>Explanation (no reconciliation performed)</t>
        </is>
      </c>
    </row>
    <row r="2">
      <c r="A2" t="inlineStr">
        <is>
          <t>US registered voters 2024</t>
        </is>
      </c>
      <c r="B2" t="inlineStr">
        <is>
          <t>EAVS 2024 total registered</t>
        </is>
      </c>
      <c r="C2" s="2" t="n">
        <v>234504358</v>
      </c>
      <c r="D2" s="5" t="inlineStr">
        <is>
          <t>CPS Nov 2024 self-reported registered citizens</t>
        </is>
      </c>
      <c r="E2" s="2" t="n">
        <v>173854000</v>
      </c>
      <c r="F2" s="5" t="inlineStr">
        <is>
          <t>Different concepts: EAVS counts records incl. inactive and people who moved/died but not yet removed; CPS is a household survey of self-reported registration (thousands).</t>
        </is>
      </c>
    </row>
    <row r="3">
      <c r="A3" t="inlineStr">
        <is>
          <t>US registered voters 2022</t>
        </is>
      </c>
      <c r="B3" t="inlineStr">
        <is>
          <t>EAVS 2022</t>
        </is>
      </c>
      <c r="C3" s="2" t="n">
        <v>226339980</v>
      </c>
      <c r="D3" t="inlineStr">
        <is>
          <t>CPS 2022</t>
        </is>
      </c>
      <c r="E3" s="2" t="n">
        <v>161422000</v>
      </c>
      <c r="F3" t="inlineStr">
        <is>
          <t>Same as above.</t>
        </is>
      </c>
    </row>
    <row r="4">
      <c r="A4" t="inlineStr">
        <is>
          <t>US registered voters 2020</t>
        </is>
      </c>
      <c r="B4" t="inlineStr">
        <is>
          <t>EAVS 2020</t>
        </is>
      </c>
      <c r="C4" s="2" t="n">
        <v>228004364</v>
      </c>
      <c r="D4" t="inlineStr">
        <is>
          <t>CPS 2020</t>
        </is>
      </c>
      <c r="E4" s="2" t="n">
        <v>168308000</v>
      </c>
      <c r="F4" t="inlineStr">
        <is>
          <t>Same as above.</t>
        </is>
      </c>
    </row>
    <row r="5">
      <c r="A5" t="inlineStr">
        <is>
          <t>2018 registered total</t>
        </is>
      </c>
      <c r="B5" t="inlineStr">
        <is>
          <t>2018 EAVS report</t>
        </is>
      </c>
      <c r="C5" s="2" t="n">
        <v>211665577</v>
      </c>
      <c r="D5" t="inlineStr">
        <is>
          <t>2020 EAVS report prior-year value</t>
        </is>
      </c>
      <c r="E5" s="2" t="n">
        <v>211601918</v>
      </c>
      <c r="F5" s="5" t="inlineStr">
        <is>
          <t>Revised/reporting difference between reports.</t>
        </is>
      </c>
    </row>
    <row r="6">
      <c r="A6" t="inlineStr">
        <is>
          <t>2016 registered total</t>
        </is>
      </c>
      <c r="B6" t="inlineStr">
        <is>
          <t>2016 EAVS narrative</t>
        </is>
      </c>
      <c r="C6" s="2" t="n">
        <v>214109360</v>
      </c>
      <c r="D6" t="inlineStr">
        <is>
          <t>2016 EAVS Table 3 / 2020 report</t>
        </is>
      </c>
      <c r="E6" s="2" t="n">
        <v>214109367</v>
      </c>
      <c r="F6" t="inlineStr">
        <is>
          <t>Difference of 7.</t>
        </is>
      </c>
    </row>
    <row r="7">
      <c r="A7" t="inlineStr">
        <is>
          <t>2022 CVAP used by EAC</t>
        </is>
      </c>
      <c r="B7" t="inlineStr">
        <is>
          <t>2022 EAVS report (ACS 2021)</t>
        </is>
      </c>
      <c r="C7" s="2" t="n">
        <v>239035960</v>
      </c>
      <c r="D7" t="inlineStr">
        <is>
          <t>2024 EAVS report's 2022 value</t>
        </is>
      </c>
      <c r="E7" s="2" t="n">
        <v>241710190</v>
      </c>
      <c r="F7" t="inlineStr">
        <is>
          <t>Different ACS vintage.</t>
        </is>
      </c>
    </row>
    <row r="8">
      <c r="A8" t="inlineStr">
        <is>
          <t>2006 registered total</t>
        </is>
      </c>
      <c r="B8" t="inlineStr">
        <is>
          <t>2006 EAVS report TOTAL row</t>
        </is>
      </c>
      <c r="C8" s="2" t="n">
        <v>172805006</v>
      </c>
      <c r="D8" t="inlineStr">
        <is>
          <t>2012 NVRA summary table (2006)</t>
        </is>
      </c>
      <c r="E8" s="2" t="n">
        <v>172251706</v>
      </c>
      <c r="F8" t="inlineStr">
        <is>
          <t>NVRA 2005-06 narrative: '172.8 million'.</t>
        </is>
      </c>
    </row>
    <row r="9">
      <c r="A9" t="inlineStr">
        <is>
          <t>2008 registered total</t>
        </is>
      </c>
      <c r="B9" t="inlineStr">
        <is>
          <t>EAC NVRA 2007-08 report</t>
        </is>
      </c>
      <c r="C9" s="2" t="n">
        <v>189844867</v>
      </c>
      <c r="D9" t="inlineStr">
        <is>
          <t>EAVS 2008 summary text</t>
        </is>
      </c>
      <c r="E9" t="inlineStr">
        <is>
          <t>more than 190 million</t>
        </is>
      </c>
      <c r="F9" t="inlineStr"/>
    </row>
    <row r="10">
      <c r="A10" t="inlineStr">
        <is>
          <t>2010 registered total</t>
        </is>
      </c>
      <c r="B10" t="inlineStr">
        <is>
          <t>EAC NVRA 2009-10 report</t>
        </is>
      </c>
      <c r="C10" s="2" t="n">
        <v>186874157</v>
      </c>
      <c r="D10" t="inlineStr">
        <is>
          <t>2012 NVRA summary table (2010)</t>
        </is>
      </c>
      <c r="E10" s="2" t="n">
        <v>186282492</v>
      </c>
      <c r="F10" t="inlineStr"/>
    </row>
    <row r="11">
      <c r="A11" t="inlineStr">
        <is>
          <t>2012 registered total</t>
        </is>
      </c>
      <c r="B11" t="inlineStr">
        <is>
          <t>2012 NVRA report text</t>
        </is>
      </c>
      <c r="C11" s="2" t="n">
        <v>194198928</v>
      </c>
      <c r="D11" t="inlineStr">
        <is>
          <t>Same report summary table</t>
        </is>
      </c>
      <c r="E11" s="2" t="n">
        <v>193585443</v>
      </c>
      <c r="F11" t="inlineStr"/>
    </row>
    <row r="12">
      <c r="A12" t="inlineStr">
        <is>
          <t>2024 removals: deceased</t>
        </is>
      </c>
      <c r="B12" t="inlineStr">
        <is>
          <t>2024 EAVS report</t>
        </is>
      </c>
      <c r="C12" s="2" t="n">
        <v>4482207</v>
      </c>
      <c r="D12" t="inlineStr">
        <is>
          <t>Errata v2 (Feb 2026)</t>
        </is>
      </c>
      <c r="E12" s="2" t="n">
        <v>4576275</v>
      </c>
      <c r="F12" t="inlineStr"/>
    </row>
    <row r="13">
      <c r="A13" t="inlineStr">
        <is>
          <t>2024 removals: moved</t>
        </is>
      </c>
      <c r="B13" t="inlineStr">
        <is>
          <t>2024 EAVS report</t>
        </is>
      </c>
      <c r="C13" s="2" t="n">
        <v>6504112</v>
      </c>
      <c r="D13" t="inlineStr">
        <is>
          <t>Errata v2</t>
        </is>
      </c>
      <c r="E13" s="2" t="n">
        <v>6504140</v>
      </c>
      <c r="F13" t="inlineStr"/>
    </row>
    <row r="14">
      <c r="A14" t="inlineStr">
        <is>
          <t>2024 removals: felony</t>
        </is>
      </c>
      <c r="B14" t="inlineStr">
        <is>
          <t>2024 EAVS report</t>
        </is>
      </c>
      <c r="C14" s="2" t="n">
        <v>293862</v>
      </c>
      <c r="D14" t="inlineStr">
        <is>
          <t>Errata v2</t>
        </is>
      </c>
      <c r="E14" s="2" t="n">
        <v>296581</v>
      </c>
      <c r="F14" t="inlineStr"/>
    </row>
    <row r="15">
      <c r="A15" t="inlineStr">
        <is>
          <t>2024 removals: mental incompetence</t>
        </is>
      </c>
      <c r="B15" t="inlineStr">
        <is>
          <t>2024 EAVS report</t>
        </is>
      </c>
      <c r="C15" s="2" t="n">
        <v>13382</v>
      </c>
      <c r="D15" t="inlineStr">
        <is>
          <t>Errata v2</t>
        </is>
      </c>
      <c r="E15" s="2" t="n">
        <v>13354</v>
      </c>
      <c r="F15" t="inlineStr"/>
    </row>
    <row r="16">
      <c r="A16" t="inlineStr">
        <is>
          <t>2024 removals: not categorized</t>
        </is>
      </c>
      <c r="B16" t="inlineStr">
        <is>
          <t>2024 EAVS report</t>
        </is>
      </c>
      <c r="C16" s="2" t="n">
        <v>1002042</v>
      </c>
      <c r="D16" t="inlineStr">
        <is>
          <t>Errata v2</t>
        </is>
      </c>
      <c r="E16" s="2" t="n">
        <v>894413</v>
      </c>
      <c r="F16" t="inlineStr"/>
    </row>
    <row r="17">
      <c r="A17" t="inlineStr">
        <is>
          <t>2024 confirmation notices</t>
        </is>
      </c>
      <c r="B17" t="inlineStr">
        <is>
          <t>2024 EAVS report</t>
        </is>
      </c>
      <c r="C17" s="2" t="n">
        <v>39670903</v>
      </c>
      <c r="D17" t="inlineStr">
        <is>
          <t>Errata v2</t>
        </is>
      </c>
      <c r="E17" s="2" t="n">
        <v>38803086</v>
      </c>
      <c r="F17" t="inlineStr"/>
    </row>
    <row r="18">
      <c r="A18" t="inlineStr">
        <is>
          <t>Texas 2024 noncitizen removals</t>
        </is>
      </c>
      <c r="B18" t="inlineStr">
        <is>
          <t>Gov. Abbott release (Aug 26, 2024)</t>
        </is>
      </c>
      <c r="C18" s="5" t="inlineStr">
        <is>
          <t>over 6,500 'potential noncitizens' removed</t>
        </is>
      </c>
      <c r="D18" s="5" t="inlineStr">
        <is>
          <t>Texas Tribune/Votebeat records (Oct 15, 2024)</t>
        </is>
      </c>
      <c r="E18" s="5" t="inlineStr">
        <is>
          <t>581 identified as noncitizens; ~5,900 removed for not responding</t>
        </is>
      </c>
      <c r="F18" s="5" t="inlineStr">
        <is>
          <t>Most removals were for non-response to notices, not confirmed noncitizenship.</t>
        </is>
      </c>
    </row>
    <row r="19">
      <c r="A19" t="inlineStr">
        <is>
          <t>Texas 2025-26 SAVE</t>
        </is>
      </c>
      <c r="B19" t="inlineStr">
        <is>
          <t>SAVE flags</t>
        </is>
      </c>
      <c r="C19" s="2" t="n">
        <v>2724</v>
      </c>
      <c r="D19" t="inlineStr">
        <is>
          <t>Later shown to be citizens</t>
        </is>
      </c>
      <c r="E19" s="2" t="n">
        <v>578</v>
      </c>
      <c r="F19" s="5" t="inlineStr">
        <is>
          <t>506 because passport data was added to SAVE after the run.</t>
        </is>
      </c>
    </row>
    <row r="20">
      <c r="A20" t="inlineStr">
        <is>
          <t>SAVE national flags vs confirmed</t>
        </is>
      </c>
      <c r="B20" t="inlineStr">
        <is>
          <t>DHS: potential noncitizens flagged</t>
        </is>
      </c>
      <c r="C20" s="2" t="n">
        <v>28635</v>
      </c>
      <c r="D20" s="5" t="inlineStr">
        <is>
          <t>State-confirmed noncitizen removals nationally</t>
        </is>
      </c>
      <c r="E20" t="inlineStr">
        <is>
          <t>Not reported</t>
        </is>
      </c>
      <c r="F20" s="5" t="inlineStr">
        <is>
          <t>DHS says SAVE changes no voter's status; confirmation/removal is by states.</t>
        </is>
      </c>
    </row>
    <row r="21">
      <c r="A21" t="inlineStr">
        <is>
          <t>Iowa 2024</t>
        </is>
      </c>
      <c r="B21" t="inlineStr">
        <is>
          <t>Initial state announcement</t>
        </is>
      </c>
      <c r="C21" t="inlineStr">
        <is>
          <t>&gt;2,000</t>
        </is>
      </c>
      <c r="D21" t="inlineStr">
        <is>
          <t>Revised count</t>
        </is>
      </c>
      <c r="E21" s="2" t="n">
        <v>277</v>
      </c>
      <c r="F21" t="inlineStr">
        <is>
          <t>35 counted ballots in 2024 (Reuters).</t>
        </is>
      </c>
    </row>
    <row r="22">
      <c r="A22" s="5" t="inlineStr">
        <is>
          <t>Colorado JW case: 8(d)(1)(B) removals Nov 2020-Nov 2022</t>
        </is>
      </c>
      <c r="B22" t="inlineStr">
        <is>
          <t>Discovery data (Secretary)</t>
        </is>
      </c>
      <c r="C22" s="2" t="n">
        <v>306303</v>
      </c>
      <c r="D22" t="inlineStr">
        <is>
          <t>Settlement data (per JW motion, ECF 113)</t>
        </is>
      </c>
      <c r="E22" s="2" t="n">
        <v>101607</v>
      </c>
      <c r="F22" s="5" t="inlineStr">
        <is>
          <t>Secretary said discovery figure erroneously included all removals. EAVS 2022 Colorado 'failure to respond to confirmation' removals = 161,607 (period: close of 2020 to close of 2022 registration).</t>
        </is>
      </c>
    </row>
    <row r="23">
      <c r="A23" t="inlineStr">
        <is>
          <t>LA County JW settlement (2019)</t>
        </is>
      </c>
      <c r="B23" t="inlineStr">
        <is>
          <t>Judicial Watch headline</t>
        </is>
      </c>
      <c r="C23" t="inlineStr">
        <is>
          <t>'to remove 1.5 million inactive voters'</t>
        </is>
      </c>
      <c r="D23" t="inlineStr">
        <is>
          <t>Settlement text</t>
        </is>
      </c>
      <c r="E23" s="5" t="inlineStr">
        <is>
          <t>~1,565,000 registrations on inactive file; cancellation only for non-responders after NVRA notice and required elections</t>
        </is>
      </c>
      <c r="F23" s="5" t="inlineStr">
        <is>
          <t>Settlement did not order immediate removal of all inactive registrations.</t>
        </is>
      </c>
    </row>
    <row r="24">
      <c r="A24" t="inlineStr">
        <is>
          <t>Colorado JW press claim</t>
        </is>
      </c>
      <c r="B24" t="inlineStr">
        <is>
          <t>Judicial Watch</t>
        </is>
      </c>
      <c r="C24" s="5" t="inlineStr">
        <is>
          <t>372,000 inactive voters removed since 2023 settlement</t>
        </is>
      </c>
      <c r="D24" t="inlineStr">
        <is>
          <t>Colorado SOS / EAVS</t>
        </is>
      </c>
      <c r="E24" s="5" t="inlineStr">
        <is>
          <t>EAVS 2024 Colorado removals total 389,334 (all reasons, 2022-24 cycle); 160,239 for failure to respond</t>
        </is>
      </c>
      <c r="F24" s="5" t="inlineStr">
        <is>
          <t>Not directly comparable periods/categories.</t>
        </is>
      </c>
    </row>
    <row r="25">
      <c r="A25" t="inlineStr">
        <is>
          <t>North Carolina JW</t>
        </is>
      </c>
      <c r="B25" t="inlineStr">
        <is>
          <t>Judicial Watch</t>
        </is>
      </c>
      <c r="C25" t="inlineStr">
        <is>
          <t>'over 430,000 inactive names removed'</t>
        </is>
      </c>
      <c r="D25" t="inlineStr">
        <is>
          <t>NC State Board figure</t>
        </is>
      </c>
      <c r="E25" s="5" t="inlineStr">
        <is>
          <t>Not verified from primary record in this pass</t>
        </is>
      </c>
      <c r="F25" t="inlineStr"/>
    </row>
    <row r="26">
      <c r="A26" t="inlineStr">
        <is>
          <t>Emergency Medicaid FY2023</t>
        </is>
      </c>
      <c r="B26" t="inlineStr">
        <is>
          <t>CBO (per search index)</t>
        </is>
      </c>
      <c r="C26" t="inlineStr">
        <is>
          <t>$3.775 billion</t>
        </is>
      </c>
      <c r="D26" t="inlineStr">
        <is>
          <t>KFF summary of CBO</t>
        </is>
      </c>
      <c r="E26" t="inlineStr">
        <is>
          <t>$3.8 billion</t>
        </is>
      </c>
      <c r="F26" t="inlineStr">
        <is>
          <t>Rounding.</t>
        </is>
      </c>
    </row>
    <row r="27">
      <c r="A27" t="inlineStr">
        <is>
          <t>Refugee arrivals FY2024</t>
        </is>
      </c>
      <c r="B27" t="inlineStr">
        <is>
          <t>DHS Yearbook</t>
        </is>
      </c>
      <c r="C27" s="2" t="n">
        <v>100060</v>
      </c>
      <c r="D27" t="inlineStr">
        <is>
          <t>—</t>
        </is>
      </c>
      <c r="E27" t="inlineStr">
        <is>
          <t>—</t>
        </is>
      </c>
      <c r="F27" t="inlineStr">
        <is>
          <t>No conflicting official figure found.</t>
        </is>
      </c>
    </row>
    <row r="28">
      <c r="A28" t="inlineStr">
        <is>
          <t>ACS vs PEP population 2024</t>
        </is>
      </c>
      <c r="B28" t="inlineStr">
        <is>
          <t>ACS total</t>
        </is>
      </c>
      <c r="C28" s="2" t="n">
        <v>340110990</v>
      </c>
      <c r="D28" t="inlineStr">
        <is>
          <t>PEP July 1, 2024</t>
        </is>
      </c>
      <c r="E28" s="2" t="n">
        <v>340003797</v>
      </c>
      <c r="F28" s="5" t="inlineStr">
        <is>
          <t>Different methods (survey vs demographic estimate).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22" customWidth="1" min="6" max="6"/>
    <col width="22" customWidth="1" min="7" max="7"/>
    <col width="22" customWidth="1" min="8" max="8"/>
    <col width="22" customWidth="1" min="9" max="9"/>
    <col width="16" customWidth="1" min="10" max="10"/>
    <col width="16" customWidth="1" min="11" max="11"/>
  </cols>
  <sheetData>
    <row r="1" ht="60" customHeight="1">
      <c r="A1" s="1" t="inlineStr">
        <is>
          <t>Fiscal year</t>
        </is>
      </c>
      <c r="B1" s="1" t="inlineStr">
        <is>
          <t>Refugee arrivals</t>
        </is>
      </c>
      <c r="C1" s="1" t="inlineStr">
        <is>
          <t>Asylum granted: total</t>
        </is>
      </c>
      <c r="D1" s="1" t="inlineStr">
        <is>
          <t>Affirmative (USCIS)</t>
        </is>
      </c>
      <c r="E1" s="1" t="inlineStr">
        <is>
          <t>Defensive (immigration court)</t>
        </is>
      </c>
      <c r="F1" s="1" t="inlineStr">
        <is>
          <t>YoY CHANGE: refugee arrivals [formula]</t>
        </is>
      </c>
      <c r="G1" s="1" t="inlineStr">
        <is>
          <t>YoY CHANGE: asylum total [formula]</t>
        </is>
      </c>
      <c r="H1" s="1" t="inlineStr">
        <is>
          <t>SSNs issued, all (thousands, calendar yr)</t>
        </is>
      </c>
      <c r="I1" s="1" t="inlineStr">
        <is>
          <t>Parole / TPS / DACA / EAD (annual)</t>
        </is>
      </c>
      <c r="J1" s="1" t="inlineStr">
        <is>
          <t>Biden period?</t>
        </is>
      </c>
      <c r="K1" s="1" t="inlineStr">
        <is>
          <t>Notes</t>
        </is>
      </c>
    </row>
    <row r="2">
      <c r="A2" t="n">
        <v>2005</v>
      </c>
      <c r="B2" s="2" t="n">
        <v>53740</v>
      </c>
      <c r="C2" s="2" t="n">
        <v>25300</v>
      </c>
      <c r="D2" s="2" t="n">
        <v>13550</v>
      </c>
      <c r="E2" s="2" t="n">
        <v>11760</v>
      </c>
      <c r="F2" s="3" t="n"/>
      <c r="G2" s="3" t="n"/>
      <c r="H2" s="2" t="n">
        <v>5280</v>
      </c>
      <c r="I2" s="5" t="inlineStr">
        <is>
          <t>Not reported as an annual official series in sources reachable from the box (see program rows below)</t>
        </is>
      </c>
      <c r="J2" t="inlineStr"/>
      <c r="K2" t="inlineStr"/>
    </row>
    <row r="3">
      <c r="A3" t="n">
        <v>2006</v>
      </c>
      <c r="B3" s="2" t="n">
        <v>41090</v>
      </c>
      <c r="C3" s="2" t="n">
        <v>26350</v>
      </c>
      <c r="D3" s="2" t="n">
        <v>13050</v>
      </c>
      <c r="E3" s="2" t="n">
        <v>13300</v>
      </c>
      <c r="F3" s="6">
        <f>IF(AND(ISNUMBER(B3),ISNUMBER(B2)),B3-B2,"")</f>
        <v/>
      </c>
      <c r="G3" s="6">
        <f>IF(AND(ISNUMBER(C3),ISNUMBER(C2)),C3-C2,"")</f>
        <v/>
      </c>
      <c r="H3" s="2" t="n">
        <v>5662</v>
      </c>
      <c r="I3" s="5" t="inlineStr">
        <is>
          <t>Not reported as an annual official series in sources reachable from the box (see program rows below)</t>
        </is>
      </c>
      <c r="J3" t="inlineStr"/>
      <c r="K3" t="inlineStr"/>
    </row>
    <row r="4">
      <c r="A4" t="n">
        <v>2007</v>
      </c>
      <c r="B4" s="2" t="n">
        <v>48220</v>
      </c>
      <c r="C4" s="2" t="n">
        <v>25320</v>
      </c>
      <c r="D4" s="2" t="n">
        <v>12460</v>
      </c>
      <c r="E4" s="2" t="n">
        <v>12860</v>
      </c>
      <c r="F4" s="6">
        <f>IF(AND(ISNUMBER(B4),ISNUMBER(B3)),B4-B3,"")</f>
        <v/>
      </c>
      <c r="G4" s="6">
        <f>IF(AND(ISNUMBER(C4),ISNUMBER(C3)),C4-C3,"")</f>
        <v/>
      </c>
      <c r="H4" s="2" t="n">
        <v>5906</v>
      </c>
      <c r="I4" s="5" t="inlineStr">
        <is>
          <t>Not reported as an annual official series in sources reachable from the box (see program rows below)</t>
        </is>
      </c>
      <c r="J4" t="inlineStr"/>
      <c r="K4" t="inlineStr"/>
    </row>
    <row r="5">
      <c r="A5" t="n">
        <v>2008</v>
      </c>
      <c r="B5" s="2" t="n">
        <v>60110</v>
      </c>
      <c r="C5" s="2" t="n">
        <v>23020</v>
      </c>
      <c r="D5" s="2" t="n">
        <v>12130</v>
      </c>
      <c r="E5" s="2" t="n">
        <v>10890</v>
      </c>
      <c r="F5" s="6">
        <f>IF(AND(ISNUMBER(B5),ISNUMBER(B4)),B5-B4,"")</f>
        <v/>
      </c>
      <c r="G5" s="6">
        <f>IF(AND(ISNUMBER(C5),ISNUMBER(C4)),C5-C4,"")</f>
        <v/>
      </c>
      <c r="H5" s="2" t="n">
        <v>5785</v>
      </c>
      <c r="I5" s="5" t="inlineStr">
        <is>
          <t>Not reported as an annual official series in sources reachable from the box (see program rows below)</t>
        </is>
      </c>
      <c r="J5" t="inlineStr"/>
      <c r="K5" t="inlineStr"/>
    </row>
    <row r="6">
      <c r="A6" t="n">
        <v>2009</v>
      </c>
      <c r="B6" s="2" t="n">
        <v>74600</v>
      </c>
      <c r="C6" s="2" t="n">
        <v>22300</v>
      </c>
      <c r="D6" s="2" t="n">
        <v>12000</v>
      </c>
      <c r="E6" s="2" t="n">
        <v>10300</v>
      </c>
      <c r="F6" s="6">
        <f>IF(AND(ISNUMBER(B6),ISNUMBER(B5)),B6-B5,"")</f>
        <v/>
      </c>
      <c r="G6" s="6">
        <f>IF(AND(ISNUMBER(C6),ISNUMBER(C5)),C6-C5,"")</f>
        <v/>
      </c>
      <c r="H6" s="2" t="n">
        <v>5548</v>
      </c>
      <c r="I6" s="5" t="inlineStr">
        <is>
          <t>Not reported as an annual official series in sources reachable from the box (see program rows below)</t>
        </is>
      </c>
      <c r="J6" t="inlineStr"/>
      <c r="K6" t="inlineStr"/>
    </row>
    <row r="7">
      <c r="A7" t="n">
        <v>2010</v>
      </c>
      <c r="B7" s="2" t="n">
        <v>73290</v>
      </c>
      <c r="C7" s="2" t="n">
        <v>19780</v>
      </c>
      <c r="D7" s="2" t="n">
        <v>11260</v>
      </c>
      <c r="E7" s="2" t="n">
        <v>8520</v>
      </c>
      <c r="F7" s="6">
        <f>IF(AND(ISNUMBER(B7),ISNUMBER(B6)),B7-B6,"")</f>
        <v/>
      </c>
      <c r="G7" s="6">
        <f>IF(AND(ISNUMBER(C7),ISNUMBER(C6)),C7-C6,"")</f>
        <v/>
      </c>
      <c r="H7" s="2" t="n">
        <v>5442</v>
      </c>
      <c r="I7" s="5" t="inlineStr">
        <is>
          <t>Not reported as an annual official series in sources reachable from the box (see program rows below)</t>
        </is>
      </c>
      <c r="J7" t="inlineStr"/>
      <c r="K7" t="inlineStr"/>
    </row>
    <row r="8">
      <c r="A8" t="n">
        <v>2011</v>
      </c>
      <c r="B8" s="2" t="n">
        <v>56380</v>
      </c>
      <c r="C8" s="2" t="n">
        <v>23630</v>
      </c>
      <c r="D8" s="2" t="n">
        <v>13490</v>
      </c>
      <c r="E8" s="2" t="n">
        <v>10140</v>
      </c>
      <c r="F8" s="6">
        <f>IF(AND(ISNUMBER(B8),ISNUMBER(B7)),B8-B7,"")</f>
        <v/>
      </c>
      <c r="G8" s="6">
        <f>IF(AND(ISNUMBER(C8),ISNUMBER(C7)),C8-C7,"")</f>
        <v/>
      </c>
      <c r="H8" s="2" t="n">
        <v>5354</v>
      </c>
      <c r="I8" s="5" t="inlineStr">
        <is>
          <t>Not reported as an annual official series in sources reachable from the box (see program rows below)</t>
        </is>
      </c>
      <c r="J8" t="inlineStr"/>
      <c r="K8" t="inlineStr"/>
    </row>
    <row r="9">
      <c r="A9" t="n">
        <v>2012</v>
      </c>
      <c r="B9" s="2" t="n">
        <v>58180</v>
      </c>
      <c r="C9" s="2" t="n">
        <v>27450</v>
      </c>
      <c r="D9" s="2" t="n">
        <v>16870</v>
      </c>
      <c r="E9" s="2" t="n">
        <v>10580</v>
      </c>
      <c r="F9" s="6">
        <f>IF(AND(ISNUMBER(B9),ISNUMBER(B8)),B9-B8,"")</f>
        <v/>
      </c>
      <c r="G9" s="6">
        <f>IF(AND(ISNUMBER(C9),ISNUMBER(C8)),C9-C8,"")</f>
        <v/>
      </c>
      <c r="H9" s="2" t="n">
        <v>5490</v>
      </c>
      <c r="I9" s="5" t="inlineStr">
        <is>
          <t>Not reported as an annual official series in sources reachable from the box (see program rows below)</t>
        </is>
      </c>
      <c r="J9" t="inlineStr"/>
      <c r="K9" t="inlineStr"/>
    </row>
    <row r="10">
      <c r="A10" t="n">
        <v>2013</v>
      </c>
      <c r="B10" s="2" t="n">
        <v>69910</v>
      </c>
      <c r="C10" s="2" t="n">
        <v>24600</v>
      </c>
      <c r="D10" s="2" t="n">
        <v>14880</v>
      </c>
      <c r="E10" s="2" t="n">
        <v>9720</v>
      </c>
      <c r="F10" s="6">
        <f>IF(AND(ISNUMBER(B10),ISNUMBER(B9)),B10-B9,"")</f>
        <v/>
      </c>
      <c r="G10" s="6">
        <f>IF(AND(ISNUMBER(C10),ISNUMBER(C9)),C10-C9,"")</f>
        <v/>
      </c>
      <c r="H10" s="2" t="n">
        <v>5762</v>
      </c>
      <c r="I10" s="5" t="inlineStr">
        <is>
          <t>Not reported as an annual official series in sources reachable from the box (see program rows below)</t>
        </is>
      </c>
      <c r="J10" t="inlineStr"/>
      <c r="K10" t="inlineStr"/>
    </row>
    <row r="11">
      <c r="A11" t="n">
        <v>2014</v>
      </c>
      <c r="B11" s="2" t="n">
        <v>69980</v>
      </c>
      <c r="C11" s="2" t="n">
        <v>23020</v>
      </c>
      <c r="D11" s="2" t="n">
        <v>14420</v>
      </c>
      <c r="E11" s="2" t="n">
        <v>8600</v>
      </c>
      <c r="F11" s="6">
        <f>IF(AND(ISNUMBER(B11),ISNUMBER(B10)),B11-B10,"")</f>
        <v/>
      </c>
      <c r="G11" s="6">
        <f>IF(AND(ISNUMBER(C11),ISNUMBER(C10)),C11-C10,"")</f>
        <v/>
      </c>
      <c r="H11" s="2" t="n">
        <v>5652</v>
      </c>
      <c r="I11" s="5" t="inlineStr">
        <is>
          <t>Not reported as an annual official series in sources reachable from the box (see program rows below)</t>
        </is>
      </c>
      <c r="J11" t="inlineStr"/>
      <c r="K11" t="inlineStr"/>
    </row>
    <row r="12">
      <c r="A12" t="n">
        <v>2015</v>
      </c>
      <c r="B12" s="2" t="n">
        <v>69920</v>
      </c>
      <c r="C12" s="2" t="n">
        <v>25920</v>
      </c>
      <c r="D12" s="2" t="n">
        <v>17800</v>
      </c>
      <c r="E12" s="2" t="n">
        <v>8120</v>
      </c>
      <c r="F12" s="6">
        <f>IF(AND(ISNUMBER(B12),ISNUMBER(B11)),B12-B11,"")</f>
        <v/>
      </c>
      <c r="G12" s="6">
        <f>IF(AND(ISNUMBER(C12),ISNUMBER(C11)),C12-C11,"")</f>
        <v/>
      </c>
      <c r="H12" s="2" t="n">
        <v>5844</v>
      </c>
      <c r="I12" s="5" t="inlineStr">
        <is>
          <t>Not reported as an annual official series in sources reachable from the box (see program rows below)</t>
        </is>
      </c>
      <c r="J12" t="inlineStr"/>
      <c r="K12" t="inlineStr"/>
    </row>
    <row r="13">
      <c r="A13" t="n">
        <v>2016</v>
      </c>
      <c r="B13" s="2" t="n">
        <v>84990</v>
      </c>
      <c r="C13" s="2" t="n">
        <v>20280</v>
      </c>
      <c r="D13" s="2" t="n">
        <v>11610</v>
      </c>
      <c r="E13" s="2" t="n">
        <v>8670</v>
      </c>
      <c r="F13" s="6">
        <f>IF(AND(ISNUMBER(B13),ISNUMBER(B12)),B13-B12,"")</f>
        <v/>
      </c>
      <c r="G13" s="6">
        <f>IF(AND(ISNUMBER(C13),ISNUMBER(C12)),C13-C12,"")</f>
        <v/>
      </c>
      <c r="H13" s="2" t="n">
        <v>5945</v>
      </c>
      <c r="I13" s="5" t="inlineStr">
        <is>
          <t>Not reported as an annual official series in sources reachable from the box (see program rows below)</t>
        </is>
      </c>
      <c r="J13" t="inlineStr"/>
      <c r="K13" t="inlineStr"/>
    </row>
    <row r="14">
      <c r="A14" t="n">
        <v>2017</v>
      </c>
      <c r="B14" s="2" t="n">
        <v>53690</v>
      </c>
      <c r="C14" s="2" t="n">
        <v>26340</v>
      </c>
      <c r="D14" s="2" t="n">
        <v>15800</v>
      </c>
      <c r="E14" s="2" t="n">
        <v>10540</v>
      </c>
      <c r="F14" s="6">
        <f>IF(AND(ISNUMBER(B14),ISNUMBER(B13)),B14-B13,"")</f>
        <v/>
      </c>
      <c r="G14" s="6">
        <f>IF(AND(ISNUMBER(C14),ISNUMBER(C13)),C14-C13,"")</f>
        <v/>
      </c>
      <c r="H14" s="2" t="n">
        <v>5776</v>
      </c>
      <c r="I14" s="5" t="inlineStr">
        <is>
          <t>Not reported as an annual official series in sources reachable from the box (see program rows below)</t>
        </is>
      </c>
      <c r="J14" t="inlineStr"/>
      <c r="K14" t="inlineStr"/>
    </row>
    <row r="15">
      <c r="A15" t="n">
        <v>2018</v>
      </c>
      <c r="B15" s="2" t="n">
        <v>22410</v>
      </c>
      <c r="C15" s="2" t="n">
        <v>37650</v>
      </c>
      <c r="D15" s="2" t="n">
        <v>24480</v>
      </c>
      <c r="E15" s="2" t="n">
        <v>13170</v>
      </c>
      <c r="F15" s="6">
        <f>IF(AND(ISNUMBER(B15),ISNUMBER(B14)),B15-B14,"")</f>
        <v/>
      </c>
      <c r="G15" s="6">
        <f>IF(AND(ISNUMBER(C15),ISNUMBER(C14)),C15-C14,"")</f>
        <v/>
      </c>
      <c r="H15" s="2" t="n">
        <v>5566</v>
      </c>
      <c r="I15" s="5" t="inlineStr">
        <is>
          <t>Not reported as an annual official series in sources reachable from the box (see program rows below)</t>
        </is>
      </c>
      <c r="J15" t="inlineStr"/>
      <c r="K15" t="inlineStr"/>
    </row>
    <row r="16">
      <c r="A16" t="n">
        <v>2019</v>
      </c>
      <c r="B16" s="2" t="n">
        <v>29920</v>
      </c>
      <c r="C16" s="2" t="n">
        <v>45780</v>
      </c>
      <c r="D16" s="2" t="n">
        <v>26880</v>
      </c>
      <c r="E16" s="2" t="n">
        <v>18890</v>
      </c>
      <c r="F16" s="6">
        <f>IF(AND(ISNUMBER(B16),ISNUMBER(B15)),B16-B15,"")</f>
        <v/>
      </c>
      <c r="G16" s="6">
        <f>IF(AND(ISNUMBER(C16),ISNUMBER(C15)),C16-C15,"")</f>
        <v/>
      </c>
      <c r="H16" s="2" t="n">
        <v>5403</v>
      </c>
      <c r="I16" s="5" t="inlineStr">
        <is>
          <t>Not reported as an annual official series in sources reachable from the box (see program rows below)</t>
        </is>
      </c>
      <c r="J16" t="inlineStr"/>
      <c r="K16" t="inlineStr"/>
    </row>
    <row r="17">
      <c r="A17" t="n">
        <v>2020</v>
      </c>
      <c r="B17" s="2" t="n">
        <v>11840</v>
      </c>
      <c r="C17" s="2" t="n">
        <v>30680</v>
      </c>
      <c r="D17" s="2" t="n">
        <v>16080</v>
      </c>
      <c r="E17" s="2" t="n">
        <v>14600</v>
      </c>
      <c r="F17" s="6">
        <f>IF(AND(ISNUMBER(B17),ISNUMBER(B16)),B17-B16,"")</f>
        <v/>
      </c>
      <c r="G17" s="6">
        <f>IF(AND(ISNUMBER(C17),ISNUMBER(C16)),C17-C16,"")</f>
        <v/>
      </c>
      <c r="H17" s="2" t="n">
        <v>4461</v>
      </c>
      <c r="I17" s="5" t="inlineStr">
        <is>
          <t>Not reported as an annual official series in sources reachable from the box (see program rows below)</t>
        </is>
      </c>
      <c r="J17" t="inlineStr"/>
      <c r="K17" t="inlineStr"/>
    </row>
    <row r="18">
      <c r="A18" s="9" t="n">
        <v>2021</v>
      </c>
      <c r="B18" s="10" t="n">
        <v>11450</v>
      </c>
      <c r="C18" s="10" t="n">
        <v>16450</v>
      </c>
      <c r="D18" s="10" t="n">
        <v>9030</v>
      </c>
      <c r="E18" s="10" t="n">
        <v>7410</v>
      </c>
      <c r="F18" s="6">
        <f>IF(AND(ISNUMBER(B18),ISNUMBER(B17)),B18-B17,"")</f>
        <v/>
      </c>
      <c r="G18" s="6">
        <f>IF(AND(ISNUMBER(C18),ISNUMBER(C17)),C18-C17,"")</f>
        <v/>
      </c>
      <c r="H18" s="10" t="n">
        <v>4934</v>
      </c>
      <c r="I18" s="11" t="inlineStr">
        <is>
          <t>Not reported as an annual official series in sources reachable from the box (see program rows below)</t>
        </is>
      </c>
      <c r="J18" s="11" t="inlineStr">
        <is>
          <t>Partial (Biden from Jan 20, 2021; Oct 1, 2020-Jan 19, 2021 under Trump)</t>
        </is>
      </c>
      <c r="K18" s="9" t="inlineStr"/>
    </row>
    <row r="19">
      <c r="A19" s="9" t="n">
        <v>2022</v>
      </c>
      <c r="B19" s="10" t="n">
        <v>25520</v>
      </c>
      <c r="C19" s="10" t="n">
        <v>35160</v>
      </c>
      <c r="D19" s="10" t="n">
        <v>12620</v>
      </c>
      <c r="E19" s="10" t="n">
        <v>22540</v>
      </c>
      <c r="F19" s="6">
        <f>IF(AND(ISNUMBER(B19),ISNUMBER(B18)),B19-B18,"")</f>
        <v/>
      </c>
      <c r="G19" s="6">
        <f>IF(AND(ISNUMBER(C19),ISNUMBER(C18)),C19-C18,"")</f>
        <v/>
      </c>
      <c r="H19" s="10" t="n">
        <v>5975</v>
      </c>
      <c r="I19" s="11" t="inlineStr">
        <is>
          <t>Not reported as an annual official series in sources reachable from the box (see program rows below)</t>
        </is>
      </c>
      <c r="J19" s="9" t="inlineStr">
        <is>
          <t>Yes</t>
        </is>
      </c>
      <c r="K19" s="9" t="inlineStr"/>
    </row>
    <row r="20">
      <c r="A20" s="9" t="n">
        <v>2023</v>
      </c>
      <c r="B20" s="10" t="n">
        <v>60050</v>
      </c>
      <c r="C20" s="10" t="n">
        <v>51550</v>
      </c>
      <c r="D20" s="10" t="n">
        <v>19420</v>
      </c>
      <c r="E20" s="10" t="n">
        <v>32140</v>
      </c>
      <c r="F20" s="6">
        <f>IF(AND(ISNUMBER(B20),ISNUMBER(B19)),B20-B19,"")</f>
        <v/>
      </c>
      <c r="G20" s="6">
        <f>IF(AND(ISNUMBER(C20),ISNUMBER(C19)),C20-C19,"")</f>
        <v/>
      </c>
      <c r="H20" s="10" t="n">
        <v>6909</v>
      </c>
      <c r="I20" s="11" t="inlineStr">
        <is>
          <t>Not reported as an annual official series in sources reachable from the box (see program rows below)</t>
        </is>
      </c>
      <c r="J20" s="9" t="inlineStr">
        <is>
          <t>Yes</t>
        </is>
      </c>
      <c r="K20" s="9" t="inlineStr"/>
    </row>
    <row r="21">
      <c r="A21" s="9" t="n">
        <v>2024</v>
      </c>
      <c r="B21" s="10" t="n">
        <v>100060</v>
      </c>
      <c r="C21" s="10" t="n">
        <v>68170</v>
      </c>
      <c r="D21" s="10" t="n">
        <v>35840</v>
      </c>
      <c r="E21" s="10" t="n">
        <v>32330</v>
      </c>
      <c r="F21" s="6">
        <f>IF(AND(ISNUMBER(B21),ISNUMBER(B20)),B21-B20,"")</f>
        <v/>
      </c>
      <c r="G21" s="6">
        <f>IF(AND(ISNUMBER(C21),ISNUMBER(C20)),C21-C20,"")</f>
        <v/>
      </c>
      <c r="H21" s="10" t="n">
        <v>7470</v>
      </c>
      <c r="I21" s="11" t="inlineStr">
        <is>
          <t>Not reported as an annual official series in sources reachable from the box (see program rows below)</t>
        </is>
      </c>
      <c r="J21" s="9" t="inlineStr">
        <is>
          <t>Yes</t>
        </is>
      </c>
      <c r="K21" s="9" t="inlineStr"/>
    </row>
    <row r="22">
      <c r="A22" s="9" t="n">
        <v>2025</v>
      </c>
      <c r="B22" s="9" t="inlineStr">
        <is>
          <t>Not reported</t>
        </is>
      </c>
      <c r="C22" s="9" t="inlineStr">
        <is>
          <t>Not reported</t>
        </is>
      </c>
      <c r="D22" s="9" t="inlineStr">
        <is>
          <t>Not reported</t>
        </is>
      </c>
      <c r="E22" s="9" t="inlineStr">
        <is>
          <t>Not reported</t>
        </is>
      </c>
      <c r="F22" s="6">
        <f>IF(AND(ISNUMBER(B22),ISNUMBER(B21)),B22-B21,"")</f>
        <v/>
      </c>
      <c r="G22" s="6">
        <f>IF(AND(ISNUMBER(C22),ISNUMBER(C21)),C22-C21,"")</f>
        <v/>
      </c>
      <c r="H22" s="9" t="inlineStr">
        <is>
          <t>Not reported</t>
        </is>
      </c>
      <c r="I22" s="11" t="inlineStr">
        <is>
          <t>Not reported as an annual official series in sources reachable from the box (see program rows below)</t>
        </is>
      </c>
      <c r="J22" s="9" t="inlineStr">
        <is>
          <t>Partial (Biden Oct 1, 2024-Jan 19, 2025)</t>
        </is>
      </c>
      <c r="K22" s="11" t="inlineStr">
        <is>
          <t>FY2025 DHS Yearbook tables not yet published.</t>
        </is>
      </c>
    </row>
    <row r="23">
      <c r="A23" s="12" t="inlineStr">
        <is>
          <t>BIDEN-PERIOD SUM (FY2021-FY2024 only; sum-only row as requested)</t>
        </is>
      </c>
      <c r="B23" s="12">
        <f>SUM(B18:B21)</f>
        <v/>
      </c>
      <c r="C23" s="12">
        <f>SUM(C18:C21)</f>
        <v/>
      </c>
      <c r="D23" s="12">
        <f>SUM(D18:D21)</f>
        <v/>
      </c>
      <c r="E23" s="12">
        <f>SUM(E18:E21)</f>
        <v/>
      </c>
      <c r="F23" s="12" t="inlineStr"/>
      <c r="G23" s="12" t="inlineStr"/>
      <c r="H23" s="12" t="inlineStr"/>
      <c r="I23" s="12" t="inlineStr"/>
      <c r="J23" s="12" t="inlineStr">
        <is>
          <t>FY2021 includes ~3.7 months under Trump; FY2025 (Oct 1, 2024-Jan 19, 2025 under Biden) excluded because FY2025 data are not published.</t>
        </is>
      </c>
      <c r="K23" s="12" t="inlineStr"/>
    </row>
    <row r="25">
      <c r="A25" t="inlineStr">
        <is>
          <t>Program / item</t>
        </is>
      </c>
      <c r="B25" t="inlineStr">
        <is>
          <t>Figure (as published)</t>
        </is>
      </c>
      <c r="C25" t="inlineStr">
        <is>
          <t>Period</t>
        </is>
      </c>
      <c r="D25" t="inlineStr">
        <is>
          <t>Source ID</t>
        </is>
      </c>
      <c r="E25" t="inlineStr">
        <is>
          <t>Legal authority / court rulings / notes</t>
        </is>
      </c>
    </row>
    <row r="26">
      <c r="A26" t="inlineStr">
        <is>
          <t>CHNV parole (Cuba, Haiti, Nicaragua, Venezuela)</t>
        </is>
      </c>
      <c r="B26" t="inlineStr">
        <is>
          <t>~532,000 granted parole</t>
        </is>
      </c>
      <c r="C26" t="inlineStr">
        <is>
          <t>Oct 2022-Jan 22, 2025</t>
        </is>
      </c>
      <c r="D26" t="inlineStr">
        <is>
          <t>CHNV-FR</t>
        </is>
      </c>
      <c r="E26"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c r="A27" t="inlineStr">
        <is>
          <t>CHNV arrivals granted parole, by nationality</t>
        </is>
      </c>
      <c r="B27" t="inlineStr">
        <is>
          <t>Cubans 110,240; Haitians 211,040; Nicaraguans 93,070; Venezuelans 117,330</t>
        </is>
      </c>
      <c r="C27" t="inlineStr">
        <is>
          <t>through Dec 2024</t>
        </is>
      </c>
      <c r="D27" t="inlineStr">
        <is>
          <t>CBP-DEC24</t>
        </is>
      </c>
      <c r="E27" t="inlineStr">
        <is>
          <t>CBP monthly update figures (not summed here).</t>
        </is>
      </c>
    </row>
    <row r="28">
      <c r="A28" t="inlineStr">
        <is>
          <t>CBP One appointments</t>
        </is>
      </c>
      <c r="B28" t="inlineStr">
        <is>
          <t>more than 936,500 scheduled appointments at ports of entry</t>
        </is>
      </c>
      <c r="C28" t="inlineStr">
        <is>
          <t>Jan 2023-Dec 2024</t>
        </is>
      </c>
      <c r="D28" t="inlineStr">
        <is>
          <t>CBP-DEC24</t>
        </is>
      </c>
      <c r="E28" t="inlineStr">
        <is>
          <t>Scheduling function ended Jan 20, 2025 (CBP-JAN25). Processing at ports under INA 212(d)(5) parole or NTA; related 'Circumvention of Lawful Pathways' rule litigated (East Bay Sanctuary Covenant v. Biden) - not re-verified from box.</t>
        </is>
      </c>
    </row>
    <row r="29">
      <c r="A29" t="inlineStr">
        <is>
          <t>Operation Allies Welcome (Afghans)</t>
        </is>
      </c>
      <c r="B29" t="inlineStr">
        <is>
          <t>Not reported</t>
        </is>
      </c>
      <c r="C29" t="inlineStr">
        <is>
          <t>2021-2022</t>
        </is>
      </c>
      <c r="D29" t="inlineStr">
        <is>
          <t>—</t>
        </is>
      </c>
      <c r="E29" t="inlineStr">
        <is>
          <t>DHS OAW totals not retrieved from an official page reachable in this pass.</t>
        </is>
      </c>
    </row>
    <row r="30">
      <c r="A30" t="inlineStr">
        <is>
          <t>Uniting for Ukraine (U4U)</t>
        </is>
      </c>
      <c r="B30" t="inlineStr">
        <is>
          <t>Not reported</t>
        </is>
      </c>
      <c r="C30" t="inlineStr">
        <is>
          <t>2022-2025</t>
        </is>
      </c>
      <c r="D30" t="inlineStr">
        <is>
          <t>—</t>
        </is>
      </c>
      <c r="E30" t="inlineStr">
        <is>
          <t>Not retrieved.</t>
        </is>
      </c>
    </row>
    <row r="31">
      <c r="A31" t="inlineStr">
        <is>
          <t>Border parole (e.g., Parole+ATD at southwest border)</t>
        </is>
      </c>
      <c r="B31" t="inlineStr">
        <is>
          <t>Not reported</t>
        </is>
      </c>
      <c r="C31" t="inlineStr">
        <is>
          <t>FY2021-2025</t>
        </is>
      </c>
      <c r="D31" t="inlineStr">
        <is>
          <t>—</t>
        </is>
      </c>
      <c r="E31" t="inlineStr">
        <is>
          <t>Available in OHSS monthly enforcement/parole data; not extracted.</t>
        </is>
      </c>
    </row>
    <row r="32">
      <c r="A32" t="inlineStr">
        <is>
          <t>TPS</t>
        </is>
      </c>
      <c r="B32" t="inlineStr">
        <is>
          <t>Not reported (annual)</t>
        </is>
      </c>
      <c r="C32" t="inlineStr">
        <is>
          <t>FY2005-2025</t>
        </is>
      </c>
      <c r="D32" t="inlineStr">
        <is>
          <t>—</t>
        </is>
      </c>
      <c r="E32" t="inlineStr">
        <is>
          <t>INA 244. No single annual official population series retrieved; USCIS/CRS publish point-in-time estimates by country.</t>
        </is>
      </c>
    </row>
    <row r="33">
      <c r="A33" t="inlineStr">
        <is>
          <t>DACA active recipients</t>
        </is>
      </c>
      <c r="B33" t="inlineStr">
        <is>
          <t>436,350 (rounded)</t>
        </is>
      </c>
      <c r="C33" t="inlineStr">
        <is>
          <t>as of Jun 30, 2026</t>
        </is>
      </c>
      <c r="D33" t="inlineStr">
        <is>
          <t>USCIS-DACA</t>
        </is>
      </c>
      <c r="E33" t="inlineStr">
        <is>
          <t>Annual historical series not compiled; USCIS publishes point-in-time quarterly counts.</t>
        </is>
      </c>
    </row>
    <row r="34">
      <c r="A34" t="inlineStr">
        <is>
          <t>I-765 EAD approvals by category (c8 asylum applicant, c11 parole, a18/c19 TPS-related a12/c19, a3 refugee, c33 DACA)</t>
        </is>
      </c>
      <c r="B34" t="inlineStr">
        <is>
          <t>Not reported (annual)</t>
        </is>
      </c>
      <c r="C34" t="inlineStr">
        <is>
          <t>FY2005-2025</t>
        </is>
      </c>
      <c r="D34" t="inlineStr">
        <is>
          <t>USCIS-I765</t>
        </is>
      </c>
      <c r="E34" t="inlineStr">
        <is>
          <t>USCIS publishes quarterly (not annual) receipts/approvals by category; building annual totals would require summing quarters, which the rules prohibit. Current file covers Apr 1-Jun 30, 2026 only.</t>
        </is>
      </c>
    </row>
    <row r="35">
      <c r="A35" t="inlineStr">
        <is>
          <t>SSNs to noncitizens / Enumeration Beyond Entry</t>
        </is>
      </c>
      <c r="B35" t="inlineStr">
        <is>
          <t>Not reported</t>
        </is>
      </c>
      <c r="C35" t="inlineStr">
        <is>
          <t>—</t>
        </is>
      </c>
      <c r="D35" t="inlineStr">
        <is>
          <t>SSA-2F</t>
        </is>
      </c>
      <c r="E35" t="inlineStr">
        <is>
          <t>SSA publishes total SSNs issued and age shares only; no noncitizen or EBE counts. Age 20-49 share of SSNs issued: 30.5% (2023), 33.8% (2024) per Table 2.F12.</t>
        </is>
      </c>
    </row>
    <row r="36">
      <c r="A36" t="inlineStr">
        <is>
          <t>Amnesty / legalization</t>
        </is>
      </c>
      <c r="B36" t="inlineStr">
        <is>
          <t>No general amnesty enacted since IRCA (1986)</t>
        </is>
      </c>
      <c r="C36" t="inlineStr">
        <is>
          <t>—</t>
        </is>
      </c>
      <c r="D36" t="inlineStr">
        <is>
          <t>—</t>
        </is>
      </c>
      <c r="E36" t="inlineStr">
        <is>
          <t>Immigration Reform and Control Act of 1986 (Pub. L. 99-603) was the last broad legalization law. Parole, TPS and DACA are temporary, discretionary statuses that do not confer permanent status or citizenship.</t>
        </is>
      </c>
    </row>
    <row r="37">
      <c r="A37" t="inlineStr">
        <is>
          <t>Legal authorities</t>
        </is>
      </c>
      <c r="B37" t="inlineStr">
        <is>
          <t>INA 207 (refugees), 208 (asylum), 212(d)(5) (parole), 244 (TPS)</t>
        </is>
      </c>
      <c r="C37" t="inlineStr">
        <is>
          <t>—</t>
        </is>
      </c>
      <c r="D37" t="inlineStr">
        <is>
          <t>—</t>
        </is>
      </c>
      <c r="E37" t="inlineStr">
        <is>
          <t>DACA rests on a 2012 DHS memorandum/2022 rule; litigation (Texas v. United States) ongoing.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2026-09-24T22:00:19Z</dcterms:created>
  <dcterms:modified xsi:type="dcterms:W3CDTF">2026-09-24T22:00:19Z</dcterms:modified>
</cp:coreProperties>
</file>