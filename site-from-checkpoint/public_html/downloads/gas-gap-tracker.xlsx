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eekly 2005-present" sheetId="2" state="visible" r:id="rId2"/>
    <sheet xmlns:r="http://schemas.openxmlformats.org/officeDocument/2006/relationships" name="Monthly pump components" sheetId="3" state="visible" r:id="rId3"/>
    <sheet xmlns:r="http://schemas.openxmlformats.org/officeDocument/2006/relationships" name="Refiners (SEC)" sheetId="4" state="visible" r:id="rId4"/>
    <sheet xmlns:r="http://schemas.openxmlformats.org/officeDocument/2006/relationships" name="Ownership concentration" sheetId="5" state="visible" r:id="rId5"/>
    <sheet xmlns:r="http://schemas.openxmlformats.org/officeDocument/2006/relationships" name="Exports vs inventories" sheetId="6" state="visible" r:id="rId6"/>
    <sheet xmlns:r="http://schemas.openxmlformats.org/officeDocument/2006/relationships" name="Futures positioning (CFTC)" sheetId="7" state="visible" r:id="rId7"/>
    <sheet xmlns:r="http://schemas.openxmlformats.org/officeDocument/2006/relationships" name="Investigations" sheetId="8" state="visible" r:id="rId8"/>
    <sheet xmlns:r="http://schemas.openxmlformats.org/officeDocument/2006/relationships" name="Political money" sheetId="9" state="visible" r:id="rId9"/>
    <sheet xmlns:r="http://schemas.openxmlformats.org/officeDocument/2006/relationships" name="FEC refiner PACs" sheetId="10" state="visible" r:id="rId10"/>
    <sheet xmlns:r="http://schemas.openxmlformats.org/officeDocument/2006/relationships" name="Unexplained - Red flags" sheetId="11" state="visible" r:id="rId11"/>
    <sheet xmlns:r="http://schemas.openxmlformats.org/officeDocument/2006/relationships" name="Sour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Gas Price Gap Tracker (SwampForce). Built Sep 24, 2026 (MT) from primary records.</t>
        </is>
      </c>
    </row>
    <row r="2">
      <c r="A2" t="inlineStr">
        <is>
          <t>Raw columns (dark header) are typed exactly as reported by the source and are never altered.</t>
        </is>
      </c>
    </row>
    <row r="3">
      <c r="A3" t="inlineStr">
        <is>
          <t>Yellow columns ending in [formula] are Excel formulas computed from raw columns in the same row. Nothing else is derived.</t>
        </is>
      </c>
    </row>
    <row r="4">
      <c r="A4" t="inlineStr">
        <is>
          <t>Every series or row links to its source on the 'Sources' tab or in its own URL column.</t>
        </is>
      </c>
    </row>
    <row r="5">
      <c r="A5" t="inlineStr">
        <is>
          <t>The 'Unexplained - Red flags' tab (Excel does not allow '/' in tab names) holds fixed text/values summarizing data points that do not fit the documented explanations. A red flag is not a finding of wrongdoing.</t>
        </is>
      </c>
    </row>
    <row r="6">
      <c r="A6" t="inlineStr">
        <is>
          <t>Weekly: retail prices are EIA Monday readings; spot prices are EIA weekly averages for the week ending the prior Friday.</t>
        </is>
      </c>
    </row>
    <row r="7">
      <c r="A7" t="inlineStr">
        <is>
          <t>Weekly taxes: EIA pump-components tax share (%) for the month (Jan 2000-May 2026); after May 2026 EIA's Jul 2026 average federal+state gasoline tax (52.16 c/gal) is used.</t>
        </is>
      </c>
    </row>
    <row r="8">
      <c r="A8" t="inlineStr">
        <is>
          <t>update.py re-downloads the free EIA/CFTC series and appends only new weeks; existing rows are never rewritten.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60" customHeight="1">
      <c r="A1" s="1" t="inlineStr">
        <is>
          <t>Retail week (Mon)</t>
        </is>
      </c>
      <c r="B1" s="1" t="inlineStr">
        <is>
          <t>Spot week ending (Fri)</t>
        </is>
      </c>
      <c r="C1" s="1" t="inlineStr">
        <is>
          <t>WTI Cushing spot, $/bbl (EIA RWTC weekly, week ending Fri)</t>
        </is>
      </c>
      <c r="D1" s="1" t="inlineStr">
        <is>
          <t>Brent spot, $/bbl (EIA RBRTE weekly)</t>
        </is>
      </c>
      <c r="E1" s="1" t="inlineStr">
        <is>
          <t>Gulf Coast conv. regular gasoline spot, $/gal (EIA)</t>
        </is>
      </c>
      <c r="F1" s="1" t="inlineStr">
        <is>
          <t>NY Harbor conv. regular gasoline spot, $/gal (EIA)</t>
        </is>
      </c>
      <c r="G1" s="1" t="inlineStr">
        <is>
          <t>Los Angeles RBOB regular spot, $/gal (EIA)</t>
        </is>
      </c>
      <c r="H1" s="1" t="inlineStr">
        <is>
          <t>U.S. retail regular, $/gal (EIA, Monday)</t>
        </is>
      </c>
      <c r="I1" s="1" t="inlineStr">
        <is>
          <t>(column not used)</t>
        </is>
      </c>
      <c r="J1" s="1" t="inlineStr">
        <is>
          <t>Rocky Mountain PADD 4 retail regular, $/gal (EIA)</t>
        </is>
      </c>
      <c r="K1" s="1" t="inlineStr">
        <is>
          <t>California retail regular, $/gal (EIA)</t>
        </is>
      </c>
      <c r="L1" s="1" t="inlineStr">
        <is>
          <t>EIA pump-components tax share of retail, % (monthly; blank after May 2026)</t>
        </is>
      </c>
      <c r="M1" s="1" t="inlineStr">
        <is>
          <t>EIA avg federal+state gasoline tax, c/gal (Jul 2026; used after May 2026)</t>
        </is>
      </c>
      <c r="N1" s="2" t="inlineStr">
        <is>
          <t>Gulf Coast gasoline minus WTI/42, $/gal (crack spread) [formula]</t>
        </is>
      </c>
      <c r="O1" s="2" t="inlineStr">
        <is>
          <t>Gulf Coast gasoline minus Brent/42, $/gal [formula]</t>
        </is>
      </c>
      <c r="P1" s="2" t="inlineStr">
        <is>
          <t>Taxes, $/gal [formula]</t>
        </is>
      </c>
      <c r="Q1" s="2" t="inlineStr">
        <is>
          <t>GAP = U.S. retail - WTI/42 - taxes, $/gal [formula]</t>
        </is>
      </c>
      <c r="R1" s="2" t="inlineStr">
        <is>
          <t>U.S. retail minus Gulf Coast spot, $/gal [formula]</t>
        </is>
      </c>
      <c r="S1" s="2" t="inlineStr">
        <is>
          <t>(column not used)</t>
        </is>
      </c>
    </row>
    <row r="2">
      <c r="A2" s="3" t="n">
        <v>38355</v>
      </c>
      <c r="B2" s="3" t="n">
        <v>38352</v>
      </c>
      <c r="C2" t="n">
        <v>42.52</v>
      </c>
      <c r="D2" t="n">
        <v>39.79</v>
      </c>
      <c r="E2" t="n">
        <v>1.017</v>
      </c>
      <c r="F2" t="n">
        <v>1.034</v>
      </c>
      <c r="G2" t="n">
        <v>1.191</v>
      </c>
      <c r="H2" t="n">
        <v>1.778</v>
      </c>
      <c r="J2" t="n">
        <v>1.8</v>
      </c>
      <c r="K2" t="n">
        <v>1.982</v>
      </c>
      <c r="L2" t="n">
        <v>24</v>
      </c>
      <c r="N2">
        <f>IF(OR(E2="",C2=""),"",E2-C2/42)</f>
        <v/>
      </c>
      <c r="O2">
        <f>IF(OR(E2="",D2=""),"",E2-D2/42)</f>
        <v/>
      </c>
      <c r="P2">
        <f>IF(L2="",M2/100,H2*L2/100)</f>
        <v/>
      </c>
      <c r="Q2">
        <f>H2-C2/42-P2</f>
        <v/>
      </c>
      <c r="R2">
        <f>H2-E2</f>
        <v/>
      </c>
    </row>
    <row r="3">
      <c r="A3" s="3" t="n">
        <v>38362</v>
      </c>
      <c r="B3" s="3" t="n">
        <v>38359</v>
      </c>
      <c r="C3" t="n">
        <v>44.07</v>
      </c>
      <c r="D3" t="n">
        <v>42.07</v>
      </c>
      <c r="E3" t="n">
        <v>1.168</v>
      </c>
      <c r="F3" t="n">
        <v>1.164</v>
      </c>
      <c r="G3" t="n">
        <v>1.267</v>
      </c>
      <c r="H3" t="n">
        <v>1.793</v>
      </c>
      <c r="J3" t="n">
        <v>1.776</v>
      </c>
      <c r="K3" t="n">
        <v>1.932</v>
      </c>
      <c r="L3" t="n">
        <v>24</v>
      </c>
      <c r="N3">
        <f>IF(OR(E3="",C3=""),"",E3-C3/42)</f>
        <v/>
      </c>
      <c r="O3">
        <f>IF(OR(E3="",D3=""),"",E3-D3/42)</f>
        <v/>
      </c>
      <c r="P3">
        <f>IF(L3="",M3/100,H3*L3/100)</f>
        <v/>
      </c>
      <c r="Q3">
        <f>H3-C3/42-P3</f>
        <v/>
      </c>
      <c r="R3">
        <f>H3-E3</f>
        <v/>
      </c>
    </row>
    <row r="4">
      <c r="A4" s="3" t="n">
        <v>38369</v>
      </c>
      <c r="B4" s="3" t="n">
        <v>38366</v>
      </c>
      <c r="C4" t="n">
        <v>46.79</v>
      </c>
      <c r="D4" t="n">
        <v>44.59</v>
      </c>
      <c r="E4" t="n">
        <v>1.229</v>
      </c>
      <c r="F4" t="n">
        <v>1.224</v>
      </c>
      <c r="G4" t="n">
        <v>1.316</v>
      </c>
      <c r="H4" t="n">
        <v>1.819</v>
      </c>
      <c r="J4" t="n">
        <v>1.777</v>
      </c>
      <c r="K4" t="n">
        <v>1.932</v>
      </c>
      <c r="L4" t="n">
        <v>24</v>
      </c>
      <c r="N4">
        <f>IF(OR(E4="",C4=""),"",E4-C4/42)</f>
        <v/>
      </c>
      <c r="O4">
        <f>IF(OR(E4="",D4=""),"",E4-D4/42)</f>
        <v/>
      </c>
      <c r="P4">
        <f>IF(L4="",M4/100,H4*L4/100)</f>
        <v/>
      </c>
      <c r="Q4">
        <f>H4-C4/42-P4</f>
        <v/>
      </c>
      <c r="R4">
        <f>H4-E4</f>
        <v/>
      </c>
    </row>
    <row r="5">
      <c r="A5" s="3" t="n">
        <v>38376</v>
      </c>
      <c r="B5" s="3" t="n">
        <v>38373</v>
      </c>
      <c r="C5" t="n">
        <v>47.85</v>
      </c>
      <c r="D5" t="n">
        <v>45.08</v>
      </c>
      <c r="E5" t="n">
        <v>1.261</v>
      </c>
      <c r="F5" t="n">
        <v>1.247</v>
      </c>
      <c r="G5" t="n">
        <v>1.424</v>
      </c>
      <c r="H5" t="n">
        <v>1.853</v>
      </c>
      <c r="J5" t="n">
        <v>1.792</v>
      </c>
      <c r="K5" t="n">
        <v>1.959</v>
      </c>
      <c r="L5" t="n">
        <v>24</v>
      </c>
      <c r="N5">
        <f>IF(OR(E5="",C5=""),"",E5-C5/42)</f>
        <v/>
      </c>
      <c r="O5">
        <f>IF(OR(E5="",D5=""),"",E5-D5/42)</f>
        <v/>
      </c>
      <c r="P5">
        <f>IF(L5="",M5/100,H5*L5/100)</f>
        <v/>
      </c>
      <c r="Q5">
        <f>H5-C5/42-P5</f>
        <v/>
      </c>
      <c r="R5">
        <f>H5-E5</f>
        <v/>
      </c>
    </row>
    <row r="6">
      <c r="A6" s="3" t="n">
        <v>38383</v>
      </c>
      <c r="B6" s="3" t="n">
        <v>38380</v>
      </c>
      <c r="C6" t="n">
        <v>48.56</v>
      </c>
      <c r="D6" t="n">
        <v>45.82</v>
      </c>
      <c r="E6" t="n">
        <v>1.309</v>
      </c>
      <c r="F6" t="n">
        <v>1.317</v>
      </c>
      <c r="G6" t="n">
        <v>1.494</v>
      </c>
      <c r="H6" t="n">
        <v>1.911</v>
      </c>
      <c r="J6" t="n">
        <v>1.827</v>
      </c>
      <c r="K6" t="n">
        <v>2.034</v>
      </c>
      <c r="L6" t="n">
        <v>24</v>
      </c>
      <c r="N6">
        <f>IF(OR(E6="",C6=""),"",E6-C6/42)</f>
        <v/>
      </c>
      <c r="O6">
        <f>IF(OR(E6="",D6=""),"",E6-D6/42)</f>
        <v/>
      </c>
      <c r="P6">
        <f>IF(L6="",M6/100,H6*L6/100)</f>
        <v/>
      </c>
      <c r="Q6">
        <f>H6-C6/42-P6</f>
        <v/>
      </c>
      <c r="R6">
        <f>H6-E6</f>
        <v/>
      </c>
    </row>
    <row r="7">
      <c r="A7" s="3" t="n">
        <v>38390</v>
      </c>
      <c r="B7" s="3" t="n">
        <v>38387</v>
      </c>
      <c r="C7" t="n">
        <v>46.97</v>
      </c>
      <c r="D7" t="n">
        <v>44.04</v>
      </c>
      <c r="E7" t="n">
        <v>1.263</v>
      </c>
      <c r="F7" t="n">
        <v>1.255</v>
      </c>
      <c r="G7" t="n">
        <v>1.482</v>
      </c>
      <c r="H7" t="n">
        <v>1.909</v>
      </c>
      <c r="J7" t="n">
        <v>1.847</v>
      </c>
      <c r="K7" t="n">
        <v>2.053</v>
      </c>
      <c r="L7" t="n">
        <v>23</v>
      </c>
      <c r="N7">
        <f>IF(OR(E7="",C7=""),"",E7-C7/42)</f>
        <v/>
      </c>
      <c r="O7">
        <f>IF(OR(E7="",D7=""),"",E7-D7/42)</f>
        <v/>
      </c>
      <c r="P7">
        <f>IF(L7="",M7/100,H7*L7/100)</f>
        <v/>
      </c>
      <c r="Q7">
        <f>H7-C7/42-P7</f>
        <v/>
      </c>
      <c r="R7">
        <f>H7-E7</f>
        <v/>
      </c>
    </row>
    <row r="8">
      <c r="A8" s="3" t="n">
        <v>38397</v>
      </c>
      <c r="B8" s="3" t="n">
        <v>38394</v>
      </c>
      <c r="D8" t="n">
        <v>43.29</v>
      </c>
      <c r="E8" t="n">
        <v>1.207</v>
      </c>
      <c r="F8" t="n">
        <v>1.193</v>
      </c>
      <c r="G8" t="n">
        <v>1.544</v>
      </c>
      <c r="H8" t="n">
        <v>1.898</v>
      </c>
      <c r="J8" t="n">
        <v>1.851</v>
      </c>
      <c r="K8" t="n">
        <v>2.091</v>
      </c>
      <c r="L8" t="n">
        <v>23</v>
      </c>
      <c r="N8">
        <f>IF(OR(E8="",C8=""),"",E8-C8/42)</f>
        <v/>
      </c>
      <c r="O8">
        <f>IF(OR(E8="",D8=""),"",E8-D8/42)</f>
        <v/>
      </c>
      <c r="P8">
        <f>IF(L8="",M8/100,H8*L8/100)</f>
        <v/>
      </c>
      <c r="Q8">
        <f>H8-C8/42-P8</f>
        <v/>
      </c>
      <c r="R8">
        <f>H8-E8</f>
        <v/>
      </c>
    </row>
    <row r="9">
      <c r="A9" s="3" t="n">
        <v>38404</v>
      </c>
      <c r="B9" s="3" t="n">
        <v>38401</v>
      </c>
      <c r="C9" t="n">
        <v>47.82</v>
      </c>
      <c r="D9" t="n">
        <v>45.22</v>
      </c>
      <c r="E9" t="n">
        <v>1.222</v>
      </c>
      <c r="F9" t="n">
        <v>1.218</v>
      </c>
      <c r="G9" t="n">
        <v>1.543</v>
      </c>
      <c r="H9" t="n">
        <v>1.905</v>
      </c>
      <c r="J9" t="n">
        <v>1.883</v>
      </c>
      <c r="K9" t="n">
        <v>2.15</v>
      </c>
      <c r="L9" t="n">
        <v>23</v>
      </c>
      <c r="N9">
        <f>IF(OR(E9="",C9=""),"",E9-C9/42)</f>
        <v/>
      </c>
      <c r="O9">
        <f>IF(OR(E9="",D9=""),"",E9-D9/42)</f>
        <v/>
      </c>
      <c r="P9">
        <f>IF(L9="",M9/100,H9*L9/100)</f>
        <v/>
      </c>
      <c r="Q9">
        <f>H9-C9/42-P9</f>
        <v/>
      </c>
      <c r="R9">
        <f>H9-E9</f>
        <v/>
      </c>
    </row>
    <row r="10">
      <c r="A10" s="3" t="n">
        <v>38411</v>
      </c>
      <c r="B10" s="3" t="n">
        <v>38408</v>
      </c>
      <c r="C10" t="n">
        <v>51.75</v>
      </c>
      <c r="D10" t="n">
        <v>48.23</v>
      </c>
      <c r="E10" t="n">
        <v>1.259</v>
      </c>
      <c r="F10" t="n">
        <v>1.245</v>
      </c>
      <c r="G10" t="n">
        <v>1.61</v>
      </c>
      <c r="H10" t="n">
        <v>1.928</v>
      </c>
      <c r="J10" t="n">
        <v>1.908</v>
      </c>
      <c r="K10" t="n">
        <v>2.176</v>
      </c>
      <c r="L10" t="n">
        <v>23</v>
      </c>
      <c r="N10">
        <f>IF(OR(E10="",C10=""),"",E10-C10/42)</f>
        <v/>
      </c>
      <c r="O10">
        <f>IF(OR(E10="",D10=""),"",E10-D10/42)</f>
        <v/>
      </c>
      <c r="P10">
        <f>IF(L10="",M10/100,H10*L10/100)</f>
        <v/>
      </c>
      <c r="Q10">
        <f>H10-C10/42-P10</f>
        <v/>
      </c>
      <c r="R10">
        <f>H10-E10</f>
        <v/>
      </c>
    </row>
    <row r="11">
      <c r="A11" s="3" t="n">
        <v>38418</v>
      </c>
      <c r="B11" s="3" t="n">
        <v>38415</v>
      </c>
      <c r="C11" t="n">
        <v>52.74</v>
      </c>
      <c r="D11" t="n">
        <v>51.33</v>
      </c>
      <c r="E11" t="n">
        <v>1.331</v>
      </c>
      <c r="F11" t="n">
        <v>1.328</v>
      </c>
      <c r="G11" t="n">
        <v>1.624</v>
      </c>
      <c r="H11" t="n">
        <v>1.999</v>
      </c>
      <c r="J11" t="n">
        <v>1.983</v>
      </c>
      <c r="K11" t="n">
        <v>2.229</v>
      </c>
      <c r="L11" t="n">
        <v>21.2</v>
      </c>
      <c r="N11">
        <f>IF(OR(E11="",C11=""),"",E11-C11/42)</f>
        <v/>
      </c>
      <c r="O11">
        <f>IF(OR(E11="",D11=""),"",E11-D11/42)</f>
        <v/>
      </c>
      <c r="P11">
        <f>IF(L11="",M11/100,H11*L11/100)</f>
        <v/>
      </c>
      <c r="Q11">
        <f>H11-C11/42-P11</f>
        <v/>
      </c>
      <c r="R11">
        <f>H11-E11</f>
        <v/>
      </c>
    </row>
    <row r="12">
      <c r="A12" s="3" t="n">
        <v>38425</v>
      </c>
      <c r="B12" s="3" t="n">
        <v>38422</v>
      </c>
      <c r="C12" t="n">
        <v>54.22</v>
      </c>
      <c r="D12" t="n">
        <v>53.09</v>
      </c>
      <c r="E12" t="n">
        <v>1.432</v>
      </c>
      <c r="F12" t="n">
        <v>1.419</v>
      </c>
      <c r="G12" t="n">
        <v>1.671</v>
      </c>
      <c r="H12" t="n">
        <v>2.056</v>
      </c>
      <c r="J12" t="n">
        <v>2.042</v>
      </c>
      <c r="K12" t="n">
        <v>2.287</v>
      </c>
      <c r="L12" t="n">
        <v>21.2</v>
      </c>
      <c r="N12">
        <f>IF(OR(E12="",C12=""),"",E12-C12/42)</f>
        <v/>
      </c>
      <c r="O12">
        <f>IF(OR(E12="",D12=""),"",E12-D12/42)</f>
        <v/>
      </c>
      <c r="P12">
        <f>IF(L12="",M12/100,H12*L12/100)</f>
        <v/>
      </c>
      <c r="Q12">
        <f>H12-C12/42-P12</f>
        <v/>
      </c>
      <c r="R12">
        <f>H12-E12</f>
        <v/>
      </c>
    </row>
    <row r="13">
      <c r="A13" s="3" t="n">
        <v>38432</v>
      </c>
      <c r="B13" s="3" t="n">
        <v>38429</v>
      </c>
      <c r="C13" t="n">
        <v>55.93</v>
      </c>
      <c r="D13" t="n">
        <v>54.85</v>
      </c>
      <c r="E13" t="n">
        <v>1.481</v>
      </c>
      <c r="F13" t="n">
        <v>1.445</v>
      </c>
      <c r="G13" t="n">
        <v>1.687</v>
      </c>
      <c r="H13" t="n">
        <v>2.109</v>
      </c>
      <c r="J13" t="n">
        <v>2.073</v>
      </c>
      <c r="K13" t="n">
        <v>2.312</v>
      </c>
      <c r="L13" t="n">
        <v>21.2</v>
      </c>
      <c r="N13">
        <f>IF(OR(E13="",C13=""),"",E13-C13/42)</f>
        <v/>
      </c>
      <c r="O13">
        <f>IF(OR(E13="",D13=""),"",E13-D13/42)</f>
        <v/>
      </c>
      <c r="P13">
        <f>IF(L13="",M13/100,H13*L13/100)</f>
        <v/>
      </c>
      <c r="Q13">
        <f>H13-C13/42-P13</f>
        <v/>
      </c>
      <c r="R13">
        <f>H13-E13</f>
        <v/>
      </c>
    </row>
    <row r="14">
      <c r="A14" s="3" t="n">
        <v>38439</v>
      </c>
      <c r="B14" s="3" t="n">
        <v>38436</v>
      </c>
      <c r="C14" t="n">
        <v>52.95</v>
      </c>
      <c r="D14" t="n">
        <v>53.76</v>
      </c>
      <c r="F14" t="n">
        <v>1.496</v>
      </c>
      <c r="G14" t="n">
        <v>1.783</v>
      </c>
      <c r="H14" t="n">
        <v>2.153</v>
      </c>
      <c r="J14" t="n">
        <v>2.133</v>
      </c>
      <c r="K14" t="n">
        <v>2.376</v>
      </c>
      <c r="L14" t="n">
        <v>21.2</v>
      </c>
      <c r="N14">
        <f>IF(OR(E14="",C14=""),"",E14-C14/42)</f>
        <v/>
      </c>
      <c r="O14">
        <f>IF(OR(E14="",D14=""),"",E14-D14/42)</f>
        <v/>
      </c>
      <c r="P14">
        <f>IF(L14="",M14/100,H14*L14/100)</f>
        <v/>
      </c>
      <c r="Q14">
        <f>H14-C14/42-P14</f>
        <v/>
      </c>
      <c r="R14">
        <f>H14-E14</f>
        <v/>
      </c>
    </row>
    <row r="15">
      <c r="A15" s="3" t="n">
        <v>38446</v>
      </c>
      <c r="B15" s="3" t="n">
        <v>38443</v>
      </c>
      <c r="C15" t="n">
        <v>54.97</v>
      </c>
      <c r="D15" t="n">
        <v>52.23</v>
      </c>
      <c r="E15" t="n">
        <v>1.595</v>
      </c>
      <c r="F15" t="n">
        <v>1.512</v>
      </c>
      <c r="G15" t="n">
        <v>1.864</v>
      </c>
      <c r="H15" t="n">
        <v>2.217</v>
      </c>
      <c r="J15" t="n">
        <v>2.162</v>
      </c>
      <c r="K15" t="n">
        <v>2.464</v>
      </c>
      <c r="L15" t="n">
        <v>19.6</v>
      </c>
      <c r="N15">
        <f>IF(OR(E15="",C15=""),"",E15-C15/42)</f>
        <v/>
      </c>
      <c r="O15">
        <f>IF(OR(E15="",D15=""),"",E15-D15/42)</f>
        <v/>
      </c>
      <c r="P15">
        <f>IF(L15="",M15/100,H15*L15/100)</f>
        <v/>
      </c>
      <c r="Q15">
        <f>H15-C15/42-P15</f>
        <v/>
      </c>
      <c r="R15">
        <f>H15-E15</f>
        <v/>
      </c>
    </row>
    <row r="16">
      <c r="A16" s="3" t="n">
        <v>38453</v>
      </c>
      <c r="B16" s="3" t="n">
        <v>38450</v>
      </c>
      <c r="C16" t="n">
        <v>55.24</v>
      </c>
      <c r="D16" t="n">
        <v>53.79</v>
      </c>
      <c r="F16" t="n">
        <v>1.524</v>
      </c>
      <c r="G16" t="n">
        <v>1.924</v>
      </c>
      <c r="H16" t="n">
        <v>2.28</v>
      </c>
      <c r="J16" t="n">
        <v>2.258</v>
      </c>
      <c r="K16" t="n">
        <v>2.592</v>
      </c>
      <c r="L16" t="n">
        <v>19.6</v>
      </c>
      <c r="N16">
        <f>IF(OR(E16="",C16=""),"",E16-C16/42)</f>
        <v/>
      </c>
      <c r="O16">
        <f>IF(OR(E16="",D16=""),"",E16-D16/42)</f>
        <v/>
      </c>
      <c r="P16">
        <f>IF(L16="",M16/100,H16*L16/100)</f>
        <v/>
      </c>
      <c r="Q16">
        <f>H16-C16/42-P16</f>
        <v/>
      </c>
      <c r="R16">
        <f>H16-E16</f>
        <v/>
      </c>
    </row>
    <row r="17">
      <c r="A17" s="3" t="n">
        <v>38460</v>
      </c>
      <c r="B17" s="3" t="n">
        <v>38457</v>
      </c>
      <c r="C17" t="n">
        <v>51.44</v>
      </c>
      <c r="D17" t="n">
        <v>50.43</v>
      </c>
      <c r="E17" t="n">
        <v>1.468</v>
      </c>
      <c r="F17" t="n">
        <v>1.408</v>
      </c>
      <c r="G17" t="n">
        <v>1.819</v>
      </c>
      <c r="H17" t="n">
        <v>2.237</v>
      </c>
      <c r="J17" t="n">
        <v>2.258</v>
      </c>
      <c r="K17" t="n">
        <v>2.584</v>
      </c>
      <c r="L17" t="n">
        <v>19.6</v>
      </c>
      <c r="N17">
        <f>IF(OR(E17="",C17=""),"",E17-C17/42)</f>
        <v/>
      </c>
      <c r="O17">
        <f>IF(OR(E17="",D17=""),"",E17-D17/42)</f>
        <v/>
      </c>
      <c r="P17">
        <f>IF(L17="",M17/100,H17*L17/100)</f>
        <v/>
      </c>
      <c r="Q17">
        <f>H17-C17/42-P17</f>
        <v/>
      </c>
      <c r="R17">
        <f>H17-E17</f>
        <v/>
      </c>
    </row>
    <row r="18">
      <c r="A18" s="3" t="n">
        <v>38467</v>
      </c>
      <c r="B18" s="3" t="n">
        <v>38464</v>
      </c>
      <c r="C18" t="n">
        <v>52.39</v>
      </c>
      <c r="D18" t="n">
        <v>51.23</v>
      </c>
      <c r="E18" t="n">
        <v>1.558</v>
      </c>
      <c r="F18" t="n">
        <v>1.5</v>
      </c>
      <c r="G18" t="n">
        <v>1.788</v>
      </c>
      <c r="H18" t="n">
        <v>2.236</v>
      </c>
      <c r="J18" t="n">
        <v>2.252</v>
      </c>
      <c r="K18" t="n">
        <v>2.565</v>
      </c>
      <c r="L18" t="n">
        <v>19.6</v>
      </c>
      <c r="N18">
        <f>IF(OR(E18="",C18=""),"",E18-C18/42)</f>
        <v/>
      </c>
      <c r="O18">
        <f>IF(OR(E18="",D18=""),"",E18-D18/42)</f>
        <v/>
      </c>
      <c r="P18">
        <f>IF(L18="",M18/100,H18*L18/100)</f>
        <v/>
      </c>
      <c r="Q18">
        <f>H18-C18/42-P18</f>
        <v/>
      </c>
      <c r="R18">
        <f>H18-E18</f>
        <v/>
      </c>
    </row>
    <row r="19">
      <c r="A19" s="3" t="n">
        <v>38474</v>
      </c>
      <c r="B19" s="3" t="n">
        <v>38471</v>
      </c>
      <c r="C19" t="n">
        <v>52</v>
      </c>
      <c r="D19" t="n">
        <v>51.64</v>
      </c>
      <c r="E19" t="n">
        <v>1.526</v>
      </c>
      <c r="F19" t="n">
        <v>1.464</v>
      </c>
      <c r="G19" t="n">
        <v>1.751</v>
      </c>
      <c r="H19" t="n">
        <v>2.235</v>
      </c>
      <c r="J19" t="n">
        <v>2.265</v>
      </c>
      <c r="K19" t="n">
        <v>2.56</v>
      </c>
      <c r="L19" t="n">
        <v>20.4</v>
      </c>
      <c r="N19">
        <f>IF(OR(E19="",C19=""),"",E19-C19/42)</f>
        <v/>
      </c>
      <c r="O19">
        <f>IF(OR(E19="",D19=""),"",E19-D19/42)</f>
        <v/>
      </c>
      <c r="P19">
        <f>IF(L19="",M19/100,H19*L19/100)</f>
        <v/>
      </c>
      <c r="Q19">
        <f>H19-C19/42-P19</f>
        <v/>
      </c>
      <c r="R19">
        <f>H19-E19</f>
        <v/>
      </c>
    </row>
    <row r="20">
      <c r="A20" s="3" t="n">
        <v>38481</v>
      </c>
      <c r="B20" s="3" t="n">
        <v>38478</v>
      </c>
      <c r="C20" t="n">
        <v>50.64</v>
      </c>
      <c r="D20" t="n">
        <v>50.05</v>
      </c>
      <c r="E20" t="n">
        <v>1.432</v>
      </c>
      <c r="F20" t="n">
        <v>1.385</v>
      </c>
      <c r="G20" t="n">
        <v>1.681</v>
      </c>
      <c r="H20" t="n">
        <v>2.186</v>
      </c>
      <c r="J20" t="n">
        <v>2.247</v>
      </c>
      <c r="K20" t="n">
        <v>2.516</v>
      </c>
      <c r="L20" t="n">
        <v>20.4</v>
      </c>
      <c r="N20">
        <f>IF(OR(E20="",C20=""),"",E20-C20/42)</f>
        <v/>
      </c>
      <c r="O20">
        <f>IF(OR(E20="",D20=""),"",E20-D20/42)</f>
        <v/>
      </c>
      <c r="P20">
        <f>IF(L20="",M20/100,H20*L20/100)</f>
        <v/>
      </c>
      <c r="Q20">
        <f>H20-C20/42-P20</f>
        <v/>
      </c>
      <c r="R20">
        <f>H20-E20</f>
        <v/>
      </c>
    </row>
    <row r="21">
      <c r="A21" s="3" t="n">
        <v>38488</v>
      </c>
      <c r="B21" s="3" t="n">
        <v>38485</v>
      </c>
      <c r="C21" t="n">
        <v>50.33</v>
      </c>
      <c r="D21" t="n">
        <v>48.7</v>
      </c>
      <c r="E21" t="n">
        <v>1.436</v>
      </c>
      <c r="F21" t="n">
        <v>1.376</v>
      </c>
      <c r="G21" t="n">
        <v>1.591</v>
      </c>
      <c r="H21" t="n">
        <v>2.163</v>
      </c>
      <c r="J21" t="n">
        <v>2.225</v>
      </c>
      <c r="K21" t="n">
        <v>2.473</v>
      </c>
      <c r="L21" t="n">
        <v>20.4</v>
      </c>
      <c r="N21">
        <f>IF(OR(E21="",C21=""),"",E21-C21/42)</f>
        <v/>
      </c>
      <c r="O21">
        <f>IF(OR(E21="",D21=""),"",E21-D21/42)</f>
        <v/>
      </c>
      <c r="P21">
        <f>IF(L21="",M21/100,H21*L21/100)</f>
        <v/>
      </c>
      <c r="Q21">
        <f>H21-C21/42-P21</f>
        <v/>
      </c>
      <c r="R21">
        <f>H21-E21</f>
        <v/>
      </c>
    </row>
    <row r="22">
      <c r="A22" s="3" t="n">
        <v>38495</v>
      </c>
      <c r="B22" s="3" t="n">
        <v>38492</v>
      </c>
      <c r="C22" t="n">
        <v>47.77</v>
      </c>
      <c r="D22" t="n">
        <v>46.98</v>
      </c>
      <c r="E22" t="n">
        <v>1.376</v>
      </c>
      <c r="F22" t="n">
        <v>1.348</v>
      </c>
      <c r="G22" t="n">
        <v>1.571</v>
      </c>
      <c r="H22" t="n">
        <v>2.125</v>
      </c>
      <c r="J22" t="n">
        <v>2.199</v>
      </c>
      <c r="K22" t="n">
        <v>2.434</v>
      </c>
      <c r="L22" t="n">
        <v>20.4</v>
      </c>
      <c r="N22">
        <f>IF(OR(E22="",C22=""),"",E22-C22/42)</f>
        <v/>
      </c>
      <c r="O22">
        <f>IF(OR(E22="",D22=""),"",E22-D22/42)</f>
        <v/>
      </c>
      <c r="P22">
        <f>IF(L22="",M22/100,H22*L22/100)</f>
        <v/>
      </c>
      <c r="Q22">
        <f>H22-C22/42-P22</f>
        <v/>
      </c>
      <c r="R22">
        <f>H22-E22</f>
        <v/>
      </c>
    </row>
    <row r="23">
      <c r="A23" s="3" t="n">
        <v>38502</v>
      </c>
      <c r="B23" s="3" t="n">
        <v>38499</v>
      </c>
      <c r="C23" t="n">
        <v>50.15</v>
      </c>
      <c r="D23" t="n">
        <v>48.59</v>
      </c>
      <c r="E23" t="n">
        <v>1.391</v>
      </c>
      <c r="F23" t="n">
        <v>1.367</v>
      </c>
      <c r="G23" t="n">
        <v>1.562</v>
      </c>
      <c r="H23" t="n">
        <v>2.097</v>
      </c>
      <c r="J23" t="n">
        <v>2.165</v>
      </c>
      <c r="K23" t="n">
        <v>2.391</v>
      </c>
      <c r="L23" t="n">
        <v>20.4</v>
      </c>
      <c r="N23">
        <f>IF(OR(E23="",C23=""),"",E23-C23/42)</f>
        <v/>
      </c>
      <c r="O23">
        <f>IF(OR(E23="",D23=""),"",E23-D23/42)</f>
        <v/>
      </c>
      <c r="P23">
        <f>IF(L23="",M23/100,H23*L23/100)</f>
        <v/>
      </c>
      <c r="Q23">
        <f>H23-C23/42-P23</f>
        <v/>
      </c>
      <c r="R23">
        <f>H23-E23</f>
        <v/>
      </c>
    </row>
    <row r="24">
      <c r="A24" s="3" t="n">
        <v>38509</v>
      </c>
      <c r="B24" s="3" t="n">
        <v>38506</v>
      </c>
      <c r="C24" t="n">
        <v>53.76</v>
      </c>
      <c r="D24" t="n">
        <v>50.46</v>
      </c>
      <c r="E24" t="n">
        <v>1.472</v>
      </c>
      <c r="F24" t="n">
        <v>1.458</v>
      </c>
      <c r="G24" t="n">
        <v>1.639</v>
      </c>
      <c r="H24" t="n">
        <v>2.116</v>
      </c>
      <c r="J24" t="n">
        <v>2.154</v>
      </c>
      <c r="K24" t="n">
        <v>2.36</v>
      </c>
      <c r="L24" t="n">
        <v>20.4</v>
      </c>
      <c r="N24">
        <f>IF(OR(E24="",C24=""),"",E24-C24/42)</f>
        <v/>
      </c>
      <c r="O24">
        <f>IF(OR(E24="",D24=""),"",E24-D24/42)</f>
        <v/>
      </c>
      <c r="P24">
        <f>IF(L24="",M24/100,H24*L24/100)</f>
        <v/>
      </c>
      <c r="Q24">
        <f>H24-C24/42-P24</f>
        <v/>
      </c>
      <c r="R24">
        <f>H24-E24</f>
        <v/>
      </c>
    </row>
    <row r="25">
      <c r="A25" s="3" t="n">
        <v>38516</v>
      </c>
      <c r="B25" s="3" t="n">
        <v>38513</v>
      </c>
      <c r="C25" t="n">
        <v>53.74</v>
      </c>
      <c r="D25" t="n">
        <v>51.9</v>
      </c>
      <c r="E25" t="n">
        <v>1.489</v>
      </c>
      <c r="F25" t="n">
        <v>1.463</v>
      </c>
      <c r="G25" t="n">
        <v>1.664</v>
      </c>
      <c r="H25" t="n">
        <v>2.13</v>
      </c>
      <c r="J25" t="n">
        <v>2.158</v>
      </c>
      <c r="K25" t="n">
        <v>2.333</v>
      </c>
      <c r="L25" t="n">
        <v>20.4</v>
      </c>
      <c r="N25">
        <f>IF(OR(E25="",C25=""),"",E25-C25/42)</f>
        <v/>
      </c>
      <c r="O25">
        <f>IF(OR(E25="",D25=""),"",E25-D25/42)</f>
        <v/>
      </c>
      <c r="P25">
        <f>IF(L25="",M25/100,H25*L25/100)</f>
        <v/>
      </c>
      <c r="Q25">
        <f>H25-C25/42-P25</f>
        <v/>
      </c>
      <c r="R25">
        <f>H25-E25</f>
        <v/>
      </c>
    </row>
    <row r="26">
      <c r="A26" s="3" t="n">
        <v>38523</v>
      </c>
      <c r="B26" s="3" t="n">
        <v>38520</v>
      </c>
      <c r="C26" t="n">
        <v>56.18</v>
      </c>
      <c r="D26" t="n">
        <v>54.17</v>
      </c>
      <c r="E26" t="n">
        <v>1.528</v>
      </c>
      <c r="F26" t="n">
        <v>1.509</v>
      </c>
      <c r="G26" t="n">
        <v>1.725</v>
      </c>
      <c r="H26" t="n">
        <v>2.161</v>
      </c>
      <c r="J26" t="n">
        <v>2.158</v>
      </c>
      <c r="K26" t="n">
        <v>2.352</v>
      </c>
      <c r="L26" t="n">
        <v>20.4</v>
      </c>
      <c r="N26">
        <f>IF(OR(E26="",C26=""),"",E26-C26/42)</f>
        <v/>
      </c>
      <c r="O26">
        <f>IF(OR(E26="",D26=""),"",E26-D26/42)</f>
        <v/>
      </c>
      <c r="P26">
        <f>IF(L26="",M26/100,H26*L26/100)</f>
        <v/>
      </c>
      <c r="Q26">
        <f>H26-C26/42-P26</f>
        <v/>
      </c>
      <c r="R26">
        <f>H26-E26</f>
        <v/>
      </c>
    </row>
    <row r="27">
      <c r="A27" s="3" t="n">
        <v>38530</v>
      </c>
      <c r="B27" s="3" t="n">
        <v>38527</v>
      </c>
      <c r="C27" t="n">
        <v>59.04</v>
      </c>
      <c r="D27" t="n">
        <v>56.95</v>
      </c>
      <c r="E27" t="n">
        <v>1.574</v>
      </c>
      <c r="F27" t="n">
        <v>1.564</v>
      </c>
      <c r="G27" t="n">
        <v>1.836</v>
      </c>
      <c r="H27" t="n">
        <v>2.215</v>
      </c>
      <c r="J27" t="n">
        <v>2.184</v>
      </c>
      <c r="K27" t="n">
        <v>2.412</v>
      </c>
      <c r="L27" t="n">
        <v>20.4</v>
      </c>
      <c r="N27">
        <f>IF(OR(E27="",C27=""),"",E27-C27/42)</f>
        <v/>
      </c>
      <c r="O27">
        <f>IF(OR(E27="",D27=""),"",E27-D27/42)</f>
        <v/>
      </c>
      <c r="P27">
        <f>IF(L27="",M27/100,H27*L27/100)</f>
        <v/>
      </c>
      <c r="Q27">
        <f>H27-C27/42-P27</f>
        <v/>
      </c>
      <c r="R27">
        <f>H27-E27</f>
        <v/>
      </c>
    </row>
    <row r="28">
      <c r="A28" s="3" t="n">
        <v>38537</v>
      </c>
      <c r="B28" s="3" t="n">
        <v>38534</v>
      </c>
      <c r="C28" t="n">
        <v>58.21</v>
      </c>
      <c r="D28" t="n">
        <v>56.69</v>
      </c>
      <c r="E28" t="n">
        <v>1.519</v>
      </c>
      <c r="F28" t="n">
        <v>1.532</v>
      </c>
      <c r="G28" t="n">
        <v>1.831</v>
      </c>
      <c r="H28" t="n">
        <v>2.226</v>
      </c>
      <c r="J28" t="n">
        <v>2.215</v>
      </c>
      <c r="K28" t="n">
        <v>2.457</v>
      </c>
      <c r="L28" t="n">
        <v>19.2</v>
      </c>
      <c r="N28">
        <f>IF(OR(E28="",C28=""),"",E28-C28/42)</f>
        <v/>
      </c>
      <c r="O28">
        <f>IF(OR(E28="",D28=""),"",E28-D28/42)</f>
        <v/>
      </c>
      <c r="P28">
        <f>IF(L28="",M28/100,H28*L28/100)</f>
        <v/>
      </c>
      <c r="Q28">
        <f>H28-C28/42-P28</f>
        <v/>
      </c>
      <c r="R28">
        <f>H28-E28</f>
        <v/>
      </c>
    </row>
    <row r="29">
      <c r="A29" s="3" t="n">
        <v>38544</v>
      </c>
      <c r="B29" s="3" t="n">
        <v>38541</v>
      </c>
      <c r="C29" t="n">
        <v>60.36</v>
      </c>
      <c r="D29" t="n">
        <v>57.98</v>
      </c>
      <c r="E29" t="n">
        <v>1.674</v>
      </c>
      <c r="F29" t="n">
        <v>1.653</v>
      </c>
      <c r="G29" t="n">
        <v>1.938</v>
      </c>
      <c r="H29" t="n">
        <v>2.328</v>
      </c>
      <c r="J29" t="n">
        <v>2.277</v>
      </c>
      <c r="K29" t="n">
        <v>2.525</v>
      </c>
      <c r="L29" t="n">
        <v>19.2</v>
      </c>
      <c r="N29">
        <f>IF(OR(E29="",C29=""),"",E29-C29/42)</f>
        <v/>
      </c>
      <c r="O29">
        <f>IF(OR(E29="",D29=""),"",E29-D29/42)</f>
        <v/>
      </c>
      <c r="P29">
        <f>IF(L29="",M29/100,H29*L29/100)</f>
        <v/>
      </c>
      <c r="Q29">
        <f>H29-C29/42-P29</f>
        <v/>
      </c>
      <c r="R29">
        <f>H29-E29</f>
        <v/>
      </c>
    </row>
    <row r="30">
      <c r="A30" s="3" t="n">
        <v>38551</v>
      </c>
      <c r="B30" s="3" t="n">
        <v>38548</v>
      </c>
      <c r="C30" t="n">
        <v>59.18</v>
      </c>
      <c r="D30" t="n">
        <v>57.43</v>
      </c>
      <c r="E30" t="n">
        <v>1.608</v>
      </c>
      <c r="F30" t="n">
        <v>1.578</v>
      </c>
      <c r="G30" t="n">
        <v>1.863</v>
      </c>
      <c r="H30" t="n">
        <v>2.317</v>
      </c>
      <c r="J30" t="n">
        <v>2.296</v>
      </c>
      <c r="K30" t="n">
        <v>2.538</v>
      </c>
      <c r="L30" t="n">
        <v>19.2</v>
      </c>
      <c r="N30">
        <f>IF(OR(E30="",C30=""),"",E30-C30/42)</f>
        <v/>
      </c>
      <c r="O30">
        <f>IF(OR(E30="",D30=""),"",E30-D30/42)</f>
        <v/>
      </c>
      <c r="P30">
        <f>IF(L30="",M30/100,H30*L30/100)</f>
        <v/>
      </c>
      <c r="Q30">
        <f>H30-C30/42-P30</f>
        <v/>
      </c>
      <c r="R30">
        <f>H30-E30</f>
        <v/>
      </c>
    </row>
    <row r="31">
      <c r="A31" s="3" t="n">
        <v>38558</v>
      </c>
      <c r="B31" s="3" t="n">
        <v>38555</v>
      </c>
      <c r="C31" t="n">
        <v>57.3</v>
      </c>
      <c r="D31" t="n">
        <v>56.39</v>
      </c>
      <c r="E31" t="n">
        <v>1.569</v>
      </c>
      <c r="F31" t="n">
        <v>1.551</v>
      </c>
      <c r="G31" t="n">
        <v>1.835</v>
      </c>
      <c r="H31" t="n">
        <v>2.289</v>
      </c>
      <c r="J31" t="n">
        <v>2.287</v>
      </c>
      <c r="K31" t="n">
        <v>2.541</v>
      </c>
      <c r="L31" t="n">
        <v>19.2</v>
      </c>
      <c r="N31">
        <f>IF(OR(E31="",C31=""),"",E31-C31/42)</f>
        <v/>
      </c>
      <c r="O31">
        <f>IF(OR(E31="",D31=""),"",E31-D31/42)</f>
        <v/>
      </c>
      <c r="P31">
        <f>IF(L31="",M31/100,H31*L31/100)</f>
        <v/>
      </c>
      <c r="Q31">
        <f>H31-C31/42-P31</f>
        <v/>
      </c>
      <c r="R31">
        <f>H31-E31</f>
        <v/>
      </c>
    </row>
    <row r="32">
      <c r="A32" s="3" t="n">
        <v>38565</v>
      </c>
      <c r="B32" s="3" t="n">
        <v>38562</v>
      </c>
      <c r="C32" t="n">
        <v>59.39</v>
      </c>
      <c r="D32" t="n">
        <v>58.5</v>
      </c>
      <c r="E32" t="n">
        <v>1.588</v>
      </c>
      <c r="F32" t="n">
        <v>1.6</v>
      </c>
      <c r="G32" t="n">
        <v>1.907</v>
      </c>
      <c r="H32" t="n">
        <v>2.291</v>
      </c>
      <c r="J32" t="n">
        <v>2.279</v>
      </c>
      <c r="K32" t="n">
        <v>2.549</v>
      </c>
      <c r="L32" t="n">
        <v>17.7</v>
      </c>
      <c r="N32">
        <f>IF(OR(E32="",C32=""),"",E32-C32/42)</f>
        <v/>
      </c>
      <c r="O32">
        <f>IF(OR(E32="",D32=""),"",E32-D32/42)</f>
        <v/>
      </c>
      <c r="P32">
        <f>IF(L32="",M32/100,H32*L32/100)</f>
        <v/>
      </c>
      <c r="Q32">
        <f>H32-C32/42-P32</f>
        <v/>
      </c>
      <c r="R32">
        <f>H32-E32</f>
        <v/>
      </c>
    </row>
    <row r="33">
      <c r="A33" s="3" t="n">
        <v>38572</v>
      </c>
      <c r="B33" s="3" t="n">
        <v>38569</v>
      </c>
      <c r="C33" t="n">
        <v>61.64</v>
      </c>
      <c r="D33" t="n">
        <v>60.42</v>
      </c>
      <c r="E33" t="n">
        <v>1.718</v>
      </c>
      <c r="F33" t="n">
        <v>1.71</v>
      </c>
      <c r="G33" t="n">
        <v>2.002</v>
      </c>
      <c r="H33" t="n">
        <v>2.368</v>
      </c>
      <c r="J33" t="n">
        <v>2.318</v>
      </c>
      <c r="K33" t="n">
        <v>2.601</v>
      </c>
      <c r="L33" t="n">
        <v>17.7</v>
      </c>
      <c r="N33">
        <f>IF(OR(E33="",C33=""),"",E33-C33/42)</f>
        <v/>
      </c>
      <c r="O33">
        <f>IF(OR(E33="",D33=""),"",E33-D33/42)</f>
        <v/>
      </c>
      <c r="P33">
        <f>IF(L33="",M33/100,H33*L33/100)</f>
        <v/>
      </c>
      <c r="Q33">
        <f>H33-C33/42-P33</f>
        <v/>
      </c>
      <c r="R33">
        <f>H33-E33</f>
        <v/>
      </c>
    </row>
    <row r="34">
      <c r="A34" s="3" t="n">
        <v>38579</v>
      </c>
      <c r="B34" s="3" t="n">
        <v>38576</v>
      </c>
      <c r="C34" t="n">
        <v>64.84999999999999</v>
      </c>
      <c r="D34" t="n">
        <v>64.45999999999999</v>
      </c>
      <c r="E34" t="n">
        <v>1.877</v>
      </c>
      <c r="F34" t="n">
        <v>1.851</v>
      </c>
      <c r="G34" t="n">
        <v>2.075</v>
      </c>
      <c r="H34" t="n">
        <v>2.55</v>
      </c>
      <c r="J34" t="n">
        <v>2.44</v>
      </c>
      <c r="K34" t="n">
        <v>2.716</v>
      </c>
      <c r="L34" t="n">
        <v>17.7</v>
      </c>
      <c r="N34">
        <f>IF(OR(E34="",C34=""),"",E34-C34/42)</f>
        <v/>
      </c>
      <c r="O34">
        <f>IF(OR(E34="",D34=""),"",E34-D34/42)</f>
        <v/>
      </c>
      <c r="P34">
        <f>IF(L34="",M34/100,H34*L34/100)</f>
        <v/>
      </c>
      <c r="Q34">
        <f>H34-C34/42-P34</f>
        <v/>
      </c>
      <c r="R34">
        <f>H34-E34</f>
        <v/>
      </c>
    </row>
    <row r="35">
      <c r="A35" s="3" t="n">
        <v>38586</v>
      </c>
      <c r="B35" s="3" t="n">
        <v>38583</v>
      </c>
      <c r="C35" t="n">
        <v>64.92</v>
      </c>
      <c r="D35" t="n">
        <v>64.23</v>
      </c>
      <c r="E35" t="n">
        <v>1.92</v>
      </c>
      <c r="F35" t="n">
        <v>1.891</v>
      </c>
      <c r="G35" t="n">
        <v>2.043</v>
      </c>
      <c r="H35" t="n">
        <v>2.612</v>
      </c>
      <c r="J35" t="n">
        <v>2.546</v>
      </c>
      <c r="K35" t="n">
        <v>2.75</v>
      </c>
      <c r="L35" t="n">
        <v>17.7</v>
      </c>
      <c r="N35">
        <f>IF(OR(E35="",C35=""),"",E35-C35/42)</f>
        <v/>
      </c>
      <c r="O35">
        <f>IF(OR(E35="",D35=""),"",E35-D35/42)</f>
        <v/>
      </c>
      <c r="P35">
        <f>IF(L35="",M35/100,H35*L35/100)</f>
        <v/>
      </c>
      <c r="Q35">
        <f>H35-C35/42-P35</f>
        <v/>
      </c>
      <c r="R35">
        <f>H35-E35</f>
        <v/>
      </c>
    </row>
    <row r="36">
      <c r="A36" s="3" t="n">
        <v>38593</v>
      </c>
      <c r="B36" s="3" t="n">
        <v>38590</v>
      </c>
      <c r="C36" t="n">
        <v>66.34</v>
      </c>
      <c r="D36" t="n">
        <v>65.68000000000001</v>
      </c>
      <c r="F36" t="n">
        <v>1.859</v>
      </c>
      <c r="G36" t="n">
        <v>2.081</v>
      </c>
      <c r="H36" t="n">
        <v>2.61</v>
      </c>
      <c r="J36" t="n">
        <v>2.583</v>
      </c>
      <c r="K36" t="n">
        <v>2.77</v>
      </c>
      <c r="L36" t="n">
        <v>17.7</v>
      </c>
      <c r="N36">
        <f>IF(OR(E36="",C36=""),"",E36-C36/42)</f>
        <v/>
      </c>
      <c r="O36">
        <f>IF(OR(E36="",D36=""),"",E36-D36/42)</f>
        <v/>
      </c>
      <c r="P36">
        <f>IF(L36="",M36/100,H36*L36/100)</f>
        <v/>
      </c>
      <c r="Q36">
        <f>H36-C36/42-P36</f>
        <v/>
      </c>
      <c r="R36">
        <f>H36-E36</f>
        <v/>
      </c>
    </row>
    <row r="37">
      <c r="A37" s="3" t="n">
        <v>38600</v>
      </c>
      <c r="B37" s="3" t="n">
        <v>38597</v>
      </c>
      <c r="C37" t="n">
        <v>68.47</v>
      </c>
      <c r="D37" t="n">
        <v>66.09</v>
      </c>
      <c r="E37" t="n">
        <v>2.609</v>
      </c>
      <c r="F37" t="n">
        <v>2.701</v>
      </c>
      <c r="G37" t="n">
        <v>2.681</v>
      </c>
      <c r="H37" t="n">
        <v>3.069</v>
      </c>
      <c r="J37" t="n">
        <v>2.978</v>
      </c>
      <c r="K37" t="n">
        <v>3.056</v>
      </c>
      <c r="L37" t="n">
        <v>15.2</v>
      </c>
      <c r="N37">
        <f>IF(OR(E37="",C37=""),"",E37-C37/42)</f>
        <v/>
      </c>
      <c r="O37">
        <f>IF(OR(E37="",D37=""),"",E37-D37/42)</f>
        <v/>
      </c>
      <c r="P37">
        <f>IF(L37="",M37/100,H37*L37/100)</f>
        <v/>
      </c>
      <c r="Q37">
        <f>H37-C37/42-P37</f>
        <v/>
      </c>
      <c r="R37">
        <f>H37-E37</f>
        <v/>
      </c>
    </row>
    <row r="38">
      <c r="A38" s="3" t="n">
        <v>38607</v>
      </c>
      <c r="B38" s="3" t="n">
        <v>38604</v>
      </c>
      <c r="C38" t="n">
        <v>64.81</v>
      </c>
      <c r="D38" t="n">
        <v>63.24</v>
      </c>
      <c r="E38" t="n">
        <v>2.196</v>
      </c>
      <c r="F38" t="n">
        <v>2.157</v>
      </c>
      <c r="G38" t="n">
        <v>2.2</v>
      </c>
      <c r="H38" t="n">
        <v>2.955</v>
      </c>
      <c r="J38" t="n">
        <v>2.947</v>
      </c>
      <c r="K38" t="n">
        <v>3.004</v>
      </c>
      <c r="L38" t="n">
        <v>15.2</v>
      </c>
      <c r="N38">
        <f>IF(OR(E38="",C38=""),"",E38-C38/42)</f>
        <v/>
      </c>
      <c r="O38">
        <f>IF(OR(E38="",D38=""),"",E38-D38/42)</f>
        <v/>
      </c>
      <c r="P38">
        <f>IF(L38="",M38/100,H38*L38/100)</f>
        <v/>
      </c>
      <c r="Q38">
        <f>H38-C38/42-P38</f>
        <v/>
      </c>
      <c r="R38">
        <f>H38-E38</f>
        <v/>
      </c>
    </row>
    <row r="39">
      <c r="A39" s="3" t="n">
        <v>38614</v>
      </c>
      <c r="B39" s="3" t="n">
        <v>38611</v>
      </c>
      <c r="C39" t="n">
        <v>63.84</v>
      </c>
      <c r="D39" t="n">
        <v>61.22</v>
      </c>
      <c r="E39" t="n">
        <v>1.848</v>
      </c>
      <c r="F39" t="n">
        <v>1.943</v>
      </c>
      <c r="G39" t="n">
        <v>2.171</v>
      </c>
      <c r="H39" t="n">
        <v>2.786</v>
      </c>
      <c r="J39" t="n">
        <v>2.873</v>
      </c>
      <c r="K39" t="n">
        <v>2.954</v>
      </c>
      <c r="L39" t="n">
        <v>15.2</v>
      </c>
      <c r="N39">
        <f>IF(OR(E39="",C39=""),"",E39-C39/42)</f>
        <v/>
      </c>
      <c r="O39">
        <f>IF(OR(E39="",D39=""),"",E39-D39/42)</f>
        <v/>
      </c>
      <c r="P39">
        <f>IF(L39="",M39/100,H39*L39/100)</f>
        <v/>
      </c>
      <c r="Q39">
        <f>H39-C39/42-P39</f>
        <v/>
      </c>
      <c r="R39">
        <f>H39-E39</f>
        <v/>
      </c>
    </row>
    <row r="40">
      <c r="A40" s="3" t="n">
        <v>38621</v>
      </c>
      <c r="B40" s="3" t="n">
        <v>38618</v>
      </c>
      <c r="C40" t="n">
        <v>66.43000000000001</v>
      </c>
      <c r="D40" t="n">
        <v>63.63</v>
      </c>
      <c r="E40" t="n">
        <v>2.247</v>
      </c>
      <c r="F40" t="n">
        <v>2.024</v>
      </c>
      <c r="G40" t="n">
        <v>2.271</v>
      </c>
      <c r="H40" t="n">
        <v>2.803</v>
      </c>
      <c r="J40" t="n">
        <v>2.856</v>
      </c>
      <c r="K40" t="n">
        <v>2.947</v>
      </c>
      <c r="L40" t="n">
        <v>15.2</v>
      </c>
      <c r="N40">
        <f>IF(OR(E40="",C40=""),"",E40-C40/42)</f>
        <v/>
      </c>
      <c r="O40">
        <f>IF(OR(E40="",D40=""),"",E40-D40/42)</f>
        <v/>
      </c>
      <c r="P40">
        <f>IF(L40="",M40/100,H40*L40/100)</f>
        <v/>
      </c>
      <c r="Q40">
        <f>H40-C40/42-P40</f>
        <v/>
      </c>
      <c r="R40">
        <f>H40-E40</f>
        <v/>
      </c>
    </row>
    <row r="41">
      <c r="A41" s="3" t="n">
        <v>38628</v>
      </c>
      <c r="B41" s="3" t="n">
        <v>38625</v>
      </c>
      <c r="C41" t="n">
        <v>66.06</v>
      </c>
      <c r="D41" t="n">
        <v>62.16</v>
      </c>
      <c r="E41" t="n">
        <v>2.77</v>
      </c>
      <c r="F41" t="n">
        <v>2.165</v>
      </c>
      <c r="G41" t="n">
        <v>2.338</v>
      </c>
      <c r="H41" t="n">
        <v>2.928</v>
      </c>
      <c r="J41" t="n">
        <v>2.89</v>
      </c>
      <c r="K41" t="n">
        <v>2.973</v>
      </c>
      <c r="L41" t="n">
        <v>16.2</v>
      </c>
      <c r="N41">
        <f>IF(OR(E41="",C41=""),"",E41-C41/42)</f>
        <v/>
      </c>
      <c r="O41">
        <f>IF(OR(E41="",D41=""),"",E41-D41/42)</f>
        <v/>
      </c>
      <c r="P41">
        <f>IF(L41="",M41/100,H41*L41/100)</f>
        <v/>
      </c>
      <c r="Q41">
        <f>H41-C41/42-P41</f>
        <v/>
      </c>
      <c r="R41">
        <f>H41-E41</f>
        <v/>
      </c>
    </row>
    <row r="42">
      <c r="A42" s="3" t="n">
        <v>38635</v>
      </c>
      <c r="B42" s="3" t="n">
        <v>38632</v>
      </c>
      <c r="C42" t="n">
        <v>63.06</v>
      </c>
      <c r="D42" t="n">
        <v>58.93</v>
      </c>
      <c r="E42" t="n">
        <v>2.181</v>
      </c>
      <c r="F42" t="n">
        <v>1.943</v>
      </c>
      <c r="G42" t="n">
        <v>2.101</v>
      </c>
      <c r="H42" t="n">
        <v>2.848</v>
      </c>
      <c r="J42" t="n">
        <v>2.845</v>
      </c>
      <c r="K42" t="n">
        <v>2.964</v>
      </c>
      <c r="L42" t="n">
        <v>16.2</v>
      </c>
      <c r="N42">
        <f>IF(OR(E42="",C42=""),"",E42-C42/42)</f>
        <v/>
      </c>
      <c r="O42">
        <f>IF(OR(E42="",D42=""),"",E42-D42/42)</f>
        <v/>
      </c>
      <c r="P42">
        <f>IF(L42="",M42/100,H42*L42/100)</f>
        <v/>
      </c>
      <c r="Q42">
        <f>H42-C42/42-P42</f>
        <v/>
      </c>
      <c r="R42">
        <f>H42-E42</f>
        <v/>
      </c>
    </row>
    <row r="43">
      <c r="A43" s="3" t="n">
        <v>38642</v>
      </c>
      <c r="B43" s="3" t="n">
        <v>38639</v>
      </c>
      <c r="C43" t="n">
        <v>62.87</v>
      </c>
      <c r="D43" t="n">
        <v>58.59</v>
      </c>
      <c r="E43" t="n">
        <v>1.86</v>
      </c>
      <c r="F43" t="n">
        <v>1.756</v>
      </c>
      <c r="G43" t="n">
        <v>1.946</v>
      </c>
      <c r="H43" t="n">
        <v>2.725</v>
      </c>
      <c r="J43" t="n">
        <v>2.785</v>
      </c>
      <c r="K43" t="n">
        <v>2.902</v>
      </c>
      <c r="L43" t="n">
        <v>16.2</v>
      </c>
      <c r="N43">
        <f>IF(OR(E43="",C43=""),"",E43-C43/42)</f>
        <v/>
      </c>
      <c r="O43">
        <f>IF(OR(E43="",D43=""),"",E43-D43/42)</f>
        <v/>
      </c>
      <c r="P43">
        <f>IF(L43="",M43/100,H43*L43/100)</f>
        <v/>
      </c>
      <c r="Q43">
        <f>H43-C43/42-P43</f>
        <v/>
      </c>
      <c r="R43">
        <f>H43-E43</f>
        <v/>
      </c>
    </row>
    <row r="44">
      <c r="A44" s="3" t="n">
        <v>38649</v>
      </c>
      <c r="B44" s="3" t="n">
        <v>38646</v>
      </c>
      <c r="C44" t="n">
        <v>62.28</v>
      </c>
      <c r="D44" t="n">
        <v>58.15</v>
      </c>
      <c r="E44" t="n">
        <v>1.671</v>
      </c>
      <c r="F44" t="n">
        <v>1.634</v>
      </c>
      <c r="G44" t="n">
        <v>1.847</v>
      </c>
      <c r="H44" t="n">
        <v>2.603</v>
      </c>
      <c r="J44" t="n">
        <v>2.705</v>
      </c>
      <c r="K44" t="n">
        <v>2.827</v>
      </c>
      <c r="L44" t="n">
        <v>16.2</v>
      </c>
      <c r="N44">
        <f>IF(OR(E44="",C44=""),"",E44-C44/42)</f>
        <v/>
      </c>
      <c r="O44">
        <f>IF(OR(E44="",D44=""),"",E44-D44/42)</f>
        <v/>
      </c>
      <c r="P44">
        <f>IF(L44="",M44/100,H44*L44/100)</f>
        <v/>
      </c>
      <c r="Q44">
        <f>H44-C44/42-P44</f>
        <v/>
      </c>
      <c r="R44">
        <f>H44-E44</f>
        <v/>
      </c>
    </row>
    <row r="45">
      <c r="A45" s="3" t="n">
        <v>38656</v>
      </c>
      <c r="B45" s="3" t="n">
        <v>38653</v>
      </c>
      <c r="C45" t="n">
        <v>61.33</v>
      </c>
      <c r="D45" t="n">
        <v>58.5</v>
      </c>
      <c r="F45" t="n">
        <v>1.54</v>
      </c>
      <c r="G45" t="n">
        <v>1.755</v>
      </c>
      <c r="H45" t="n">
        <v>2.48</v>
      </c>
      <c r="J45" t="n">
        <v>2.586</v>
      </c>
      <c r="K45" t="n">
        <v>2.747</v>
      </c>
      <c r="L45" t="n">
        <v>16.2</v>
      </c>
      <c r="N45">
        <f>IF(OR(E45="",C45=""),"",E45-C45/42)</f>
        <v/>
      </c>
      <c r="O45">
        <f>IF(OR(E45="",D45=""),"",E45-D45/42)</f>
        <v/>
      </c>
      <c r="P45">
        <f>IF(L45="",M45/100,H45*L45/100)</f>
        <v/>
      </c>
      <c r="Q45">
        <f>H45-C45/42-P45</f>
        <v/>
      </c>
      <c r="R45">
        <f>H45-E45</f>
        <v/>
      </c>
    </row>
    <row r="46">
      <c r="A46" s="3" t="n">
        <v>38663</v>
      </c>
      <c r="B46" s="3" t="n">
        <v>38660</v>
      </c>
      <c r="C46" t="n">
        <v>60.34</v>
      </c>
      <c r="D46" t="n">
        <v>58.74</v>
      </c>
      <c r="E46" t="n">
        <v>1.502</v>
      </c>
      <c r="F46" t="n">
        <v>1.524</v>
      </c>
      <c r="G46" t="n">
        <v>1.697</v>
      </c>
      <c r="H46" t="n">
        <v>2.376</v>
      </c>
      <c r="J46" t="n">
        <v>2.464</v>
      </c>
      <c r="K46" t="n">
        <v>2.659</v>
      </c>
      <c r="L46" t="n">
        <v>19.5</v>
      </c>
      <c r="N46">
        <f>IF(OR(E46="",C46=""),"",E46-C46/42)</f>
        <v/>
      </c>
      <c r="O46">
        <f>IF(OR(E46="",D46=""),"",E46-D46/42)</f>
        <v/>
      </c>
      <c r="P46">
        <f>IF(L46="",M46/100,H46*L46/100)</f>
        <v/>
      </c>
      <c r="Q46">
        <f>H46-C46/42-P46</f>
        <v/>
      </c>
      <c r="R46">
        <f>H46-E46</f>
        <v/>
      </c>
    </row>
    <row r="47">
      <c r="A47" s="3" t="n">
        <v>38670</v>
      </c>
      <c r="B47" s="3" t="n">
        <v>38667</v>
      </c>
      <c r="C47" t="n">
        <v>58.8</v>
      </c>
      <c r="D47" t="n">
        <v>56.79</v>
      </c>
      <c r="E47" t="n">
        <v>1.48</v>
      </c>
      <c r="F47" t="n">
        <v>1.486</v>
      </c>
      <c r="G47" t="n">
        <v>1.58</v>
      </c>
      <c r="H47" t="n">
        <v>2.296</v>
      </c>
      <c r="J47" t="n">
        <v>2.347</v>
      </c>
      <c r="K47" t="n">
        <v>2.582</v>
      </c>
      <c r="L47" t="n">
        <v>19.5</v>
      </c>
      <c r="N47">
        <f>IF(OR(E47="",C47=""),"",E47-C47/42)</f>
        <v/>
      </c>
      <c r="O47">
        <f>IF(OR(E47="",D47=""),"",E47-D47/42)</f>
        <v/>
      </c>
      <c r="P47">
        <f>IF(L47="",M47/100,H47*L47/100)</f>
        <v/>
      </c>
      <c r="Q47">
        <f>H47-C47/42-P47</f>
        <v/>
      </c>
      <c r="R47">
        <f>H47-E47</f>
        <v/>
      </c>
    </row>
    <row r="48">
      <c r="A48" s="3" t="n">
        <v>38677</v>
      </c>
      <c r="B48" s="3" t="n">
        <v>38674</v>
      </c>
      <c r="C48" t="n">
        <v>57</v>
      </c>
      <c r="D48" t="n">
        <v>53.77</v>
      </c>
      <c r="E48" t="n">
        <v>1.416</v>
      </c>
      <c r="F48" t="n">
        <v>1.439</v>
      </c>
      <c r="G48" t="n">
        <v>1.539</v>
      </c>
      <c r="H48" t="n">
        <v>2.201</v>
      </c>
      <c r="J48" t="n">
        <v>2.252</v>
      </c>
      <c r="K48" t="n">
        <v>2.453</v>
      </c>
      <c r="L48" t="n">
        <v>19.5</v>
      </c>
      <c r="N48">
        <f>IF(OR(E48="",C48=""),"",E48-C48/42)</f>
        <v/>
      </c>
      <c r="O48">
        <f>IF(OR(E48="",D48=""),"",E48-D48/42)</f>
        <v/>
      </c>
      <c r="P48">
        <f>IF(L48="",M48/100,H48*L48/100)</f>
        <v/>
      </c>
      <c r="Q48">
        <f>H48-C48/42-P48</f>
        <v/>
      </c>
      <c r="R48">
        <f>H48-E48</f>
        <v/>
      </c>
    </row>
    <row r="49">
      <c r="A49" s="3" t="n">
        <v>38684</v>
      </c>
      <c r="B49" s="3" t="n">
        <v>38681</v>
      </c>
      <c r="C49" t="n">
        <v>58.13</v>
      </c>
      <c r="D49" t="n">
        <v>53.57</v>
      </c>
      <c r="E49" t="n">
        <v>1.407</v>
      </c>
      <c r="F49" t="n">
        <v>1.465</v>
      </c>
      <c r="G49" t="n">
        <v>1.535</v>
      </c>
      <c r="H49" t="n">
        <v>2.154</v>
      </c>
      <c r="J49" t="n">
        <v>2.182</v>
      </c>
      <c r="K49" t="n">
        <v>2.412</v>
      </c>
      <c r="L49" t="n">
        <v>19.5</v>
      </c>
      <c r="N49">
        <f>IF(OR(E49="",C49=""),"",E49-C49/42)</f>
        <v/>
      </c>
      <c r="O49">
        <f>IF(OR(E49="",D49=""),"",E49-D49/42)</f>
        <v/>
      </c>
      <c r="P49">
        <f>IF(L49="",M49/100,H49*L49/100)</f>
        <v/>
      </c>
      <c r="Q49">
        <f>H49-C49/42-P49</f>
        <v/>
      </c>
      <c r="R49">
        <f>H49-E49</f>
        <v/>
      </c>
    </row>
    <row r="50">
      <c r="A50" s="3" t="n">
        <v>38691</v>
      </c>
      <c r="B50" s="3" t="n">
        <v>38688</v>
      </c>
      <c r="C50" t="n">
        <v>57.78</v>
      </c>
      <c r="D50" t="n">
        <v>53.59</v>
      </c>
      <c r="E50" t="n">
        <v>1.442</v>
      </c>
      <c r="F50" t="n">
        <v>1.484</v>
      </c>
      <c r="G50" t="n">
        <v>1.535</v>
      </c>
      <c r="H50" t="n">
        <v>2.147</v>
      </c>
      <c r="J50" t="n">
        <v>2.115</v>
      </c>
      <c r="K50" t="n">
        <v>2.335</v>
      </c>
      <c r="L50" t="n">
        <v>20.1</v>
      </c>
      <c r="N50">
        <f>IF(OR(E50="",C50=""),"",E50-C50/42)</f>
        <v/>
      </c>
      <c r="O50">
        <f>IF(OR(E50="",D50=""),"",E50-D50/42)</f>
        <v/>
      </c>
      <c r="P50">
        <f>IF(L50="",M50/100,H50*L50/100)</f>
        <v/>
      </c>
      <c r="Q50">
        <f>H50-C50/42-P50</f>
        <v/>
      </c>
      <c r="R50">
        <f>H50-E50</f>
        <v/>
      </c>
    </row>
    <row r="51">
      <c r="A51" s="3" t="n">
        <v>38698</v>
      </c>
      <c r="B51" s="3" t="n">
        <v>38695</v>
      </c>
      <c r="C51" t="n">
        <v>59.83</v>
      </c>
      <c r="D51" t="n">
        <v>56.07</v>
      </c>
      <c r="E51" t="n">
        <v>1.575</v>
      </c>
      <c r="F51" t="n">
        <v>1.577</v>
      </c>
      <c r="G51" t="n">
        <v>1.544</v>
      </c>
      <c r="H51" t="n">
        <v>2.185</v>
      </c>
      <c r="J51" t="n">
        <v>2.105</v>
      </c>
      <c r="K51" t="n">
        <v>2.277</v>
      </c>
      <c r="L51" t="n">
        <v>20.1</v>
      </c>
      <c r="N51">
        <f>IF(OR(E51="",C51=""),"",E51-C51/42)</f>
        <v/>
      </c>
      <c r="O51">
        <f>IF(OR(E51="",D51=""),"",E51-D51/42)</f>
        <v/>
      </c>
      <c r="P51">
        <f>IF(L51="",M51/100,H51*L51/100)</f>
        <v/>
      </c>
      <c r="Q51">
        <f>H51-C51/42-P51</f>
        <v/>
      </c>
      <c r="R51">
        <f>H51-E51</f>
        <v/>
      </c>
    </row>
    <row r="52">
      <c r="A52" s="3" t="n">
        <v>38705</v>
      </c>
      <c r="B52" s="3" t="n">
        <v>38702</v>
      </c>
      <c r="C52" t="n">
        <v>60.32</v>
      </c>
      <c r="D52" t="n">
        <v>58.75</v>
      </c>
      <c r="E52" t="n">
        <v>1.595</v>
      </c>
      <c r="F52" t="n">
        <v>1.634</v>
      </c>
      <c r="G52" t="n">
        <v>1.639</v>
      </c>
      <c r="H52" t="n">
        <v>2.211</v>
      </c>
      <c r="J52" t="n">
        <v>2.12</v>
      </c>
      <c r="K52" t="n">
        <v>2.249</v>
      </c>
      <c r="L52" t="n">
        <v>20.1</v>
      </c>
      <c r="N52">
        <f>IF(OR(E52="",C52=""),"",E52-C52/42)</f>
        <v/>
      </c>
      <c r="O52">
        <f>IF(OR(E52="",D52=""),"",E52-D52/42)</f>
        <v/>
      </c>
      <c r="P52">
        <f>IF(L52="",M52/100,H52*L52/100)</f>
        <v/>
      </c>
      <c r="Q52">
        <f>H52-C52/42-P52</f>
        <v/>
      </c>
      <c r="R52">
        <f>H52-E52</f>
        <v/>
      </c>
    </row>
    <row r="53">
      <c r="A53" s="3" t="n">
        <v>38712</v>
      </c>
      <c r="B53" s="3" t="n">
        <v>38709</v>
      </c>
      <c r="C53" t="n">
        <v>57.97</v>
      </c>
      <c r="D53" t="n">
        <v>56.36</v>
      </c>
      <c r="F53" t="n">
        <v>1.563</v>
      </c>
      <c r="G53" t="n">
        <v>1.56</v>
      </c>
      <c r="H53" t="n">
        <v>2.197</v>
      </c>
      <c r="J53" t="n">
        <v>2.113</v>
      </c>
      <c r="K53" t="n">
        <v>2.233</v>
      </c>
      <c r="L53" t="n">
        <v>20.1</v>
      </c>
      <c r="N53">
        <f>IF(OR(E53="",C53=""),"",E53-C53/42)</f>
        <v/>
      </c>
      <c r="O53">
        <f>IF(OR(E53="",D53=""),"",E53-D53/42)</f>
        <v/>
      </c>
      <c r="P53">
        <f>IF(L53="",M53/100,H53*L53/100)</f>
        <v/>
      </c>
      <c r="Q53">
        <f>H53-C53/42-P53</f>
        <v/>
      </c>
      <c r="R53">
        <f>H53-E53</f>
        <v/>
      </c>
    </row>
    <row r="54">
      <c r="A54" s="3" t="n">
        <v>38719</v>
      </c>
      <c r="B54" s="3" t="n">
        <v>38716</v>
      </c>
      <c r="C54" t="n">
        <v>59.82</v>
      </c>
      <c r="D54" t="n">
        <v>57.38</v>
      </c>
      <c r="E54" t="n">
        <v>1.616</v>
      </c>
      <c r="F54" t="n">
        <v>1.649</v>
      </c>
      <c r="G54" t="n">
        <v>1.72</v>
      </c>
      <c r="H54" t="n">
        <v>2.238</v>
      </c>
      <c r="J54" t="n">
        <v>2.123</v>
      </c>
      <c r="K54" t="n">
        <v>2.213</v>
      </c>
      <c r="L54" t="n">
        <v>19.8</v>
      </c>
      <c r="N54">
        <f>IF(OR(E54="",C54=""),"",E54-C54/42)</f>
        <v/>
      </c>
      <c r="O54">
        <f>IF(OR(E54="",D54=""),"",E54-D54/42)</f>
        <v/>
      </c>
      <c r="P54">
        <f>IF(L54="",M54/100,H54*L54/100)</f>
        <v/>
      </c>
      <c r="Q54">
        <f>H54-C54/42-P54</f>
        <v/>
      </c>
      <c r="R54">
        <f>H54-E54</f>
        <v/>
      </c>
    </row>
    <row r="55">
      <c r="A55" s="3" t="n">
        <v>38726</v>
      </c>
      <c r="B55" s="3" t="n">
        <v>38723</v>
      </c>
      <c r="C55" t="n">
        <v>63.39</v>
      </c>
      <c r="D55" t="n">
        <v>61.72</v>
      </c>
      <c r="E55" t="n">
        <v>1.749</v>
      </c>
      <c r="F55" t="n">
        <v>1.802</v>
      </c>
      <c r="G55" t="n">
        <v>1.874</v>
      </c>
      <c r="H55" t="n">
        <v>2.327</v>
      </c>
      <c r="J55" t="n">
        <v>2.2</v>
      </c>
      <c r="K55" t="n">
        <v>2.328</v>
      </c>
      <c r="L55" t="n">
        <v>19.8</v>
      </c>
      <c r="N55">
        <f>IF(OR(E55="",C55=""),"",E55-C55/42)</f>
        <v/>
      </c>
      <c r="O55">
        <f>IF(OR(E55="",D55=""),"",E55-D55/42)</f>
        <v/>
      </c>
      <c r="P55">
        <f>IF(L55="",M55/100,H55*L55/100)</f>
        <v/>
      </c>
      <c r="Q55">
        <f>H55-C55/42-P55</f>
        <v/>
      </c>
      <c r="R55">
        <f>H55-E55</f>
        <v/>
      </c>
    </row>
    <row r="56">
      <c r="A56" s="3" t="n">
        <v>38733</v>
      </c>
      <c r="B56" s="3" t="n">
        <v>38730</v>
      </c>
      <c r="C56" t="n">
        <v>63.74</v>
      </c>
      <c r="D56" t="n">
        <v>62.18</v>
      </c>
      <c r="E56" t="n">
        <v>1.682</v>
      </c>
      <c r="F56" t="n">
        <v>1.73</v>
      </c>
      <c r="G56" t="n">
        <v>1.798</v>
      </c>
      <c r="H56" t="n">
        <v>2.32</v>
      </c>
      <c r="J56" t="n">
        <v>2.201</v>
      </c>
      <c r="K56" t="n">
        <v>2.417</v>
      </c>
      <c r="L56" t="n">
        <v>19.8</v>
      </c>
      <c r="N56">
        <f>IF(OR(E56="",C56=""),"",E56-C56/42)</f>
        <v/>
      </c>
      <c r="O56">
        <f>IF(OR(E56="",D56=""),"",E56-D56/42)</f>
        <v/>
      </c>
      <c r="P56">
        <f>IF(L56="",M56/100,H56*L56/100)</f>
        <v/>
      </c>
      <c r="Q56">
        <f>H56-C56/42-P56</f>
        <v/>
      </c>
      <c r="R56">
        <f>H56-E56</f>
        <v/>
      </c>
    </row>
    <row r="57">
      <c r="A57" s="3" t="n">
        <v>38740</v>
      </c>
      <c r="B57" s="3" t="n">
        <v>38737</v>
      </c>
      <c r="C57" t="n">
        <v>66.79000000000001</v>
      </c>
      <c r="D57" t="n">
        <v>63.54</v>
      </c>
      <c r="E57" t="n">
        <v>1.718</v>
      </c>
      <c r="F57" t="n">
        <v>1.756</v>
      </c>
      <c r="G57" t="n">
        <v>1.882</v>
      </c>
      <c r="H57" t="n">
        <v>2.336</v>
      </c>
      <c r="J57" t="n">
        <v>2.22</v>
      </c>
      <c r="K57" t="n">
        <v>2.424</v>
      </c>
      <c r="L57" t="n">
        <v>19.8</v>
      </c>
      <c r="N57">
        <f>IF(OR(E57="",C57=""),"",E57-C57/42)</f>
        <v/>
      </c>
      <c r="O57">
        <f>IF(OR(E57="",D57=""),"",E57-D57/42)</f>
        <v/>
      </c>
      <c r="P57">
        <f>IF(L57="",M57/100,H57*L57/100)</f>
        <v/>
      </c>
      <c r="Q57">
        <f>H57-C57/42-P57</f>
        <v/>
      </c>
      <c r="R57">
        <f>H57-E57</f>
        <v/>
      </c>
    </row>
    <row r="58">
      <c r="A58" s="3" t="n">
        <v>38747</v>
      </c>
      <c r="B58" s="3" t="n">
        <v>38744</v>
      </c>
      <c r="C58" t="n">
        <v>66.81999999999999</v>
      </c>
      <c r="D58" t="n">
        <v>63.77</v>
      </c>
      <c r="E58" t="n">
        <v>1.624</v>
      </c>
      <c r="F58" t="n">
        <v>1.674</v>
      </c>
      <c r="G58" t="n">
        <v>1.899</v>
      </c>
      <c r="H58" t="n">
        <v>2.357</v>
      </c>
      <c r="J58" t="n">
        <v>2.238</v>
      </c>
      <c r="K58" t="n">
        <v>2.513</v>
      </c>
      <c r="L58" t="n">
        <v>19.8</v>
      </c>
      <c r="N58">
        <f>IF(OR(E58="",C58=""),"",E58-C58/42)</f>
        <v/>
      </c>
      <c r="O58">
        <f>IF(OR(E58="",D58=""),"",E58-D58/42)</f>
        <v/>
      </c>
      <c r="P58">
        <f>IF(L58="",M58/100,H58*L58/100)</f>
        <v/>
      </c>
      <c r="Q58">
        <f>H58-C58/42-P58</f>
        <v/>
      </c>
      <c r="R58">
        <f>H58-E58</f>
        <v/>
      </c>
    </row>
    <row r="59">
      <c r="A59" s="3" t="n">
        <v>38754</v>
      </c>
      <c r="B59" s="3" t="n">
        <v>38751</v>
      </c>
      <c r="C59" t="n">
        <v>66.59</v>
      </c>
      <c r="D59" t="n">
        <v>64</v>
      </c>
      <c r="E59" t="n">
        <v>1.651</v>
      </c>
      <c r="F59" t="n">
        <v>1.645</v>
      </c>
      <c r="G59" t="n">
        <v>1.912</v>
      </c>
      <c r="H59" t="n">
        <v>2.342</v>
      </c>
      <c r="J59" t="n">
        <v>2.243</v>
      </c>
      <c r="K59" t="n">
        <v>2.544</v>
      </c>
      <c r="L59" t="n">
        <v>20.1</v>
      </c>
      <c r="N59">
        <f>IF(OR(E59="",C59=""),"",E59-C59/42)</f>
        <v/>
      </c>
      <c r="O59">
        <f>IF(OR(E59="",D59=""),"",E59-D59/42)</f>
        <v/>
      </c>
      <c r="P59">
        <f>IF(L59="",M59/100,H59*L59/100)</f>
        <v/>
      </c>
      <c r="Q59">
        <f>H59-C59/42-P59</f>
        <v/>
      </c>
      <c r="R59">
        <f>H59-E59</f>
        <v/>
      </c>
    </row>
    <row r="60">
      <c r="A60" s="3" t="n">
        <v>38761</v>
      </c>
      <c r="B60" s="3" t="n">
        <v>38758</v>
      </c>
      <c r="C60" t="n">
        <v>63.06</v>
      </c>
      <c r="D60" t="n">
        <v>61.23</v>
      </c>
      <c r="E60" t="n">
        <v>1.524</v>
      </c>
      <c r="F60" t="n">
        <v>1.483</v>
      </c>
      <c r="G60" t="n">
        <v>1.697</v>
      </c>
      <c r="H60" t="n">
        <v>2.284</v>
      </c>
      <c r="J60" t="n">
        <v>2.234</v>
      </c>
      <c r="K60" t="n">
        <v>2.522</v>
      </c>
      <c r="L60" t="n">
        <v>20.1</v>
      </c>
      <c r="N60">
        <f>IF(OR(E60="",C60=""),"",E60-C60/42)</f>
        <v/>
      </c>
      <c r="O60">
        <f>IF(OR(E60="",D60=""),"",E60-D60/42)</f>
        <v/>
      </c>
      <c r="P60">
        <f>IF(L60="",M60/100,H60*L60/100)</f>
        <v/>
      </c>
      <c r="Q60">
        <f>H60-C60/42-P60</f>
        <v/>
      </c>
      <c r="R60">
        <f>H60-E60</f>
        <v/>
      </c>
    </row>
    <row r="61">
      <c r="A61" s="3" t="n">
        <v>38768</v>
      </c>
      <c r="B61" s="3" t="n">
        <v>38765</v>
      </c>
      <c r="C61" t="n">
        <v>59.37</v>
      </c>
      <c r="D61" t="n">
        <v>58.04</v>
      </c>
      <c r="E61" t="n">
        <v>1.475</v>
      </c>
      <c r="F61" t="n">
        <v>1.423</v>
      </c>
      <c r="G61" t="n">
        <v>1.64</v>
      </c>
      <c r="H61" t="n">
        <v>2.24</v>
      </c>
      <c r="J61" t="n">
        <v>2.216</v>
      </c>
      <c r="K61" t="n">
        <v>2.473</v>
      </c>
      <c r="L61" t="n">
        <v>20.1</v>
      </c>
      <c r="N61">
        <f>IF(OR(E61="",C61=""),"",E61-C61/42)</f>
        <v/>
      </c>
      <c r="O61">
        <f>IF(OR(E61="",D61=""),"",E61-D61/42)</f>
        <v/>
      </c>
      <c r="P61">
        <f>IF(L61="",M61/100,H61*L61/100)</f>
        <v/>
      </c>
      <c r="Q61">
        <f>H61-C61/42-P61</f>
        <v/>
      </c>
      <c r="R61">
        <f>H61-E61</f>
        <v/>
      </c>
    </row>
    <row r="62">
      <c r="A62" s="3" t="n">
        <v>38775</v>
      </c>
      <c r="B62" s="3" t="n">
        <v>38772</v>
      </c>
      <c r="C62" t="n">
        <v>59.93</v>
      </c>
      <c r="D62" t="n">
        <v>59.39</v>
      </c>
      <c r="E62" t="n">
        <v>1.546</v>
      </c>
      <c r="F62" t="n">
        <v>1.517</v>
      </c>
      <c r="G62" t="n">
        <v>1.778</v>
      </c>
      <c r="H62" t="n">
        <v>2.254</v>
      </c>
      <c r="J62" t="n">
        <v>2.235</v>
      </c>
      <c r="K62" t="n">
        <v>2.439</v>
      </c>
      <c r="L62" t="n">
        <v>20.1</v>
      </c>
      <c r="N62">
        <f>IF(OR(E62="",C62=""),"",E62-C62/42)</f>
        <v/>
      </c>
      <c r="O62">
        <f>IF(OR(E62="",D62=""),"",E62-D62/42)</f>
        <v/>
      </c>
      <c r="P62">
        <f>IF(L62="",M62/100,H62*L62/100)</f>
        <v/>
      </c>
      <c r="Q62">
        <f>H62-C62/42-P62</f>
        <v/>
      </c>
      <c r="R62">
        <f>H62-E62</f>
        <v/>
      </c>
    </row>
    <row r="63">
      <c r="A63" s="3" t="n">
        <v>38782</v>
      </c>
      <c r="B63" s="3" t="n">
        <v>38779</v>
      </c>
      <c r="C63" t="n">
        <v>62.27</v>
      </c>
      <c r="D63" t="n">
        <v>61.06</v>
      </c>
      <c r="E63" t="n">
        <v>1.68</v>
      </c>
      <c r="F63" t="n">
        <v>1.613</v>
      </c>
      <c r="G63" t="n">
        <v>1.821</v>
      </c>
      <c r="H63" t="n">
        <v>2.331</v>
      </c>
      <c r="J63" t="n">
        <v>2.275</v>
      </c>
      <c r="K63" t="n">
        <v>2.48</v>
      </c>
      <c r="L63" t="n">
        <v>18.9</v>
      </c>
      <c r="N63">
        <f>IF(OR(E63="",C63=""),"",E63-C63/42)</f>
        <v/>
      </c>
      <c r="O63">
        <f>IF(OR(E63="",D63=""),"",E63-D63/42)</f>
        <v/>
      </c>
      <c r="P63">
        <f>IF(L63="",M63/100,H63*L63/100)</f>
        <v/>
      </c>
      <c r="Q63">
        <f>H63-C63/42-P63</f>
        <v/>
      </c>
      <c r="R63">
        <f>H63-E63</f>
        <v/>
      </c>
    </row>
    <row r="64">
      <c r="A64" s="3" t="n">
        <v>38789</v>
      </c>
      <c r="B64" s="3" t="n">
        <v>38786</v>
      </c>
      <c r="C64" t="n">
        <v>60.89</v>
      </c>
      <c r="D64" t="n">
        <v>59.5</v>
      </c>
      <c r="E64" t="n">
        <v>1.711</v>
      </c>
      <c r="F64" t="n">
        <v>1.633</v>
      </c>
      <c r="G64" t="n">
        <v>1.878</v>
      </c>
      <c r="H64" t="n">
        <v>2.366</v>
      </c>
      <c r="J64" t="n">
        <v>2.301</v>
      </c>
      <c r="K64" t="n">
        <v>2.532</v>
      </c>
      <c r="L64" t="n">
        <v>18.9</v>
      </c>
      <c r="N64">
        <f>IF(OR(E64="",C64=""),"",E64-C64/42)</f>
        <v/>
      </c>
      <c r="O64">
        <f>IF(OR(E64="",D64=""),"",E64-D64/42)</f>
        <v/>
      </c>
      <c r="P64">
        <f>IF(L64="",M64/100,H64*L64/100)</f>
        <v/>
      </c>
      <c r="Q64">
        <f>H64-C64/42-P64</f>
        <v/>
      </c>
      <c r="R64">
        <f>H64-E64</f>
        <v/>
      </c>
    </row>
    <row r="65">
      <c r="A65" s="3" t="n">
        <v>38796</v>
      </c>
      <c r="B65" s="3" t="n">
        <v>38793</v>
      </c>
      <c r="C65" t="n">
        <v>62.64</v>
      </c>
      <c r="D65" t="n">
        <v>62.42</v>
      </c>
      <c r="E65" t="n">
        <v>1.906</v>
      </c>
      <c r="G65" t="n">
        <v>2.026</v>
      </c>
      <c r="H65" t="n">
        <v>2.504</v>
      </c>
      <c r="J65" t="n">
        <v>2.395</v>
      </c>
      <c r="K65" t="n">
        <v>2.635</v>
      </c>
      <c r="L65" t="n">
        <v>18.9</v>
      </c>
      <c r="N65">
        <f>IF(OR(E65="",C65=""),"",E65-C65/42)</f>
        <v/>
      </c>
      <c r="O65">
        <f>IF(OR(E65="",D65=""),"",E65-D65/42)</f>
        <v/>
      </c>
      <c r="P65">
        <f>IF(L65="",M65/100,H65*L65/100)</f>
        <v/>
      </c>
      <c r="Q65">
        <f>H65-C65/42-P65</f>
        <v/>
      </c>
      <c r="R65">
        <f>H65-E65</f>
        <v/>
      </c>
    </row>
    <row r="66">
      <c r="A66" s="3" t="n">
        <v>38803</v>
      </c>
      <c r="B66" s="3" t="n">
        <v>38800</v>
      </c>
      <c r="C66" t="n">
        <v>61.36</v>
      </c>
      <c r="D66" t="n">
        <v>61.61</v>
      </c>
      <c r="E66" t="n">
        <v>1.815</v>
      </c>
      <c r="F66" t="n">
        <v>1.783</v>
      </c>
      <c r="G66" t="n">
        <v>1.989</v>
      </c>
      <c r="H66" t="n">
        <v>2.498</v>
      </c>
      <c r="J66" t="n">
        <v>2.395</v>
      </c>
      <c r="K66" t="n">
        <v>2.669</v>
      </c>
      <c r="L66" t="n">
        <v>18.9</v>
      </c>
      <c r="N66">
        <f>IF(OR(E66="",C66=""),"",E66-C66/42)</f>
        <v/>
      </c>
      <c r="O66">
        <f>IF(OR(E66="",D66=""),"",E66-D66/42)</f>
        <v/>
      </c>
      <c r="P66">
        <f>IF(L66="",M66/100,H66*L66/100)</f>
        <v/>
      </c>
      <c r="Q66">
        <f>H66-C66/42-P66</f>
        <v/>
      </c>
      <c r="R66">
        <f>H66-E66</f>
        <v/>
      </c>
    </row>
    <row r="67">
      <c r="A67" s="3" t="n">
        <v>38810</v>
      </c>
      <c r="B67" s="3" t="n">
        <v>38807</v>
      </c>
      <c r="C67" t="n">
        <v>65.67</v>
      </c>
      <c r="D67" t="n">
        <v>64.76000000000001</v>
      </c>
      <c r="E67" t="n">
        <v>1.959</v>
      </c>
      <c r="F67" t="n">
        <v>1.908</v>
      </c>
      <c r="G67" t="n">
        <v>2.182</v>
      </c>
      <c r="H67" t="n">
        <v>2.588</v>
      </c>
      <c r="J67" t="n">
        <v>2.421</v>
      </c>
      <c r="K67" t="n">
        <v>2.743</v>
      </c>
      <c r="L67" t="n">
        <v>16.7</v>
      </c>
      <c r="N67">
        <f>IF(OR(E67="",C67=""),"",E67-C67/42)</f>
        <v/>
      </c>
      <c r="O67">
        <f>IF(OR(E67="",D67=""),"",E67-D67/42)</f>
        <v/>
      </c>
      <c r="P67">
        <f>IF(L67="",M67/100,H67*L67/100)</f>
        <v/>
      </c>
      <c r="Q67">
        <f>H67-C67/42-P67</f>
        <v/>
      </c>
      <c r="R67">
        <f>H67-E67</f>
        <v/>
      </c>
    </row>
    <row r="68">
      <c r="A68" s="3" t="n">
        <v>38817</v>
      </c>
      <c r="B68" s="3" t="n">
        <v>38814</v>
      </c>
      <c r="C68" t="n">
        <v>66.56</v>
      </c>
      <c r="D68" t="n">
        <v>66.93000000000001</v>
      </c>
      <c r="E68" t="n">
        <v>2.082</v>
      </c>
      <c r="F68" t="n">
        <v>2.002</v>
      </c>
      <c r="G68" t="n">
        <v>2.214</v>
      </c>
      <c r="H68" t="n">
        <v>2.683</v>
      </c>
      <c r="J68" t="n">
        <v>2.484</v>
      </c>
      <c r="K68" t="n">
        <v>2.811</v>
      </c>
      <c r="L68" t="n">
        <v>16.7</v>
      </c>
      <c r="N68">
        <f>IF(OR(E68="",C68=""),"",E68-C68/42)</f>
        <v/>
      </c>
      <c r="O68">
        <f>IF(OR(E68="",D68=""),"",E68-D68/42)</f>
        <v/>
      </c>
      <c r="P68">
        <f>IF(L68="",M68/100,H68*L68/100)</f>
        <v/>
      </c>
      <c r="Q68">
        <f>H68-C68/42-P68</f>
        <v/>
      </c>
      <c r="R68">
        <f>H68-E68</f>
        <v/>
      </c>
    </row>
    <row r="69">
      <c r="A69" s="3" t="n">
        <v>38824</v>
      </c>
      <c r="B69" s="3" t="n">
        <v>38821</v>
      </c>
      <c r="C69" t="n">
        <v>68.84999999999999</v>
      </c>
      <c r="D69" t="n">
        <v>68.91</v>
      </c>
      <c r="E69" t="n">
        <v>2.17</v>
      </c>
      <c r="F69" t="n">
        <v>2.126</v>
      </c>
      <c r="G69" t="n">
        <v>2.368</v>
      </c>
      <c r="H69" t="n">
        <v>2.783</v>
      </c>
      <c r="J69" t="n">
        <v>2.565</v>
      </c>
      <c r="K69" t="n">
        <v>2.896</v>
      </c>
      <c r="L69" t="n">
        <v>16.7</v>
      </c>
      <c r="N69">
        <f>IF(OR(E69="",C69=""),"",E69-C69/42)</f>
        <v/>
      </c>
      <c r="O69">
        <f>IF(OR(E69="",D69=""),"",E69-D69/42)</f>
        <v/>
      </c>
      <c r="P69">
        <f>IF(L69="",M69/100,H69*L69/100)</f>
        <v/>
      </c>
      <c r="Q69">
        <f>H69-C69/42-P69</f>
        <v/>
      </c>
      <c r="R69">
        <f>H69-E69</f>
        <v/>
      </c>
    </row>
    <row r="70">
      <c r="A70" s="3" t="n">
        <v>38831</v>
      </c>
      <c r="B70" s="3" t="n">
        <v>38828</v>
      </c>
      <c r="C70" t="n">
        <v>71.87</v>
      </c>
      <c r="D70" t="n">
        <v>72.54000000000001</v>
      </c>
      <c r="E70" t="n">
        <v>2.256</v>
      </c>
      <c r="F70" t="n">
        <v>2.301</v>
      </c>
      <c r="G70" t="n">
        <v>2.605</v>
      </c>
      <c r="H70" t="n">
        <v>2.914</v>
      </c>
      <c r="J70" t="n">
        <v>2.71</v>
      </c>
      <c r="K70" t="n">
        <v>3.068</v>
      </c>
      <c r="L70" t="n">
        <v>16.7</v>
      </c>
      <c r="N70">
        <f>IF(OR(E70="",C70=""),"",E70-C70/42)</f>
        <v/>
      </c>
      <c r="O70">
        <f>IF(OR(E70="",D70=""),"",E70-D70/42)</f>
        <v/>
      </c>
      <c r="P70">
        <f>IF(L70="",M70/100,H70*L70/100)</f>
        <v/>
      </c>
      <c r="Q70">
        <f>H70-C70/42-P70</f>
        <v/>
      </c>
      <c r="R70">
        <f>H70-E70</f>
        <v/>
      </c>
    </row>
    <row r="71">
      <c r="A71" s="3" t="n">
        <v>38838</v>
      </c>
      <c r="B71" s="3" t="n">
        <v>38835</v>
      </c>
      <c r="C71" t="n">
        <v>70.38</v>
      </c>
      <c r="D71" t="n">
        <v>72.84</v>
      </c>
      <c r="E71" t="n">
        <v>2.136</v>
      </c>
      <c r="F71" t="n">
        <v>2.109</v>
      </c>
      <c r="G71" t="n">
        <v>2.589</v>
      </c>
      <c r="H71" t="n">
        <v>2.919</v>
      </c>
      <c r="J71" t="n">
        <v>2.788</v>
      </c>
      <c r="K71" t="n">
        <v>3.202</v>
      </c>
      <c r="L71" t="n">
        <v>15.8</v>
      </c>
      <c r="N71">
        <f>IF(OR(E71="",C71=""),"",E71-C71/42)</f>
        <v/>
      </c>
      <c r="O71">
        <f>IF(OR(E71="",D71=""),"",E71-D71/42)</f>
        <v/>
      </c>
      <c r="P71">
        <f>IF(L71="",M71/100,H71*L71/100)</f>
        <v/>
      </c>
      <c r="Q71">
        <f>H71-C71/42-P71</f>
        <v/>
      </c>
      <c r="R71">
        <f>H71-E71</f>
        <v/>
      </c>
    </row>
    <row r="72">
      <c r="A72" s="3" t="n">
        <v>38845</v>
      </c>
      <c r="B72" s="3" t="n">
        <v>38842</v>
      </c>
      <c r="C72" t="n">
        <v>72.14</v>
      </c>
      <c r="D72" t="n">
        <v>72.92</v>
      </c>
      <c r="E72" t="n">
        <v>2.073</v>
      </c>
      <c r="G72" t="n">
        <v>2.796</v>
      </c>
      <c r="H72" t="n">
        <v>2.909</v>
      </c>
      <c r="J72" t="n">
        <v>2.821</v>
      </c>
      <c r="K72" t="n">
        <v>3.332</v>
      </c>
      <c r="L72" t="n">
        <v>15.8</v>
      </c>
      <c r="N72">
        <f>IF(OR(E72="",C72=""),"",E72-C72/42)</f>
        <v/>
      </c>
      <c r="O72">
        <f>IF(OR(E72="",D72=""),"",E72-D72/42)</f>
        <v/>
      </c>
      <c r="P72">
        <f>IF(L72="",M72/100,H72*L72/100)</f>
        <v/>
      </c>
      <c r="Q72">
        <f>H72-C72/42-P72</f>
        <v/>
      </c>
      <c r="R72">
        <f>H72-E72</f>
        <v/>
      </c>
    </row>
    <row r="73">
      <c r="A73" s="3" t="n">
        <v>38852</v>
      </c>
      <c r="B73" s="3" t="n">
        <v>38849</v>
      </c>
      <c r="C73" t="n">
        <v>71.5</v>
      </c>
      <c r="D73" t="n">
        <v>70.44</v>
      </c>
      <c r="E73" t="n">
        <v>2.109</v>
      </c>
      <c r="F73" t="n">
        <v>2.091</v>
      </c>
      <c r="G73" t="n">
        <v>2.64</v>
      </c>
      <c r="H73" t="n">
        <v>2.947</v>
      </c>
      <c r="J73" t="n">
        <v>2.838</v>
      </c>
      <c r="K73" t="n">
        <v>3.33</v>
      </c>
      <c r="L73" t="n">
        <v>15.8</v>
      </c>
      <c r="N73">
        <f>IF(OR(E73="",C73=""),"",E73-C73/42)</f>
        <v/>
      </c>
      <c r="O73">
        <f>IF(OR(E73="",D73=""),"",E73-D73/42)</f>
        <v/>
      </c>
      <c r="P73">
        <f>IF(L73="",M73/100,H73*L73/100)</f>
        <v/>
      </c>
      <c r="Q73">
        <f>H73-C73/42-P73</f>
        <v/>
      </c>
      <c r="R73">
        <f>H73-E73</f>
        <v/>
      </c>
    </row>
    <row r="74">
      <c r="A74" s="3" t="n">
        <v>38859</v>
      </c>
      <c r="B74" s="3" t="n">
        <v>38856</v>
      </c>
      <c r="C74" t="n">
        <v>69.06999999999999</v>
      </c>
      <c r="D74" t="n">
        <v>67.84</v>
      </c>
      <c r="E74" t="n">
        <v>1.976</v>
      </c>
      <c r="F74" t="n">
        <v>1.962</v>
      </c>
      <c r="G74" t="n">
        <v>2.416</v>
      </c>
      <c r="H74" t="n">
        <v>2.892</v>
      </c>
      <c r="J74" t="n">
        <v>2.832</v>
      </c>
      <c r="K74" t="n">
        <v>3.323</v>
      </c>
      <c r="L74" t="n">
        <v>15.8</v>
      </c>
      <c r="N74">
        <f>IF(OR(E74="",C74=""),"",E74-C74/42)</f>
        <v/>
      </c>
      <c r="O74">
        <f>IF(OR(E74="",D74=""),"",E74-D74/42)</f>
        <v/>
      </c>
      <c r="P74">
        <f>IF(L74="",M74/100,H74*L74/100)</f>
        <v/>
      </c>
      <c r="Q74">
        <f>H74-C74/42-P74</f>
        <v/>
      </c>
      <c r="R74">
        <f>H74-E74</f>
        <v/>
      </c>
    </row>
    <row r="75">
      <c r="A75" s="3" t="n">
        <v>38866</v>
      </c>
      <c r="B75" s="3" t="n">
        <v>38863</v>
      </c>
      <c r="C75" t="n">
        <v>70.34999999999999</v>
      </c>
      <c r="D75" t="n">
        <v>68.47</v>
      </c>
      <c r="F75" t="n">
        <v>1.997</v>
      </c>
      <c r="G75" t="n">
        <v>2.394</v>
      </c>
      <c r="H75" t="n">
        <v>2.867</v>
      </c>
      <c r="J75" t="n">
        <v>2.83</v>
      </c>
      <c r="K75" t="n">
        <v>3.266</v>
      </c>
      <c r="L75" t="n">
        <v>15.8</v>
      </c>
      <c r="N75">
        <f>IF(OR(E75="",C75=""),"",E75-C75/42)</f>
        <v/>
      </c>
      <c r="O75">
        <f>IF(OR(E75="",D75=""),"",E75-D75/42)</f>
        <v/>
      </c>
      <c r="P75">
        <f>IF(L75="",M75/100,H75*L75/100)</f>
        <v/>
      </c>
      <c r="Q75">
        <f>H75-C75/42-P75</f>
        <v/>
      </c>
      <c r="R75">
        <f>H75-E75</f>
        <v/>
      </c>
    </row>
    <row r="76">
      <c r="A76" s="3" t="n">
        <v>38873</v>
      </c>
      <c r="B76" s="3" t="n">
        <v>38870</v>
      </c>
      <c r="C76" t="n">
        <v>71.53</v>
      </c>
      <c r="D76" t="n">
        <v>68.75</v>
      </c>
      <c r="E76" t="n">
        <v>2.112</v>
      </c>
      <c r="F76" t="n">
        <v>2.087</v>
      </c>
      <c r="G76" t="n">
        <v>2.463</v>
      </c>
      <c r="H76" t="n">
        <v>2.892</v>
      </c>
      <c r="J76" t="n">
        <v>2.825</v>
      </c>
      <c r="K76" t="n">
        <v>3.269</v>
      </c>
      <c r="L76" t="n">
        <v>15.9</v>
      </c>
      <c r="N76">
        <f>IF(OR(E76="",C76=""),"",E76-C76/42)</f>
        <v/>
      </c>
      <c r="O76">
        <f>IF(OR(E76="",D76=""),"",E76-D76/42)</f>
        <v/>
      </c>
      <c r="P76">
        <f>IF(L76="",M76/100,H76*L76/100)</f>
        <v/>
      </c>
      <c r="Q76">
        <f>H76-C76/42-P76</f>
        <v/>
      </c>
      <c r="R76">
        <f>H76-E76</f>
        <v/>
      </c>
    </row>
    <row r="77">
      <c r="A77" s="3" t="n">
        <v>38880</v>
      </c>
      <c r="B77" s="3" t="n">
        <v>38877</v>
      </c>
      <c r="C77" t="n">
        <v>71.54000000000001</v>
      </c>
      <c r="D77" t="n">
        <v>67.89</v>
      </c>
      <c r="E77" t="n">
        <v>2.14</v>
      </c>
      <c r="F77" t="n">
        <v>2.098</v>
      </c>
      <c r="G77" t="n">
        <v>2.376</v>
      </c>
      <c r="H77" t="n">
        <v>2.906</v>
      </c>
      <c r="J77" t="n">
        <v>2.85</v>
      </c>
      <c r="K77" t="n">
        <v>3.225</v>
      </c>
      <c r="L77" t="n">
        <v>15.9</v>
      </c>
      <c r="N77">
        <f>IF(OR(E77="",C77=""),"",E77-C77/42)</f>
        <v/>
      </c>
      <c r="O77">
        <f>IF(OR(E77="",D77=""),"",E77-D77/42)</f>
        <v/>
      </c>
      <c r="P77">
        <f>IF(L77="",M77/100,H77*L77/100)</f>
        <v/>
      </c>
      <c r="Q77">
        <f>H77-C77/42-P77</f>
        <v/>
      </c>
      <c r="R77">
        <f>H77-E77</f>
        <v/>
      </c>
    </row>
    <row r="78">
      <c r="A78" s="3" t="n">
        <v>38887</v>
      </c>
      <c r="B78" s="3" t="n">
        <v>38884</v>
      </c>
      <c r="C78" t="n">
        <v>69.48</v>
      </c>
      <c r="D78" t="n">
        <v>66.17</v>
      </c>
      <c r="E78" t="n">
        <v>2.046</v>
      </c>
      <c r="F78" t="n">
        <v>1.984</v>
      </c>
      <c r="G78" t="n">
        <v>2.316</v>
      </c>
      <c r="H78" t="n">
        <v>2.871</v>
      </c>
      <c r="J78" t="n">
        <v>2.843</v>
      </c>
      <c r="K78" t="n">
        <v>3.198</v>
      </c>
      <c r="L78" t="n">
        <v>15.9</v>
      </c>
      <c r="N78">
        <f>IF(OR(E78="",C78=""),"",E78-C78/42)</f>
        <v/>
      </c>
      <c r="O78">
        <f>IF(OR(E78="",D78=""),"",E78-D78/42)</f>
        <v/>
      </c>
      <c r="P78">
        <f>IF(L78="",M78/100,H78*L78/100)</f>
        <v/>
      </c>
      <c r="Q78">
        <f>H78-C78/42-P78</f>
        <v/>
      </c>
      <c r="R78">
        <f>H78-E78</f>
        <v/>
      </c>
    </row>
    <row r="79">
      <c r="A79" s="3" t="n">
        <v>38894</v>
      </c>
      <c r="B79" s="3" t="n">
        <v>38891</v>
      </c>
      <c r="C79" t="n">
        <v>69.94</v>
      </c>
      <c r="D79" t="n">
        <v>68.33</v>
      </c>
      <c r="E79" t="n">
        <v>2.07</v>
      </c>
      <c r="F79" t="n">
        <v>2.003</v>
      </c>
      <c r="G79" t="n">
        <v>2.359</v>
      </c>
      <c r="H79" t="n">
        <v>2.869</v>
      </c>
      <c r="J79" t="n">
        <v>2.831</v>
      </c>
      <c r="K79" t="n">
        <v>3.163</v>
      </c>
      <c r="L79" t="n">
        <v>15.9</v>
      </c>
      <c r="N79">
        <f>IF(OR(E79="",C79=""),"",E79-C79/42)</f>
        <v/>
      </c>
      <c r="O79">
        <f>IF(OR(E79="",D79=""),"",E79-D79/42)</f>
        <v/>
      </c>
      <c r="P79">
        <f>IF(L79="",M79/100,H79*L79/100)</f>
        <v/>
      </c>
      <c r="Q79">
        <f>H79-C79/42-P79</f>
        <v/>
      </c>
      <c r="R79">
        <f>H79-E79</f>
        <v/>
      </c>
    </row>
    <row r="80">
      <c r="A80" s="3" t="n">
        <v>38901</v>
      </c>
      <c r="B80" s="3" t="n">
        <v>38898</v>
      </c>
      <c r="C80" t="n">
        <v>72.65000000000001</v>
      </c>
      <c r="D80" t="n">
        <v>71.81999999999999</v>
      </c>
      <c r="E80" t="n">
        <v>2.22</v>
      </c>
      <c r="F80" t="n">
        <v>2.154</v>
      </c>
      <c r="G80" t="n">
        <v>2.518</v>
      </c>
      <c r="H80" t="n">
        <v>2.934</v>
      </c>
      <c r="J80" t="n">
        <v>2.877</v>
      </c>
      <c r="K80" t="n">
        <v>3.189</v>
      </c>
      <c r="L80" t="n">
        <v>15.4</v>
      </c>
      <c r="N80">
        <f>IF(OR(E80="",C80=""),"",E80-C80/42)</f>
        <v/>
      </c>
      <c r="O80">
        <f>IF(OR(E80="",D80=""),"",E80-D80/42)</f>
        <v/>
      </c>
      <c r="P80">
        <f>IF(L80="",M80/100,H80*L80/100)</f>
        <v/>
      </c>
      <c r="Q80">
        <f>H80-C80/42-P80</f>
        <v/>
      </c>
      <c r="R80">
        <f>H80-E80</f>
        <v/>
      </c>
    </row>
    <row r="81">
      <c r="A81" s="3" t="n">
        <v>38908</v>
      </c>
      <c r="B81" s="3" t="n">
        <v>38905</v>
      </c>
      <c r="C81" t="n">
        <v>74.65000000000001</v>
      </c>
      <c r="D81" t="n">
        <v>73.45</v>
      </c>
      <c r="E81" t="n">
        <v>2.234</v>
      </c>
      <c r="F81" t="n">
        <v>2.216</v>
      </c>
      <c r="G81" t="n">
        <v>2.577</v>
      </c>
      <c r="H81" t="n">
        <v>2.973</v>
      </c>
      <c r="J81" t="n">
        <v>2.887</v>
      </c>
      <c r="K81" t="n">
        <v>3.224</v>
      </c>
      <c r="L81" t="n">
        <v>15.4</v>
      </c>
      <c r="N81">
        <f>IF(OR(E81="",C81=""),"",E81-C81/42)</f>
        <v/>
      </c>
      <c r="O81">
        <f>IF(OR(E81="",D81=""),"",E81-D81/42)</f>
        <v/>
      </c>
      <c r="P81">
        <f>IF(L81="",M81/100,H81*L81/100)</f>
        <v/>
      </c>
      <c r="Q81">
        <f>H81-C81/42-P81</f>
        <v/>
      </c>
      <c r="R81">
        <f>H81-E81</f>
        <v/>
      </c>
    </row>
    <row r="82">
      <c r="A82" s="3" t="n">
        <v>38915</v>
      </c>
      <c r="B82" s="3" t="n">
        <v>38912</v>
      </c>
      <c r="C82" t="n">
        <v>75.20999999999999</v>
      </c>
      <c r="D82" t="n">
        <v>73.98999999999999</v>
      </c>
      <c r="E82" t="n">
        <v>2.239</v>
      </c>
      <c r="F82" t="n">
        <v>2.205</v>
      </c>
      <c r="G82" t="n">
        <v>2.505</v>
      </c>
      <c r="H82" t="n">
        <v>2.989</v>
      </c>
      <c r="J82" t="n">
        <v>2.89</v>
      </c>
      <c r="K82" t="n">
        <v>3.24</v>
      </c>
      <c r="L82" t="n">
        <v>15.4</v>
      </c>
      <c r="N82">
        <f>IF(OR(E82="",C82=""),"",E82-C82/42)</f>
        <v/>
      </c>
      <c r="O82">
        <f>IF(OR(E82="",D82=""),"",E82-D82/42)</f>
        <v/>
      </c>
      <c r="P82">
        <f>IF(L82="",M82/100,H82*L82/100)</f>
        <v/>
      </c>
      <c r="Q82">
        <f>H82-C82/42-P82</f>
        <v/>
      </c>
      <c r="R82">
        <f>H82-E82</f>
        <v/>
      </c>
    </row>
    <row r="83">
      <c r="A83" s="3" t="n">
        <v>38922</v>
      </c>
      <c r="B83" s="3" t="n">
        <v>38919</v>
      </c>
      <c r="C83" t="n">
        <v>73.98</v>
      </c>
      <c r="D83" t="n">
        <v>73.52</v>
      </c>
      <c r="E83" t="n">
        <v>2.301</v>
      </c>
      <c r="F83" t="n">
        <v>2.232</v>
      </c>
      <c r="G83" t="n">
        <v>2.478</v>
      </c>
      <c r="H83" t="n">
        <v>3.003</v>
      </c>
      <c r="J83" t="n">
        <v>2.907</v>
      </c>
      <c r="K83" t="n">
        <v>3.22</v>
      </c>
      <c r="L83" t="n">
        <v>15.4</v>
      </c>
      <c r="N83">
        <f>IF(OR(E83="",C83=""),"",E83-C83/42)</f>
        <v/>
      </c>
      <c r="O83">
        <f>IF(OR(E83="",D83=""),"",E83-D83/42)</f>
        <v/>
      </c>
      <c r="P83">
        <f>IF(L83="",M83/100,H83*L83/100)</f>
        <v/>
      </c>
      <c r="Q83">
        <f>H83-C83/42-P83</f>
        <v/>
      </c>
      <c r="R83">
        <f>H83-E83</f>
        <v/>
      </c>
    </row>
    <row r="84">
      <c r="A84" s="3" t="n">
        <v>38929</v>
      </c>
      <c r="B84" s="3" t="n">
        <v>38926</v>
      </c>
      <c r="C84" t="n">
        <v>73.87</v>
      </c>
      <c r="D84" t="n">
        <v>73.53</v>
      </c>
      <c r="E84" t="n">
        <v>2.295</v>
      </c>
      <c r="F84" t="n">
        <v>2.277</v>
      </c>
      <c r="G84" t="n">
        <v>2.431</v>
      </c>
      <c r="H84" t="n">
        <v>3.004</v>
      </c>
      <c r="J84" t="n">
        <v>2.939</v>
      </c>
      <c r="K84" t="n">
        <v>3.198</v>
      </c>
      <c r="L84" t="n">
        <v>15.4</v>
      </c>
      <c r="N84">
        <f>IF(OR(E84="",C84=""),"",E84-C84/42)</f>
        <v/>
      </c>
      <c r="O84">
        <f>IF(OR(E84="",D84=""),"",E84-D84/42)</f>
        <v/>
      </c>
      <c r="P84">
        <f>IF(L84="",M84/100,H84*L84/100)</f>
        <v/>
      </c>
      <c r="Q84">
        <f>H84-C84/42-P84</f>
        <v/>
      </c>
      <c r="R84">
        <f>H84-E84</f>
        <v/>
      </c>
    </row>
    <row r="85">
      <c r="A85" s="3" t="n">
        <v>38936</v>
      </c>
      <c r="B85" s="3" t="n">
        <v>38933</v>
      </c>
      <c r="C85" t="n">
        <v>75.2</v>
      </c>
      <c r="D85" t="n">
        <v>76.31999999999999</v>
      </c>
      <c r="E85" t="n">
        <v>2.303</v>
      </c>
      <c r="F85" t="n">
        <v>2.359</v>
      </c>
      <c r="G85" t="n">
        <v>2.377</v>
      </c>
      <c r="H85" t="n">
        <v>3.038</v>
      </c>
      <c r="J85" t="n">
        <v>2.996</v>
      </c>
      <c r="K85" t="n">
        <v>3.192</v>
      </c>
      <c r="L85" t="n">
        <v>15.9</v>
      </c>
      <c r="N85">
        <f>IF(OR(E85="",C85=""),"",E85-C85/42)</f>
        <v/>
      </c>
      <c r="O85">
        <f>IF(OR(E85="",D85=""),"",E85-D85/42)</f>
        <v/>
      </c>
      <c r="P85">
        <f>IF(L85="",M85/100,H85*L85/100)</f>
        <v/>
      </c>
      <c r="Q85">
        <f>H85-C85/42-P85</f>
        <v/>
      </c>
      <c r="R85">
        <f>H85-E85</f>
        <v/>
      </c>
    </row>
    <row r="86">
      <c r="A86" s="3" t="n">
        <v>38943</v>
      </c>
      <c r="B86" s="3" t="n">
        <v>38940</v>
      </c>
      <c r="C86" t="n">
        <v>75.63</v>
      </c>
      <c r="D86" t="n">
        <v>76.98</v>
      </c>
      <c r="E86" t="n">
        <v>2.095</v>
      </c>
      <c r="F86" t="n">
        <v>2.156</v>
      </c>
      <c r="G86" t="n">
        <v>2.276</v>
      </c>
      <c r="H86" t="n">
        <v>3</v>
      </c>
      <c r="J86" t="n">
        <v>3.022</v>
      </c>
      <c r="K86" t="n">
        <v>3.211</v>
      </c>
      <c r="L86" t="n">
        <v>15.9</v>
      </c>
      <c r="N86">
        <f>IF(OR(E86="",C86=""),"",E86-C86/42)</f>
        <v/>
      </c>
      <c r="O86">
        <f>IF(OR(E86="",D86=""),"",E86-D86/42)</f>
        <v/>
      </c>
      <c r="P86">
        <f>IF(L86="",M86/100,H86*L86/100)</f>
        <v/>
      </c>
      <c r="Q86">
        <f>H86-C86/42-P86</f>
        <v/>
      </c>
      <c r="R86">
        <f>H86-E86</f>
        <v/>
      </c>
    </row>
    <row r="87">
      <c r="A87" s="3" t="n">
        <v>38950</v>
      </c>
      <c r="B87" s="3" t="n">
        <v>38947</v>
      </c>
      <c r="C87" t="n">
        <v>71.79000000000001</v>
      </c>
      <c r="D87" t="n">
        <v>72.34999999999999</v>
      </c>
      <c r="E87" t="n">
        <v>1.967</v>
      </c>
      <c r="F87" t="n">
        <v>1.99</v>
      </c>
      <c r="G87" t="n">
        <v>2.156</v>
      </c>
      <c r="H87" t="n">
        <v>2.924</v>
      </c>
      <c r="J87" t="n">
        <v>3.01</v>
      </c>
      <c r="K87" t="n">
        <v>3.162</v>
      </c>
      <c r="L87" t="n">
        <v>15.9</v>
      </c>
      <c r="N87">
        <f>IF(OR(E87="",C87=""),"",E87-C87/42)</f>
        <v/>
      </c>
      <c r="O87">
        <f>IF(OR(E87="",D87=""),"",E87-D87/42)</f>
        <v/>
      </c>
      <c r="P87">
        <f>IF(L87="",M87/100,H87*L87/100)</f>
        <v/>
      </c>
      <c r="Q87">
        <f>H87-C87/42-P87</f>
        <v/>
      </c>
      <c r="R87">
        <f>H87-E87</f>
        <v/>
      </c>
    </row>
    <row r="88">
      <c r="A88" s="3" t="n">
        <v>38957</v>
      </c>
      <c r="B88" s="3" t="n">
        <v>38954</v>
      </c>
      <c r="C88" t="n">
        <v>72.12</v>
      </c>
      <c r="D88" t="n">
        <v>71.92</v>
      </c>
      <c r="E88" t="n">
        <v>1.873</v>
      </c>
      <c r="F88" t="n">
        <v>1.888</v>
      </c>
      <c r="G88" t="n">
        <v>2.134</v>
      </c>
      <c r="H88" t="n">
        <v>2.845</v>
      </c>
      <c r="J88" t="n">
        <v>2.989</v>
      </c>
      <c r="K88" t="n">
        <v>3.098</v>
      </c>
      <c r="L88" t="n">
        <v>15.9</v>
      </c>
      <c r="N88">
        <f>IF(OR(E88="",C88=""),"",E88-C88/42)</f>
        <v/>
      </c>
      <c r="O88">
        <f>IF(OR(E88="",D88=""),"",E88-D88/42)</f>
        <v/>
      </c>
      <c r="P88">
        <f>IF(L88="",M88/100,H88*L88/100)</f>
        <v/>
      </c>
      <c r="Q88">
        <f>H88-C88/42-P88</f>
        <v/>
      </c>
      <c r="R88">
        <f>H88-E88</f>
        <v/>
      </c>
    </row>
    <row r="89">
      <c r="A89" s="3" t="n">
        <v>38964</v>
      </c>
      <c r="B89" s="3" t="n">
        <v>38961</v>
      </c>
      <c r="C89" t="n">
        <v>70.01000000000001</v>
      </c>
      <c r="D89" t="n">
        <v>68.34999999999999</v>
      </c>
      <c r="E89" t="n">
        <v>1.768</v>
      </c>
      <c r="F89" t="n">
        <v>1.798</v>
      </c>
      <c r="G89" t="n">
        <v>2.025</v>
      </c>
      <c r="H89" t="n">
        <v>2.727</v>
      </c>
      <c r="J89" t="n">
        <v>2.944</v>
      </c>
      <c r="K89" t="n">
        <v>3.01</v>
      </c>
      <c r="L89" t="n">
        <v>18.3</v>
      </c>
      <c r="N89">
        <f>IF(OR(E89="",C89=""),"",E89-C89/42)</f>
        <v/>
      </c>
      <c r="O89">
        <f>IF(OR(E89="",D89=""),"",E89-D89/42)</f>
        <v/>
      </c>
      <c r="P89">
        <f>IF(L89="",M89/100,H89*L89/100)</f>
        <v/>
      </c>
      <c r="Q89">
        <f>H89-C89/42-P89</f>
        <v/>
      </c>
      <c r="R89">
        <f>H89-E89</f>
        <v/>
      </c>
    </row>
    <row r="90">
      <c r="A90" s="3" t="n">
        <v>38971</v>
      </c>
      <c r="B90" s="3" t="n">
        <v>38968</v>
      </c>
      <c r="C90" t="n">
        <v>67.53</v>
      </c>
      <c r="D90" t="n">
        <v>65.76000000000001</v>
      </c>
      <c r="E90" t="n">
        <v>1.626</v>
      </c>
      <c r="F90" t="n">
        <v>1.649</v>
      </c>
      <c r="G90" t="n">
        <v>1.874</v>
      </c>
      <c r="H90" t="n">
        <v>2.618</v>
      </c>
      <c r="J90" t="n">
        <v>2.884</v>
      </c>
      <c r="K90" t="n">
        <v>2.949</v>
      </c>
      <c r="L90" t="n">
        <v>18.3</v>
      </c>
      <c r="N90">
        <f>IF(OR(E90="",C90=""),"",E90-C90/42)</f>
        <v/>
      </c>
      <c r="O90">
        <f>IF(OR(E90="",D90=""),"",E90-D90/42)</f>
        <v/>
      </c>
      <c r="P90">
        <f>IF(L90="",M90/100,H90*L90/100)</f>
        <v/>
      </c>
      <c r="Q90">
        <f>H90-C90/42-P90</f>
        <v/>
      </c>
      <c r="R90">
        <f>H90-E90</f>
        <v/>
      </c>
    </row>
    <row r="91">
      <c r="A91" s="3" t="n">
        <v>38978</v>
      </c>
      <c r="B91" s="3" t="n">
        <v>38975</v>
      </c>
      <c r="D91" t="n">
        <v>61.38</v>
      </c>
      <c r="E91" t="n">
        <v>1.568</v>
      </c>
      <c r="F91" t="n">
        <v>1.606</v>
      </c>
      <c r="G91" t="n">
        <v>1.772</v>
      </c>
      <c r="H91" t="n">
        <v>2.497</v>
      </c>
      <c r="J91" t="n">
        <v>2.792</v>
      </c>
      <c r="K91" t="n">
        <v>2.848</v>
      </c>
      <c r="L91" t="n">
        <v>18.3</v>
      </c>
      <c r="N91">
        <f>IF(OR(E91="",C91=""),"",E91-C91/42)</f>
        <v/>
      </c>
      <c r="O91">
        <f>IF(OR(E91="",D91=""),"",E91-D91/42)</f>
        <v/>
      </c>
      <c r="P91">
        <f>IF(L91="",M91/100,H91*L91/100)</f>
        <v/>
      </c>
      <c r="Q91">
        <f>H91-C91/42-P91</f>
        <v/>
      </c>
      <c r="R91">
        <f>H91-E91</f>
        <v/>
      </c>
    </row>
    <row r="92">
      <c r="A92" s="3" t="n">
        <v>38985</v>
      </c>
      <c r="B92" s="3" t="n">
        <v>38982</v>
      </c>
      <c r="C92" t="n">
        <v>61.4</v>
      </c>
      <c r="D92" t="n">
        <v>60.23</v>
      </c>
      <c r="E92" t="n">
        <v>1.489</v>
      </c>
      <c r="G92" t="n">
        <v>1.744</v>
      </c>
      <c r="H92" t="n">
        <v>2.378</v>
      </c>
      <c r="J92" t="n">
        <v>2.691</v>
      </c>
      <c r="K92" t="n">
        <v>2.76</v>
      </c>
      <c r="L92" t="n">
        <v>18.3</v>
      </c>
      <c r="N92">
        <f>IF(OR(E92="",C92=""),"",E92-C92/42)</f>
        <v/>
      </c>
      <c r="O92">
        <f>IF(OR(E92="",D92=""),"",E92-D92/42)</f>
        <v/>
      </c>
      <c r="P92">
        <f>IF(L92="",M92/100,H92*L92/100)</f>
        <v/>
      </c>
      <c r="Q92">
        <f>H92-C92/42-P92</f>
        <v/>
      </c>
      <c r="R92">
        <f>H92-E92</f>
        <v/>
      </c>
    </row>
    <row r="93">
      <c r="A93" s="3" t="n">
        <v>38992</v>
      </c>
      <c r="B93" s="3" t="n">
        <v>38989</v>
      </c>
      <c r="C93" t="n">
        <v>61.94</v>
      </c>
      <c r="D93" t="n">
        <v>58.76</v>
      </c>
      <c r="F93" t="n">
        <v>1.524</v>
      </c>
      <c r="G93" t="n">
        <v>1.713</v>
      </c>
      <c r="H93" t="n">
        <v>2.31</v>
      </c>
      <c r="J93" t="n">
        <v>2.586</v>
      </c>
      <c r="K93" t="n">
        <v>2.683</v>
      </c>
      <c r="L93" t="n">
        <v>20.8</v>
      </c>
      <c r="N93">
        <f>IF(OR(E93="",C93=""),"",E93-C93/42)</f>
        <v/>
      </c>
      <c r="O93">
        <f>IF(OR(E93="",D93=""),"",E93-D93/42)</f>
        <v/>
      </c>
      <c r="P93">
        <f>IF(L93="",M93/100,H93*L93/100)</f>
        <v/>
      </c>
      <c r="Q93">
        <f>H93-C93/42-P93</f>
        <v/>
      </c>
      <c r="R93">
        <f>H93-E93</f>
        <v/>
      </c>
    </row>
    <row r="94">
      <c r="A94" s="3" t="n">
        <v>38999</v>
      </c>
      <c r="B94" s="3" t="n">
        <v>38996</v>
      </c>
      <c r="C94" t="n">
        <v>59.77</v>
      </c>
      <c r="D94" t="n">
        <v>57.15</v>
      </c>
      <c r="E94" t="n">
        <v>1.52</v>
      </c>
      <c r="F94" t="n">
        <v>1.515</v>
      </c>
      <c r="G94" t="n">
        <v>1.732</v>
      </c>
      <c r="H94" t="n">
        <v>2.261</v>
      </c>
      <c r="J94" t="n">
        <v>2.491</v>
      </c>
      <c r="K94" t="n">
        <v>2.601</v>
      </c>
      <c r="L94" t="n">
        <v>20.8</v>
      </c>
      <c r="N94">
        <f>IF(OR(E94="",C94=""),"",E94-C94/42)</f>
        <v/>
      </c>
      <c r="O94">
        <f>IF(OR(E94="",D94=""),"",E94-D94/42)</f>
        <v/>
      </c>
      <c r="P94">
        <f>IF(L94="",M94/100,H94*L94/100)</f>
        <v/>
      </c>
      <c r="Q94">
        <f>H94-C94/42-P94</f>
        <v/>
      </c>
      <c r="R94">
        <f>H94-E94</f>
        <v/>
      </c>
    </row>
    <row r="95">
      <c r="A95" s="3" t="n">
        <v>39006</v>
      </c>
      <c r="B95" s="3" t="n">
        <v>39003</v>
      </c>
      <c r="C95" t="n">
        <v>58.58</v>
      </c>
      <c r="D95" t="n">
        <v>58.33</v>
      </c>
      <c r="E95" t="n">
        <v>1.502</v>
      </c>
      <c r="F95" t="n">
        <v>1.486</v>
      </c>
      <c r="G95" t="n">
        <v>1.715</v>
      </c>
      <c r="H95" t="n">
        <v>2.226</v>
      </c>
      <c r="J95" t="n">
        <v>2.414</v>
      </c>
      <c r="K95" t="n">
        <v>2.54</v>
      </c>
      <c r="L95" t="n">
        <v>20.8</v>
      </c>
      <c r="N95">
        <f>IF(OR(E95="",C95=""),"",E95-C95/42)</f>
        <v/>
      </c>
      <c r="O95">
        <f>IF(OR(E95="",D95=""),"",E95-D95/42)</f>
        <v/>
      </c>
      <c r="P95">
        <f>IF(L95="",M95/100,H95*L95/100)</f>
        <v/>
      </c>
      <c r="Q95">
        <f>H95-C95/42-P95</f>
        <v/>
      </c>
      <c r="R95">
        <f>H95-E95</f>
        <v/>
      </c>
    </row>
    <row r="96">
      <c r="A96" s="3" t="n">
        <v>39013</v>
      </c>
      <c r="B96" s="3" t="n">
        <v>39010</v>
      </c>
      <c r="C96" t="n">
        <v>58.48</v>
      </c>
      <c r="D96" t="n">
        <v>58.51</v>
      </c>
      <c r="F96" t="n">
        <v>1.49</v>
      </c>
      <c r="G96" t="n">
        <v>1.684</v>
      </c>
      <c r="H96" t="n">
        <v>2.208</v>
      </c>
      <c r="J96" t="n">
        <v>2.352</v>
      </c>
      <c r="K96" t="n">
        <v>2.481</v>
      </c>
      <c r="L96" t="n">
        <v>20.8</v>
      </c>
      <c r="N96">
        <f>IF(OR(E96="",C96=""),"",E96-C96/42)</f>
        <v/>
      </c>
      <c r="O96">
        <f>IF(OR(E96="",D96=""),"",E96-D96/42)</f>
        <v/>
      </c>
      <c r="P96">
        <f>IF(L96="",M96/100,H96*L96/100)</f>
        <v/>
      </c>
      <c r="Q96">
        <f>H96-C96/42-P96</f>
        <v/>
      </c>
      <c r="R96">
        <f>H96-E96</f>
        <v/>
      </c>
    </row>
    <row r="97">
      <c r="A97" s="3" t="n">
        <v>39020</v>
      </c>
      <c r="B97" s="3" t="n">
        <v>39017</v>
      </c>
      <c r="C97" t="n">
        <v>58.88</v>
      </c>
      <c r="D97" t="n">
        <v>57.73</v>
      </c>
      <c r="E97" t="n">
        <v>1.531</v>
      </c>
      <c r="F97" t="n">
        <v>1.546</v>
      </c>
      <c r="G97" t="n">
        <v>1.644</v>
      </c>
      <c r="H97" t="n">
        <v>2.218</v>
      </c>
      <c r="J97" t="n">
        <v>2.31</v>
      </c>
      <c r="K97" t="n">
        <v>2.434</v>
      </c>
      <c r="L97" t="n">
        <v>20.8</v>
      </c>
      <c r="N97">
        <f>IF(OR(E97="",C97=""),"",E97-C97/42)</f>
        <v/>
      </c>
      <c r="O97">
        <f>IF(OR(E97="",D97=""),"",E97-D97/42)</f>
        <v/>
      </c>
      <c r="P97">
        <f>IF(L97="",M97/100,H97*L97/100)</f>
        <v/>
      </c>
      <c r="Q97">
        <f>H97-C97/42-P97</f>
        <v/>
      </c>
      <c r="R97">
        <f>H97-E97</f>
        <v/>
      </c>
    </row>
    <row r="98">
      <c r="A98" s="3" t="n">
        <v>39027</v>
      </c>
      <c r="B98" s="3" t="n">
        <v>39024</v>
      </c>
      <c r="C98" t="n">
        <v>58.55</v>
      </c>
      <c r="D98" t="n">
        <v>56.48</v>
      </c>
      <c r="E98" t="n">
        <v>1.488</v>
      </c>
      <c r="F98" t="n">
        <v>1.481</v>
      </c>
      <c r="G98" t="n">
        <v>1.675</v>
      </c>
      <c r="H98" t="n">
        <v>2.2</v>
      </c>
      <c r="J98" t="n">
        <v>2.274</v>
      </c>
      <c r="K98" t="n">
        <v>2.396</v>
      </c>
      <c r="L98" t="n">
        <v>20.4</v>
      </c>
      <c r="N98">
        <f>IF(OR(E98="",C98=""),"",E98-C98/42)</f>
        <v/>
      </c>
      <c r="O98">
        <f>IF(OR(E98="",D98=""),"",E98-D98/42)</f>
        <v/>
      </c>
      <c r="P98">
        <f>IF(L98="",M98/100,H98*L98/100)</f>
        <v/>
      </c>
      <c r="Q98">
        <f>H98-C98/42-P98</f>
        <v/>
      </c>
      <c r="R98">
        <f>H98-E98</f>
        <v/>
      </c>
    </row>
    <row r="99">
      <c r="A99" s="3" t="n">
        <v>39034</v>
      </c>
      <c r="B99" s="3" t="n">
        <v>39031</v>
      </c>
      <c r="C99" t="n">
        <v>59.96</v>
      </c>
      <c r="D99" t="n">
        <v>58.02</v>
      </c>
      <c r="E99" t="n">
        <v>1.575</v>
      </c>
      <c r="F99" t="n">
        <v>1.566</v>
      </c>
      <c r="G99" t="n">
        <v>1.866</v>
      </c>
      <c r="H99" t="n">
        <v>2.232</v>
      </c>
      <c r="J99" t="n">
        <v>2.254</v>
      </c>
      <c r="K99" t="n">
        <v>2.464</v>
      </c>
      <c r="L99" t="n">
        <v>20.4</v>
      </c>
      <c r="N99">
        <f>IF(OR(E99="",C99=""),"",E99-C99/42)</f>
        <v/>
      </c>
      <c r="O99">
        <f>IF(OR(E99="",D99=""),"",E99-D99/42)</f>
        <v/>
      </c>
      <c r="P99">
        <f>IF(L99="",M99/100,H99*L99/100)</f>
        <v/>
      </c>
      <c r="Q99">
        <f>H99-C99/42-P99</f>
        <v/>
      </c>
      <c r="R99">
        <f>H99-E99</f>
        <v/>
      </c>
    </row>
    <row r="100">
      <c r="A100" s="3" t="n">
        <v>39041</v>
      </c>
      <c r="B100" s="3" t="n">
        <v>39038</v>
      </c>
      <c r="C100" t="n">
        <v>57.56</v>
      </c>
      <c r="D100" t="n">
        <v>57.85</v>
      </c>
      <c r="E100" t="n">
        <v>1.536</v>
      </c>
      <c r="F100" t="n">
        <v>1.568</v>
      </c>
      <c r="G100" t="n">
        <v>1.77</v>
      </c>
      <c r="H100" t="n">
        <v>2.239</v>
      </c>
      <c r="J100" t="n">
        <v>2.241</v>
      </c>
      <c r="K100" t="n">
        <v>2.495</v>
      </c>
      <c r="L100" t="n">
        <v>20.4</v>
      </c>
      <c r="N100">
        <f>IF(OR(E100="",C100=""),"",E100-C100/42)</f>
        <v/>
      </c>
      <c r="O100">
        <f>IF(OR(E100="",D100=""),"",E100-D100/42)</f>
        <v/>
      </c>
      <c r="P100">
        <f>IF(L100="",M100/100,H100*L100/100)</f>
        <v/>
      </c>
      <c r="Q100">
        <f>H100-C100/42-P100</f>
        <v/>
      </c>
      <c r="R100">
        <f>H100-E100</f>
        <v/>
      </c>
    </row>
    <row r="101">
      <c r="A101" s="3" t="n">
        <v>39048</v>
      </c>
      <c r="B101" s="3" t="n">
        <v>39045</v>
      </c>
      <c r="C101" t="n">
        <v>57.24</v>
      </c>
      <c r="D101" t="n">
        <v>59.2</v>
      </c>
      <c r="E101" t="n">
        <v>1.564</v>
      </c>
      <c r="F101" t="n">
        <v>1.622</v>
      </c>
      <c r="G101" t="n">
        <v>1.813</v>
      </c>
      <c r="H101" t="n">
        <v>2.246</v>
      </c>
      <c r="J101" t="n">
        <v>2.235</v>
      </c>
      <c r="K101" t="n">
        <v>2.493</v>
      </c>
      <c r="L101" t="n">
        <v>20.4</v>
      </c>
      <c r="N101">
        <f>IF(OR(E101="",C101=""),"",E101-C101/42)</f>
        <v/>
      </c>
      <c r="O101">
        <f>IF(OR(E101="",D101=""),"",E101-D101/42)</f>
        <v/>
      </c>
      <c r="P101">
        <f>IF(L101="",M101/100,H101*L101/100)</f>
        <v/>
      </c>
      <c r="Q101">
        <f>H101-C101/42-P101</f>
        <v/>
      </c>
      <c r="R101">
        <f>H101-E101</f>
        <v/>
      </c>
    </row>
    <row r="102">
      <c r="A102" s="3" t="n">
        <v>39055</v>
      </c>
      <c r="B102" s="3" t="n">
        <v>39052</v>
      </c>
      <c r="C102" t="n">
        <v>62.02</v>
      </c>
      <c r="D102" t="n">
        <v>62.59</v>
      </c>
      <c r="E102" t="n">
        <v>1.633</v>
      </c>
      <c r="F102" t="n">
        <v>1.697</v>
      </c>
      <c r="G102" t="n">
        <v>1.802</v>
      </c>
      <c r="H102" t="n">
        <v>2.297</v>
      </c>
      <c r="J102" t="n">
        <v>2.248</v>
      </c>
      <c r="K102" t="n">
        <v>2.496</v>
      </c>
      <c r="L102" t="n">
        <v>19.7</v>
      </c>
      <c r="N102">
        <f>IF(OR(E102="",C102=""),"",E102-C102/42)</f>
        <v/>
      </c>
      <c r="O102">
        <f>IF(OR(E102="",D102=""),"",E102-D102/42)</f>
        <v/>
      </c>
      <c r="P102">
        <f>IF(L102="",M102/100,H102*L102/100)</f>
        <v/>
      </c>
      <c r="Q102">
        <f>H102-C102/42-P102</f>
        <v/>
      </c>
      <c r="R102">
        <f>H102-E102</f>
        <v/>
      </c>
    </row>
    <row r="103">
      <c r="A103" s="3" t="n">
        <v>39062</v>
      </c>
      <c r="B103" s="3" t="n">
        <v>39059</v>
      </c>
      <c r="C103" t="n">
        <v>62.32</v>
      </c>
      <c r="D103" t="n">
        <v>63.63</v>
      </c>
      <c r="E103" t="n">
        <v>1.587</v>
      </c>
      <c r="F103" t="n">
        <v>1.637</v>
      </c>
      <c r="G103" t="n">
        <v>1.774</v>
      </c>
      <c r="H103" t="n">
        <v>2.293</v>
      </c>
      <c r="J103" t="n">
        <v>2.248</v>
      </c>
      <c r="K103" t="n">
        <v>2.504</v>
      </c>
      <c r="L103" t="n">
        <v>19.7</v>
      </c>
      <c r="N103">
        <f>IF(OR(E103="",C103=""),"",E103-C103/42)</f>
        <v/>
      </c>
      <c r="O103">
        <f>IF(OR(E103="",D103=""),"",E103-D103/42)</f>
        <v/>
      </c>
      <c r="P103">
        <f>IF(L103="",M103/100,H103*L103/100)</f>
        <v/>
      </c>
      <c r="Q103">
        <f>H103-C103/42-P103</f>
        <v/>
      </c>
      <c r="R103">
        <f>H103-E103</f>
        <v/>
      </c>
    </row>
    <row r="104">
      <c r="A104" s="3" t="n">
        <v>39069</v>
      </c>
      <c r="B104" s="3" t="n">
        <v>39066</v>
      </c>
      <c r="C104" t="n">
        <v>61.91</v>
      </c>
      <c r="D104" t="n">
        <v>62.56</v>
      </c>
      <c r="E104" t="n">
        <v>1.601</v>
      </c>
      <c r="F104" t="n">
        <v>1.66</v>
      </c>
      <c r="G104" t="n">
        <v>1.808</v>
      </c>
      <c r="H104" t="n">
        <v>2.32</v>
      </c>
      <c r="J104" t="n">
        <v>2.242</v>
      </c>
      <c r="K104" t="n">
        <v>2.561</v>
      </c>
      <c r="L104" t="n">
        <v>19.7</v>
      </c>
      <c r="N104">
        <f>IF(OR(E104="",C104=""),"",E104-C104/42)</f>
        <v/>
      </c>
      <c r="O104">
        <f>IF(OR(E104="",D104=""),"",E104-D104/42)</f>
        <v/>
      </c>
      <c r="P104">
        <f>IF(L104="",M104/100,H104*L104/100)</f>
        <v/>
      </c>
      <c r="Q104">
        <f>H104-C104/42-P104</f>
        <v/>
      </c>
      <c r="R104">
        <f>H104-E104</f>
        <v/>
      </c>
    </row>
    <row r="105">
      <c r="A105" s="3" t="n">
        <v>39076</v>
      </c>
      <c r="B105" s="3" t="n">
        <v>39073</v>
      </c>
      <c r="C105" t="n">
        <v>62.4</v>
      </c>
      <c r="D105" t="n">
        <v>62.44</v>
      </c>
      <c r="E105" t="n">
        <v>1.627</v>
      </c>
      <c r="F105" t="n">
        <v>1.747</v>
      </c>
      <c r="G105" t="n">
        <v>1.82</v>
      </c>
      <c r="H105" t="n">
        <v>2.341</v>
      </c>
      <c r="J105" t="n">
        <v>2.249</v>
      </c>
      <c r="K105" t="n">
        <v>2.607</v>
      </c>
      <c r="L105" t="n">
        <v>19.7</v>
      </c>
      <c r="N105">
        <f>IF(OR(E105="",C105=""),"",E105-C105/42)</f>
        <v/>
      </c>
      <c r="O105">
        <f>IF(OR(E105="",D105=""),"",E105-D105/42)</f>
        <v/>
      </c>
      <c r="P105">
        <f>IF(L105="",M105/100,H105*L105/100)</f>
        <v/>
      </c>
      <c r="Q105">
        <f>H105-C105/42-P105</f>
        <v/>
      </c>
      <c r="R105">
        <f>H105-E105</f>
        <v/>
      </c>
    </row>
    <row r="106">
      <c r="A106" s="3" t="n">
        <v>39083</v>
      </c>
      <c r="B106" s="3" t="n">
        <v>39080</v>
      </c>
      <c r="C106" t="n">
        <v>60.66</v>
      </c>
      <c r="D106" t="n">
        <v>59.69</v>
      </c>
      <c r="E106" t="n">
        <v>1.548</v>
      </c>
      <c r="F106" t="n">
        <v>1.616</v>
      </c>
      <c r="G106" t="n">
        <v>1.814</v>
      </c>
      <c r="H106" t="n">
        <v>2.334</v>
      </c>
      <c r="J106" t="n">
        <v>2.246</v>
      </c>
      <c r="K106" t="n">
        <v>2.61</v>
      </c>
      <c r="L106" t="n">
        <v>20.3</v>
      </c>
      <c r="N106">
        <f>IF(OR(E106="",C106=""),"",E106-C106/42)</f>
        <v/>
      </c>
      <c r="O106">
        <f>IF(OR(E106="",D106=""),"",E106-D106/42)</f>
        <v/>
      </c>
      <c r="P106">
        <f>IF(L106="",M106/100,H106*L106/100)</f>
        <v/>
      </c>
      <c r="Q106">
        <f>H106-C106/42-P106</f>
        <v/>
      </c>
      <c r="R106">
        <f>H106-E106</f>
        <v/>
      </c>
    </row>
    <row r="107">
      <c r="A107" s="3" t="n">
        <v>39090</v>
      </c>
      <c r="B107" s="3" t="n">
        <v>39087</v>
      </c>
      <c r="C107" t="n">
        <v>57.76</v>
      </c>
      <c r="D107" t="n">
        <v>55.63</v>
      </c>
      <c r="E107" t="n">
        <v>1.482</v>
      </c>
      <c r="F107" t="n">
        <v>1.55</v>
      </c>
      <c r="G107" t="n">
        <v>1.785</v>
      </c>
      <c r="H107" t="n">
        <v>2.306</v>
      </c>
      <c r="J107" t="n">
        <v>2.234</v>
      </c>
      <c r="K107" t="n">
        <v>2.632</v>
      </c>
      <c r="L107" t="n">
        <v>20.3</v>
      </c>
      <c r="N107">
        <f>IF(OR(E107="",C107=""),"",E107-C107/42)</f>
        <v/>
      </c>
      <c r="O107">
        <f>IF(OR(E107="",D107=""),"",E107-D107/42)</f>
        <v/>
      </c>
      <c r="P107">
        <f>IF(L107="",M107/100,H107*L107/100)</f>
        <v/>
      </c>
      <c r="Q107">
        <f>H107-C107/42-P107</f>
        <v/>
      </c>
      <c r="R107">
        <f>H107-E107</f>
        <v/>
      </c>
    </row>
    <row r="108">
      <c r="A108" s="3" t="n">
        <v>39097</v>
      </c>
      <c r="B108" s="3" t="n">
        <v>39094</v>
      </c>
      <c r="C108" t="n">
        <v>54.11</v>
      </c>
      <c r="D108" t="n">
        <v>51.79</v>
      </c>
      <c r="E108" t="n">
        <v>1.387</v>
      </c>
      <c r="F108" t="n">
        <v>1.418</v>
      </c>
      <c r="G108" t="n">
        <v>1.678</v>
      </c>
      <c r="H108" t="n">
        <v>2.229</v>
      </c>
      <c r="J108" t="n">
        <v>2.199</v>
      </c>
      <c r="K108" t="n">
        <v>2.583</v>
      </c>
      <c r="L108" t="n">
        <v>20.3</v>
      </c>
      <c r="N108">
        <f>IF(OR(E108="",C108=""),"",E108-C108/42)</f>
        <v/>
      </c>
      <c r="O108">
        <f>IF(OR(E108="",D108=""),"",E108-D108/42)</f>
        <v/>
      </c>
      <c r="P108">
        <f>IF(L108="",M108/100,H108*L108/100)</f>
        <v/>
      </c>
      <c r="Q108">
        <f>H108-C108/42-P108</f>
        <v/>
      </c>
      <c r="R108">
        <f>H108-E108</f>
        <v/>
      </c>
    </row>
    <row r="109">
      <c r="A109" s="3" t="n">
        <v>39104</v>
      </c>
      <c r="B109" s="3" t="n">
        <v>39101</v>
      </c>
      <c r="C109" t="n">
        <v>51.51</v>
      </c>
      <c r="D109" t="n">
        <v>51.4</v>
      </c>
      <c r="E109" t="n">
        <v>1.327</v>
      </c>
      <c r="F109" t="n">
        <v>1.343</v>
      </c>
      <c r="G109" t="n">
        <v>1.558</v>
      </c>
      <c r="H109" t="n">
        <v>2.165</v>
      </c>
      <c r="J109" t="n">
        <v>2.158</v>
      </c>
      <c r="K109" t="n">
        <v>2.538</v>
      </c>
      <c r="L109" t="n">
        <v>20.3</v>
      </c>
      <c r="N109">
        <f>IF(OR(E109="",C109=""),"",E109-C109/42)</f>
        <v/>
      </c>
      <c r="O109">
        <f>IF(OR(E109="",D109=""),"",E109-D109/42)</f>
        <v/>
      </c>
      <c r="P109">
        <f>IF(L109="",M109/100,H109*L109/100)</f>
        <v/>
      </c>
      <c r="Q109">
        <f>H109-C109/42-P109</f>
        <v/>
      </c>
      <c r="R109">
        <f>H109-E109</f>
        <v/>
      </c>
    </row>
    <row r="110">
      <c r="A110" s="3" t="n">
        <v>39111</v>
      </c>
      <c r="B110" s="3" t="n">
        <v>39108</v>
      </c>
      <c r="C110" t="n">
        <v>53.57</v>
      </c>
      <c r="D110" t="n">
        <v>54.87</v>
      </c>
      <c r="E110" t="n">
        <v>1.41</v>
      </c>
      <c r="F110" t="n">
        <v>1.407</v>
      </c>
      <c r="G110" t="n">
        <v>1.631</v>
      </c>
      <c r="H110" t="n">
        <v>2.165</v>
      </c>
      <c r="J110" t="n">
        <v>2.12</v>
      </c>
      <c r="K110" t="n">
        <v>2.491</v>
      </c>
      <c r="L110" t="n">
        <v>20.3</v>
      </c>
      <c r="N110">
        <f>IF(OR(E110="",C110=""),"",E110-C110/42)</f>
        <v/>
      </c>
      <c r="O110">
        <f>IF(OR(E110="",D110=""),"",E110-D110/42)</f>
        <v/>
      </c>
      <c r="P110">
        <f>IF(L110="",M110/100,H110*L110/100)</f>
        <v/>
      </c>
      <c r="Q110">
        <f>H110-C110/42-P110</f>
        <v/>
      </c>
      <c r="R110">
        <f>H110-E110</f>
        <v/>
      </c>
    </row>
    <row r="111">
      <c r="A111" s="3" t="n">
        <v>39118</v>
      </c>
      <c r="B111" s="3" t="n">
        <v>39115</v>
      </c>
      <c r="C111" t="n">
        <v>57.11</v>
      </c>
      <c r="D111" t="n">
        <v>55.92</v>
      </c>
      <c r="E111" t="n">
        <v>1.475</v>
      </c>
      <c r="F111" t="n">
        <v>1.476</v>
      </c>
      <c r="G111" t="n">
        <v>1.817</v>
      </c>
      <c r="H111" t="n">
        <v>2.191</v>
      </c>
      <c r="J111" t="n">
        <v>2.123</v>
      </c>
      <c r="K111" t="n">
        <v>2.535</v>
      </c>
      <c r="L111" t="n">
        <v>20</v>
      </c>
      <c r="N111">
        <f>IF(OR(E111="",C111=""),"",E111-C111/42)</f>
        <v/>
      </c>
      <c r="O111">
        <f>IF(OR(E111="",D111=""),"",E111-D111/42)</f>
        <v/>
      </c>
      <c r="P111">
        <f>IF(L111="",M111/100,H111*L111/100)</f>
        <v/>
      </c>
      <c r="Q111">
        <f>H111-C111/42-P111</f>
        <v/>
      </c>
      <c r="R111">
        <f>H111-E111</f>
        <v/>
      </c>
    </row>
    <row r="112">
      <c r="A112" s="3" t="n">
        <v>39125</v>
      </c>
      <c r="B112" s="3" t="n">
        <v>39122</v>
      </c>
      <c r="C112" t="n">
        <v>58.99</v>
      </c>
      <c r="D112" t="n">
        <v>57.9</v>
      </c>
      <c r="E112" t="n">
        <v>1.529</v>
      </c>
      <c r="F112" t="n">
        <v>1.545</v>
      </c>
      <c r="G112" t="n">
        <v>1.909</v>
      </c>
      <c r="H112" t="n">
        <v>2.241</v>
      </c>
      <c r="J112" t="n">
        <v>2.141</v>
      </c>
      <c r="K112" t="n">
        <v>2.632</v>
      </c>
      <c r="L112" t="n">
        <v>20</v>
      </c>
      <c r="N112">
        <f>IF(OR(E112="",C112=""),"",E112-C112/42)</f>
        <v/>
      </c>
      <c r="O112">
        <f>IF(OR(E112="",D112=""),"",E112-D112/42)</f>
        <v/>
      </c>
      <c r="P112">
        <f>IF(L112="",M112/100,H112*L112/100)</f>
        <v/>
      </c>
      <c r="Q112">
        <f>H112-C112/42-P112</f>
        <v/>
      </c>
      <c r="R112">
        <f>H112-E112</f>
        <v/>
      </c>
    </row>
    <row r="113">
      <c r="A113" s="3" t="n">
        <v>39132</v>
      </c>
      <c r="B113" s="3" t="n">
        <v>39129</v>
      </c>
      <c r="C113" t="n">
        <v>58.41</v>
      </c>
      <c r="D113" t="n">
        <v>55.54</v>
      </c>
      <c r="E113" t="n">
        <v>1.57</v>
      </c>
      <c r="F113" t="n">
        <v>1.605</v>
      </c>
      <c r="G113" t="n">
        <v>2.01</v>
      </c>
      <c r="H113" t="n">
        <v>2.296</v>
      </c>
      <c r="J113" t="n">
        <v>2.186</v>
      </c>
      <c r="K113" t="n">
        <v>2.71</v>
      </c>
      <c r="L113" t="n">
        <v>20</v>
      </c>
      <c r="N113">
        <f>IF(OR(E113="",C113=""),"",E113-C113/42)</f>
        <v/>
      </c>
      <c r="O113">
        <f>IF(OR(E113="",D113=""),"",E113-D113/42)</f>
        <v/>
      </c>
      <c r="P113">
        <f>IF(L113="",M113/100,H113*L113/100)</f>
        <v/>
      </c>
      <c r="Q113">
        <f>H113-C113/42-P113</f>
        <v/>
      </c>
      <c r="R113">
        <f>H113-E113</f>
        <v/>
      </c>
    </row>
    <row r="114">
      <c r="A114" s="3" t="n">
        <v>39139</v>
      </c>
      <c r="B114" s="3" t="n">
        <v>39136</v>
      </c>
      <c r="C114" t="n">
        <v>59.57</v>
      </c>
      <c r="D114" t="n">
        <v>58.16</v>
      </c>
      <c r="F114" t="n">
        <v>1.729</v>
      </c>
      <c r="G114" t="n">
        <v>2.131</v>
      </c>
      <c r="H114" t="n">
        <v>2.383</v>
      </c>
      <c r="J114" t="n">
        <v>2.249</v>
      </c>
      <c r="K114" t="n">
        <v>2.796</v>
      </c>
      <c r="L114" t="n">
        <v>20</v>
      </c>
      <c r="N114">
        <f>IF(OR(E114="",C114=""),"",E114-C114/42)</f>
        <v/>
      </c>
      <c r="O114">
        <f>IF(OR(E114="",D114=""),"",E114-D114/42)</f>
        <v/>
      </c>
      <c r="P114">
        <f>IF(L114="",M114/100,H114*L114/100)</f>
        <v/>
      </c>
      <c r="Q114">
        <f>H114-C114/42-P114</f>
        <v/>
      </c>
      <c r="R114">
        <f>H114-E114</f>
        <v/>
      </c>
    </row>
    <row r="115">
      <c r="A115" s="3" t="n">
        <v>39146</v>
      </c>
      <c r="B115" s="3" t="n">
        <v>39143</v>
      </c>
      <c r="C115" t="n">
        <v>61.64</v>
      </c>
      <c r="D115" t="n">
        <v>60.62</v>
      </c>
      <c r="F115" t="n">
        <v>1.867</v>
      </c>
      <c r="G115" t="n">
        <v>2.2</v>
      </c>
      <c r="H115" t="n">
        <v>2.505</v>
      </c>
      <c r="J115" t="n">
        <v>2.353</v>
      </c>
      <c r="K115" t="n">
        <v>2.897</v>
      </c>
      <c r="L115" t="n">
        <v>15.5</v>
      </c>
      <c r="N115">
        <f>IF(OR(E115="",C115=""),"",E115-C115/42)</f>
        <v/>
      </c>
      <c r="O115">
        <f>IF(OR(E115="",D115=""),"",E115-D115/42)</f>
        <v/>
      </c>
      <c r="P115">
        <f>IF(L115="",M115/100,H115*L115/100)</f>
        <v/>
      </c>
      <c r="Q115">
        <f>H115-C115/42-P115</f>
        <v/>
      </c>
      <c r="R115">
        <f>H115-E115</f>
        <v/>
      </c>
    </row>
    <row r="116">
      <c r="A116" s="3" t="n">
        <v>39153</v>
      </c>
      <c r="B116" s="3" t="n">
        <v>39150</v>
      </c>
      <c r="C116" t="n">
        <v>60.85</v>
      </c>
      <c r="D116" t="n">
        <v>60.35</v>
      </c>
      <c r="F116" t="n">
        <v>1.897</v>
      </c>
      <c r="G116" t="n">
        <v>2.33</v>
      </c>
      <c r="H116" t="n">
        <v>2.559</v>
      </c>
      <c r="J116" t="n">
        <v>2.412</v>
      </c>
      <c r="K116" t="n">
        <v>3.068</v>
      </c>
      <c r="L116" t="n">
        <v>15.5</v>
      </c>
      <c r="N116">
        <f>IF(OR(E116="",C116=""),"",E116-C116/42)</f>
        <v/>
      </c>
      <c r="O116">
        <f>IF(OR(E116="",D116=""),"",E116-D116/42)</f>
        <v/>
      </c>
      <c r="P116">
        <f>IF(L116="",M116/100,H116*L116/100)</f>
        <v/>
      </c>
      <c r="Q116">
        <f>H116-C116/42-P116</f>
        <v/>
      </c>
      <c r="R116">
        <f>H116-E116</f>
        <v/>
      </c>
    </row>
    <row r="117">
      <c r="A117" s="3" t="n">
        <v>39160</v>
      </c>
      <c r="B117" s="3" t="n">
        <v>39157</v>
      </c>
      <c r="C117" t="n">
        <v>57.94</v>
      </c>
      <c r="D117" t="n">
        <v>60.87</v>
      </c>
      <c r="E117" t="n">
        <v>1.806</v>
      </c>
      <c r="F117" t="n">
        <v>1.908</v>
      </c>
      <c r="G117" t="n">
        <v>2.353</v>
      </c>
      <c r="H117" t="n">
        <v>2.577</v>
      </c>
      <c r="J117" t="n">
        <v>2.488</v>
      </c>
      <c r="K117" t="n">
        <v>3.121</v>
      </c>
      <c r="L117" t="n">
        <v>15.5</v>
      </c>
      <c r="N117">
        <f>IF(OR(E117="",C117=""),"",E117-C117/42)</f>
        <v/>
      </c>
      <c r="O117">
        <f>IF(OR(E117="",D117=""),"",E117-D117/42)</f>
        <v/>
      </c>
      <c r="P117">
        <f>IF(L117="",M117/100,H117*L117/100)</f>
        <v/>
      </c>
      <c r="Q117">
        <f>H117-C117/42-P117</f>
        <v/>
      </c>
      <c r="R117">
        <f>H117-E117</f>
        <v/>
      </c>
    </row>
    <row r="118">
      <c r="A118" s="3" t="n">
        <v>39167</v>
      </c>
      <c r="B118" s="3" t="n">
        <v>39164</v>
      </c>
      <c r="C118" t="n">
        <v>58.26</v>
      </c>
      <c r="D118" t="n">
        <v>61.09</v>
      </c>
      <c r="E118" t="n">
        <v>1.852</v>
      </c>
      <c r="F118" t="n">
        <v>1.93</v>
      </c>
      <c r="G118" t="n">
        <v>2.336</v>
      </c>
      <c r="H118" t="n">
        <v>2.61</v>
      </c>
      <c r="J118" t="n">
        <v>2.538</v>
      </c>
      <c r="K118" t="n">
        <v>3.152</v>
      </c>
      <c r="L118" t="n">
        <v>15.5</v>
      </c>
      <c r="N118">
        <f>IF(OR(E118="",C118=""),"",E118-C118/42)</f>
        <v/>
      </c>
      <c r="O118">
        <f>IF(OR(E118="",D118=""),"",E118-D118/42)</f>
        <v/>
      </c>
      <c r="P118">
        <f>IF(L118="",M118/100,H118*L118/100)</f>
        <v/>
      </c>
      <c r="Q118">
        <f>H118-C118/42-P118</f>
        <v/>
      </c>
      <c r="R118">
        <f>H118-E118</f>
        <v/>
      </c>
    </row>
    <row r="119">
      <c r="A119" s="3" t="n">
        <v>39174</v>
      </c>
      <c r="B119" s="3" t="n">
        <v>39171</v>
      </c>
      <c r="C119" t="n">
        <v>64.18000000000001</v>
      </c>
      <c r="D119" t="n">
        <v>66.09999999999999</v>
      </c>
      <c r="E119" t="n">
        <v>1.941</v>
      </c>
      <c r="F119" t="n">
        <v>2.021</v>
      </c>
      <c r="G119" t="n">
        <v>2.532</v>
      </c>
      <c r="H119" t="n">
        <v>2.707</v>
      </c>
      <c r="J119" t="n">
        <v>2.619</v>
      </c>
      <c r="K119" t="n">
        <v>3.228</v>
      </c>
      <c r="L119" t="n">
        <v>14</v>
      </c>
      <c r="N119">
        <f>IF(OR(E119="",C119=""),"",E119-C119/42)</f>
        <v/>
      </c>
      <c r="O119">
        <f>IF(OR(E119="",D119=""),"",E119-D119/42)</f>
        <v/>
      </c>
      <c r="P119">
        <f>IF(L119="",M119/100,H119*L119/100)</f>
        <v/>
      </c>
      <c r="Q119">
        <f>H119-C119/42-P119</f>
        <v/>
      </c>
      <c r="R119">
        <f>H119-E119</f>
        <v/>
      </c>
    </row>
    <row r="120">
      <c r="A120" s="3" t="n">
        <v>39181</v>
      </c>
      <c r="B120" s="3" t="n">
        <v>39178</v>
      </c>
      <c r="C120" t="n">
        <v>64.81999999999999</v>
      </c>
      <c r="D120" t="n">
        <v>68.55</v>
      </c>
      <c r="E120" t="n">
        <v>2.036</v>
      </c>
      <c r="F120" t="n">
        <v>2.04</v>
      </c>
      <c r="G120" t="n">
        <v>2.484</v>
      </c>
      <c r="H120" t="n">
        <v>2.802</v>
      </c>
      <c r="J120" t="n">
        <v>2.719</v>
      </c>
      <c r="K120" t="n">
        <v>3.252</v>
      </c>
      <c r="L120" t="n">
        <v>14</v>
      </c>
      <c r="N120">
        <f>IF(OR(E120="",C120=""),"",E120-C120/42)</f>
        <v/>
      </c>
      <c r="O120">
        <f>IF(OR(E120="",D120=""),"",E120-D120/42)</f>
        <v/>
      </c>
      <c r="P120">
        <f>IF(L120="",M120/100,H120*L120/100)</f>
        <v/>
      </c>
      <c r="Q120">
        <f>H120-C120/42-P120</f>
        <v/>
      </c>
      <c r="R120">
        <f>H120-E120</f>
        <v/>
      </c>
    </row>
    <row r="121">
      <c r="A121" s="3" t="n">
        <v>39188</v>
      </c>
      <c r="B121" s="3" t="n">
        <v>39185</v>
      </c>
      <c r="C121" t="n">
        <v>62.58</v>
      </c>
      <c r="D121" t="n">
        <v>68.2</v>
      </c>
      <c r="E121" t="n">
        <v>2.185</v>
      </c>
      <c r="F121" t="n">
        <v>2.118</v>
      </c>
      <c r="G121" t="n">
        <v>2.515</v>
      </c>
      <c r="H121" t="n">
        <v>2.876</v>
      </c>
      <c r="J121" t="n">
        <v>2.801</v>
      </c>
      <c r="K121" t="n">
        <v>3.305</v>
      </c>
      <c r="L121" t="n">
        <v>14</v>
      </c>
      <c r="N121">
        <f>IF(OR(E121="",C121=""),"",E121-C121/42)</f>
        <v/>
      </c>
      <c r="O121">
        <f>IF(OR(E121="",D121=""),"",E121-D121/42)</f>
        <v/>
      </c>
      <c r="P121">
        <f>IF(L121="",M121/100,H121*L121/100)</f>
        <v/>
      </c>
      <c r="Q121">
        <f>H121-C121/42-P121</f>
        <v/>
      </c>
      <c r="R121">
        <f>H121-E121</f>
        <v/>
      </c>
    </row>
    <row r="122">
      <c r="A122" s="3" t="n">
        <v>39195</v>
      </c>
      <c r="B122" s="3" t="n">
        <v>39192</v>
      </c>
      <c r="C122" t="n">
        <v>63.06</v>
      </c>
      <c r="D122" t="n">
        <v>66.20999999999999</v>
      </c>
      <c r="E122" t="n">
        <v>2.073</v>
      </c>
      <c r="F122" t="n">
        <v>2.032</v>
      </c>
      <c r="G122" t="n">
        <v>2.477</v>
      </c>
      <c r="H122" t="n">
        <v>2.869</v>
      </c>
      <c r="J122" t="n">
        <v>2.844</v>
      </c>
      <c r="K122" t="n">
        <v>3.316</v>
      </c>
      <c r="L122" t="n">
        <v>14</v>
      </c>
      <c r="N122">
        <f>IF(OR(E122="",C122=""),"",E122-C122/42)</f>
        <v/>
      </c>
      <c r="O122">
        <f>IF(OR(E122="",D122=""),"",E122-D122/42)</f>
        <v/>
      </c>
      <c r="P122">
        <f>IF(L122="",M122/100,H122*L122/100)</f>
        <v/>
      </c>
      <c r="Q122">
        <f>H122-C122/42-P122</f>
        <v/>
      </c>
      <c r="R122">
        <f>H122-E122</f>
        <v/>
      </c>
    </row>
    <row r="123">
      <c r="A123" s="3" t="n">
        <v>39202</v>
      </c>
      <c r="B123" s="3" t="n">
        <v>39199</v>
      </c>
      <c r="C123" t="n">
        <v>65.26000000000001</v>
      </c>
      <c r="D123" t="n">
        <v>67.39</v>
      </c>
      <c r="E123" t="n">
        <v>2.302</v>
      </c>
      <c r="F123" t="n">
        <v>2.181</v>
      </c>
      <c r="G123" t="n">
        <v>2.609</v>
      </c>
      <c r="H123" t="n">
        <v>2.971</v>
      </c>
      <c r="J123" t="n">
        <v>2.957</v>
      </c>
      <c r="K123" t="n">
        <v>3.359</v>
      </c>
      <c r="L123" t="n">
        <v>14</v>
      </c>
      <c r="N123">
        <f>IF(OR(E123="",C123=""),"",E123-C123/42)</f>
        <v/>
      </c>
      <c r="O123">
        <f>IF(OR(E123="",D123=""),"",E123-D123/42)</f>
        <v/>
      </c>
      <c r="P123">
        <f>IF(L123="",M123/100,H123*L123/100)</f>
        <v/>
      </c>
      <c r="Q123">
        <f>H123-C123/42-P123</f>
        <v/>
      </c>
      <c r="R123">
        <f>H123-E123</f>
        <v/>
      </c>
    </row>
    <row r="124">
      <c r="A124" s="3" t="n">
        <v>39209</v>
      </c>
      <c r="B124" s="3" t="n">
        <v>39206</v>
      </c>
      <c r="C124" t="n">
        <v>63.82</v>
      </c>
      <c r="D124" t="n">
        <v>66.04000000000001</v>
      </c>
      <c r="E124" t="n">
        <v>2.245</v>
      </c>
      <c r="F124" t="n">
        <v>2.206</v>
      </c>
      <c r="G124" t="n">
        <v>2.721</v>
      </c>
      <c r="H124" t="n">
        <v>3.054</v>
      </c>
      <c r="J124" t="n">
        <v>3.09</v>
      </c>
      <c r="K124" t="n">
        <v>3.461</v>
      </c>
      <c r="L124" t="n">
        <v>12.7</v>
      </c>
      <c r="N124">
        <f>IF(OR(E124="",C124=""),"",E124-C124/42)</f>
        <v/>
      </c>
      <c r="O124">
        <f>IF(OR(E124="",D124=""),"",E124-D124/42)</f>
        <v/>
      </c>
      <c r="P124">
        <f>IF(L124="",M124/100,H124*L124/100)</f>
        <v/>
      </c>
      <c r="Q124">
        <f>H124-C124/42-P124</f>
        <v/>
      </c>
      <c r="R124">
        <f>H124-E124</f>
        <v/>
      </c>
    </row>
    <row r="125">
      <c r="A125" s="3" t="n">
        <v>39216</v>
      </c>
      <c r="B125" s="3" t="n">
        <v>39213</v>
      </c>
      <c r="C125" t="n">
        <v>61.9</v>
      </c>
      <c r="D125" t="n">
        <v>63.91</v>
      </c>
      <c r="E125" t="n">
        <v>2.277</v>
      </c>
      <c r="F125" t="n">
        <v>2.22</v>
      </c>
      <c r="G125" t="n">
        <v>2.625</v>
      </c>
      <c r="H125" t="n">
        <v>3.103</v>
      </c>
      <c r="J125" t="n">
        <v>3.193</v>
      </c>
      <c r="K125" t="n">
        <v>3.45</v>
      </c>
      <c r="L125" t="n">
        <v>12.7</v>
      </c>
      <c r="N125">
        <f>IF(OR(E125="",C125=""),"",E125-C125/42)</f>
        <v/>
      </c>
      <c r="O125">
        <f>IF(OR(E125="",D125=""),"",E125-D125/42)</f>
        <v/>
      </c>
      <c r="P125">
        <f>IF(L125="",M125/100,H125*L125/100)</f>
        <v/>
      </c>
      <c r="Q125">
        <f>H125-C125/42-P125</f>
        <v/>
      </c>
      <c r="R125">
        <f>H125-E125</f>
        <v/>
      </c>
    </row>
    <row r="126">
      <c r="A126" s="3" t="n">
        <v>39223</v>
      </c>
      <c r="B126" s="3" t="n">
        <v>39220</v>
      </c>
      <c r="C126" t="n">
        <v>63.61</v>
      </c>
      <c r="D126" t="n">
        <v>67.55</v>
      </c>
      <c r="E126" t="n">
        <v>2.443</v>
      </c>
      <c r="F126" t="n">
        <v>2.317</v>
      </c>
      <c r="G126" t="n">
        <v>2.55</v>
      </c>
      <c r="H126" t="n">
        <v>3.218</v>
      </c>
      <c r="J126" t="n">
        <v>3.265</v>
      </c>
      <c r="K126" t="n">
        <v>3.436</v>
      </c>
      <c r="L126" t="n">
        <v>12.7</v>
      </c>
      <c r="N126">
        <f>IF(OR(E126="",C126=""),"",E126-C126/42)</f>
        <v/>
      </c>
      <c r="O126">
        <f>IF(OR(E126="",D126=""),"",E126-D126/42)</f>
        <v/>
      </c>
      <c r="P126">
        <f>IF(L126="",M126/100,H126*L126/100)</f>
        <v/>
      </c>
      <c r="Q126">
        <f>H126-C126/42-P126</f>
        <v/>
      </c>
      <c r="R126">
        <f>H126-E126</f>
        <v/>
      </c>
    </row>
    <row r="127">
      <c r="A127" s="3" t="n">
        <v>39230</v>
      </c>
      <c r="B127" s="3" t="n">
        <v>39227</v>
      </c>
      <c r="C127" t="n">
        <v>64.89</v>
      </c>
      <c r="D127" t="n">
        <v>70.65000000000001</v>
      </c>
      <c r="E127" t="n">
        <v>2.308</v>
      </c>
      <c r="F127" t="n">
        <v>2.292</v>
      </c>
      <c r="G127" t="n">
        <v>2.519</v>
      </c>
      <c r="H127" t="n">
        <v>3.209</v>
      </c>
      <c r="J127" t="n">
        <v>3.276</v>
      </c>
      <c r="K127" t="n">
        <v>3.407</v>
      </c>
      <c r="L127" t="n">
        <v>12.7</v>
      </c>
      <c r="N127">
        <f>IF(OR(E127="",C127=""),"",E127-C127/42)</f>
        <v/>
      </c>
      <c r="O127">
        <f>IF(OR(E127="",D127=""),"",E127-D127/42)</f>
        <v/>
      </c>
      <c r="P127">
        <f>IF(L127="",M127/100,H127*L127/100)</f>
        <v/>
      </c>
      <c r="Q127">
        <f>H127-C127/42-P127</f>
        <v/>
      </c>
      <c r="R127">
        <f>H127-E127</f>
        <v/>
      </c>
    </row>
    <row r="128">
      <c r="A128" s="3" t="n">
        <v>39237</v>
      </c>
      <c r="B128" s="3" t="n">
        <v>39234</v>
      </c>
      <c r="C128" t="n">
        <v>63.94</v>
      </c>
      <c r="D128" t="n">
        <v>68.45</v>
      </c>
      <c r="E128" t="n">
        <v>2.224</v>
      </c>
      <c r="F128" t="n">
        <v>2.183</v>
      </c>
      <c r="G128" t="n">
        <v>2.393</v>
      </c>
      <c r="H128" t="n">
        <v>3.157</v>
      </c>
      <c r="J128" t="n">
        <v>3.26</v>
      </c>
      <c r="K128" t="n">
        <v>3.374</v>
      </c>
      <c r="L128" t="n">
        <v>13</v>
      </c>
      <c r="N128">
        <f>IF(OR(E128="",C128=""),"",E128-C128/42)</f>
        <v/>
      </c>
      <c r="O128">
        <f>IF(OR(E128="",D128=""),"",E128-D128/42)</f>
        <v/>
      </c>
      <c r="P128">
        <f>IF(L128="",M128/100,H128*L128/100)</f>
        <v/>
      </c>
      <c r="Q128">
        <f>H128-C128/42-P128</f>
        <v/>
      </c>
      <c r="R128">
        <f>H128-E128</f>
        <v/>
      </c>
    </row>
    <row r="129">
      <c r="A129" s="3" t="n">
        <v>39244</v>
      </c>
      <c r="B129" s="3" t="n">
        <v>39241</v>
      </c>
      <c r="C129" t="n">
        <v>65.90000000000001</v>
      </c>
      <c r="D129" t="n">
        <v>71.23</v>
      </c>
      <c r="E129" t="n">
        <v>2.157</v>
      </c>
      <c r="F129" t="n">
        <v>2.152</v>
      </c>
      <c r="G129" t="n">
        <v>2.327</v>
      </c>
      <c r="H129" t="n">
        <v>3.076</v>
      </c>
      <c r="J129" t="n">
        <v>3.225</v>
      </c>
      <c r="K129" t="n">
        <v>3.32</v>
      </c>
      <c r="L129" t="n">
        <v>13</v>
      </c>
      <c r="N129">
        <f>IF(OR(E129="",C129=""),"",E129-C129/42)</f>
        <v/>
      </c>
      <c r="O129">
        <f>IF(OR(E129="",D129=""),"",E129-D129/42)</f>
        <v/>
      </c>
      <c r="P129">
        <f>IF(L129="",M129/100,H129*L129/100)</f>
        <v/>
      </c>
      <c r="Q129">
        <f>H129-C129/42-P129</f>
        <v/>
      </c>
      <c r="R129">
        <f>H129-E129</f>
        <v/>
      </c>
    </row>
    <row r="130">
      <c r="A130" s="3" t="n">
        <v>39251</v>
      </c>
      <c r="B130" s="3" t="n">
        <v>39248</v>
      </c>
      <c r="C130" t="n">
        <v>66.62</v>
      </c>
      <c r="D130" t="n">
        <v>69.89</v>
      </c>
      <c r="E130" t="n">
        <v>2.122</v>
      </c>
      <c r="F130" t="n">
        <v>2.142</v>
      </c>
      <c r="G130" t="n">
        <v>2.294</v>
      </c>
      <c r="H130" t="n">
        <v>3.009</v>
      </c>
      <c r="J130" t="n">
        <v>3.181</v>
      </c>
      <c r="K130" t="n">
        <v>3.236</v>
      </c>
      <c r="L130" t="n">
        <v>13</v>
      </c>
      <c r="N130">
        <f>IF(OR(E130="",C130=""),"",E130-C130/42)</f>
        <v/>
      </c>
      <c r="O130">
        <f>IF(OR(E130="",D130=""),"",E130-D130/42)</f>
        <v/>
      </c>
      <c r="P130">
        <f>IF(L130="",M130/100,H130*L130/100)</f>
        <v/>
      </c>
      <c r="Q130">
        <f>H130-C130/42-P130</f>
        <v/>
      </c>
      <c r="R130">
        <f>H130-E130</f>
        <v/>
      </c>
    </row>
    <row r="131">
      <c r="A131" s="3" t="n">
        <v>39258</v>
      </c>
      <c r="B131" s="3" t="n">
        <v>39255</v>
      </c>
      <c r="C131" t="n">
        <v>68.78</v>
      </c>
      <c r="D131" t="n">
        <v>71.78</v>
      </c>
      <c r="E131" t="n">
        <v>2.178</v>
      </c>
      <c r="F131" t="n">
        <v>2.223</v>
      </c>
      <c r="G131" t="n">
        <v>2.4</v>
      </c>
      <c r="H131" t="n">
        <v>2.982</v>
      </c>
      <c r="J131" t="n">
        <v>3.138</v>
      </c>
      <c r="K131" t="n">
        <v>3.192</v>
      </c>
      <c r="L131" t="n">
        <v>13</v>
      </c>
      <c r="N131">
        <f>IF(OR(E131="",C131=""),"",E131-C131/42)</f>
        <v/>
      </c>
      <c r="O131">
        <f>IF(OR(E131="",D131=""),"",E131-D131/42)</f>
        <v/>
      </c>
      <c r="P131">
        <f>IF(L131="",M131/100,H131*L131/100)</f>
        <v/>
      </c>
      <c r="Q131">
        <f>H131-C131/42-P131</f>
        <v/>
      </c>
      <c r="R131">
        <f>H131-E131</f>
        <v/>
      </c>
    </row>
    <row r="132">
      <c r="A132" s="3" t="n">
        <v>39265</v>
      </c>
      <c r="B132" s="3" t="n">
        <v>39262</v>
      </c>
      <c r="C132" t="n">
        <v>69.13</v>
      </c>
      <c r="D132" t="n">
        <v>71.76000000000001</v>
      </c>
      <c r="E132" t="n">
        <v>2.145</v>
      </c>
      <c r="F132" t="n">
        <v>2.221</v>
      </c>
      <c r="G132" t="n">
        <v>2.386</v>
      </c>
      <c r="H132" t="n">
        <v>2.959</v>
      </c>
      <c r="J132" t="n">
        <v>3.097</v>
      </c>
      <c r="K132" t="n">
        <v>3.157</v>
      </c>
      <c r="L132" t="n">
        <v>13.4</v>
      </c>
      <c r="N132">
        <f>IF(OR(E132="",C132=""),"",E132-C132/42)</f>
        <v/>
      </c>
      <c r="O132">
        <f>IF(OR(E132="",D132=""),"",E132-D132/42)</f>
        <v/>
      </c>
      <c r="P132">
        <f>IF(L132="",M132/100,H132*L132/100)</f>
        <v/>
      </c>
      <c r="Q132">
        <f>H132-C132/42-P132</f>
        <v/>
      </c>
      <c r="R132">
        <f>H132-E132</f>
        <v/>
      </c>
    </row>
    <row r="133">
      <c r="A133" s="3" t="n">
        <v>39272</v>
      </c>
      <c r="B133" s="3" t="n">
        <v>39269</v>
      </c>
      <c r="C133" t="n">
        <v>71.78</v>
      </c>
      <c r="D133" t="n">
        <v>74.79000000000001</v>
      </c>
      <c r="E133" t="n">
        <v>2.209</v>
      </c>
      <c r="F133" t="n">
        <v>2.238</v>
      </c>
      <c r="G133" t="n">
        <v>2.381</v>
      </c>
      <c r="H133" t="n">
        <v>2.981</v>
      </c>
      <c r="J133" t="n">
        <v>3.066</v>
      </c>
      <c r="K133" t="n">
        <v>3.136</v>
      </c>
      <c r="L133" t="n">
        <v>13.4</v>
      </c>
      <c r="N133">
        <f>IF(OR(E133="",C133=""),"",E133-C133/42)</f>
        <v/>
      </c>
      <c r="O133">
        <f>IF(OR(E133="",D133=""),"",E133-D133/42)</f>
        <v/>
      </c>
      <c r="P133">
        <f>IF(L133="",M133/100,H133*L133/100)</f>
        <v/>
      </c>
      <c r="Q133">
        <f>H133-C133/42-P133</f>
        <v/>
      </c>
      <c r="R133">
        <f>H133-E133</f>
        <v/>
      </c>
    </row>
    <row r="134">
      <c r="A134" s="3" t="n">
        <v>39279</v>
      </c>
      <c r="B134" s="3" t="n">
        <v>39276</v>
      </c>
      <c r="C134" t="n">
        <v>72.79000000000001</v>
      </c>
      <c r="D134" t="n">
        <v>77.76000000000001</v>
      </c>
      <c r="E134" t="n">
        <v>2.27</v>
      </c>
      <c r="F134" t="n">
        <v>2.257</v>
      </c>
      <c r="G134" t="n">
        <v>2.422</v>
      </c>
      <c r="H134" t="n">
        <v>3.049</v>
      </c>
      <c r="J134" t="n">
        <v>3.093</v>
      </c>
      <c r="K134" t="n">
        <v>3.158</v>
      </c>
      <c r="L134" t="n">
        <v>13.4</v>
      </c>
      <c r="N134">
        <f>IF(OR(E134="",C134=""),"",E134-C134/42)</f>
        <v/>
      </c>
      <c r="O134">
        <f>IF(OR(E134="",D134=""),"",E134-D134/42)</f>
        <v/>
      </c>
      <c r="P134">
        <f>IF(L134="",M134/100,H134*L134/100)</f>
        <v/>
      </c>
      <c r="Q134">
        <f>H134-C134/42-P134</f>
        <v/>
      </c>
      <c r="R134">
        <f>H134-E134</f>
        <v/>
      </c>
    </row>
    <row r="135">
      <c r="A135" s="3" t="n">
        <v>39286</v>
      </c>
      <c r="B135" s="3" t="n">
        <v>39283</v>
      </c>
      <c r="C135" t="n">
        <v>74.92</v>
      </c>
      <c r="D135" t="n">
        <v>78.23999999999999</v>
      </c>
      <c r="E135" t="n">
        <v>2.085</v>
      </c>
      <c r="F135" t="n">
        <v>2.086</v>
      </c>
      <c r="G135" t="n">
        <v>2.286</v>
      </c>
      <c r="H135" t="n">
        <v>2.958</v>
      </c>
      <c r="J135" t="n">
        <v>3.038</v>
      </c>
      <c r="K135" t="n">
        <v>3.118</v>
      </c>
      <c r="L135" t="n">
        <v>13.4</v>
      </c>
      <c r="N135">
        <f>IF(OR(E135="",C135=""),"",E135-C135/42)</f>
        <v/>
      </c>
      <c r="O135">
        <f>IF(OR(E135="",D135=""),"",E135-D135/42)</f>
        <v/>
      </c>
      <c r="P135">
        <f>IF(L135="",M135/100,H135*L135/100)</f>
        <v/>
      </c>
      <c r="Q135">
        <f>H135-C135/42-P135</f>
        <v/>
      </c>
      <c r="R135">
        <f>H135-E135</f>
        <v/>
      </c>
    </row>
    <row r="136">
      <c r="A136" s="3" t="n">
        <v>39293</v>
      </c>
      <c r="B136" s="3" t="n">
        <v>39290</v>
      </c>
      <c r="C136" t="n">
        <v>75.15000000000001</v>
      </c>
      <c r="D136" t="n">
        <v>76.66</v>
      </c>
      <c r="E136" t="n">
        <v>2.006</v>
      </c>
      <c r="F136" t="n">
        <v>2.019</v>
      </c>
      <c r="G136" t="n">
        <v>2.206</v>
      </c>
      <c r="H136" t="n">
        <v>2.876</v>
      </c>
      <c r="J136" t="n">
        <v>2.984</v>
      </c>
      <c r="K136" t="n">
        <v>3.06</v>
      </c>
      <c r="L136" t="n">
        <v>13.4</v>
      </c>
      <c r="N136">
        <f>IF(OR(E136="",C136=""),"",E136-C136/42)</f>
        <v/>
      </c>
      <c r="O136">
        <f>IF(OR(E136="",D136=""),"",E136-D136/42)</f>
        <v/>
      </c>
      <c r="P136">
        <f>IF(L136="",M136/100,H136*L136/100)</f>
        <v/>
      </c>
      <c r="Q136">
        <f>H136-C136/42-P136</f>
        <v/>
      </c>
      <c r="R136">
        <f>H136-E136</f>
        <v/>
      </c>
    </row>
    <row r="137">
      <c r="A137" s="3" t="n">
        <v>39300</v>
      </c>
      <c r="B137" s="3" t="n">
        <v>39297</v>
      </c>
      <c r="C137" t="n">
        <v>76.75</v>
      </c>
      <c r="D137" t="n">
        <v>76.34</v>
      </c>
      <c r="E137" t="n">
        <v>2.001</v>
      </c>
      <c r="F137" t="n">
        <v>2.026</v>
      </c>
      <c r="G137" t="n">
        <v>2.171</v>
      </c>
      <c r="H137" t="n">
        <v>2.838</v>
      </c>
      <c r="J137" t="n">
        <v>2.945</v>
      </c>
      <c r="K137" t="n">
        <v>3.016</v>
      </c>
      <c r="L137" t="n">
        <v>14.3</v>
      </c>
      <c r="N137">
        <f>IF(OR(E137="",C137=""),"",E137-C137/42)</f>
        <v/>
      </c>
      <c r="O137">
        <f>IF(OR(E137="",D137=""),"",E137-D137/42)</f>
        <v/>
      </c>
      <c r="P137">
        <f>IF(L137="",M137/100,H137*L137/100)</f>
        <v/>
      </c>
      <c r="Q137">
        <f>H137-C137/42-P137</f>
        <v/>
      </c>
      <c r="R137">
        <f>H137-E137</f>
        <v/>
      </c>
    </row>
    <row r="138">
      <c r="A138" s="3" t="n">
        <v>39307</v>
      </c>
      <c r="B138" s="3" t="n">
        <v>39304</v>
      </c>
      <c r="C138" t="n">
        <v>71.92</v>
      </c>
      <c r="D138" t="n">
        <v>70.7</v>
      </c>
      <c r="E138" t="n">
        <v>1.906</v>
      </c>
      <c r="F138" t="n">
        <v>1.924</v>
      </c>
      <c r="G138" t="n">
        <v>2.027</v>
      </c>
      <c r="H138" t="n">
        <v>2.771</v>
      </c>
      <c r="J138" t="n">
        <v>2.88</v>
      </c>
      <c r="K138" t="n">
        <v>2.928</v>
      </c>
      <c r="L138" t="n">
        <v>14.3</v>
      </c>
      <c r="N138">
        <f>IF(OR(E138="",C138=""),"",E138-C138/42)</f>
        <v/>
      </c>
      <c r="O138">
        <f>IF(OR(E138="",D138=""),"",E138-D138/42)</f>
        <v/>
      </c>
      <c r="P138">
        <f>IF(L138="",M138/100,H138*L138/100)</f>
        <v/>
      </c>
      <c r="Q138">
        <f>H138-C138/42-P138</f>
        <v/>
      </c>
      <c r="R138">
        <f>H138-E138</f>
        <v/>
      </c>
    </row>
    <row r="139">
      <c r="A139" s="3" t="n">
        <v>39314</v>
      </c>
      <c r="B139" s="3" t="n">
        <v>39311</v>
      </c>
      <c r="C139" t="n">
        <v>72.05</v>
      </c>
      <c r="D139" t="n">
        <v>70.09</v>
      </c>
      <c r="E139" t="n">
        <v>1.991</v>
      </c>
      <c r="F139" t="n">
        <v>2.05</v>
      </c>
      <c r="G139" t="n">
        <v>2.054</v>
      </c>
      <c r="H139" t="n">
        <v>2.785</v>
      </c>
      <c r="J139" t="n">
        <v>2.841</v>
      </c>
      <c r="K139" t="n">
        <v>2.862</v>
      </c>
      <c r="L139" t="n">
        <v>14.3</v>
      </c>
      <c r="N139">
        <f>IF(OR(E139="",C139=""),"",E139-C139/42)</f>
        <v/>
      </c>
      <c r="O139">
        <f>IF(OR(E139="",D139=""),"",E139-D139/42)</f>
        <v/>
      </c>
      <c r="P139">
        <f>IF(L139="",M139/100,H139*L139/100)</f>
        <v/>
      </c>
      <c r="Q139">
        <f>H139-C139/42-P139</f>
        <v/>
      </c>
      <c r="R139">
        <f>H139-E139</f>
        <v/>
      </c>
    </row>
    <row r="140">
      <c r="A140" s="3" t="n">
        <v>39321</v>
      </c>
      <c r="B140" s="3" t="n">
        <v>39318</v>
      </c>
      <c r="C140" t="n">
        <v>70.19</v>
      </c>
      <c r="D140" t="n">
        <v>68.44</v>
      </c>
      <c r="E140" t="n">
        <v>1.911</v>
      </c>
      <c r="F140" t="n">
        <v>1.955</v>
      </c>
      <c r="G140" t="n">
        <v>1.982</v>
      </c>
      <c r="H140" t="n">
        <v>2.749</v>
      </c>
      <c r="J140" t="n">
        <v>2.806</v>
      </c>
      <c r="K140" t="n">
        <v>2.791</v>
      </c>
      <c r="L140" t="n">
        <v>14.3</v>
      </c>
      <c r="N140">
        <f>IF(OR(E140="",C140=""),"",E140-C140/42)</f>
        <v/>
      </c>
      <c r="O140">
        <f>IF(OR(E140="",D140=""),"",E140-D140/42)</f>
        <v/>
      </c>
      <c r="P140">
        <f>IF(L140="",M140/100,H140*L140/100)</f>
        <v/>
      </c>
      <c r="Q140">
        <f>H140-C140/42-P140</f>
        <v/>
      </c>
      <c r="R140">
        <f>H140-E140</f>
        <v/>
      </c>
    </row>
    <row r="141">
      <c r="A141" s="3" t="n">
        <v>39328</v>
      </c>
      <c r="B141" s="3" t="n">
        <v>39325</v>
      </c>
      <c r="C141" t="n">
        <v>72.93000000000001</v>
      </c>
      <c r="D141" t="n">
        <v>70.55</v>
      </c>
      <c r="E141" t="n">
        <v>2.041</v>
      </c>
      <c r="F141" t="n">
        <v>2.084</v>
      </c>
      <c r="G141" t="n">
        <v>2.078</v>
      </c>
      <c r="H141" t="n">
        <v>2.796</v>
      </c>
      <c r="J141" t="n">
        <v>2.821</v>
      </c>
      <c r="K141" t="n">
        <v>2.791</v>
      </c>
      <c r="L141" t="n">
        <v>14.2</v>
      </c>
      <c r="N141">
        <f>IF(OR(E141="",C141=""),"",E141-C141/42)</f>
        <v/>
      </c>
      <c r="O141">
        <f>IF(OR(E141="",D141=""),"",E141-D141/42)</f>
        <v/>
      </c>
      <c r="P141">
        <f>IF(L141="",M141/100,H141*L141/100)</f>
        <v/>
      </c>
      <c r="Q141">
        <f>H141-C141/42-P141</f>
        <v/>
      </c>
      <c r="R141">
        <f>H141-E141</f>
        <v/>
      </c>
    </row>
    <row r="142">
      <c r="A142" s="3" t="n">
        <v>39335</v>
      </c>
      <c r="B142" s="3" t="n">
        <v>39332</v>
      </c>
      <c r="C142" t="n">
        <v>75.95999999999999</v>
      </c>
      <c r="D142" t="n">
        <v>75.06</v>
      </c>
      <c r="E142" t="n">
        <v>2.115</v>
      </c>
      <c r="F142" t="n">
        <v>2.069</v>
      </c>
      <c r="G142" t="n">
        <v>2.147</v>
      </c>
      <c r="H142" t="n">
        <v>2.818</v>
      </c>
      <c r="J142" t="n">
        <v>2.836</v>
      </c>
      <c r="K142" t="n">
        <v>2.839</v>
      </c>
      <c r="L142" t="n">
        <v>14.2</v>
      </c>
      <c r="N142">
        <f>IF(OR(E142="",C142=""),"",E142-C142/42)</f>
        <v/>
      </c>
      <c r="O142">
        <f>IF(OR(E142="",D142=""),"",E142-D142/42)</f>
        <v/>
      </c>
      <c r="P142">
        <f>IF(L142="",M142/100,H142*L142/100)</f>
        <v/>
      </c>
      <c r="Q142">
        <f>H142-C142/42-P142</f>
        <v/>
      </c>
      <c r="R142">
        <f>H142-E142</f>
        <v/>
      </c>
    </row>
    <row r="143">
      <c r="A143" s="3" t="n">
        <v>39342</v>
      </c>
      <c r="B143" s="3" t="n">
        <v>39339</v>
      </c>
      <c r="C143" t="n">
        <v>78.95</v>
      </c>
      <c r="D143" t="n">
        <v>76.89</v>
      </c>
      <c r="E143" t="n">
        <v>2.085</v>
      </c>
      <c r="F143" t="n">
        <v>2.077</v>
      </c>
      <c r="G143" t="n">
        <v>2.167</v>
      </c>
      <c r="H143" t="n">
        <v>2.787</v>
      </c>
      <c r="J143" t="n">
        <v>2.824</v>
      </c>
      <c r="K143" t="n">
        <v>2.904</v>
      </c>
      <c r="L143" t="n">
        <v>14.2</v>
      </c>
      <c r="N143">
        <f>IF(OR(E143="",C143=""),"",E143-C143/42)</f>
        <v/>
      </c>
      <c r="O143">
        <f>IF(OR(E143="",D143=""),"",E143-D143/42)</f>
        <v/>
      </c>
      <c r="P143">
        <f>IF(L143="",M143/100,H143*L143/100)</f>
        <v/>
      </c>
      <c r="Q143">
        <f>H143-C143/42-P143</f>
        <v/>
      </c>
      <c r="R143">
        <f>H143-E143</f>
        <v/>
      </c>
    </row>
    <row r="144">
      <c r="A144" s="3" t="n">
        <v>39349</v>
      </c>
      <c r="B144" s="3" t="n">
        <v>39346</v>
      </c>
      <c r="C144" t="n">
        <v>82.26000000000001</v>
      </c>
      <c r="D144" t="n">
        <v>78.17</v>
      </c>
      <c r="E144" t="n">
        <v>2.151</v>
      </c>
      <c r="F144" t="n">
        <v>2.148</v>
      </c>
      <c r="G144" t="n">
        <v>2.251</v>
      </c>
      <c r="H144" t="n">
        <v>2.812</v>
      </c>
      <c r="J144" t="n">
        <v>2.817</v>
      </c>
      <c r="K144" t="n">
        <v>2.961</v>
      </c>
      <c r="L144" t="n">
        <v>14.2</v>
      </c>
      <c r="N144">
        <f>IF(OR(E144="",C144=""),"",E144-C144/42)</f>
        <v/>
      </c>
      <c r="O144">
        <f>IF(OR(E144="",D144=""),"",E144-D144/42)</f>
        <v/>
      </c>
      <c r="P144">
        <f>IF(L144="",M144/100,H144*L144/100)</f>
        <v/>
      </c>
      <c r="Q144">
        <f>H144-C144/42-P144</f>
        <v/>
      </c>
      <c r="R144">
        <f>H144-E144</f>
        <v/>
      </c>
    </row>
    <row r="145">
      <c r="A145" s="3" t="n">
        <v>39356</v>
      </c>
      <c r="B145" s="3" t="n">
        <v>39353</v>
      </c>
      <c r="C145" t="n">
        <v>81.7</v>
      </c>
      <c r="D145" t="n">
        <v>78.15000000000001</v>
      </c>
      <c r="E145" t="n">
        <v>2.092</v>
      </c>
      <c r="F145" t="n">
        <v>2.107</v>
      </c>
      <c r="G145" t="n">
        <v>2.254</v>
      </c>
      <c r="H145" t="n">
        <v>2.788</v>
      </c>
      <c r="J145" t="n">
        <v>2.81</v>
      </c>
      <c r="K145" t="n">
        <v>2.973</v>
      </c>
      <c r="L145" t="n">
        <v>14.2</v>
      </c>
      <c r="N145">
        <f>IF(OR(E145="",C145=""),"",E145-C145/42)</f>
        <v/>
      </c>
      <c r="O145">
        <f>IF(OR(E145="",D145=""),"",E145-D145/42)</f>
        <v/>
      </c>
      <c r="P145">
        <f>IF(L145="",M145/100,H145*L145/100)</f>
        <v/>
      </c>
      <c r="Q145">
        <f>H145-C145/42-P145</f>
        <v/>
      </c>
      <c r="R145">
        <f>H145-E145</f>
        <v/>
      </c>
    </row>
    <row r="146">
      <c r="A146" s="3" t="n">
        <v>39363</v>
      </c>
      <c r="B146" s="3" t="n">
        <v>39360</v>
      </c>
      <c r="C146" t="n">
        <v>80.59</v>
      </c>
      <c r="D146" t="n">
        <v>77.98</v>
      </c>
      <c r="E146" t="n">
        <v>2.02</v>
      </c>
      <c r="F146" t="n">
        <v>2.068</v>
      </c>
      <c r="G146" t="n">
        <v>2.248</v>
      </c>
      <c r="H146" t="n">
        <v>2.77</v>
      </c>
      <c r="J146" t="n">
        <v>2.802</v>
      </c>
      <c r="K146" t="n">
        <v>2.996</v>
      </c>
      <c r="L146" t="n">
        <v>14.2</v>
      </c>
      <c r="N146">
        <f>IF(OR(E146="",C146=""),"",E146-C146/42)</f>
        <v/>
      </c>
      <c r="O146">
        <f>IF(OR(E146="",D146=""),"",E146-D146/42)</f>
        <v/>
      </c>
      <c r="P146">
        <f>IF(L146="",M146/100,H146*L146/100)</f>
        <v/>
      </c>
      <c r="Q146">
        <f>H146-C146/42-P146</f>
        <v/>
      </c>
      <c r="R146">
        <f>H146-E146</f>
        <v/>
      </c>
    </row>
    <row r="147">
      <c r="A147" s="3" t="n">
        <v>39370</v>
      </c>
      <c r="B147" s="3" t="n">
        <v>39367</v>
      </c>
      <c r="C147" t="n">
        <v>81.45999999999999</v>
      </c>
      <c r="D147" t="n">
        <v>78.84999999999999</v>
      </c>
      <c r="E147" t="n">
        <v>2.046</v>
      </c>
      <c r="F147" t="n">
        <v>2.095</v>
      </c>
      <c r="G147" t="n">
        <v>2.378</v>
      </c>
      <c r="H147" t="n">
        <v>2.762</v>
      </c>
      <c r="J147" t="n">
        <v>2.795</v>
      </c>
      <c r="K147" t="n">
        <v>3.053</v>
      </c>
      <c r="L147" t="n">
        <v>14.2</v>
      </c>
      <c r="N147">
        <f>IF(OR(E147="",C147=""),"",E147-C147/42)</f>
        <v/>
      </c>
      <c r="O147">
        <f>IF(OR(E147="",D147=""),"",E147-D147/42)</f>
        <v/>
      </c>
      <c r="P147">
        <f>IF(L147="",M147/100,H147*L147/100)</f>
        <v/>
      </c>
      <c r="Q147">
        <f>H147-C147/42-P147</f>
        <v/>
      </c>
      <c r="R147">
        <f>H147-E147</f>
        <v/>
      </c>
    </row>
    <row r="148">
      <c r="A148" s="3" t="n">
        <v>39377</v>
      </c>
      <c r="B148" s="3" t="n">
        <v>39374</v>
      </c>
      <c r="C148" t="n">
        <v>87.8</v>
      </c>
      <c r="D148" t="n">
        <v>84.29000000000001</v>
      </c>
      <c r="E148" t="n">
        <v>2.158</v>
      </c>
      <c r="F148" t="n">
        <v>2.216</v>
      </c>
      <c r="G148" t="n">
        <v>2.454</v>
      </c>
      <c r="H148" t="n">
        <v>2.823</v>
      </c>
      <c r="J148" t="n">
        <v>2.845</v>
      </c>
      <c r="K148" t="n">
        <v>3.143</v>
      </c>
      <c r="L148" t="n">
        <v>14.2</v>
      </c>
      <c r="N148">
        <f>IF(OR(E148="",C148=""),"",E148-C148/42)</f>
        <v/>
      </c>
      <c r="O148">
        <f>IF(OR(E148="",D148=""),"",E148-D148/42)</f>
        <v/>
      </c>
      <c r="P148">
        <f>IF(L148="",M148/100,H148*L148/100)</f>
        <v/>
      </c>
      <c r="Q148">
        <f>H148-C148/42-P148</f>
        <v/>
      </c>
      <c r="R148">
        <f>H148-E148</f>
        <v/>
      </c>
    </row>
    <row r="149">
      <c r="A149" s="3" t="n">
        <v>39384</v>
      </c>
      <c r="B149" s="3" t="n">
        <v>39381</v>
      </c>
      <c r="C149" t="n">
        <v>89.23</v>
      </c>
      <c r="D149" t="n">
        <v>83.72</v>
      </c>
      <c r="E149" t="n">
        <v>2.158</v>
      </c>
      <c r="F149" t="n">
        <v>2.202</v>
      </c>
      <c r="G149" t="n">
        <v>2.42</v>
      </c>
      <c r="H149" t="n">
        <v>2.872</v>
      </c>
      <c r="J149" t="n">
        <v>2.873</v>
      </c>
      <c r="K149" t="n">
        <v>3.159</v>
      </c>
      <c r="L149" t="n">
        <v>14.2</v>
      </c>
      <c r="N149">
        <f>IF(OR(E149="",C149=""),"",E149-C149/42)</f>
        <v/>
      </c>
      <c r="O149">
        <f>IF(OR(E149="",D149=""),"",E149-D149/42)</f>
        <v/>
      </c>
      <c r="P149">
        <f>IF(L149="",M149/100,H149*L149/100)</f>
        <v/>
      </c>
      <c r="Q149">
        <f>H149-C149/42-P149</f>
        <v/>
      </c>
      <c r="R149">
        <f>H149-E149</f>
        <v/>
      </c>
    </row>
    <row r="150">
      <c r="A150" s="3" t="n">
        <v>39391</v>
      </c>
      <c r="B150" s="3" t="n">
        <v>39388</v>
      </c>
      <c r="C150" t="n">
        <v>93.45999999999999</v>
      </c>
      <c r="D150" t="n">
        <v>90.42</v>
      </c>
      <c r="E150" t="n">
        <v>2.326</v>
      </c>
      <c r="F150" t="n">
        <v>2.365</v>
      </c>
      <c r="G150" t="n">
        <v>2.552</v>
      </c>
      <c r="H150" t="n">
        <v>3.013</v>
      </c>
      <c r="J150" t="n">
        <v>2.972</v>
      </c>
      <c r="K150" t="n">
        <v>3.231</v>
      </c>
      <c r="L150" t="n">
        <v>13</v>
      </c>
      <c r="N150">
        <f>IF(OR(E150="",C150=""),"",E150-C150/42)</f>
        <v/>
      </c>
      <c r="O150">
        <f>IF(OR(E150="",D150=""),"",E150-D150/42)</f>
        <v/>
      </c>
      <c r="P150">
        <f>IF(L150="",M150/100,H150*L150/100)</f>
        <v/>
      </c>
      <c r="Q150">
        <f>H150-C150/42-P150</f>
        <v/>
      </c>
      <c r="R150">
        <f>H150-E150</f>
        <v/>
      </c>
    </row>
    <row r="151">
      <c r="A151" s="3" t="n">
        <v>39398</v>
      </c>
      <c r="B151" s="3" t="n">
        <v>39395</v>
      </c>
      <c r="C151" t="n">
        <v>95.81</v>
      </c>
      <c r="D151" t="n">
        <v>93.54000000000001</v>
      </c>
      <c r="E151" t="n">
        <v>2.429</v>
      </c>
      <c r="F151" t="n">
        <v>2.474</v>
      </c>
      <c r="G151" t="n">
        <v>2.658</v>
      </c>
      <c r="H151" t="n">
        <v>3.111</v>
      </c>
      <c r="J151" t="n">
        <v>3.064</v>
      </c>
      <c r="K151" t="n">
        <v>3.366</v>
      </c>
      <c r="L151" t="n">
        <v>13</v>
      </c>
      <c r="N151">
        <f>IF(OR(E151="",C151=""),"",E151-C151/42)</f>
        <v/>
      </c>
      <c r="O151">
        <f>IF(OR(E151="",D151=""),"",E151-D151/42)</f>
        <v/>
      </c>
      <c r="P151">
        <f>IF(L151="",M151/100,H151*L151/100)</f>
        <v/>
      </c>
      <c r="Q151">
        <f>H151-C151/42-P151</f>
        <v/>
      </c>
      <c r="R151">
        <f>H151-E151</f>
        <v/>
      </c>
    </row>
    <row r="152">
      <c r="A152" s="3" t="n">
        <v>39405</v>
      </c>
      <c r="B152" s="3" t="n">
        <v>39402</v>
      </c>
      <c r="C152" t="n">
        <v>93.56</v>
      </c>
      <c r="D152" t="n">
        <v>90.73999999999999</v>
      </c>
      <c r="E152" t="n">
        <v>2.353</v>
      </c>
      <c r="F152" t="n">
        <v>2.411</v>
      </c>
      <c r="G152" t="n">
        <v>2.573</v>
      </c>
      <c r="H152" t="n">
        <v>3.099</v>
      </c>
      <c r="J152" t="n">
        <v>3.068</v>
      </c>
      <c r="K152" t="n">
        <v>3.395</v>
      </c>
      <c r="L152" t="n">
        <v>13</v>
      </c>
      <c r="N152">
        <f>IF(OR(E152="",C152=""),"",E152-C152/42)</f>
        <v/>
      </c>
      <c r="O152">
        <f>IF(OR(E152="",D152=""),"",E152-D152/42)</f>
        <v/>
      </c>
      <c r="P152">
        <f>IF(L152="",M152/100,H152*L152/100)</f>
        <v/>
      </c>
      <c r="Q152">
        <f>H152-C152/42-P152</f>
        <v/>
      </c>
      <c r="R152">
        <f>H152-E152</f>
        <v/>
      </c>
    </row>
    <row r="153">
      <c r="A153" s="3" t="n">
        <v>39412</v>
      </c>
      <c r="B153" s="3" t="n">
        <v>39409</v>
      </c>
      <c r="C153" t="n">
        <v>97.93000000000001</v>
      </c>
      <c r="D153" t="n">
        <v>94.01000000000001</v>
      </c>
      <c r="E153" t="n">
        <v>2.398</v>
      </c>
      <c r="F153" t="n">
        <v>2.484</v>
      </c>
      <c r="G153" t="n">
        <v>2.561</v>
      </c>
      <c r="H153" t="n">
        <v>3.097</v>
      </c>
      <c r="J153" t="n">
        <v>3.063</v>
      </c>
      <c r="K153" t="n">
        <v>3.398</v>
      </c>
      <c r="L153" t="n">
        <v>13</v>
      </c>
      <c r="N153">
        <f>IF(OR(E153="",C153=""),"",E153-C153/42)</f>
        <v/>
      </c>
      <c r="O153">
        <f>IF(OR(E153="",D153=""),"",E153-D153/42)</f>
        <v/>
      </c>
      <c r="P153">
        <f>IF(L153="",M153/100,H153*L153/100)</f>
        <v/>
      </c>
      <c r="Q153">
        <f>H153-C153/42-P153</f>
        <v/>
      </c>
      <c r="R153">
        <f>H153-E153</f>
        <v/>
      </c>
    </row>
    <row r="154">
      <c r="A154" s="3" t="n">
        <v>39419</v>
      </c>
      <c r="B154" s="3" t="n">
        <v>39416</v>
      </c>
      <c r="C154" t="n">
        <v>92.47</v>
      </c>
      <c r="D154" t="n">
        <v>92.16</v>
      </c>
      <c r="E154" t="n">
        <v>2.255</v>
      </c>
      <c r="F154" t="n">
        <v>2.34</v>
      </c>
      <c r="G154" t="n">
        <v>2.428</v>
      </c>
      <c r="H154" t="n">
        <v>3.061</v>
      </c>
      <c r="J154" t="n">
        <v>3.054</v>
      </c>
      <c r="K154" t="n">
        <v>3.361</v>
      </c>
      <c r="L154" t="n">
        <v>13.2</v>
      </c>
      <c r="N154">
        <f>IF(OR(E154="",C154=""),"",E154-C154/42)</f>
        <v/>
      </c>
      <c r="O154">
        <f>IF(OR(E154="",D154=""),"",E154-D154/42)</f>
        <v/>
      </c>
      <c r="P154">
        <f>IF(L154="",M154/100,H154*L154/100)</f>
        <v/>
      </c>
      <c r="Q154">
        <f>H154-C154/42-P154</f>
        <v/>
      </c>
      <c r="R154">
        <f>H154-E154</f>
        <v/>
      </c>
    </row>
    <row r="155">
      <c r="A155" s="3" t="n">
        <v>39426</v>
      </c>
      <c r="B155" s="3" t="n">
        <v>39423</v>
      </c>
      <c r="C155" t="n">
        <v>88.70999999999999</v>
      </c>
      <c r="D155" t="n">
        <v>89.09</v>
      </c>
      <c r="E155" t="n">
        <v>2.186</v>
      </c>
      <c r="F155" t="n">
        <v>2.252</v>
      </c>
      <c r="G155" t="n">
        <v>2.352</v>
      </c>
      <c r="H155" t="n">
        <v>3</v>
      </c>
      <c r="J155" t="n">
        <v>3.008</v>
      </c>
      <c r="K155" t="n">
        <v>3.329</v>
      </c>
      <c r="L155" t="n">
        <v>13.2</v>
      </c>
      <c r="N155">
        <f>IF(OR(E155="",C155=""),"",E155-C155/42)</f>
        <v/>
      </c>
      <c r="O155">
        <f>IF(OR(E155="",D155=""),"",E155-D155/42)</f>
        <v/>
      </c>
      <c r="P155">
        <f>IF(L155="",M155/100,H155*L155/100)</f>
        <v/>
      </c>
      <c r="Q155">
        <f>H155-C155/42-P155</f>
        <v/>
      </c>
      <c r="R155">
        <f>H155-E155</f>
        <v/>
      </c>
    </row>
    <row r="156">
      <c r="A156" s="3" t="n">
        <v>39433</v>
      </c>
      <c r="B156" s="3" t="n">
        <v>39430</v>
      </c>
      <c r="C156" t="n">
        <v>91.18000000000001</v>
      </c>
      <c r="D156" t="n">
        <v>90.23999999999999</v>
      </c>
      <c r="E156" t="n">
        <v>2.247</v>
      </c>
      <c r="F156" t="n">
        <v>2.307</v>
      </c>
      <c r="G156" t="n">
        <v>2.411</v>
      </c>
      <c r="H156" t="n">
        <v>2.998</v>
      </c>
      <c r="J156" t="n">
        <v>2.966</v>
      </c>
      <c r="K156" t="n">
        <v>3.285</v>
      </c>
      <c r="L156" t="n">
        <v>13.2</v>
      </c>
      <c r="N156">
        <f>IF(OR(E156="",C156=""),"",E156-C156/42)</f>
        <v/>
      </c>
      <c r="O156">
        <f>IF(OR(E156="",D156=""),"",E156-D156/42)</f>
        <v/>
      </c>
      <c r="P156">
        <f>IF(L156="",M156/100,H156*L156/100)</f>
        <v/>
      </c>
      <c r="Q156">
        <f>H156-C156/42-P156</f>
        <v/>
      </c>
      <c r="R156">
        <f>H156-E156</f>
        <v/>
      </c>
    </row>
    <row r="157">
      <c r="A157" s="3" t="n">
        <v>39440</v>
      </c>
      <c r="B157" s="3" t="n">
        <v>39437</v>
      </c>
      <c r="C157" t="n">
        <v>91.16</v>
      </c>
      <c r="D157" t="n">
        <v>90.81999999999999</v>
      </c>
      <c r="E157" t="n">
        <v>2.266</v>
      </c>
      <c r="F157" t="n">
        <v>2.308</v>
      </c>
      <c r="G157" t="n">
        <v>2.454</v>
      </c>
      <c r="H157" t="n">
        <v>2.98</v>
      </c>
      <c r="J157" t="n">
        <v>2.928</v>
      </c>
      <c r="K157" t="n">
        <v>3.261</v>
      </c>
      <c r="L157" t="n">
        <v>13.2</v>
      </c>
      <c r="N157">
        <f>IF(OR(E157="",C157=""),"",E157-C157/42)</f>
        <v/>
      </c>
      <c r="O157">
        <f>IF(OR(E157="",D157=""),"",E157-D157/42)</f>
        <v/>
      </c>
      <c r="P157">
        <f>IF(L157="",M157/100,H157*L157/100)</f>
        <v/>
      </c>
      <c r="Q157">
        <f>H157-C157/42-P157</f>
        <v/>
      </c>
      <c r="R157">
        <f>H157-E157</f>
        <v/>
      </c>
    </row>
    <row r="158">
      <c r="A158" s="3" t="n">
        <v>39447</v>
      </c>
      <c r="B158" s="3" t="n">
        <v>39444</v>
      </c>
      <c r="C158" t="n">
        <v>95.64</v>
      </c>
      <c r="D158" t="n">
        <v>94.39</v>
      </c>
      <c r="E158" t="n">
        <v>2.396</v>
      </c>
      <c r="F158" t="n">
        <v>2.443</v>
      </c>
      <c r="G158" t="n">
        <v>2.576</v>
      </c>
      <c r="H158" t="n">
        <v>3.053</v>
      </c>
      <c r="J158" t="n">
        <v>2.921</v>
      </c>
      <c r="K158" t="n">
        <v>3.298</v>
      </c>
      <c r="L158" t="n">
        <v>13.2</v>
      </c>
      <c r="N158">
        <f>IF(OR(E158="",C158=""),"",E158-C158/42)</f>
        <v/>
      </c>
      <c r="O158">
        <f>IF(OR(E158="",D158=""),"",E158-D158/42)</f>
        <v/>
      </c>
      <c r="P158">
        <f>IF(L158="",M158/100,H158*L158/100)</f>
        <v/>
      </c>
      <c r="Q158">
        <f>H158-C158/42-P158</f>
        <v/>
      </c>
      <c r="R158">
        <f>H158-E158</f>
        <v/>
      </c>
    </row>
    <row r="159">
      <c r="A159" s="3" t="n">
        <v>39454</v>
      </c>
      <c r="B159" s="3" t="n">
        <v>39451</v>
      </c>
      <c r="C159" t="n">
        <v>98.17</v>
      </c>
      <c r="D159" t="n">
        <v>96.5</v>
      </c>
      <c r="E159" t="n">
        <v>2.466</v>
      </c>
      <c r="F159" t="n">
        <v>2.502</v>
      </c>
      <c r="G159" t="n">
        <v>2.615</v>
      </c>
      <c r="H159" t="n">
        <v>3.109</v>
      </c>
      <c r="J159" t="n">
        <v>2.95</v>
      </c>
      <c r="K159" t="n">
        <v>3.328</v>
      </c>
      <c r="L159" t="n">
        <v>13.1</v>
      </c>
      <c r="N159">
        <f>IF(OR(E159="",C159=""),"",E159-C159/42)</f>
        <v/>
      </c>
      <c r="O159">
        <f>IF(OR(E159="",D159=""),"",E159-D159/42)</f>
        <v/>
      </c>
      <c r="P159">
        <f>IF(L159="",M159/100,H159*L159/100)</f>
        <v/>
      </c>
      <c r="Q159">
        <f>H159-C159/42-P159</f>
        <v/>
      </c>
      <c r="R159">
        <f>H159-E159</f>
        <v/>
      </c>
    </row>
    <row r="160">
      <c r="A160" s="3" t="n">
        <v>39461</v>
      </c>
      <c r="B160" s="3" t="n">
        <v>39458</v>
      </c>
      <c r="C160" t="n">
        <v>94.76000000000001</v>
      </c>
      <c r="D160" t="n">
        <v>94.40000000000001</v>
      </c>
      <c r="E160" t="n">
        <v>2.341</v>
      </c>
      <c r="F160" t="n">
        <v>2.375</v>
      </c>
      <c r="G160" t="n">
        <v>2.375</v>
      </c>
      <c r="H160" t="n">
        <v>3.068</v>
      </c>
      <c r="J160" t="n">
        <v>2.949</v>
      </c>
      <c r="K160" t="n">
        <v>3.29</v>
      </c>
      <c r="L160" t="n">
        <v>13.1</v>
      </c>
      <c r="N160">
        <f>IF(OR(E160="",C160=""),"",E160-C160/42)</f>
        <v/>
      </c>
      <c r="O160">
        <f>IF(OR(E160="",D160=""),"",E160-D160/42)</f>
        <v/>
      </c>
      <c r="P160">
        <f>IF(L160="",M160/100,H160*L160/100)</f>
        <v/>
      </c>
      <c r="Q160">
        <f>H160-C160/42-P160</f>
        <v/>
      </c>
      <c r="R160">
        <f>H160-E160</f>
        <v/>
      </c>
    </row>
    <row r="161">
      <c r="A161" s="3" t="n">
        <v>39468</v>
      </c>
      <c r="B161" s="3" t="n">
        <v>39465</v>
      </c>
      <c r="C161" t="n">
        <v>91.51000000000001</v>
      </c>
      <c r="D161" t="n">
        <v>90.03</v>
      </c>
      <c r="E161" t="n">
        <v>2.237</v>
      </c>
      <c r="F161" t="n">
        <v>2.278</v>
      </c>
      <c r="G161" t="n">
        <v>2.137</v>
      </c>
      <c r="H161" t="n">
        <v>3.017</v>
      </c>
      <c r="J161" t="n">
        <v>2.928</v>
      </c>
      <c r="K161" t="n">
        <v>3.226</v>
      </c>
      <c r="L161" t="n">
        <v>13.1</v>
      </c>
      <c r="N161">
        <f>IF(OR(E161="",C161=""),"",E161-C161/42)</f>
        <v/>
      </c>
      <c r="O161">
        <f>IF(OR(E161="",D161=""),"",E161-D161/42)</f>
        <v/>
      </c>
      <c r="P161">
        <f>IF(L161="",M161/100,H161*L161/100)</f>
        <v/>
      </c>
      <c r="Q161">
        <f>H161-C161/42-P161</f>
        <v/>
      </c>
      <c r="R161">
        <f>H161-E161</f>
        <v/>
      </c>
    </row>
    <row r="162">
      <c r="A162" s="3" t="n">
        <v>39475</v>
      </c>
      <c r="B162" s="3" t="n">
        <v>39472</v>
      </c>
      <c r="C162" t="n">
        <v>89.41</v>
      </c>
      <c r="D162" t="n">
        <v>88.45999999999999</v>
      </c>
      <c r="E162" t="n">
        <v>2.256</v>
      </c>
      <c r="F162" t="n">
        <v>2.26</v>
      </c>
      <c r="G162" t="n">
        <v>2.212</v>
      </c>
      <c r="H162" t="n">
        <v>2.977</v>
      </c>
      <c r="J162" t="n">
        <v>2.914</v>
      </c>
      <c r="K162" t="n">
        <v>3.148</v>
      </c>
      <c r="L162" t="n">
        <v>13.1</v>
      </c>
      <c r="N162">
        <f>IF(OR(E162="",C162=""),"",E162-C162/42)</f>
        <v/>
      </c>
      <c r="O162">
        <f>IF(OR(E162="",D162=""),"",E162-D162/42)</f>
        <v/>
      </c>
      <c r="P162">
        <f>IF(L162="",M162/100,H162*L162/100)</f>
        <v/>
      </c>
      <c r="Q162">
        <f>H162-C162/42-P162</f>
        <v/>
      </c>
      <c r="R162">
        <f>H162-E162</f>
        <v/>
      </c>
    </row>
    <row r="163">
      <c r="A163" s="3" t="n">
        <v>39482</v>
      </c>
      <c r="B163" s="3" t="n">
        <v>39479</v>
      </c>
      <c r="C163" t="n">
        <v>91.14</v>
      </c>
      <c r="D163" t="n">
        <v>91.77</v>
      </c>
      <c r="E163" t="n">
        <v>2.301</v>
      </c>
      <c r="F163" t="n">
        <v>2.281</v>
      </c>
      <c r="G163" t="n">
        <v>2.386</v>
      </c>
      <c r="H163" t="n">
        <v>2.978</v>
      </c>
      <c r="J163" t="n">
        <v>2.941</v>
      </c>
      <c r="K163" t="n">
        <v>3.107</v>
      </c>
      <c r="L163" t="n">
        <v>13.2</v>
      </c>
      <c r="N163">
        <f>IF(OR(E163="",C163=""),"",E163-C163/42)</f>
        <v/>
      </c>
      <c r="O163">
        <f>IF(OR(E163="",D163=""),"",E163-D163/42)</f>
        <v/>
      </c>
      <c r="P163">
        <f>IF(L163="",M163/100,H163*L163/100)</f>
        <v/>
      </c>
      <c r="Q163">
        <f>H163-C163/42-P163</f>
        <v/>
      </c>
      <c r="R163">
        <f>H163-E163</f>
        <v/>
      </c>
    </row>
    <row r="164">
      <c r="A164" s="3" t="n">
        <v>39489</v>
      </c>
      <c r="B164" s="3" t="n">
        <v>39486</v>
      </c>
      <c r="C164" t="n">
        <v>89.08</v>
      </c>
      <c r="D164" t="n">
        <v>89.88</v>
      </c>
      <c r="E164" t="n">
        <v>2.245</v>
      </c>
      <c r="F164" t="n">
        <v>2.219</v>
      </c>
      <c r="G164" t="n">
        <v>2.457</v>
      </c>
      <c r="H164" t="n">
        <v>2.96</v>
      </c>
      <c r="J164" t="n">
        <v>2.935</v>
      </c>
      <c r="K164" t="n">
        <v>3.108</v>
      </c>
      <c r="L164" t="n">
        <v>13.2</v>
      </c>
      <c r="N164">
        <f>IF(OR(E164="",C164=""),"",E164-C164/42)</f>
        <v/>
      </c>
      <c r="O164">
        <f>IF(OR(E164="",D164=""),"",E164-D164/42)</f>
        <v/>
      </c>
      <c r="P164">
        <f>IF(L164="",M164/100,H164*L164/100)</f>
        <v/>
      </c>
      <c r="Q164">
        <f>H164-C164/42-P164</f>
        <v/>
      </c>
      <c r="R164">
        <f>H164-E164</f>
        <v/>
      </c>
    </row>
    <row r="165">
      <c r="A165" s="3" t="n">
        <v>39496</v>
      </c>
      <c r="B165" s="3" t="n">
        <v>39493</v>
      </c>
      <c r="C165" t="n">
        <v>94.13</v>
      </c>
      <c r="D165" t="n">
        <v>94.98</v>
      </c>
      <c r="E165" t="n">
        <v>2.38</v>
      </c>
      <c r="F165" t="n">
        <v>2.362</v>
      </c>
      <c r="G165" t="n">
        <v>2.524</v>
      </c>
      <c r="H165" t="n">
        <v>3.042</v>
      </c>
      <c r="J165" t="n">
        <v>2.959</v>
      </c>
      <c r="K165" t="n">
        <v>3.191</v>
      </c>
      <c r="L165" t="n">
        <v>13.2</v>
      </c>
      <c r="N165">
        <f>IF(OR(E165="",C165=""),"",E165-C165/42)</f>
        <v/>
      </c>
      <c r="O165">
        <f>IF(OR(E165="",D165=""),"",E165-D165/42)</f>
        <v/>
      </c>
      <c r="P165">
        <f>IF(L165="",M165/100,H165*L165/100)</f>
        <v/>
      </c>
      <c r="Q165">
        <f>H165-C165/42-P165</f>
        <v/>
      </c>
      <c r="R165">
        <f>H165-E165</f>
        <v/>
      </c>
    </row>
    <row r="166">
      <c r="A166" s="3" t="n">
        <v>39503</v>
      </c>
      <c r="B166" s="3" t="n">
        <v>39500</v>
      </c>
      <c r="C166" t="n">
        <v>99.61</v>
      </c>
      <c r="D166" t="n">
        <v>97.13</v>
      </c>
      <c r="E166" t="n">
        <v>2.535</v>
      </c>
      <c r="F166" t="n">
        <v>2.527</v>
      </c>
      <c r="G166" t="n">
        <v>2.732</v>
      </c>
      <c r="H166" t="n">
        <v>3.13</v>
      </c>
      <c r="J166" t="n">
        <v>3.051</v>
      </c>
      <c r="K166" t="n">
        <v>3.328</v>
      </c>
      <c r="L166" t="n">
        <v>13.2</v>
      </c>
      <c r="N166">
        <f>IF(OR(E166="",C166=""),"",E166-C166/42)</f>
        <v/>
      </c>
      <c r="O166">
        <f>IF(OR(E166="",D166=""),"",E166-D166/42)</f>
        <v/>
      </c>
      <c r="P166">
        <f>IF(L166="",M166/100,H166*L166/100)</f>
        <v/>
      </c>
      <c r="Q166">
        <f>H166-C166/42-P166</f>
        <v/>
      </c>
      <c r="R166">
        <f>H166-E166</f>
        <v/>
      </c>
    </row>
    <row r="167">
      <c r="A167" s="3" t="n">
        <v>39510</v>
      </c>
      <c r="B167" s="3" t="n">
        <v>39507</v>
      </c>
      <c r="C167" t="n">
        <v>100.84</v>
      </c>
      <c r="D167" t="n">
        <v>99.09999999999999</v>
      </c>
      <c r="E167" t="n">
        <v>2.532</v>
      </c>
      <c r="F167" t="n">
        <v>2.478</v>
      </c>
      <c r="G167" t="n">
        <v>2.785</v>
      </c>
      <c r="H167" t="n">
        <v>3.162</v>
      </c>
      <c r="J167" t="n">
        <v>3.088</v>
      </c>
      <c r="K167" t="n">
        <v>3.459</v>
      </c>
      <c r="L167" t="n">
        <v>12.3</v>
      </c>
      <c r="N167">
        <f>IF(OR(E167="",C167=""),"",E167-C167/42)</f>
        <v/>
      </c>
      <c r="O167">
        <f>IF(OR(E167="",D167=""),"",E167-D167/42)</f>
        <v/>
      </c>
      <c r="P167">
        <f>IF(L167="",M167/100,H167*L167/100)</f>
        <v/>
      </c>
      <c r="Q167">
        <f>H167-C167/42-P167</f>
        <v/>
      </c>
      <c r="R167">
        <f>H167-E167</f>
        <v/>
      </c>
    </row>
    <row r="168">
      <c r="A168" s="3" t="n">
        <v>39517</v>
      </c>
      <c r="B168" s="3" t="n">
        <v>39514</v>
      </c>
      <c r="C168" t="n">
        <v>103.44</v>
      </c>
      <c r="D168" t="n">
        <v>101.9</v>
      </c>
      <c r="E168" t="n">
        <v>2.539</v>
      </c>
      <c r="F168" t="n">
        <v>2.492</v>
      </c>
      <c r="G168" t="n">
        <v>2.749</v>
      </c>
      <c r="H168" t="n">
        <v>3.225</v>
      </c>
      <c r="J168" t="n">
        <v>3.109</v>
      </c>
      <c r="K168" t="n">
        <v>3.537</v>
      </c>
      <c r="L168" t="n">
        <v>12.3</v>
      </c>
      <c r="N168">
        <f>IF(OR(E168="",C168=""),"",E168-C168/42)</f>
        <v/>
      </c>
      <c r="O168">
        <f>IF(OR(E168="",D168=""),"",E168-D168/42)</f>
        <v/>
      </c>
      <c r="P168">
        <f>IF(L168="",M168/100,H168*L168/100)</f>
        <v/>
      </c>
      <c r="Q168">
        <f>H168-C168/42-P168</f>
        <v/>
      </c>
      <c r="R168">
        <f>H168-E168</f>
        <v/>
      </c>
    </row>
    <row r="169">
      <c r="A169" s="3" t="n">
        <v>39524</v>
      </c>
      <c r="B169" s="3" t="n">
        <v>39521</v>
      </c>
      <c r="C169" t="n">
        <v>109.35</v>
      </c>
      <c r="D169" t="n">
        <v>107.69</v>
      </c>
      <c r="E169" t="n">
        <v>2.603</v>
      </c>
      <c r="F169" t="n">
        <v>2.561</v>
      </c>
      <c r="G169" t="n">
        <v>2.806</v>
      </c>
      <c r="H169" t="n">
        <v>3.284</v>
      </c>
      <c r="J169" t="n">
        <v>3.178</v>
      </c>
      <c r="K169" t="n">
        <v>3.604</v>
      </c>
      <c r="L169" t="n">
        <v>12.3</v>
      </c>
      <c r="N169">
        <f>IF(OR(E169="",C169=""),"",E169-C169/42)</f>
        <v/>
      </c>
      <c r="O169">
        <f>IF(OR(E169="",D169=""),"",E169-D169/42)</f>
        <v/>
      </c>
      <c r="P169">
        <f>IF(L169="",M169/100,H169*L169/100)</f>
        <v/>
      </c>
      <c r="Q169">
        <f>H169-C169/42-P169</f>
        <v/>
      </c>
      <c r="R169">
        <f>H169-E169</f>
        <v/>
      </c>
    </row>
    <row r="170">
      <c r="A170" s="3" t="n">
        <v>39531</v>
      </c>
      <c r="B170" s="3" t="n">
        <v>39528</v>
      </c>
      <c r="C170" t="n">
        <v>105.28</v>
      </c>
      <c r="D170" t="n">
        <v>103.05</v>
      </c>
      <c r="E170" t="n">
        <v>2.493</v>
      </c>
      <c r="F170" t="n">
        <v>2.392</v>
      </c>
      <c r="G170" t="n">
        <v>2.648</v>
      </c>
      <c r="H170" t="n">
        <v>3.259</v>
      </c>
      <c r="J170" t="n">
        <v>3.198</v>
      </c>
      <c r="K170" t="n">
        <v>3.602</v>
      </c>
      <c r="L170" t="n">
        <v>12.3</v>
      </c>
      <c r="N170">
        <f>IF(OR(E170="",C170=""),"",E170-C170/42)</f>
        <v/>
      </c>
      <c r="O170">
        <f>IF(OR(E170="",D170=""),"",E170-D170/42)</f>
        <v/>
      </c>
      <c r="P170">
        <f>IF(L170="",M170/100,H170*L170/100)</f>
        <v/>
      </c>
      <c r="Q170">
        <f>H170-C170/42-P170</f>
        <v/>
      </c>
      <c r="R170">
        <f>H170-E170</f>
        <v/>
      </c>
    </row>
    <row r="171">
      <c r="A171" s="3" t="n">
        <v>39538</v>
      </c>
      <c r="B171" s="3" t="n">
        <v>39535</v>
      </c>
      <c r="C171" t="n">
        <v>104.49</v>
      </c>
      <c r="D171" t="n">
        <v>102.05</v>
      </c>
      <c r="E171" t="n">
        <v>2.604</v>
      </c>
      <c r="F171" t="n">
        <v>2.568</v>
      </c>
      <c r="G171" t="n">
        <v>2.88</v>
      </c>
      <c r="H171" t="n">
        <v>3.29</v>
      </c>
      <c r="J171" t="n">
        <v>3.232</v>
      </c>
      <c r="K171" t="n">
        <v>3.608</v>
      </c>
      <c r="L171" t="n">
        <v>12.3</v>
      </c>
      <c r="N171">
        <f>IF(OR(E171="",C171=""),"",E171-C171/42)</f>
        <v/>
      </c>
      <c r="O171">
        <f>IF(OR(E171="",D171=""),"",E171-D171/42)</f>
        <v/>
      </c>
      <c r="P171">
        <f>IF(L171="",M171/100,H171*L171/100)</f>
        <v/>
      </c>
      <c r="Q171">
        <f>H171-C171/42-P171</f>
        <v/>
      </c>
      <c r="R171">
        <f>H171-E171</f>
        <v/>
      </c>
    </row>
    <row r="172">
      <c r="A172" s="3" t="n">
        <v>39545</v>
      </c>
      <c r="B172" s="3" t="n">
        <v>39542</v>
      </c>
      <c r="C172" t="n">
        <v>103.46</v>
      </c>
      <c r="D172" t="n">
        <v>100.88</v>
      </c>
      <c r="E172" t="n">
        <v>2.631</v>
      </c>
      <c r="F172" t="n">
        <v>2.515</v>
      </c>
      <c r="G172" t="n">
        <v>2.942</v>
      </c>
      <c r="H172" t="n">
        <v>3.332</v>
      </c>
      <c r="J172" t="n">
        <v>3.267</v>
      </c>
      <c r="K172" t="n">
        <v>3.685</v>
      </c>
      <c r="L172" t="n">
        <v>11.5</v>
      </c>
      <c r="N172">
        <f>IF(OR(E172="",C172=""),"",E172-C172/42)</f>
        <v/>
      </c>
      <c r="O172">
        <f>IF(OR(E172="",D172=""),"",E172-D172/42)</f>
        <v/>
      </c>
      <c r="P172">
        <f>IF(L172="",M172/100,H172*L172/100)</f>
        <v/>
      </c>
      <c r="Q172">
        <f>H172-C172/42-P172</f>
        <v/>
      </c>
      <c r="R172">
        <f>H172-E172</f>
        <v/>
      </c>
    </row>
    <row r="173">
      <c r="A173" s="3" t="n">
        <v>39552</v>
      </c>
      <c r="B173" s="3" t="n">
        <v>39549</v>
      </c>
      <c r="C173" t="n">
        <v>109.71</v>
      </c>
      <c r="D173" t="n">
        <v>106.6</v>
      </c>
      <c r="E173" t="n">
        <v>2.694</v>
      </c>
      <c r="F173" t="n">
        <v>2.675</v>
      </c>
      <c r="G173" t="n">
        <v>3.043</v>
      </c>
      <c r="H173" t="n">
        <v>3.389</v>
      </c>
      <c r="J173" t="n">
        <v>3.324</v>
      </c>
      <c r="K173" t="n">
        <v>3.774</v>
      </c>
      <c r="L173" t="n">
        <v>11.5</v>
      </c>
      <c r="N173">
        <f>IF(OR(E173="",C173=""),"",E173-C173/42)</f>
        <v/>
      </c>
      <c r="O173">
        <f>IF(OR(E173="",D173=""),"",E173-D173/42)</f>
        <v/>
      </c>
      <c r="P173">
        <f>IF(L173="",M173/100,H173*L173/100)</f>
        <v/>
      </c>
      <c r="Q173">
        <f>H173-C173/42-P173</f>
        <v/>
      </c>
      <c r="R173">
        <f>H173-E173</f>
        <v/>
      </c>
    </row>
    <row r="174">
      <c r="A174" s="3" t="n">
        <v>39559</v>
      </c>
      <c r="B174" s="3" t="n">
        <v>39556</v>
      </c>
      <c r="C174" t="n">
        <v>114.33</v>
      </c>
      <c r="D174" t="n">
        <v>110.42</v>
      </c>
      <c r="E174" t="n">
        <v>2.833</v>
      </c>
      <c r="F174" t="n">
        <v>2.819</v>
      </c>
      <c r="G174" t="n">
        <v>3.106</v>
      </c>
      <c r="H174" t="n">
        <v>3.508</v>
      </c>
      <c r="J174" t="n">
        <v>3.416</v>
      </c>
      <c r="K174" t="n">
        <v>3.846</v>
      </c>
      <c r="L174" t="n">
        <v>11.5</v>
      </c>
      <c r="N174">
        <f>IF(OR(E174="",C174=""),"",E174-C174/42)</f>
        <v/>
      </c>
      <c r="O174">
        <f>IF(OR(E174="",D174=""),"",E174-D174/42)</f>
        <v/>
      </c>
      <c r="P174">
        <f>IF(L174="",M174/100,H174*L174/100)</f>
        <v/>
      </c>
      <c r="Q174">
        <f>H174-C174/42-P174</f>
        <v/>
      </c>
      <c r="R174">
        <f>H174-E174</f>
        <v/>
      </c>
    </row>
    <row r="175">
      <c r="A175" s="3" t="n">
        <v>39566</v>
      </c>
      <c r="B175" s="3" t="n">
        <v>39563</v>
      </c>
      <c r="C175" t="n">
        <v>118.53</v>
      </c>
      <c r="D175" t="n">
        <v>114.34</v>
      </c>
      <c r="E175" t="n">
        <v>2.934</v>
      </c>
      <c r="F175" t="n">
        <v>2.912</v>
      </c>
      <c r="G175" t="n">
        <v>3.15</v>
      </c>
      <c r="H175" t="n">
        <v>3.603</v>
      </c>
      <c r="J175" t="n">
        <v>3.478</v>
      </c>
      <c r="K175" t="n">
        <v>3.892</v>
      </c>
      <c r="L175" t="n">
        <v>11.5</v>
      </c>
      <c r="N175">
        <f>IF(OR(E175="",C175=""),"",E175-C175/42)</f>
        <v/>
      </c>
      <c r="O175">
        <f>IF(OR(E175="",D175=""),"",E175-D175/42)</f>
        <v/>
      </c>
      <c r="P175">
        <f>IF(L175="",M175/100,H175*L175/100)</f>
        <v/>
      </c>
      <c r="Q175">
        <f>H175-C175/42-P175</f>
        <v/>
      </c>
      <c r="R175">
        <f>H175-E175</f>
        <v/>
      </c>
    </row>
    <row r="176">
      <c r="A176" s="3" t="n">
        <v>39573</v>
      </c>
      <c r="B176" s="3" t="n">
        <v>39570</v>
      </c>
      <c r="C176" t="n">
        <v>115.42</v>
      </c>
      <c r="D176" t="n">
        <v>111.98</v>
      </c>
      <c r="E176" t="n">
        <v>2.84</v>
      </c>
      <c r="F176" t="n">
        <v>2.837</v>
      </c>
      <c r="G176" t="n">
        <v>3.044</v>
      </c>
      <c r="H176" t="n">
        <v>3.613</v>
      </c>
      <c r="J176" t="n">
        <v>3.494</v>
      </c>
      <c r="K176" t="n">
        <v>3.903</v>
      </c>
      <c r="L176" t="n">
        <v>10.6</v>
      </c>
      <c r="N176">
        <f>IF(OR(E176="",C176=""),"",E176-C176/42)</f>
        <v/>
      </c>
      <c r="O176">
        <f>IF(OR(E176="",D176=""),"",E176-D176/42)</f>
        <v/>
      </c>
      <c r="P176">
        <f>IF(L176="",M176/100,H176*L176/100)</f>
        <v/>
      </c>
      <c r="Q176">
        <f>H176-C176/42-P176</f>
        <v/>
      </c>
      <c r="R176">
        <f>H176-E176</f>
        <v/>
      </c>
    </row>
    <row r="177">
      <c r="A177" s="3" t="n">
        <v>39580</v>
      </c>
      <c r="B177" s="3" t="n">
        <v>39577</v>
      </c>
      <c r="C177" t="n">
        <v>123.01</v>
      </c>
      <c r="D177" t="n">
        <v>119.84</v>
      </c>
      <c r="E177" t="n">
        <v>3.029</v>
      </c>
      <c r="F177" t="n">
        <v>3.018</v>
      </c>
      <c r="G177" t="n">
        <v>3.193</v>
      </c>
      <c r="H177" t="n">
        <v>3.722</v>
      </c>
      <c r="J177" t="n">
        <v>3.609</v>
      </c>
      <c r="K177" t="n">
        <v>3.919</v>
      </c>
      <c r="L177" t="n">
        <v>10.6</v>
      </c>
      <c r="N177">
        <f>IF(OR(E177="",C177=""),"",E177-C177/42)</f>
        <v/>
      </c>
      <c r="O177">
        <f>IF(OR(E177="",D177=""),"",E177-D177/42)</f>
        <v/>
      </c>
      <c r="P177">
        <f>IF(L177="",M177/100,H177*L177/100)</f>
        <v/>
      </c>
      <c r="Q177">
        <f>H177-C177/42-P177</f>
        <v/>
      </c>
      <c r="R177">
        <f>H177-E177</f>
        <v/>
      </c>
    </row>
    <row r="178">
      <c r="A178" s="3" t="n">
        <v>39587</v>
      </c>
      <c r="B178" s="3" t="n">
        <v>39584</v>
      </c>
      <c r="C178" t="n">
        <v>124.96</v>
      </c>
      <c r="D178" t="n">
        <v>122.58</v>
      </c>
      <c r="E178" t="n">
        <v>3.091</v>
      </c>
      <c r="F178" t="n">
        <v>3.067</v>
      </c>
      <c r="G178" t="n">
        <v>3.194</v>
      </c>
      <c r="H178" t="n">
        <v>3.791</v>
      </c>
      <c r="J178" t="n">
        <v>3.686</v>
      </c>
      <c r="K178" t="n">
        <v>3.952</v>
      </c>
      <c r="L178" t="n">
        <v>10.6</v>
      </c>
      <c r="N178">
        <f>IF(OR(E178="",C178=""),"",E178-C178/42)</f>
        <v/>
      </c>
      <c r="O178">
        <f>IF(OR(E178="",D178=""),"",E178-D178/42)</f>
        <v/>
      </c>
      <c r="P178">
        <f>IF(L178="",M178/100,H178*L178/100)</f>
        <v/>
      </c>
      <c r="Q178">
        <f>H178-C178/42-P178</f>
        <v/>
      </c>
      <c r="R178">
        <f>H178-E178</f>
        <v/>
      </c>
    </row>
    <row r="179">
      <c r="A179" s="3" t="n">
        <v>39594</v>
      </c>
      <c r="B179" s="3" t="n">
        <v>39591</v>
      </c>
      <c r="C179" t="n">
        <v>130.14</v>
      </c>
      <c r="D179" t="n">
        <v>126.47</v>
      </c>
      <c r="E179" t="n">
        <v>3.224</v>
      </c>
      <c r="F179" t="n">
        <v>3.209</v>
      </c>
      <c r="G179" t="n">
        <v>3.435</v>
      </c>
      <c r="H179" t="n">
        <v>3.937</v>
      </c>
      <c r="J179" t="n">
        <v>3.851</v>
      </c>
      <c r="K179" t="n">
        <v>4.099</v>
      </c>
      <c r="L179" t="n">
        <v>10.6</v>
      </c>
      <c r="N179">
        <f>IF(OR(E179="",C179=""),"",E179-C179/42)</f>
        <v/>
      </c>
      <c r="O179">
        <f>IF(OR(E179="",D179=""),"",E179-D179/42)</f>
        <v/>
      </c>
      <c r="P179">
        <f>IF(L179="",M179/100,H179*L179/100)</f>
        <v/>
      </c>
      <c r="Q179">
        <f>H179-C179/42-P179</f>
        <v/>
      </c>
      <c r="R179">
        <f>H179-E179</f>
        <v/>
      </c>
    </row>
    <row r="180">
      <c r="A180" s="3" t="n">
        <v>39601</v>
      </c>
      <c r="B180" s="3" t="n">
        <v>39598</v>
      </c>
      <c r="C180" t="n">
        <v>128.47</v>
      </c>
      <c r="D180" t="n">
        <v>128.76</v>
      </c>
      <c r="E180" t="n">
        <v>3.229</v>
      </c>
      <c r="F180" t="n">
        <v>3.241</v>
      </c>
      <c r="G180" t="n">
        <v>3.601</v>
      </c>
      <c r="H180" t="n">
        <v>3.976</v>
      </c>
      <c r="J180" t="n">
        <v>3.89</v>
      </c>
      <c r="K180" t="n">
        <v>4.242</v>
      </c>
      <c r="L180" t="n">
        <v>9.800000000000001</v>
      </c>
      <c r="N180">
        <f>IF(OR(E180="",C180=""),"",E180-C180/42)</f>
        <v/>
      </c>
      <c r="O180">
        <f>IF(OR(E180="",D180=""),"",E180-D180/42)</f>
        <v/>
      </c>
      <c r="P180">
        <f>IF(L180="",M180/100,H180*L180/100)</f>
        <v/>
      </c>
      <c r="Q180">
        <f>H180-C180/42-P180</f>
        <v/>
      </c>
      <c r="R180">
        <f>H180-E180</f>
        <v/>
      </c>
    </row>
    <row r="181">
      <c r="A181" s="3" t="n">
        <v>39608</v>
      </c>
      <c r="B181" s="3" t="n">
        <v>39605</v>
      </c>
      <c r="C181" t="n">
        <v>128.16</v>
      </c>
      <c r="D181" t="n">
        <v>126.33</v>
      </c>
      <c r="E181" t="n">
        <v>3.225</v>
      </c>
      <c r="F181" t="n">
        <v>3.218</v>
      </c>
      <c r="G181" t="n">
        <v>3.761</v>
      </c>
      <c r="H181" t="n">
        <v>4.039</v>
      </c>
      <c r="J181" t="n">
        <v>3.941</v>
      </c>
      <c r="K181" t="n">
        <v>4.433</v>
      </c>
      <c r="L181" t="n">
        <v>9.800000000000001</v>
      </c>
      <c r="N181">
        <f>IF(OR(E181="",C181=""),"",E181-C181/42)</f>
        <v/>
      </c>
      <c r="O181">
        <f>IF(OR(E181="",D181=""),"",E181-D181/42)</f>
        <v/>
      </c>
      <c r="P181">
        <f>IF(L181="",M181/100,H181*L181/100)</f>
        <v/>
      </c>
      <c r="Q181">
        <f>H181-C181/42-P181</f>
        <v/>
      </c>
      <c r="R181">
        <f>H181-E181</f>
        <v/>
      </c>
    </row>
    <row r="182">
      <c r="A182" s="3" t="n">
        <v>39615</v>
      </c>
      <c r="B182" s="3" t="n">
        <v>39612</v>
      </c>
      <c r="C182" t="n">
        <v>134.8</v>
      </c>
      <c r="D182" t="n">
        <v>134.12</v>
      </c>
      <c r="E182" t="n">
        <v>3.281</v>
      </c>
      <c r="F182" t="n">
        <v>3.331</v>
      </c>
      <c r="G182" t="n">
        <v>3.754</v>
      </c>
      <c r="H182" t="n">
        <v>4.082</v>
      </c>
      <c r="J182" t="n">
        <v>3.994</v>
      </c>
      <c r="K182" t="n">
        <v>4.588</v>
      </c>
      <c r="L182" t="n">
        <v>9.800000000000001</v>
      </c>
      <c r="N182">
        <f>IF(OR(E182="",C182=""),"",E182-C182/42)</f>
        <v/>
      </c>
      <c r="O182">
        <f>IF(OR(E182="",D182=""),"",E182-D182/42)</f>
        <v/>
      </c>
      <c r="P182">
        <f>IF(L182="",M182/100,H182*L182/100)</f>
        <v/>
      </c>
      <c r="Q182">
        <f>H182-C182/42-P182</f>
        <v/>
      </c>
      <c r="R182">
        <f>H182-E182</f>
        <v/>
      </c>
    </row>
    <row r="183">
      <c r="A183" s="3" t="n">
        <v>39622</v>
      </c>
      <c r="B183" s="3" t="n">
        <v>39619</v>
      </c>
      <c r="C183" t="n">
        <v>134.34</v>
      </c>
      <c r="D183" t="n">
        <v>132.08</v>
      </c>
      <c r="E183" t="n">
        <v>3.275</v>
      </c>
      <c r="F183" t="n">
        <v>3.296</v>
      </c>
      <c r="G183" t="n">
        <v>3.663</v>
      </c>
      <c r="H183" t="n">
        <v>4.079</v>
      </c>
      <c r="J183" t="n">
        <v>4.002</v>
      </c>
      <c r="K183" t="n">
        <v>4.585</v>
      </c>
      <c r="L183" t="n">
        <v>9.800000000000001</v>
      </c>
      <c r="N183">
        <f>IF(OR(E183="",C183=""),"",E183-C183/42)</f>
        <v/>
      </c>
      <c r="O183">
        <f>IF(OR(E183="",D183=""),"",E183-D183/42)</f>
        <v/>
      </c>
      <c r="P183">
        <f>IF(L183="",M183/100,H183*L183/100)</f>
        <v/>
      </c>
      <c r="Q183">
        <f>H183-C183/42-P183</f>
        <v/>
      </c>
      <c r="R183">
        <f>H183-E183</f>
        <v/>
      </c>
    </row>
    <row r="184">
      <c r="A184" s="3" t="n">
        <v>39629</v>
      </c>
      <c r="B184" s="3" t="n">
        <v>39626</v>
      </c>
      <c r="C184" t="n">
        <v>137</v>
      </c>
      <c r="D184" t="n">
        <v>135.54</v>
      </c>
      <c r="E184" t="n">
        <v>3.342</v>
      </c>
      <c r="F184" t="n">
        <v>3.319</v>
      </c>
      <c r="G184" t="n">
        <v>3.621</v>
      </c>
      <c r="H184" t="n">
        <v>4.095</v>
      </c>
      <c r="J184" t="n">
        <v>4.034</v>
      </c>
      <c r="K184" t="n">
        <v>4.573</v>
      </c>
      <c r="L184" t="n">
        <v>9.800000000000001</v>
      </c>
      <c r="N184">
        <f>IF(OR(E184="",C184=""),"",E184-C184/42)</f>
        <v/>
      </c>
      <c r="O184">
        <f>IF(OR(E184="",D184=""),"",E184-D184/42)</f>
        <v/>
      </c>
      <c r="P184">
        <f>IF(L184="",M184/100,H184*L184/100)</f>
        <v/>
      </c>
      <c r="Q184">
        <f>H184-C184/42-P184</f>
        <v/>
      </c>
      <c r="R184">
        <f>H184-E184</f>
        <v/>
      </c>
    </row>
    <row r="185">
      <c r="A185" s="3" t="n">
        <v>39636</v>
      </c>
      <c r="B185" s="3" t="n">
        <v>39633</v>
      </c>
      <c r="C185" t="n">
        <v>142.52</v>
      </c>
      <c r="D185" t="n">
        <v>141.07</v>
      </c>
      <c r="E185" t="n">
        <v>3.371</v>
      </c>
      <c r="F185" t="n">
        <v>3.36</v>
      </c>
      <c r="G185" t="n">
        <v>3.58</v>
      </c>
      <c r="H185" t="n">
        <v>4.114</v>
      </c>
      <c r="J185" t="n">
        <v>4.065</v>
      </c>
      <c r="K185" t="n">
        <v>4.55</v>
      </c>
      <c r="L185" t="n">
        <v>9.800000000000001</v>
      </c>
      <c r="N185">
        <f>IF(OR(E185="",C185=""),"",E185-C185/42)</f>
        <v/>
      </c>
      <c r="O185">
        <f>IF(OR(E185="",D185=""),"",E185-D185/42)</f>
        <v/>
      </c>
      <c r="P185">
        <f>IF(L185="",M185/100,H185*L185/100)</f>
        <v/>
      </c>
      <c r="Q185">
        <f>H185-C185/42-P185</f>
        <v/>
      </c>
      <c r="R185">
        <f>H185-E185</f>
        <v/>
      </c>
    </row>
    <row r="186">
      <c r="A186" s="3" t="n">
        <v>39643</v>
      </c>
      <c r="B186" s="3" t="n">
        <v>39640</v>
      </c>
      <c r="C186" t="n">
        <v>139.95</v>
      </c>
      <c r="D186" t="n">
        <v>137.43</v>
      </c>
      <c r="E186" t="n">
        <v>3.31</v>
      </c>
      <c r="F186" t="n">
        <v>3.295</v>
      </c>
      <c r="G186" t="n">
        <v>3.463</v>
      </c>
      <c r="H186" t="n">
        <v>4.113</v>
      </c>
      <c r="J186" t="n">
        <v>4.097</v>
      </c>
      <c r="K186" t="n">
        <v>4.52</v>
      </c>
      <c r="L186" t="n">
        <v>9.800000000000001</v>
      </c>
      <c r="N186">
        <f>IF(OR(E186="",C186=""),"",E186-C186/42)</f>
        <v/>
      </c>
      <c r="O186">
        <f>IF(OR(E186="",D186=""),"",E186-D186/42)</f>
        <v/>
      </c>
      <c r="P186">
        <f>IF(L186="",M186/100,H186*L186/100)</f>
        <v/>
      </c>
      <c r="Q186">
        <f>H186-C186/42-P186</f>
        <v/>
      </c>
      <c r="R186">
        <f>H186-E186</f>
        <v/>
      </c>
    </row>
    <row r="187">
      <c r="A187" s="3" t="n">
        <v>39650</v>
      </c>
      <c r="B187" s="3" t="n">
        <v>39647</v>
      </c>
      <c r="C187" t="n">
        <v>135.37</v>
      </c>
      <c r="D187" t="n">
        <v>135.05</v>
      </c>
      <c r="E187" t="n">
        <v>3.175</v>
      </c>
      <c r="F187" t="n">
        <v>3.164</v>
      </c>
      <c r="G187" t="n">
        <v>3.286</v>
      </c>
      <c r="H187" t="n">
        <v>4.064</v>
      </c>
      <c r="J187" t="n">
        <v>4.105</v>
      </c>
      <c r="K187" t="n">
        <v>4.46</v>
      </c>
      <c r="L187" t="n">
        <v>9.800000000000001</v>
      </c>
      <c r="N187">
        <f>IF(OR(E187="",C187=""),"",E187-C187/42)</f>
        <v/>
      </c>
      <c r="O187">
        <f>IF(OR(E187="",D187=""),"",E187-D187/42)</f>
        <v/>
      </c>
      <c r="P187">
        <f>IF(L187="",M187/100,H187*L187/100)</f>
        <v/>
      </c>
      <c r="Q187">
        <f>H187-C187/42-P187</f>
        <v/>
      </c>
      <c r="R187">
        <f>H187-E187</f>
        <v/>
      </c>
    </row>
    <row r="188">
      <c r="A188" s="3" t="n">
        <v>39657</v>
      </c>
      <c r="B188" s="3" t="n">
        <v>39654</v>
      </c>
      <c r="C188" t="n">
        <v>125.92</v>
      </c>
      <c r="D188" t="n">
        <v>126.7</v>
      </c>
      <c r="E188" t="n">
        <v>2.992</v>
      </c>
      <c r="F188" t="n">
        <v>2.979</v>
      </c>
      <c r="G188" t="n">
        <v>3.078</v>
      </c>
      <c r="H188" t="n">
        <v>3.955</v>
      </c>
      <c r="J188" t="n">
        <v>4.06</v>
      </c>
      <c r="K188" t="n">
        <v>4.317</v>
      </c>
      <c r="L188" t="n">
        <v>9.800000000000001</v>
      </c>
      <c r="N188">
        <f>IF(OR(E188="",C188=""),"",E188-C188/42)</f>
        <v/>
      </c>
      <c r="O188">
        <f>IF(OR(E188="",D188=""),"",E188-D188/42)</f>
        <v/>
      </c>
      <c r="P188">
        <f>IF(L188="",M188/100,H188*L188/100)</f>
        <v/>
      </c>
      <c r="Q188">
        <f>H188-C188/42-P188</f>
        <v/>
      </c>
      <c r="R188">
        <f>H188-E188</f>
        <v/>
      </c>
    </row>
    <row r="189">
      <c r="A189" s="3" t="n">
        <v>39664</v>
      </c>
      <c r="B189" s="3" t="n">
        <v>39661</v>
      </c>
      <c r="C189" t="n">
        <v>124.57</v>
      </c>
      <c r="D189" t="n">
        <v>124.43</v>
      </c>
      <c r="E189" t="n">
        <v>2.998</v>
      </c>
      <c r="F189" t="n">
        <v>2.99</v>
      </c>
      <c r="G189" t="n">
        <v>3.108</v>
      </c>
      <c r="H189" t="n">
        <v>3.88</v>
      </c>
      <c r="J189" t="n">
        <v>4.006</v>
      </c>
      <c r="K189" t="n">
        <v>4.205</v>
      </c>
      <c r="L189" t="n">
        <v>10.6</v>
      </c>
      <c r="N189">
        <f>IF(OR(E189="",C189=""),"",E189-C189/42)</f>
        <v/>
      </c>
      <c r="O189">
        <f>IF(OR(E189="",D189=""),"",E189-D189/42)</f>
        <v/>
      </c>
      <c r="P189">
        <f>IF(L189="",M189/100,H189*L189/100)</f>
        <v/>
      </c>
      <c r="Q189">
        <f>H189-C189/42-P189</f>
        <v/>
      </c>
      <c r="R189">
        <f>H189-E189</f>
        <v/>
      </c>
    </row>
    <row r="190">
      <c r="A190" s="3" t="n">
        <v>39671</v>
      </c>
      <c r="B190" s="3" t="n">
        <v>39668</v>
      </c>
      <c r="C190" t="n">
        <v>118.8</v>
      </c>
      <c r="D190" t="n">
        <v>116.56</v>
      </c>
      <c r="E190" t="n">
        <v>2.945</v>
      </c>
      <c r="F190" t="n">
        <v>2.894</v>
      </c>
      <c r="G190" t="n">
        <v>3.085</v>
      </c>
      <c r="H190" t="n">
        <v>3.809</v>
      </c>
      <c r="J190" t="n">
        <v>3.953</v>
      </c>
      <c r="K190" t="n">
        <v>4.118</v>
      </c>
      <c r="L190" t="n">
        <v>10.6</v>
      </c>
      <c r="N190">
        <f>IF(OR(E190="",C190=""),"",E190-C190/42)</f>
        <v/>
      </c>
      <c r="O190">
        <f>IF(OR(E190="",D190=""),"",E190-D190/42)</f>
        <v/>
      </c>
      <c r="P190">
        <f>IF(L190="",M190/100,H190*L190/100)</f>
        <v/>
      </c>
      <c r="Q190">
        <f>H190-C190/42-P190</f>
        <v/>
      </c>
      <c r="R190">
        <f>H190-E190</f>
        <v/>
      </c>
    </row>
    <row r="191">
      <c r="A191" s="3" t="n">
        <v>39678</v>
      </c>
      <c r="B191" s="3" t="n">
        <v>39675</v>
      </c>
      <c r="C191" t="n">
        <v>114.4</v>
      </c>
      <c r="D191" t="n">
        <v>110.16</v>
      </c>
      <c r="E191" t="n">
        <v>2.922</v>
      </c>
      <c r="F191" t="n">
        <v>2.861</v>
      </c>
      <c r="G191" t="n">
        <v>3.134</v>
      </c>
      <c r="H191" t="n">
        <v>3.74</v>
      </c>
      <c r="J191" t="n">
        <v>3.888</v>
      </c>
      <c r="K191" t="n">
        <v>4.037</v>
      </c>
      <c r="L191" t="n">
        <v>10.6</v>
      </c>
      <c r="N191">
        <f>IF(OR(E191="",C191=""),"",E191-C191/42)</f>
        <v/>
      </c>
      <c r="O191">
        <f>IF(OR(E191="",D191=""),"",E191-D191/42)</f>
        <v/>
      </c>
      <c r="P191">
        <f>IF(L191="",M191/100,H191*L191/100)</f>
        <v/>
      </c>
      <c r="Q191">
        <f>H191-C191/42-P191</f>
        <v/>
      </c>
      <c r="R191">
        <f>H191-E191</f>
        <v/>
      </c>
    </row>
    <row r="192">
      <c r="A192" s="3" t="n">
        <v>39685</v>
      </c>
      <c r="B192" s="3" t="n">
        <v>39682</v>
      </c>
      <c r="C192" t="n">
        <v>115.7</v>
      </c>
      <c r="D192" t="n">
        <v>111.66</v>
      </c>
      <c r="E192" t="n">
        <v>2.863</v>
      </c>
      <c r="F192" t="n">
        <v>2.884</v>
      </c>
      <c r="G192" t="n">
        <v>2.974</v>
      </c>
      <c r="H192" t="n">
        <v>3.685</v>
      </c>
      <c r="J192" t="n">
        <v>3.834</v>
      </c>
      <c r="K192" t="n">
        <v>3.955</v>
      </c>
      <c r="L192" t="n">
        <v>10.6</v>
      </c>
      <c r="N192">
        <f>IF(OR(E192="",C192=""),"",E192-C192/42)</f>
        <v/>
      </c>
      <c r="O192">
        <f>IF(OR(E192="",D192=""),"",E192-D192/42)</f>
        <v/>
      </c>
      <c r="P192">
        <f>IF(L192="",M192/100,H192*L192/100)</f>
        <v/>
      </c>
      <c r="Q192">
        <f>H192-C192/42-P192</f>
        <v/>
      </c>
      <c r="R192">
        <f>H192-E192</f>
        <v/>
      </c>
    </row>
    <row r="193">
      <c r="A193" s="3" t="n">
        <v>39692</v>
      </c>
      <c r="B193" s="3" t="n">
        <v>39689</v>
      </c>
      <c r="C193" t="n">
        <v>116.09</v>
      </c>
      <c r="D193" t="n">
        <v>112.4</v>
      </c>
      <c r="E193" t="n">
        <v>2.998</v>
      </c>
      <c r="F193" t="n">
        <v>2.926</v>
      </c>
      <c r="G193" t="n">
        <v>3.086</v>
      </c>
      <c r="H193" t="n">
        <v>3.68</v>
      </c>
      <c r="J193" t="n">
        <v>3.813</v>
      </c>
      <c r="K193" t="n">
        <v>3.905</v>
      </c>
      <c r="L193" t="n">
        <v>10.8</v>
      </c>
      <c r="N193">
        <f>IF(OR(E193="",C193=""),"",E193-C193/42)</f>
        <v/>
      </c>
      <c r="O193">
        <f>IF(OR(E193="",D193=""),"",E193-D193/42)</f>
        <v/>
      </c>
      <c r="P193">
        <f>IF(L193="",M193/100,H193*L193/100)</f>
        <v/>
      </c>
      <c r="Q193">
        <f>H193-C193/42-P193</f>
        <v/>
      </c>
      <c r="R193">
        <f>H193-E193</f>
        <v/>
      </c>
    </row>
    <row r="194">
      <c r="A194" s="3" t="n">
        <v>39699</v>
      </c>
      <c r="B194" s="3" t="n">
        <v>39696</v>
      </c>
      <c r="C194" t="n">
        <v>108.37</v>
      </c>
      <c r="D194" t="n">
        <v>103.69</v>
      </c>
      <c r="E194" t="n">
        <v>2.995</v>
      </c>
      <c r="F194" t="n">
        <v>2.874</v>
      </c>
      <c r="G194" t="n">
        <v>2.975</v>
      </c>
      <c r="H194" t="n">
        <v>3.648</v>
      </c>
      <c r="J194" t="n">
        <v>3.767</v>
      </c>
      <c r="K194" t="n">
        <v>3.859</v>
      </c>
      <c r="L194" t="n">
        <v>10.8</v>
      </c>
      <c r="N194">
        <f>IF(OR(E194="",C194=""),"",E194-C194/42)</f>
        <v/>
      </c>
      <c r="O194">
        <f>IF(OR(E194="",D194=""),"",E194-D194/42)</f>
        <v/>
      </c>
      <c r="P194">
        <f>IF(L194="",M194/100,H194*L194/100)</f>
        <v/>
      </c>
      <c r="Q194">
        <f>H194-C194/42-P194</f>
        <v/>
      </c>
      <c r="R194">
        <f>H194-E194</f>
        <v/>
      </c>
    </row>
    <row r="195">
      <c r="A195" s="3" t="n">
        <v>39706</v>
      </c>
      <c r="B195" s="3" t="n">
        <v>39703</v>
      </c>
      <c r="C195" t="n">
        <v>102.88</v>
      </c>
      <c r="D195" t="n">
        <v>97.28</v>
      </c>
      <c r="E195" t="n">
        <v>3.668</v>
      </c>
      <c r="F195" t="n">
        <v>2.938</v>
      </c>
      <c r="G195" t="n">
        <v>2.971</v>
      </c>
      <c r="H195" t="n">
        <v>3.835</v>
      </c>
      <c r="J195" t="n">
        <v>3.754</v>
      </c>
      <c r="K195" t="n">
        <v>3.804</v>
      </c>
      <c r="L195" t="n">
        <v>10.8</v>
      </c>
      <c r="N195">
        <f>IF(OR(E195="",C195=""),"",E195-C195/42)</f>
        <v/>
      </c>
      <c r="O195">
        <f>IF(OR(E195="",D195=""),"",E195-D195/42)</f>
        <v/>
      </c>
      <c r="P195">
        <f>IF(L195="",M195/100,H195*L195/100)</f>
        <v/>
      </c>
      <c r="Q195">
        <f>H195-C195/42-P195</f>
        <v/>
      </c>
      <c r="R195">
        <f>H195-E195</f>
        <v/>
      </c>
    </row>
    <row r="196">
      <c r="A196" s="3" t="n">
        <v>39713</v>
      </c>
      <c r="B196" s="3" t="n">
        <v>39710</v>
      </c>
      <c r="C196" t="n">
        <v>97.19</v>
      </c>
      <c r="D196" t="n">
        <v>89.34999999999999</v>
      </c>
      <c r="E196" t="n">
        <v>3.282</v>
      </c>
      <c r="F196" t="n">
        <v>2.892</v>
      </c>
      <c r="G196" t="n">
        <v>2.726</v>
      </c>
      <c r="H196" t="n">
        <v>3.718</v>
      </c>
      <c r="J196" t="n">
        <v>3.651</v>
      </c>
      <c r="K196" t="n">
        <v>3.725</v>
      </c>
      <c r="L196" t="n">
        <v>10.8</v>
      </c>
      <c r="N196">
        <f>IF(OR(E196="",C196=""),"",E196-C196/42)</f>
        <v/>
      </c>
      <c r="O196">
        <f>IF(OR(E196="",D196=""),"",E196-D196/42)</f>
        <v/>
      </c>
      <c r="P196">
        <f>IF(L196="",M196/100,H196*L196/100)</f>
        <v/>
      </c>
      <c r="Q196">
        <f>H196-C196/42-P196</f>
        <v/>
      </c>
      <c r="R196">
        <f>H196-E196</f>
        <v/>
      </c>
    </row>
    <row r="197">
      <c r="A197" s="3" t="n">
        <v>39720</v>
      </c>
      <c r="B197" s="3" t="n">
        <v>39717</v>
      </c>
      <c r="C197" t="n">
        <v>111.12</v>
      </c>
      <c r="D197" t="n">
        <v>100.91</v>
      </c>
      <c r="E197" t="n">
        <v>2.789</v>
      </c>
      <c r="F197" t="n">
        <v>2.674</v>
      </c>
      <c r="G197" t="n">
        <v>2.88</v>
      </c>
      <c r="H197" t="n">
        <v>3.632</v>
      </c>
      <c r="J197" t="n">
        <v>3.6</v>
      </c>
      <c r="K197" t="n">
        <v>3.67</v>
      </c>
      <c r="L197" t="n">
        <v>10.8</v>
      </c>
      <c r="N197">
        <f>IF(OR(E197="",C197=""),"",E197-C197/42)</f>
        <v/>
      </c>
      <c r="O197">
        <f>IF(OR(E197="",D197=""),"",E197-D197/42)</f>
        <v/>
      </c>
      <c r="P197">
        <f>IF(L197="",M197/100,H197*L197/100)</f>
        <v/>
      </c>
      <c r="Q197">
        <f>H197-C197/42-P197</f>
        <v/>
      </c>
      <c r="R197">
        <f>H197-E197</f>
        <v/>
      </c>
    </row>
    <row r="198">
      <c r="A198" s="3" t="n">
        <v>39727</v>
      </c>
      <c r="B198" s="3" t="n">
        <v>39724</v>
      </c>
      <c r="C198" t="n">
        <v>96.59</v>
      </c>
      <c r="D198" t="n">
        <v>91.90000000000001</v>
      </c>
      <c r="E198" t="n">
        <v>2.492</v>
      </c>
      <c r="F198" t="n">
        <v>2.394</v>
      </c>
      <c r="G198" t="n">
        <v>2.688</v>
      </c>
      <c r="H198" t="n">
        <v>3.484</v>
      </c>
      <c r="J198" t="n">
        <v>3.496</v>
      </c>
      <c r="K198" t="n">
        <v>3.601</v>
      </c>
      <c r="L198" t="n">
        <v>13.1</v>
      </c>
      <c r="N198">
        <f>IF(OR(E198="",C198=""),"",E198-C198/42)</f>
        <v/>
      </c>
      <c r="O198">
        <f>IF(OR(E198="",D198=""),"",E198-D198/42)</f>
        <v/>
      </c>
      <c r="P198">
        <f>IF(L198="",M198/100,H198*L198/100)</f>
        <v/>
      </c>
      <c r="Q198">
        <f>H198-C198/42-P198</f>
        <v/>
      </c>
      <c r="R198">
        <f>H198-E198</f>
        <v/>
      </c>
    </row>
    <row r="199">
      <c r="A199" s="3" t="n">
        <v>39734</v>
      </c>
      <c r="B199" s="3" t="n">
        <v>39731</v>
      </c>
      <c r="C199" t="n">
        <v>86.23999999999999</v>
      </c>
      <c r="D199" t="n">
        <v>80.98</v>
      </c>
      <c r="E199" t="n">
        <v>1.992</v>
      </c>
      <c r="F199" t="n">
        <v>2.074</v>
      </c>
      <c r="G199" t="n">
        <v>2.472</v>
      </c>
      <c r="H199" t="n">
        <v>3.151</v>
      </c>
      <c r="J199" t="n">
        <v>3.268</v>
      </c>
      <c r="K199" t="n">
        <v>3.47</v>
      </c>
      <c r="L199" t="n">
        <v>13.1</v>
      </c>
      <c r="N199">
        <f>IF(OR(E199="",C199=""),"",E199-C199/42)</f>
        <v/>
      </c>
      <c r="O199">
        <f>IF(OR(E199="",D199=""),"",E199-D199/42)</f>
        <v/>
      </c>
      <c r="P199">
        <f>IF(L199="",M199/100,H199*L199/100)</f>
        <v/>
      </c>
      <c r="Q199">
        <f>H199-C199/42-P199</f>
        <v/>
      </c>
      <c r="R199">
        <f>H199-E199</f>
        <v/>
      </c>
    </row>
    <row r="200">
      <c r="A200" s="3" t="n">
        <v>39741</v>
      </c>
      <c r="B200" s="3" t="n">
        <v>39738</v>
      </c>
      <c r="C200" t="n">
        <v>75.19</v>
      </c>
      <c r="D200" t="n">
        <v>69.28</v>
      </c>
      <c r="E200" t="n">
        <v>1.798</v>
      </c>
      <c r="F200" t="n">
        <v>1.949</v>
      </c>
      <c r="G200" t="n">
        <v>2.249</v>
      </c>
      <c r="H200" t="n">
        <v>2.914</v>
      </c>
      <c r="J200" t="n">
        <v>3.04</v>
      </c>
      <c r="K200" t="n">
        <v>3.355</v>
      </c>
      <c r="L200" t="n">
        <v>13.1</v>
      </c>
      <c r="N200">
        <f>IF(OR(E200="",C200=""),"",E200-C200/42)</f>
        <v/>
      </c>
      <c r="O200">
        <f>IF(OR(E200="",D200=""),"",E200-D200/42)</f>
        <v/>
      </c>
      <c r="P200">
        <f>IF(L200="",M200/100,H200*L200/100)</f>
        <v/>
      </c>
      <c r="Q200">
        <f>H200-C200/42-P200</f>
        <v/>
      </c>
      <c r="R200">
        <f>H200-E200</f>
        <v/>
      </c>
    </row>
    <row r="201">
      <c r="A201" s="3" t="n">
        <v>39748</v>
      </c>
      <c r="B201" s="3" t="n">
        <v>39745</v>
      </c>
      <c r="C201" t="n">
        <v>68.56</v>
      </c>
      <c r="D201" t="n">
        <v>64.40000000000001</v>
      </c>
      <c r="E201" t="n">
        <v>1.574</v>
      </c>
      <c r="F201" t="n">
        <v>1.804</v>
      </c>
      <c r="G201" t="n">
        <v>1.906</v>
      </c>
      <c r="H201" t="n">
        <v>2.656</v>
      </c>
      <c r="J201" t="n">
        <v>2.762</v>
      </c>
      <c r="K201" t="n">
        <v>3.13</v>
      </c>
      <c r="L201" t="n">
        <v>13.1</v>
      </c>
      <c r="N201">
        <f>IF(OR(E201="",C201=""),"",E201-C201/42)</f>
        <v/>
      </c>
      <c r="O201">
        <f>IF(OR(E201="",D201=""),"",E201-D201/42)</f>
        <v/>
      </c>
      <c r="P201">
        <f>IF(L201="",M201/100,H201*L201/100)</f>
        <v/>
      </c>
      <c r="Q201">
        <f>H201-C201/42-P201</f>
        <v/>
      </c>
      <c r="R201">
        <f>H201-E201</f>
        <v/>
      </c>
    </row>
    <row r="202">
      <c r="A202" s="3" t="n">
        <v>39755</v>
      </c>
      <c r="B202" s="3" t="n">
        <v>39752</v>
      </c>
      <c r="C202" t="n">
        <v>65.20999999999999</v>
      </c>
      <c r="D202" t="n">
        <v>60.61</v>
      </c>
      <c r="E202" t="n">
        <v>1.408</v>
      </c>
      <c r="F202" t="n">
        <v>1.59</v>
      </c>
      <c r="G202" t="n">
        <v>1.556</v>
      </c>
      <c r="H202" t="n">
        <v>2.4</v>
      </c>
      <c r="J202" t="n">
        <v>2.482</v>
      </c>
      <c r="K202" t="n">
        <v>2.783</v>
      </c>
      <c r="L202" t="n">
        <v>18.6</v>
      </c>
      <c r="N202">
        <f>IF(OR(E202="",C202=""),"",E202-C202/42)</f>
        <v/>
      </c>
      <c r="O202">
        <f>IF(OR(E202="",D202=""),"",E202-D202/42)</f>
        <v/>
      </c>
      <c r="P202">
        <f>IF(L202="",M202/100,H202*L202/100)</f>
        <v/>
      </c>
      <c r="Q202">
        <f>H202-C202/42-P202</f>
        <v/>
      </c>
      <c r="R202">
        <f>H202-E202</f>
        <v/>
      </c>
    </row>
    <row r="203">
      <c r="A203" s="3" t="n">
        <v>39762</v>
      </c>
      <c r="B203" s="3" t="n">
        <v>39759</v>
      </c>
      <c r="C203" t="n">
        <v>64.31</v>
      </c>
      <c r="D203" t="n">
        <v>59.43</v>
      </c>
      <c r="E203" t="n">
        <v>1.35</v>
      </c>
      <c r="F203" t="n">
        <v>1.452</v>
      </c>
      <c r="G203" t="n">
        <v>1.468</v>
      </c>
      <c r="H203" t="n">
        <v>2.224</v>
      </c>
      <c r="J203" t="n">
        <v>2.257</v>
      </c>
      <c r="K203" t="n">
        <v>2.555</v>
      </c>
      <c r="L203" t="n">
        <v>18.6</v>
      </c>
      <c r="N203">
        <f>IF(OR(E203="",C203=""),"",E203-C203/42)</f>
        <v/>
      </c>
      <c r="O203">
        <f>IF(OR(E203="",D203=""),"",E203-D203/42)</f>
        <v/>
      </c>
      <c r="P203">
        <f>IF(L203="",M203/100,H203*L203/100)</f>
        <v/>
      </c>
      <c r="Q203">
        <f>H203-C203/42-P203</f>
        <v/>
      </c>
      <c r="R203">
        <f>H203-E203</f>
        <v/>
      </c>
    </row>
    <row r="204">
      <c r="A204" s="3" t="n">
        <v>39769</v>
      </c>
      <c r="B204" s="3" t="n">
        <v>39766</v>
      </c>
      <c r="C204" t="n">
        <v>58.6</v>
      </c>
      <c r="D204" t="n">
        <v>53.27</v>
      </c>
      <c r="E204" t="n">
        <v>1.257</v>
      </c>
      <c r="F204" t="n">
        <v>1.313</v>
      </c>
      <c r="G204" t="n">
        <v>1.371</v>
      </c>
      <c r="H204" t="n">
        <v>2.072</v>
      </c>
      <c r="J204" t="n">
        <v>2.033</v>
      </c>
      <c r="K204" t="n">
        <v>2.374</v>
      </c>
      <c r="L204" t="n">
        <v>18.6</v>
      </c>
      <c r="N204">
        <f>IF(OR(E204="",C204=""),"",E204-C204/42)</f>
        <v/>
      </c>
      <c r="O204">
        <f>IF(OR(E204="",D204=""),"",E204-D204/42)</f>
        <v/>
      </c>
      <c r="P204">
        <f>IF(L204="",M204/100,H204*L204/100)</f>
        <v/>
      </c>
      <c r="Q204">
        <f>H204-C204/42-P204</f>
        <v/>
      </c>
      <c r="R204">
        <f>H204-E204</f>
        <v/>
      </c>
    </row>
    <row r="205">
      <c r="A205" s="3" t="n">
        <v>39776</v>
      </c>
      <c r="B205" s="3" t="n">
        <v>39773</v>
      </c>
      <c r="C205" t="n">
        <v>52.26</v>
      </c>
      <c r="D205" t="n">
        <v>47.79</v>
      </c>
      <c r="E205" t="n">
        <v>1.063</v>
      </c>
      <c r="F205" t="n">
        <v>1.157</v>
      </c>
      <c r="G205" t="n">
        <v>1.08</v>
      </c>
      <c r="H205" t="n">
        <v>1.892</v>
      </c>
      <c r="J205" t="n">
        <v>1.847</v>
      </c>
      <c r="K205" t="n">
        <v>2.112</v>
      </c>
      <c r="L205" t="n">
        <v>18.6</v>
      </c>
      <c r="N205">
        <f>IF(OR(E205="",C205=""),"",E205-C205/42)</f>
        <v/>
      </c>
      <c r="O205">
        <f>IF(OR(E205="",D205=""),"",E205-D205/42)</f>
        <v/>
      </c>
      <c r="P205">
        <f>IF(L205="",M205/100,H205*L205/100)</f>
        <v/>
      </c>
      <c r="Q205">
        <f>H205-C205/42-P205</f>
        <v/>
      </c>
      <c r="R205">
        <f>H205-E205</f>
        <v/>
      </c>
    </row>
    <row r="206">
      <c r="A206" s="3" t="n">
        <v>39783</v>
      </c>
      <c r="B206" s="3" t="n">
        <v>39780</v>
      </c>
      <c r="C206" t="n">
        <v>53.27</v>
      </c>
      <c r="D206" t="n">
        <v>48.53</v>
      </c>
      <c r="E206" t="n">
        <v>1.132</v>
      </c>
      <c r="F206" t="n">
        <v>1.19</v>
      </c>
      <c r="G206" t="n">
        <v>1.124</v>
      </c>
      <c r="H206" t="n">
        <v>1.811</v>
      </c>
      <c r="J206" t="n">
        <v>1.738</v>
      </c>
      <c r="K206" t="n">
        <v>1.955</v>
      </c>
      <c r="L206" t="n">
        <v>23.6</v>
      </c>
      <c r="N206">
        <f>IF(OR(E206="",C206=""),"",E206-C206/42)</f>
        <v/>
      </c>
      <c r="O206">
        <f>IF(OR(E206="",D206=""),"",E206-D206/42)</f>
        <v/>
      </c>
      <c r="P206">
        <f>IF(L206="",M206/100,H206*L206/100)</f>
        <v/>
      </c>
      <c r="Q206">
        <f>H206-C206/42-P206</f>
        <v/>
      </c>
      <c r="R206">
        <f>H206-E206</f>
        <v/>
      </c>
    </row>
    <row r="207">
      <c r="A207" s="3" t="n">
        <v>39790</v>
      </c>
      <c r="B207" s="3" t="n">
        <v>39787</v>
      </c>
      <c r="C207" t="n">
        <v>45.6</v>
      </c>
      <c r="D207" t="n">
        <v>43.7</v>
      </c>
      <c r="E207" t="n">
        <v>0.95</v>
      </c>
      <c r="F207" t="n">
        <v>1.027</v>
      </c>
      <c r="G207" t="n">
        <v>0.923</v>
      </c>
      <c r="H207" t="n">
        <v>1.699</v>
      </c>
      <c r="J207" t="n">
        <v>1.623</v>
      </c>
      <c r="K207" t="n">
        <v>1.805</v>
      </c>
      <c r="L207" t="n">
        <v>23.6</v>
      </c>
      <c r="N207">
        <f>IF(OR(E207="",C207=""),"",E207-C207/42)</f>
        <v/>
      </c>
      <c r="O207">
        <f>IF(OR(E207="",D207=""),"",E207-D207/42)</f>
        <v/>
      </c>
      <c r="P207">
        <f>IF(L207="",M207/100,H207*L207/100)</f>
        <v/>
      </c>
      <c r="Q207">
        <f>H207-C207/42-P207</f>
        <v/>
      </c>
      <c r="R207">
        <f>H207-E207</f>
        <v/>
      </c>
    </row>
    <row r="208">
      <c r="A208" s="3" t="n">
        <v>39797</v>
      </c>
      <c r="B208" s="3" t="n">
        <v>39794</v>
      </c>
      <c r="C208" t="n">
        <v>44.57</v>
      </c>
      <c r="D208" t="n">
        <v>41.01</v>
      </c>
      <c r="E208" t="n">
        <v>0.9429999999999999</v>
      </c>
      <c r="F208" t="n">
        <v>0.979</v>
      </c>
      <c r="G208" t="n">
        <v>1.005</v>
      </c>
      <c r="H208" t="n">
        <v>1.659</v>
      </c>
      <c r="J208" t="n">
        <v>1.559</v>
      </c>
      <c r="K208" t="n">
        <v>1.738</v>
      </c>
      <c r="L208" t="n">
        <v>23.6</v>
      </c>
      <c r="N208">
        <f>IF(OR(E208="",C208=""),"",E208-C208/42)</f>
        <v/>
      </c>
      <c r="O208">
        <f>IF(OR(E208="",D208=""),"",E208-D208/42)</f>
        <v/>
      </c>
      <c r="P208">
        <f>IF(L208="",M208/100,H208*L208/100)</f>
        <v/>
      </c>
      <c r="Q208">
        <f>H208-C208/42-P208</f>
        <v/>
      </c>
      <c r="R208">
        <f>H208-E208</f>
        <v/>
      </c>
    </row>
    <row r="209">
      <c r="A209" s="3" t="n">
        <v>39804</v>
      </c>
      <c r="B209" s="3" t="n">
        <v>39801</v>
      </c>
      <c r="C209" t="n">
        <v>39.7</v>
      </c>
      <c r="D209" t="n">
        <v>41.71</v>
      </c>
      <c r="E209" t="n">
        <v>0.991</v>
      </c>
      <c r="F209" t="n">
        <v>1.001</v>
      </c>
      <c r="G209" t="n">
        <v>1.189</v>
      </c>
      <c r="H209" t="n">
        <v>1.653</v>
      </c>
      <c r="J209" t="n">
        <v>1.525</v>
      </c>
      <c r="K209" t="n">
        <v>1.806</v>
      </c>
      <c r="L209" t="n">
        <v>23.6</v>
      </c>
      <c r="N209">
        <f>IF(OR(E209="",C209=""),"",E209-C209/42)</f>
        <v/>
      </c>
      <c r="O209">
        <f>IF(OR(E209="",D209=""),"",E209-D209/42)</f>
        <v/>
      </c>
      <c r="P209">
        <f>IF(L209="",M209/100,H209*L209/100)</f>
        <v/>
      </c>
      <c r="Q209">
        <f>H209-C209/42-P209</f>
        <v/>
      </c>
      <c r="R209">
        <f>H209-E209</f>
        <v/>
      </c>
    </row>
    <row r="210">
      <c r="A210" s="3" t="n">
        <v>39811</v>
      </c>
      <c r="B210" s="3" t="n">
        <v>39808</v>
      </c>
      <c r="C210" t="n">
        <v>32.98</v>
      </c>
      <c r="D210" t="n">
        <v>35.38</v>
      </c>
      <c r="E210" t="n">
        <v>0.842</v>
      </c>
      <c r="F210" t="n">
        <v>0.842</v>
      </c>
      <c r="G210" t="n">
        <v>1.258</v>
      </c>
      <c r="H210" t="n">
        <v>1.613</v>
      </c>
      <c r="J210" t="n">
        <v>1.506</v>
      </c>
      <c r="K210" t="n">
        <v>1.81</v>
      </c>
      <c r="L210" t="n">
        <v>23.6</v>
      </c>
      <c r="N210">
        <f>IF(OR(E210="",C210=""),"",E210-C210/42)</f>
        <v/>
      </c>
      <c r="O210">
        <f>IF(OR(E210="",D210=""),"",E210-D210/42)</f>
        <v/>
      </c>
      <c r="P210">
        <f>IF(L210="",M210/100,H210*L210/100)</f>
        <v/>
      </c>
      <c r="Q210">
        <f>H210-C210/42-P210</f>
        <v/>
      </c>
      <c r="R210">
        <f>H210-E210</f>
        <v/>
      </c>
    </row>
    <row r="211">
      <c r="A211" s="3" t="n">
        <v>39818</v>
      </c>
      <c r="B211" s="3" t="n">
        <v>39815</v>
      </c>
      <c r="C211" t="n">
        <v>42.4</v>
      </c>
      <c r="D211" t="n">
        <v>37.04</v>
      </c>
      <c r="E211" t="n">
        <v>0.944</v>
      </c>
      <c r="F211" t="n">
        <v>0.924</v>
      </c>
      <c r="G211" t="n">
        <v>1.337</v>
      </c>
      <c r="H211" t="n">
        <v>1.684</v>
      </c>
      <c r="J211" t="n">
        <v>1.495</v>
      </c>
      <c r="K211" t="n">
        <v>1.874</v>
      </c>
      <c r="L211" t="n">
        <v>22.3</v>
      </c>
      <c r="N211">
        <f>IF(OR(E211="",C211=""),"",E211-C211/42)</f>
        <v/>
      </c>
      <c r="O211">
        <f>IF(OR(E211="",D211=""),"",E211-D211/42)</f>
        <v/>
      </c>
      <c r="P211">
        <f>IF(L211="",M211/100,H211*L211/100)</f>
        <v/>
      </c>
      <c r="Q211">
        <f>H211-C211/42-P211</f>
        <v/>
      </c>
      <c r="R211">
        <f>H211-E211</f>
        <v/>
      </c>
    </row>
    <row r="212">
      <c r="A212" s="3" t="n">
        <v>39825</v>
      </c>
      <c r="B212" s="3" t="n">
        <v>39822</v>
      </c>
      <c r="C212" t="n">
        <v>44.46</v>
      </c>
      <c r="D212" t="n">
        <v>45.25</v>
      </c>
      <c r="E212" t="n">
        <v>1.108</v>
      </c>
      <c r="F212" t="n">
        <v>1.09</v>
      </c>
      <c r="G212" t="n">
        <v>1.49</v>
      </c>
      <c r="H212" t="n">
        <v>1.784</v>
      </c>
      <c r="J212" t="n">
        <v>1.563</v>
      </c>
      <c r="K212" t="n">
        <v>1.988</v>
      </c>
      <c r="L212" t="n">
        <v>22.3</v>
      </c>
      <c r="N212">
        <f>IF(OR(E212="",C212=""),"",E212-C212/42)</f>
        <v/>
      </c>
      <c r="O212">
        <f>IF(OR(E212="",D212=""),"",E212-D212/42)</f>
        <v/>
      </c>
      <c r="P212">
        <f>IF(L212="",M212/100,H212*L212/100)</f>
        <v/>
      </c>
      <c r="Q212">
        <f>H212-C212/42-P212</f>
        <v/>
      </c>
      <c r="R212">
        <f>H212-E212</f>
        <v/>
      </c>
    </row>
    <row r="213">
      <c r="A213" s="3" t="n">
        <v>39832</v>
      </c>
      <c r="B213" s="3" t="n">
        <v>39829</v>
      </c>
      <c r="C213" t="n">
        <v>36.73</v>
      </c>
      <c r="D213" t="n">
        <v>42.38</v>
      </c>
      <c r="E213" t="n">
        <v>1.158</v>
      </c>
      <c r="F213" t="n">
        <v>1.137</v>
      </c>
      <c r="G213" t="n">
        <v>1.394</v>
      </c>
      <c r="H213" t="n">
        <v>1.847</v>
      </c>
      <c r="J213" t="n">
        <v>1.607</v>
      </c>
      <c r="K213" t="n">
        <v>2.064</v>
      </c>
      <c r="L213" t="n">
        <v>22.3</v>
      </c>
      <c r="N213">
        <f>IF(OR(E213="",C213=""),"",E213-C213/42)</f>
        <v/>
      </c>
      <c r="O213">
        <f>IF(OR(E213="",D213=""),"",E213-D213/42)</f>
        <v/>
      </c>
      <c r="P213">
        <f>IF(L213="",M213/100,H213*L213/100)</f>
        <v/>
      </c>
      <c r="Q213">
        <f>H213-C213/42-P213</f>
        <v/>
      </c>
      <c r="R213">
        <f>H213-E213</f>
        <v/>
      </c>
    </row>
    <row r="214">
      <c r="A214" s="3" t="n">
        <v>39839</v>
      </c>
      <c r="B214" s="3" t="n">
        <v>39836</v>
      </c>
      <c r="C214" t="n">
        <v>42.15</v>
      </c>
      <c r="D214" t="n">
        <v>41.67</v>
      </c>
      <c r="E214" t="n">
        <v>1.143</v>
      </c>
      <c r="F214" t="n">
        <v>1.162</v>
      </c>
      <c r="G214" t="n">
        <v>1.417</v>
      </c>
      <c r="H214" t="n">
        <v>1.838</v>
      </c>
      <c r="J214" t="n">
        <v>1.644</v>
      </c>
      <c r="K214" t="n">
        <v>2.095</v>
      </c>
      <c r="L214" t="n">
        <v>22.3</v>
      </c>
      <c r="N214">
        <f>IF(OR(E214="",C214=""),"",E214-C214/42)</f>
        <v/>
      </c>
      <c r="O214">
        <f>IF(OR(E214="",D214=""),"",E214-D214/42)</f>
        <v/>
      </c>
      <c r="P214">
        <f>IF(L214="",M214/100,H214*L214/100)</f>
        <v/>
      </c>
      <c r="Q214">
        <f>H214-C214/42-P214</f>
        <v/>
      </c>
      <c r="R214">
        <f>H214-E214</f>
        <v/>
      </c>
    </row>
    <row r="215">
      <c r="A215" s="3" t="n">
        <v>39846</v>
      </c>
      <c r="B215" s="3" t="n">
        <v>39843</v>
      </c>
      <c r="C215" t="n">
        <v>42.7</v>
      </c>
      <c r="D215" t="n">
        <v>44.2</v>
      </c>
      <c r="E215" t="n">
        <v>1.189</v>
      </c>
      <c r="F215" t="n">
        <v>1.213</v>
      </c>
      <c r="G215" t="n">
        <v>1.503</v>
      </c>
      <c r="H215" t="n">
        <v>1.892</v>
      </c>
      <c r="J215" t="n">
        <v>1.712</v>
      </c>
      <c r="K215" t="n">
        <v>2.113</v>
      </c>
      <c r="L215" t="n">
        <v>20.7</v>
      </c>
      <c r="N215">
        <f>IF(OR(E215="",C215=""),"",E215-C215/42)</f>
        <v/>
      </c>
      <c r="O215">
        <f>IF(OR(E215="",D215=""),"",E215-D215/42)</f>
        <v/>
      </c>
      <c r="P215">
        <f>IF(L215="",M215/100,H215*L215/100)</f>
        <v/>
      </c>
      <c r="Q215">
        <f>H215-C215/42-P215</f>
        <v/>
      </c>
      <c r="R215">
        <f>H215-E215</f>
        <v/>
      </c>
    </row>
    <row r="216">
      <c r="A216" s="3" t="n">
        <v>39853</v>
      </c>
      <c r="B216" s="3" t="n">
        <v>39850</v>
      </c>
      <c r="C216" t="n">
        <v>40.78</v>
      </c>
      <c r="D216" t="n">
        <v>43.64</v>
      </c>
      <c r="E216" t="n">
        <v>1.234</v>
      </c>
      <c r="F216" t="n">
        <v>1.251</v>
      </c>
      <c r="G216" t="n">
        <v>1.634</v>
      </c>
      <c r="H216" t="n">
        <v>1.926</v>
      </c>
      <c r="J216" t="n">
        <v>1.78</v>
      </c>
      <c r="K216" t="n">
        <v>2.215</v>
      </c>
      <c r="L216" t="n">
        <v>20.7</v>
      </c>
      <c r="N216">
        <f>IF(OR(E216="",C216=""),"",E216-C216/42)</f>
        <v/>
      </c>
      <c r="O216">
        <f>IF(OR(E216="",D216=""),"",E216-D216/42)</f>
        <v/>
      </c>
      <c r="P216">
        <f>IF(L216="",M216/100,H216*L216/100)</f>
        <v/>
      </c>
      <c r="Q216">
        <f>H216-C216/42-P216</f>
        <v/>
      </c>
      <c r="R216">
        <f>H216-E216</f>
        <v/>
      </c>
    </row>
    <row r="217">
      <c r="A217" s="3" t="n">
        <v>39860</v>
      </c>
      <c r="B217" s="3" t="n">
        <v>39857</v>
      </c>
      <c r="C217" t="n">
        <v>36.94</v>
      </c>
      <c r="D217" t="n">
        <v>45.59</v>
      </c>
      <c r="E217" t="n">
        <v>1.273</v>
      </c>
      <c r="F217" t="n">
        <v>1.295</v>
      </c>
      <c r="G217" t="n">
        <v>1.742</v>
      </c>
      <c r="H217" t="n">
        <v>1.964</v>
      </c>
      <c r="J217" t="n">
        <v>1.819</v>
      </c>
      <c r="K217" t="n">
        <v>2.291</v>
      </c>
      <c r="L217" t="n">
        <v>20.7</v>
      </c>
      <c r="N217">
        <f>IF(OR(E217="",C217=""),"",E217-C217/42)</f>
        <v/>
      </c>
      <c r="O217">
        <f>IF(OR(E217="",D217=""),"",E217-D217/42)</f>
        <v/>
      </c>
      <c r="P217">
        <f>IF(L217="",M217/100,H217*L217/100)</f>
        <v/>
      </c>
      <c r="Q217">
        <f>H217-C217/42-P217</f>
        <v/>
      </c>
      <c r="R217">
        <f>H217-E217</f>
        <v/>
      </c>
    </row>
    <row r="218">
      <c r="A218" s="3" t="n">
        <v>39867</v>
      </c>
      <c r="B218" s="3" t="n">
        <v>39864</v>
      </c>
      <c r="C218" t="n">
        <v>37.15</v>
      </c>
      <c r="D218" t="n">
        <v>40.91</v>
      </c>
      <c r="E218" t="n">
        <v>1.086</v>
      </c>
      <c r="F218" t="n">
        <v>1.13</v>
      </c>
      <c r="G218" t="n">
        <v>1.373</v>
      </c>
      <c r="H218" t="n">
        <v>1.909</v>
      </c>
      <c r="J218" t="n">
        <v>1.801</v>
      </c>
      <c r="K218" t="n">
        <v>2.261</v>
      </c>
      <c r="L218" t="n">
        <v>20.7</v>
      </c>
      <c r="N218">
        <f>IF(OR(E218="",C218=""),"",E218-C218/42)</f>
        <v/>
      </c>
      <c r="O218">
        <f>IF(OR(E218="",D218=""),"",E218-D218/42)</f>
        <v/>
      </c>
      <c r="P218">
        <f>IF(L218="",M218/100,H218*L218/100)</f>
        <v/>
      </c>
      <c r="Q218">
        <f>H218-C218/42-P218</f>
        <v/>
      </c>
      <c r="R218">
        <f>H218-E218</f>
        <v/>
      </c>
    </row>
    <row r="219">
      <c r="A219" s="3" t="n">
        <v>39874</v>
      </c>
      <c r="B219" s="3" t="n">
        <v>39871</v>
      </c>
      <c r="C219" t="n">
        <v>41.1</v>
      </c>
      <c r="D219" t="n">
        <v>42.68</v>
      </c>
      <c r="E219" t="n">
        <v>1.165</v>
      </c>
      <c r="F219" t="n">
        <v>1.169</v>
      </c>
      <c r="G219" t="n">
        <v>1.402</v>
      </c>
      <c r="H219" t="n">
        <v>1.934</v>
      </c>
      <c r="J219" t="n">
        <v>1.79</v>
      </c>
      <c r="K219" t="n">
        <v>2.189</v>
      </c>
      <c r="L219" t="n">
        <v>20.4</v>
      </c>
      <c r="N219">
        <f>IF(OR(E219="",C219=""),"",E219-C219/42)</f>
        <v/>
      </c>
      <c r="O219">
        <f>IF(OR(E219="",D219=""),"",E219-D219/42)</f>
        <v/>
      </c>
      <c r="P219">
        <f>IF(L219="",M219/100,H219*L219/100)</f>
        <v/>
      </c>
      <c r="Q219">
        <f>H219-C219/42-P219</f>
        <v/>
      </c>
      <c r="R219">
        <f>H219-E219</f>
        <v/>
      </c>
    </row>
    <row r="220">
      <c r="A220" s="3" t="n">
        <v>39881</v>
      </c>
      <c r="B220" s="3" t="n">
        <v>39878</v>
      </c>
      <c r="C220" t="n">
        <v>43.18</v>
      </c>
      <c r="D220" t="n">
        <v>43.86</v>
      </c>
      <c r="E220" t="n">
        <v>1.238</v>
      </c>
      <c r="F220" t="n">
        <v>1.243</v>
      </c>
      <c r="G220" t="n">
        <v>1.428</v>
      </c>
      <c r="H220" t="n">
        <v>1.941</v>
      </c>
      <c r="J220" t="n">
        <v>1.814</v>
      </c>
      <c r="K220" t="n">
        <v>2.196</v>
      </c>
      <c r="L220" t="n">
        <v>20.4</v>
      </c>
      <c r="N220">
        <f>IF(OR(E220="",C220=""),"",E220-C220/42)</f>
        <v/>
      </c>
      <c r="O220">
        <f>IF(OR(E220="",D220=""),"",E220-D220/42)</f>
        <v/>
      </c>
      <c r="P220">
        <f>IF(L220="",M220/100,H220*L220/100)</f>
        <v/>
      </c>
      <c r="Q220">
        <f>H220-C220/42-P220</f>
        <v/>
      </c>
      <c r="R220">
        <f>H220-E220</f>
        <v/>
      </c>
    </row>
    <row r="221">
      <c r="A221" s="3" t="n">
        <v>39888</v>
      </c>
      <c r="B221" s="3" t="n">
        <v>39885</v>
      </c>
      <c r="C221" t="n">
        <v>45.66</v>
      </c>
      <c r="D221" t="n">
        <v>43.98</v>
      </c>
      <c r="E221" t="n">
        <v>1.21</v>
      </c>
      <c r="F221" t="n">
        <v>1.217</v>
      </c>
      <c r="G221" t="n">
        <v>1.365</v>
      </c>
      <c r="H221" t="n">
        <v>1.91</v>
      </c>
      <c r="J221" t="n">
        <v>1.819</v>
      </c>
      <c r="K221" t="n">
        <v>2.162</v>
      </c>
      <c r="L221" t="n">
        <v>20.4</v>
      </c>
      <c r="N221">
        <f>IF(OR(E221="",C221=""),"",E221-C221/42)</f>
        <v/>
      </c>
      <c r="O221">
        <f>IF(OR(E221="",D221=""),"",E221-D221/42)</f>
        <v/>
      </c>
      <c r="P221">
        <f>IF(L221="",M221/100,H221*L221/100)</f>
        <v/>
      </c>
      <c r="Q221">
        <f>H221-C221/42-P221</f>
        <v/>
      </c>
      <c r="R221">
        <f>H221-E221</f>
        <v/>
      </c>
    </row>
    <row r="222">
      <c r="A222" s="3" t="n">
        <v>39895</v>
      </c>
      <c r="B222" s="3" t="n">
        <v>39892</v>
      </c>
      <c r="C222" t="n">
        <v>49.49</v>
      </c>
      <c r="D222" t="n">
        <v>46.43</v>
      </c>
      <c r="E222" t="n">
        <v>1.294</v>
      </c>
      <c r="F222" t="n">
        <v>1.299</v>
      </c>
      <c r="G222" t="n">
        <v>1.472</v>
      </c>
      <c r="H222" t="n">
        <v>1.962</v>
      </c>
      <c r="J222" t="n">
        <v>1.864</v>
      </c>
      <c r="K222" t="n">
        <v>2.154</v>
      </c>
      <c r="L222" t="n">
        <v>20.4</v>
      </c>
      <c r="N222">
        <f>IF(OR(E222="",C222=""),"",E222-C222/42)</f>
        <v/>
      </c>
      <c r="O222">
        <f>IF(OR(E222="",D222=""),"",E222-D222/42)</f>
        <v/>
      </c>
      <c r="P222">
        <f>IF(L222="",M222/100,H222*L222/100)</f>
        <v/>
      </c>
      <c r="Q222">
        <f>H222-C222/42-P222</f>
        <v/>
      </c>
      <c r="R222">
        <f>H222-E222</f>
        <v/>
      </c>
    </row>
    <row r="223">
      <c r="A223" s="3" t="n">
        <v>39902</v>
      </c>
      <c r="B223" s="3" t="n">
        <v>39899</v>
      </c>
      <c r="C223" t="n">
        <v>52.99</v>
      </c>
      <c r="D223" t="n">
        <v>51.46</v>
      </c>
      <c r="E223" t="n">
        <v>1.408</v>
      </c>
      <c r="F223" t="n">
        <v>1.387</v>
      </c>
      <c r="G223" t="n">
        <v>1.616</v>
      </c>
      <c r="H223" t="n">
        <v>2.046</v>
      </c>
      <c r="J223" t="n">
        <v>1.937</v>
      </c>
      <c r="K223" t="n">
        <v>2.248</v>
      </c>
      <c r="L223" t="n">
        <v>20.4</v>
      </c>
      <c r="N223">
        <f>IF(OR(E223="",C223=""),"",E223-C223/42)</f>
        <v/>
      </c>
      <c r="O223">
        <f>IF(OR(E223="",D223=""),"",E223-D223/42)</f>
        <v/>
      </c>
      <c r="P223">
        <f>IF(L223="",M223/100,H223*L223/100)</f>
        <v/>
      </c>
      <c r="Q223">
        <f>H223-C223/42-P223</f>
        <v/>
      </c>
      <c r="R223">
        <f>H223-E223</f>
        <v/>
      </c>
    </row>
    <row r="224">
      <c r="A224" s="3" t="n">
        <v>39909</v>
      </c>
      <c r="B224" s="3" t="n">
        <v>39906</v>
      </c>
      <c r="C224" t="n">
        <v>50.34</v>
      </c>
      <c r="D224" t="n">
        <v>48.49</v>
      </c>
      <c r="E224" t="n">
        <v>1.321</v>
      </c>
      <c r="F224" t="n">
        <v>1.328</v>
      </c>
      <c r="G224" t="n">
        <v>1.542</v>
      </c>
      <c r="H224" t="n">
        <v>2.037</v>
      </c>
      <c r="J224" t="n">
        <v>1.964</v>
      </c>
      <c r="K224" t="n">
        <v>2.308</v>
      </c>
      <c r="L224" t="n">
        <v>19.5</v>
      </c>
      <c r="N224">
        <f>IF(OR(E224="",C224=""),"",E224-C224/42)</f>
        <v/>
      </c>
      <c r="O224">
        <f>IF(OR(E224="",D224=""),"",E224-D224/42)</f>
        <v/>
      </c>
      <c r="P224">
        <f>IF(L224="",M224/100,H224*L224/100)</f>
        <v/>
      </c>
      <c r="Q224">
        <f>H224-C224/42-P224</f>
        <v/>
      </c>
      <c r="R224">
        <f>H224-E224</f>
        <v/>
      </c>
    </row>
    <row r="225">
      <c r="A225" s="3" t="n">
        <v>39916</v>
      </c>
      <c r="B225" s="3" t="n">
        <v>39913</v>
      </c>
      <c r="C225" t="n">
        <v>50.46</v>
      </c>
      <c r="D225" t="n">
        <v>51.48</v>
      </c>
      <c r="E225" t="n">
        <v>1.371</v>
      </c>
      <c r="F225" t="n">
        <v>1.383</v>
      </c>
      <c r="G225" t="n">
        <v>1.596</v>
      </c>
      <c r="H225" t="n">
        <v>2.051</v>
      </c>
      <c r="J225" t="n">
        <v>2.006</v>
      </c>
      <c r="K225" t="n">
        <v>2.336</v>
      </c>
      <c r="L225" t="n">
        <v>19.5</v>
      </c>
      <c r="N225">
        <f>IF(OR(E225="",C225=""),"",E225-C225/42)</f>
        <v/>
      </c>
      <c r="O225">
        <f>IF(OR(E225="",D225=""),"",E225-D225/42)</f>
        <v/>
      </c>
      <c r="P225">
        <f>IF(L225="",M225/100,H225*L225/100)</f>
        <v/>
      </c>
      <c r="Q225">
        <f>H225-C225/42-P225</f>
        <v/>
      </c>
      <c r="R225">
        <f>H225-E225</f>
        <v/>
      </c>
    </row>
    <row r="226">
      <c r="A226" s="3" t="n">
        <v>39923</v>
      </c>
      <c r="B226" s="3" t="n">
        <v>39920</v>
      </c>
      <c r="C226" t="n">
        <v>49.86</v>
      </c>
      <c r="D226" t="n">
        <v>51.59</v>
      </c>
      <c r="E226" t="n">
        <v>1.384</v>
      </c>
      <c r="F226" t="n">
        <v>1.421</v>
      </c>
      <c r="G226" t="n">
        <v>1.588</v>
      </c>
      <c r="H226" t="n">
        <v>2.059</v>
      </c>
      <c r="J226" t="n">
        <v>2.048</v>
      </c>
      <c r="K226" t="n">
        <v>2.34</v>
      </c>
      <c r="L226" t="n">
        <v>19.5</v>
      </c>
      <c r="N226">
        <f>IF(OR(E226="",C226=""),"",E226-C226/42)</f>
        <v/>
      </c>
      <c r="O226">
        <f>IF(OR(E226="",D226=""),"",E226-D226/42)</f>
        <v/>
      </c>
      <c r="P226">
        <f>IF(L226="",M226/100,H226*L226/100)</f>
        <v/>
      </c>
      <c r="Q226">
        <f>H226-C226/42-P226</f>
        <v/>
      </c>
      <c r="R226">
        <f>H226-E226</f>
        <v/>
      </c>
    </row>
    <row r="227">
      <c r="A227" s="3" t="n">
        <v>39930</v>
      </c>
      <c r="B227" s="3" t="n">
        <v>39927</v>
      </c>
      <c r="C227" t="n">
        <v>47.8</v>
      </c>
      <c r="D227" t="n">
        <v>48.97</v>
      </c>
      <c r="E227" t="n">
        <v>1.314</v>
      </c>
      <c r="F227" t="n">
        <v>1.369</v>
      </c>
      <c r="G227" t="n">
        <v>1.537</v>
      </c>
      <c r="H227" t="n">
        <v>2.049</v>
      </c>
      <c r="J227" t="n">
        <v>2.071</v>
      </c>
      <c r="K227" t="n">
        <v>2.34</v>
      </c>
      <c r="L227" t="n">
        <v>19.5</v>
      </c>
      <c r="N227">
        <f>IF(OR(E227="",C227=""),"",E227-C227/42)</f>
        <v/>
      </c>
      <c r="O227">
        <f>IF(OR(E227="",D227=""),"",E227-D227/42)</f>
        <v/>
      </c>
      <c r="P227">
        <f>IF(L227="",M227/100,H227*L227/100)</f>
        <v/>
      </c>
      <c r="Q227">
        <f>H227-C227/42-P227</f>
        <v/>
      </c>
      <c r="R227">
        <f>H227-E227</f>
        <v/>
      </c>
    </row>
    <row r="228">
      <c r="A228" s="3" t="n">
        <v>39937</v>
      </c>
      <c r="B228" s="3" t="n">
        <v>39934</v>
      </c>
      <c r="C228" t="n">
        <v>50.2</v>
      </c>
      <c r="D228" t="n">
        <v>49.92</v>
      </c>
      <c r="E228" t="n">
        <v>1.355</v>
      </c>
      <c r="F228" t="n">
        <v>1.379</v>
      </c>
      <c r="G228" t="n">
        <v>1.601</v>
      </c>
      <c r="H228" t="n">
        <v>2.078</v>
      </c>
      <c r="J228" t="n">
        <v>2.094</v>
      </c>
      <c r="K228" t="n">
        <v>2.355</v>
      </c>
      <c r="L228" t="n">
        <v>19.5</v>
      </c>
      <c r="N228">
        <f>IF(OR(E228="",C228=""),"",E228-C228/42)</f>
        <v/>
      </c>
      <c r="O228">
        <f>IF(OR(E228="",D228=""),"",E228-D228/42)</f>
        <v/>
      </c>
      <c r="P228">
        <f>IF(L228="",M228/100,H228*L228/100)</f>
        <v/>
      </c>
      <c r="Q228">
        <f>H228-C228/42-P228</f>
        <v/>
      </c>
      <c r="R228">
        <f>H228-E228</f>
        <v/>
      </c>
    </row>
    <row r="229">
      <c r="A229" s="3" t="n">
        <v>39944</v>
      </c>
      <c r="B229" s="3" t="n">
        <v>39941</v>
      </c>
      <c r="C229" t="n">
        <v>55.96</v>
      </c>
      <c r="D229" t="n">
        <v>54.83</v>
      </c>
      <c r="E229" t="n">
        <v>1.546</v>
      </c>
      <c r="F229" t="n">
        <v>1.585</v>
      </c>
      <c r="G229" t="n">
        <v>1.737</v>
      </c>
      <c r="H229" t="n">
        <v>2.24</v>
      </c>
      <c r="J229" t="n">
        <v>2.181</v>
      </c>
      <c r="K229" t="n">
        <v>2.424</v>
      </c>
      <c r="L229" t="n">
        <v>19.5</v>
      </c>
      <c r="N229">
        <f>IF(OR(E229="",C229=""),"",E229-C229/42)</f>
        <v/>
      </c>
      <c r="O229">
        <f>IF(OR(E229="",D229=""),"",E229-D229/42)</f>
        <v/>
      </c>
      <c r="P229">
        <f>IF(L229="",M229/100,H229*L229/100)</f>
        <v/>
      </c>
      <c r="Q229">
        <f>H229-C229/42-P229</f>
        <v/>
      </c>
      <c r="R229">
        <f>H229-E229</f>
        <v/>
      </c>
    </row>
    <row r="230">
      <c r="A230" s="3" t="n">
        <v>39951</v>
      </c>
      <c r="B230" s="3" t="n">
        <v>39948</v>
      </c>
      <c r="C230" t="n">
        <v>57.94</v>
      </c>
      <c r="D230" t="n">
        <v>56.39</v>
      </c>
      <c r="E230" t="n">
        <v>1.612</v>
      </c>
      <c r="F230" t="n">
        <v>1.66</v>
      </c>
      <c r="G230" t="n">
        <v>1.786</v>
      </c>
      <c r="H230" t="n">
        <v>2.309</v>
      </c>
      <c r="J230" t="n">
        <v>2.24</v>
      </c>
      <c r="K230" t="n">
        <v>2.524</v>
      </c>
      <c r="L230" t="n">
        <v>19.5</v>
      </c>
      <c r="N230">
        <f>IF(OR(E230="",C230=""),"",E230-C230/42)</f>
        <v/>
      </c>
      <c r="O230">
        <f>IF(OR(E230="",D230=""),"",E230-D230/42)</f>
        <v/>
      </c>
      <c r="P230">
        <f>IF(L230="",M230/100,H230*L230/100)</f>
        <v/>
      </c>
      <c r="Q230">
        <f>H230-C230/42-P230</f>
        <v/>
      </c>
      <c r="R230">
        <f>H230-E230</f>
        <v/>
      </c>
    </row>
    <row r="231">
      <c r="A231" s="3" t="n">
        <v>39958</v>
      </c>
      <c r="B231" s="3" t="n">
        <v>39955</v>
      </c>
      <c r="C231" t="n">
        <v>60.32</v>
      </c>
      <c r="D231" t="n">
        <v>57.89</v>
      </c>
      <c r="E231" t="n">
        <v>1.735</v>
      </c>
      <c r="F231" t="n">
        <v>1.752</v>
      </c>
      <c r="G231" t="n">
        <v>1.933</v>
      </c>
      <c r="H231" t="n">
        <v>2.435</v>
      </c>
      <c r="J231" t="n">
        <v>2.364</v>
      </c>
      <c r="K231" t="n">
        <v>2.637</v>
      </c>
      <c r="L231" t="n">
        <v>19.5</v>
      </c>
      <c r="N231">
        <f>IF(OR(E231="",C231=""),"",E231-C231/42)</f>
        <v/>
      </c>
      <c r="O231">
        <f>IF(OR(E231="",D231=""),"",E231-D231/42)</f>
        <v/>
      </c>
      <c r="P231">
        <f>IF(L231="",M231/100,H231*L231/100)</f>
        <v/>
      </c>
      <c r="Q231">
        <f>H231-C231/42-P231</f>
        <v/>
      </c>
      <c r="R231">
        <f>H231-E231</f>
        <v/>
      </c>
    </row>
    <row r="232">
      <c r="A232" s="3" t="n">
        <v>39965</v>
      </c>
      <c r="B232" s="3" t="n">
        <v>39962</v>
      </c>
      <c r="C232" t="n">
        <v>64.31999999999999</v>
      </c>
      <c r="D232" t="n">
        <v>62.2</v>
      </c>
      <c r="E232" t="n">
        <v>1.813</v>
      </c>
      <c r="F232" t="n">
        <v>1.838</v>
      </c>
      <c r="G232" t="n">
        <v>2.001</v>
      </c>
      <c r="H232" t="n">
        <v>2.524</v>
      </c>
      <c r="J232" t="n">
        <v>2.423</v>
      </c>
      <c r="K232" t="n">
        <v>2.756</v>
      </c>
      <c r="L232" t="n">
        <v>15.1</v>
      </c>
      <c r="N232">
        <f>IF(OR(E232="",C232=""),"",E232-C232/42)</f>
        <v/>
      </c>
      <c r="O232">
        <f>IF(OR(E232="",D232=""),"",E232-D232/42)</f>
        <v/>
      </c>
      <c r="P232">
        <f>IF(L232="",M232/100,H232*L232/100)</f>
        <v/>
      </c>
      <c r="Q232">
        <f>H232-C232/42-P232</f>
        <v/>
      </c>
      <c r="R232">
        <f>H232-E232</f>
        <v/>
      </c>
    </row>
    <row r="233">
      <c r="A233" s="3" t="n">
        <v>39972</v>
      </c>
      <c r="B233" s="3" t="n">
        <v>39969</v>
      </c>
      <c r="C233" t="n">
        <v>68.11</v>
      </c>
      <c r="D233" t="n">
        <v>67.17</v>
      </c>
      <c r="E233" t="n">
        <v>1.891</v>
      </c>
      <c r="F233" t="n">
        <v>1.89</v>
      </c>
      <c r="G233" t="n">
        <v>2.109</v>
      </c>
      <c r="H233" t="n">
        <v>2.624</v>
      </c>
      <c r="J233" t="n">
        <v>2.517</v>
      </c>
      <c r="K233" t="n">
        <v>2.891</v>
      </c>
      <c r="L233" t="n">
        <v>15.1</v>
      </c>
      <c r="N233">
        <f>IF(OR(E233="",C233=""),"",E233-C233/42)</f>
        <v/>
      </c>
      <c r="O233">
        <f>IF(OR(E233="",D233=""),"",E233-D233/42)</f>
        <v/>
      </c>
      <c r="P233">
        <f>IF(L233="",M233/100,H233*L233/100)</f>
        <v/>
      </c>
      <c r="Q233">
        <f>H233-C233/42-P233</f>
        <v/>
      </c>
      <c r="R233">
        <f>H233-E233</f>
        <v/>
      </c>
    </row>
    <row r="234">
      <c r="A234" s="3" t="n">
        <v>39979</v>
      </c>
      <c r="B234" s="3" t="n">
        <v>39976</v>
      </c>
      <c r="C234" t="n">
        <v>70.84999999999999</v>
      </c>
      <c r="D234" t="n">
        <v>69.88</v>
      </c>
      <c r="E234" t="n">
        <v>1.952</v>
      </c>
      <c r="F234" t="n">
        <v>1.964</v>
      </c>
      <c r="G234" t="n">
        <v>2.184</v>
      </c>
      <c r="H234" t="n">
        <v>2.672</v>
      </c>
      <c r="J234" t="n">
        <v>2.573</v>
      </c>
      <c r="K234" t="n">
        <v>2.979</v>
      </c>
      <c r="L234" t="n">
        <v>15.1</v>
      </c>
      <c r="N234">
        <f>IF(OR(E234="",C234=""),"",E234-C234/42)</f>
        <v/>
      </c>
      <c r="O234">
        <f>IF(OR(E234="",D234=""),"",E234-D234/42)</f>
        <v/>
      </c>
      <c r="P234">
        <f>IF(L234="",M234/100,H234*L234/100)</f>
        <v/>
      </c>
      <c r="Q234">
        <f>H234-C234/42-P234</f>
        <v/>
      </c>
      <c r="R234">
        <f>H234-E234</f>
        <v/>
      </c>
    </row>
    <row r="235">
      <c r="A235" s="3" t="n">
        <v>39986</v>
      </c>
      <c r="B235" s="3" t="n">
        <v>39983</v>
      </c>
      <c r="C235" t="n">
        <v>70.62</v>
      </c>
      <c r="D235" t="n">
        <v>69.68000000000001</v>
      </c>
      <c r="E235" t="n">
        <v>1.958</v>
      </c>
      <c r="F235" t="n">
        <v>1.974</v>
      </c>
      <c r="G235" t="n">
        <v>2.124</v>
      </c>
      <c r="H235" t="n">
        <v>2.691</v>
      </c>
      <c r="J235" t="n">
        <v>2.604</v>
      </c>
      <c r="K235" t="n">
        <v>3.005</v>
      </c>
      <c r="L235" t="n">
        <v>15.1</v>
      </c>
      <c r="N235">
        <f>IF(OR(E235="",C235=""),"",E235-C235/42)</f>
        <v/>
      </c>
      <c r="O235">
        <f>IF(OR(E235="",D235=""),"",E235-D235/42)</f>
        <v/>
      </c>
      <c r="P235">
        <f>IF(L235="",M235/100,H235*L235/100)</f>
        <v/>
      </c>
      <c r="Q235">
        <f>H235-C235/42-P235</f>
        <v/>
      </c>
      <c r="R235">
        <f>H235-E235</f>
        <v/>
      </c>
    </row>
    <row r="236">
      <c r="A236" s="3" t="n">
        <v>39993</v>
      </c>
      <c r="B236" s="3" t="n">
        <v>39990</v>
      </c>
      <c r="C236" t="n">
        <v>68.58</v>
      </c>
      <c r="D236" t="n">
        <v>67.58</v>
      </c>
      <c r="E236" t="n">
        <v>1.779</v>
      </c>
      <c r="F236" t="n">
        <v>1.812</v>
      </c>
      <c r="G236" t="n">
        <v>1.953</v>
      </c>
      <c r="H236" t="n">
        <v>2.642</v>
      </c>
      <c r="J236" t="n">
        <v>2.602</v>
      </c>
      <c r="K236" t="n">
        <v>2.984</v>
      </c>
      <c r="L236" t="n">
        <v>15.1</v>
      </c>
      <c r="N236">
        <f>IF(OR(E236="",C236=""),"",E236-C236/42)</f>
        <v/>
      </c>
      <c r="O236">
        <f>IF(OR(E236="",D236=""),"",E236-D236/42)</f>
        <v/>
      </c>
      <c r="P236">
        <f>IF(L236="",M236/100,H236*L236/100)</f>
        <v/>
      </c>
      <c r="Q236">
        <f>H236-C236/42-P236</f>
        <v/>
      </c>
      <c r="R236">
        <f>H236-E236</f>
        <v/>
      </c>
    </row>
    <row r="237">
      <c r="A237" s="3" t="n">
        <v>40000</v>
      </c>
      <c r="B237" s="3" t="n">
        <v>39997</v>
      </c>
      <c r="C237" t="n">
        <v>69.31999999999999</v>
      </c>
      <c r="D237" t="n">
        <v>68.03</v>
      </c>
      <c r="E237" t="n">
        <v>1.784</v>
      </c>
      <c r="F237" t="n">
        <v>1.829</v>
      </c>
      <c r="G237" t="n">
        <v>1.956</v>
      </c>
      <c r="H237" t="n">
        <v>2.612</v>
      </c>
      <c r="J237" t="n">
        <v>2.591</v>
      </c>
      <c r="K237" t="n">
        <v>2.952</v>
      </c>
      <c r="L237" t="n">
        <v>15.8</v>
      </c>
      <c r="N237">
        <f>IF(OR(E237="",C237=""),"",E237-C237/42)</f>
        <v/>
      </c>
      <c r="O237">
        <f>IF(OR(E237="",D237=""),"",E237-D237/42)</f>
        <v/>
      </c>
      <c r="P237">
        <f>IF(L237="",M237/100,H237*L237/100)</f>
        <v/>
      </c>
      <c r="Q237">
        <f>H237-C237/42-P237</f>
        <v/>
      </c>
      <c r="R237">
        <f>H237-E237</f>
        <v/>
      </c>
    </row>
    <row r="238">
      <c r="A238" s="3" t="n">
        <v>40007</v>
      </c>
      <c r="B238" s="3" t="n">
        <v>40004</v>
      </c>
      <c r="C238" t="n">
        <v>61.48</v>
      </c>
      <c r="D238" t="n">
        <v>60.39</v>
      </c>
      <c r="E238" t="n">
        <v>1.605</v>
      </c>
      <c r="F238" t="n">
        <v>1.652</v>
      </c>
      <c r="G238" t="n">
        <v>1.768</v>
      </c>
      <c r="H238" t="n">
        <v>2.528</v>
      </c>
      <c r="J238" t="n">
        <v>2.564</v>
      </c>
      <c r="K238" t="n">
        <v>2.88</v>
      </c>
      <c r="L238" t="n">
        <v>15.8</v>
      </c>
      <c r="N238">
        <f>IF(OR(E238="",C238=""),"",E238-C238/42)</f>
        <v/>
      </c>
      <c r="O238">
        <f>IF(OR(E238="",D238=""),"",E238-D238/42)</f>
        <v/>
      </c>
      <c r="P238">
        <f>IF(L238="",M238/100,H238*L238/100)</f>
        <v/>
      </c>
      <c r="Q238">
        <f>H238-C238/42-P238</f>
        <v/>
      </c>
      <c r="R238">
        <f>H238-E238</f>
        <v/>
      </c>
    </row>
    <row r="239">
      <c r="A239" s="3" t="n">
        <v>40014</v>
      </c>
      <c r="B239" s="3" t="n">
        <v>40011</v>
      </c>
      <c r="C239" t="n">
        <v>61.29</v>
      </c>
      <c r="D239" t="n">
        <v>61.11</v>
      </c>
      <c r="E239" t="n">
        <v>1.61</v>
      </c>
      <c r="F239" t="n">
        <v>1.651</v>
      </c>
      <c r="G239" t="n">
        <v>1.819</v>
      </c>
      <c r="H239" t="n">
        <v>2.463</v>
      </c>
      <c r="J239" t="n">
        <v>2.524</v>
      </c>
      <c r="K239" t="n">
        <v>2.829</v>
      </c>
      <c r="L239" t="n">
        <v>15.8</v>
      </c>
      <c r="N239">
        <f>IF(OR(E239="",C239=""),"",E239-C239/42)</f>
        <v/>
      </c>
      <c r="O239">
        <f>IF(OR(E239="",D239=""),"",E239-D239/42)</f>
        <v/>
      </c>
      <c r="P239">
        <f>IF(L239="",M239/100,H239*L239/100)</f>
        <v/>
      </c>
      <c r="Q239">
        <f>H239-C239/42-P239</f>
        <v/>
      </c>
      <c r="R239">
        <f>H239-E239</f>
        <v/>
      </c>
    </row>
    <row r="240">
      <c r="A240" s="3" t="n">
        <v>40021</v>
      </c>
      <c r="B240" s="3" t="n">
        <v>40018</v>
      </c>
      <c r="C240" t="n">
        <v>65.28</v>
      </c>
      <c r="D240" t="n">
        <v>66.56</v>
      </c>
      <c r="E240" t="n">
        <v>1.773</v>
      </c>
      <c r="F240" t="n">
        <v>1.809</v>
      </c>
      <c r="G240" t="n">
        <v>1.99</v>
      </c>
      <c r="H240" t="n">
        <v>2.503</v>
      </c>
      <c r="J240" t="n">
        <v>2.501</v>
      </c>
      <c r="K240" t="n">
        <v>2.829</v>
      </c>
      <c r="L240" t="n">
        <v>15.8</v>
      </c>
      <c r="N240">
        <f>IF(OR(E240="",C240=""),"",E240-C240/42)</f>
        <v/>
      </c>
      <c r="O240">
        <f>IF(OR(E240="",D240=""),"",E240-D240/42)</f>
        <v/>
      </c>
      <c r="P240">
        <f>IF(L240="",M240/100,H240*L240/100)</f>
        <v/>
      </c>
      <c r="Q240">
        <f>H240-C240/42-P240</f>
        <v/>
      </c>
      <c r="R240">
        <f>H240-E240</f>
        <v/>
      </c>
    </row>
    <row r="241">
      <c r="A241" s="3" t="n">
        <v>40028</v>
      </c>
      <c r="B241" s="3" t="n">
        <v>40025</v>
      </c>
      <c r="C241" t="n">
        <v>67.03</v>
      </c>
      <c r="D241" t="n">
        <v>68.59999999999999</v>
      </c>
      <c r="E241" t="n">
        <v>1.817</v>
      </c>
      <c r="F241" t="n">
        <v>1.87</v>
      </c>
      <c r="G241" t="n">
        <v>2.076</v>
      </c>
      <c r="H241" t="n">
        <v>2.557</v>
      </c>
      <c r="J241" t="n">
        <v>2.507</v>
      </c>
      <c r="K241" t="n">
        <v>2.896</v>
      </c>
      <c r="L241" t="n">
        <v>15.4</v>
      </c>
      <c r="N241">
        <f>IF(OR(E241="",C241=""),"",E241-C241/42)</f>
        <v/>
      </c>
      <c r="O241">
        <f>IF(OR(E241="",D241=""),"",E241-D241/42)</f>
        <v/>
      </c>
      <c r="P241">
        <f>IF(L241="",M241/100,H241*L241/100)</f>
        <v/>
      </c>
      <c r="Q241">
        <f>H241-C241/42-P241</f>
        <v/>
      </c>
      <c r="R241">
        <f>H241-E241</f>
        <v/>
      </c>
    </row>
    <row r="242">
      <c r="A242" s="3" t="n">
        <v>40035</v>
      </c>
      <c r="B242" s="3" t="n">
        <v>40032</v>
      </c>
      <c r="C242" t="n">
        <v>71.58</v>
      </c>
      <c r="D242" t="n">
        <v>73.98999999999999</v>
      </c>
      <c r="E242" t="n">
        <v>1.951</v>
      </c>
      <c r="F242" t="n">
        <v>1.987</v>
      </c>
      <c r="G242" t="n">
        <v>2.209</v>
      </c>
      <c r="H242" t="n">
        <v>2.647</v>
      </c>
      <c r="J242" t="n">
        <v>2.574</v>
      </c>
      <c r="K242" t="n">
        <v>3.04</v>
      </c>
      <c r="L242" t="n">
        <v>15.4</v>
      </c>
      <c r="N242">
        <f>IF(OR(E242="",C242=""),"",E242-C242/42)</f>
        <v/>
      </c>
      <c r="O242">
        <f>IF(OR(E242="",D242=""),"",E242-D242/42)</f>
        <v/>
      </c>
      <c r="P242">
        <f>IF(L242="",M242/100,H242*L242/100)</f>
        <v/>
      </c>
      <c r="Q242">
        <f>H242-C242/42-P242</f>
        <v/>
      </c>
      <c r="R242">
        <f>H242-E242</f>
        <v/>
      </c>
    </row>
    <row r="243">
      <c r="A243" s="3" t="n">
        <v>40042</v>
      </c>
      <c r="B243" s="3" t="n">
        <v>40039</v>
      </c>
      <c r="C243" t="n">
        <v>69.64</v>
      </c>
      <c r="D243" t="n">
        <v>72.90000000000001</v>
      </c>
      <c r="E243" t="n">
        <v>1.904</v>
      </c>
      <c r="F243" t="n">
        <v>1.935</v>
      </c>
      <c r="G243" t="n">
        <v>2.127</v>
      </c>
      <c r="H243" t="n">
        <v>2.637</v>
      </c>
      <c r="J243" t="n">
        <v>2.611</v>
      </c>
      <c r="K243" t="n">
        <v>3.047</v>
      </c>
      <c r="L243" t="n">
        <v>15.4</v>
      </c>
      <c r="N243">
        <f>IF(OR(E243="",C243=""),"",E243-C243/42)</f>
        <v/>
      </c>
      <c r="O243">
        <f>IF(OR(E243="",D243=""),"",E243-D243/42)</f>
        <v/>
      </c>
      <c r="P243">
        <f>IF(L243="",M243/100,H243*L243/100)</f>
        <v/>
      </c>
      <c r="Q243">
        <f>H243-C243/42-P243</f>
        <v/>
      </c>
      <c r="R243">
        <f>H243-E243</f>
        <v/>
      </c>
    </row>
    <row r="244">
      <c r="A244" s="3" t="n">
        <v>40049</v>
      </c>
      <c r="B244" s="3" t="n">
        <v>40046</v>
      </c>
      <c r="C244" t="n">
        <v>70.8</v>
      </c>
      <c r="D244" t="n">
        <v>71.52</v>
      </c>
      <c r="E244" t="n">
        <v>1.864</v>
      </c>
      <c r="F244" t="n">
        <v>1.912</v>
      </c>
      <c r="G244" t="n">
        <v>2.052</v>
      </c>
      <c r="H244" t="n">
        <v>2.628</v>
      </c>
      <c r="J244" t="n">
        <v>2.616</v>
      </c>
      <c r="K244" t="n">
        <v>3.031</v>
      </c>
      <c r="L244" t="n">
        <v>15.4</v>
      </c>
      <c r="N244">
        <f>IF(OR(E244="",C244=""),"",E244-C244/42)</f>
        <v/>
      </c>
      <c r="O244">
        <f>IF(OR(E244="",D244=""),"",E244-D244/42)</f>
        <v/>
      </c>
      <c r="P244">
        <f>IF(L244="",M244/100,H244*L244/100)</f>
        <v/>
      </c>
      <c r="Q244">
        <f>H244-C244/42-P244</f>
        <v/>
      </c>
      <c r="R244">
        <f>H244-E244</f>
        <v/>
      </c>
    </row>
    <row r="245">
      <c r="A245" s="3" t="n">
        <v>40056</v>
      </c>
      <c r="B245" s="3" t="n">
        <v>40053</v>
      </c>
      <c r="C245" t="n">
        <v>72.37</v>
      </c>
      <c r="D245" t="n">
        <v>72.33</v>
      </c>
      <c r="E245" t="n">
        <v>1.854</v>
      </c>
      <c r="F245" t="n">
        <v>1.907</v>
      </c>
      <c r="G245" t="n">
        <v>2.078</v>
      </c>
      <c r="H245" t="n">
        <v>2.613</v>
      </c>
      <c r="J245" t="n">
        <v>2.614</v>
      </c>
      <c r="K245" t="n">
        <v>3.037</v>
      </c>
      <c r="L245" t="n">
        <v>15.4</v>
      </c>
      <c r="N245">
        <f>IF(OR(E245="",C245=""),"",E245-C245/42)</f>
        <v/>
      </c>
      <c r="O245">
        <f>IF(OR(E245="",D245=""),"",E245-D245/42)</f>
        <v/>
      </c>
      <c r="P245">
        <f>IF(L245="",M245/100,H245*L245/100)</f>
        <v/>
      </c>
      <c r="Q245">
        <f>H245-C245/42-P245</f>
        <v/>
      </c>
      <c r="R245">
        <f>H245-E245</f>
        <v/>
      </c>
    </row>
    <row r="246">
      <c r="A246" s="3" t="n">
        <v>40063</v>
      </c>
      <c r="B246" s="3" t="n">
        <v>40060</v>
      </c>
      <c r="C246" t="n">
        <v>68.39</v>
      </c>
      <c r="D246" t="n">
        <v>67.59999999999999</v>
      </c>
      <c r="E246" t="n">
        <v>1.767</v>
      </c>
      <c r="F246" t="n">
        <v>1.824</v>
      </c>
      <c r="G246" t="n">
        <v>2.111</v>
      </c>
      <c r="H246" t="n">
        <v>2.588</v>
      </c>
      <c r="J246" t="n">
        <v>2.595</v>
      </c>
      <c r="K246" t="n">
        <v>3.099</v>
      </c>
      <c r="L246" t="n">
        <v>15.7</v>
      </c>
      <c r="N246">
        <f>IF(OR(E246="",C246=""),"",E246-C246/42)</f>
        <v/>
      </c>
      <c r="O246">
        <f>IF(OR(E246="",D246=""),"",E246-D246/42)</f>
        <v/>
      </c>
      <c r="P246">
        <f>IF(L246="",M246/100,H246*L246/100)</f>
        <v/>
      </c>
      <c r="Q246">
        <f>H246-C246/42-P246</f>
        <v/>
      </c>
      <c r="R246">
        <f>H246-E246</f>
        <v/>
      </c>
    </row>
    <row r="247">
      <c r="A247" s="3" t="n">
        <v>40070</v>
      </c>
      <c r="B247" s="3" t="n">
        <v>40067</v>
      </c>
      <c r="C247" t="n">
        <v>70.91</v>
      </c>
      <c r="D247" t="n">
        <v>69.17</v>
      </c>
      <c r="E247" t="n">
        <v>1.773</v>
      </c>
      <c r="F247" t="n">
        <v>1.835</v>
      </c>
      <c r="G247" t="n">
        <v>2.221</v>
      </c>
      <c r="H247" t="n">
        <v>2.577</v>
      </c>
      <c r="J247" t="n">
        <v>2.586</v>
      </c>
      <c r="K247" t="n">
        <v>3.153</v>
      </c>
      <c r="L247" t="n">
        <v>15.7</v>
      </c>
      <c r="N247">
        <f>IF(OR(E247="",C247=""),"",E247-C247/42)</f>
        <v/>
      </c>
      <c r="O247">
        <f>IF(OR(E247="",D247=""),"",E247-D247/42)</f>
        <v/>
      </c>
      <c r="P247">
        <f>IF(L247="",M247/100,H247*L247/100)</f>
        <v/>
      </c>
      <c r="Q247">
        <f>H247-C247/42-P247</f>
        <v/>
      </c>
      <c r="R247">
        <f>H247-E247</f>
        <v/>
      </c>
    </row>
    <row r="248">
      <c r="A248" s="3" t="n">
        <v>40077</v>
      </c>
      <c r="B248" s="3" t="n">
        <v>40074</v>
      </c>
      <c r="C248" t="n">
        <v>71.31999999999999</v>
      </c>
      <c r="D248" t="n">
        <v>68.84999999999999</v>
      </c>
      <c r="E248" t="n">
        <v>1.784</v>
      </c>
      <c r="F248" t="n">
        <v>1.835</v>
      </c>
      <c r="G248" t="n">
        <v>2.08</v>
      </c>
      <c r="H248" t="n">
        <v>2.552</v>
      </c>
      <c r="J248" t="n">
        <v>2.57</v>
      </c>
      <c r="K248" t="n">
        <v>3.14</v>
      </c>
      <c r="L248" t="n">
        <v>15.7</v>
      </c>
      <c r="N248">
        <f>IF(OR(E248="",C248=""),"",E248-C248/42)</f>
        <v/>
      </c>
      <c r="O248">
        <f>IF(OR(E248="",D248=""),"",E248-D248/42)</f>
        <v/>
      </c>
      <c r="P248">
        <f>IF(L248="",M248/100,H248*L248/100)</f>
        <v/>
      </c>
      <c r="Q248">
        <f>H248-C248/42-P248</f>
        <v/>
      </c>
      <c r="R248">
        <f>H248-E248</f>
        <v/>
      </c>
    </row>
    <row r="249">
      <c r="A249" s="3" t="n">
        <v>40084</v>
      </c>
      <c r="B249" s="3" t="n">
        <v>40081</v>
      </c>
      <c r="C249" t="n">
        <v>68.33</v>
      </c>
      <c r="D249" t="n">
        <v>66.95999999999999</v>
      </c>
      <c r="E249" t="n">
        <v>1.683</v>
      </c>
      <c r="F249" t="n">
        <v>1.703</v>
      </c>
      <c r="G249" t="n">
        <v>1.894</v>
      </c>
      <c r="H249" t="n">
        <v>2.499</v>
      </c>
      <c r="J249" t="n">
        <v>2.548</v>
      </c>
      <c r="K249" t="n">
        <v>3.098</v>
      </c>
      <c r="L249" t="n">
        <v>15.7</v>
      </c>
      <c r="N249">
        <f>IF(OR(E249="",C249=""),"",E249-C249/42)</f>
        <v/>
      </c>
      <c r="O249">
        <f>IF(OR(E249="",D249=""),"",E249-D249/42)</f>
        <v/>
      </c>
      <c r="P249">
        <f>IF(L249="",M249/100,H249*L249/100)</f>
        <v/>
      </c>
      <c r="Q249">
        <f>H249-C249/42-P249</f>
        <v/>
      </c>
      <c r="R249">
        <f>H249-E249</f>
        <v/>
      </c>
    </row>
    <row r="250">
      <c r="A250" s="3" t="n">
        <v>40091</v>
      </c>
      <c r="B250" s="3" t="n">
        <v>40088</v>
      </c>
      <c r="C250" t="n">
        <v>68.84</v>
      </c>
      <c r="D250" t="n">
        <v>65.90000000000001</v>
      </c>
      <c r="E250" t="n">
        <v>1.682</v>
      </c>
      <c r="F250" t="n">
        <v>1.711</v>
      </c>
      <c r="G250" t="n">
        <v>1.966</v>
      </c>
      <c r="H250" t="n">
        <v>2.468</v>
      </c>
      <c r="J250" t="n">
        <v>2.502</v>
      </c>
      <c r="K250" t="n">
        <v>3.069</v>
      </c>
      <c r="L250" t="n">
        <v>15.7</v>
      </c>
      <c r="N250">
        <f>IF(OR(E250="",C250=""),"",E250-C250/42)</f>
        <v/>
      </c>
      <c r="O250">
        <f>IF(OR(E250="",D250=""),"",E250-D250/42)</f>
        <v/>
      </c>
      <c r="P250">
        <f>IF(L250="",M250/100,H250*L250/100)</f>
        <v/>
      </c>
      <c r="Q250">
        <f>H250-C250/42-P250</f>
        <v/>
      </c>
      <c r="R250">
        <f>H250-E250</f>
        <v/>
      </c>
    </row>
    <row r="251">
      <c r="A251" s="3" t="n">
        <v>40098</v>
      </c>
      <c r="B251" s="3" t="n">
        <v>40095</v>
      </c>
      <c r="C251" t="n">
        <v>70.8</v>
      </c>
      <c r="D251" t="n">
        <v>67.87</v>
      </c>
      <c r="E251" t="n">
        <v>1.758</v>
      </c>
      <c r="F251" t="n">
        <v>1.781</v>
      </c>
      <c r="G251" t="n">
        <v>1.937</v>
      </c>
      <c r="H251" t="n">
        <v>2.489</v>
      </c>
      <c r="J251" t="n">
        <v>2.481</v>
      </c>
      <c r="K251" t="n">
        <v>3.015</v>
      </c>
      <c r="L251" t="n">
        <v>15.7</v>
      </c>
      <c r="N251">
        <f>IF(OR(E251="",C251=""),"",E251-C251/42)</f>
        <v/>
      </c>
      <c r="O251">
        <f>IF(OR(E251="",D251=""),"",E251-D251/42)</f>
        <v/>
      </c>
      <c r="P251">
        <f>IF(L251="",M251/100,H251*L251/100)</f>
        <v/>
      </c>
      <c r="Q251">
        <f>H251-C251/42-P251</f>
        <v/>
      </c>
      <c r="R251">
        <f>H251-E251</f>
        <v/>
      </c>
    </row>
    <row r="252">
      <c r="A252" s="3" t="n">
        <v>40105</v>
      </c>
      <c r="B252" s="3" t="n">
        <v>40102</v>
      </c>
      <c r="C252" t="n">
        <v>75.73</v>
      </c>
      <c r="D252" t="n">
        <v>72.29000000000001</v>
      </c>
      <c r="E252" t="n">
        <v>1.867</v>
      </c>
      <c r="F252" t="n">
        <v>1.899</v>
      </c>
      <c r="G252" t="n">
        <v>2.022</v>
      </c>
      <c r="H252" t="n">
        <v>2.574</v>
      </c>
      <c r="J252" t="n">
        <v>2.516</v>
      </c>
      <c r="K252" t="n">
        <v>2.988</v>
      </c>
      <c r="L252" t="n">
        <v>15.7</v>
      </c>
      <c r="N252">
        <f>IF(OR(E252="",C252=""),"",E252-C252/42)</f>
        <v/>
      </c>
      <c r="O252">
        <f>IF(OR(E252="",D252=""),"",E252-D252/42)</f>
        <v/>
      </c>
      <c r="P252">
        <f>IF(L252="",M252/100,H252*L252/100)</f>
        <v/>
      </c>
      <c r="Q252">
        <f>H252-C252/42-P252</f>
        <v/>
      </c>
      <c r="R252">
        <f>H252-E252</f>
        <v/>
      </c>
    </row>
    <row r="253">
      <c r="A253" s="3" t="n">
        <v>40112</v>
      </c>
      <c r="B253" s="3" t="n">
        <v>40109</v>
      </c>
      <c r="C253" t="n">
        <v>80.06</v>
      </c>
      <c r="D253" t="n">
        <v>77.23999999999999</v>
      </c>
      <c r="E253" t="n">
        <v>1.992</v>
      </c>
      <c r="F253" t="n">
        <v>2.04</v>
      </c>
      <c r="G253" t="n">
        <v>2.116</v>
      </c>
      <c r="H253" t="n">
        <v>2.674</v>
      </c>
      <c r="J253" t="n">
        <v>2.578</v>
      </c>
      <c r="K253" t="n">
        <v>2.985</v>
      </c>
      <c r="L253" t="n">
        <v>15.7</v>
      </c>
      <c r="N253">
        <f>IF(OR(E253="",C253=""),"",E253-C253/42)</f>
        <v/>
      </c>
      <c r="O253">
        <f>IF(OR(E253="",D253=""),"",E253-D253/42)</f>
        <v/>
      </c>
      <c r="P253">
        <f>IF(L253="",M253/100,H253*L253/100)</f>
        <v/>
      </c>
      <c r="Q253">
        <f>H253-C253/42-P253</f>
        <v/>
      </c>
      <c r="R253">
        <f>H253-E253</f>
        <v/>
      </c>
    </row>
    <row r="254">
      <c r="A254" s="3" t="n">
        <v>40119</v>
      </c>
      <c r="B254" s="3" t="n">
        <v>40116</v>
      </c>
      <c r="C254" t="n">
        <v>78.47</v>
      </c>
      <c r="D254" t="n">
        <v>76.06999999999999</v>
      </c>
      <c r="E254" t="n">
        <v>1.986</v>
      </c>
      <c r="F254" t="n">
        <v>2.042</v>
      </c>
      <c r="G254" t="n">
        <v>2.081</v>
      </c>
      <c r="H254" t="n">
        <v>2.694</v>
      </c>
      <c r="J254" t="n">
        <v>2.605</v>
      </c>
      <c r="K254" t="n">
        <v>2.987</v>
      </c>
      <c r="L254" t="n">
        <v>15.1</v>
      </c>
      <c r="N254">
        <f>IF(OR(E254="",C254=""),"",E254-C254/42)</f>
        <v/>
      </c>
      <c r="O254">
        <f>IF(OR(E254="",D254=""),"",E254-D254/42)</f>
        <v/>
      </c>
      <c r="P254">
        <f>IF(L254="",M254/100,H254*L254/100)</f>
        <v/>
      </c>
      <c r="Q254">
        <f>H254-C254/42-P254</f>
        <v/>
      </c>
      <c r="R254">
        <f>H254-E254</f>
        <v/>
      </c>
    </row>
    <row r="255">
      <c r="A255" s="3" t="n">
        <v>40126</v>
      </c>
      <c r="B255" s="3" t="n">
        <v>40123</v>
      </c>
      <c r="C255" t="n">
        <v>79</v>
      </c>
      <c r="D255" t="n">
        <v>76.59999999999999</v>
      </c>
      <c r="E255" t="n">
        <v>1.94</v>
      </c>
      <c r="F255" t="n">
        <v>1.989</v>
      </c>
      <c r="G255" t="n">
        <v>1.999</v>
      </c>
      <c r="H255" t="n">
        <v>2.666</v>
      </c>
      <c r="J255" t="n">
        <v>2.604</v>
      </c>
      <c r="K255" t="n">
        <v>2.981</v>
      </c>
      <c r="L255" t="n">
        <v>15.1</v>
      </c>
      <c r="N255">
        <f>IF(OR(E255="",C255=""),"",E255-C255/42)</f>
        <v/>
      </c>
      <c r="O255">
        <f>IF(OR(E255="",D255=""),"",E255-D255/42)</f>
        <v/>
      </c>
      <c r="P255">
        <f>IF(L255="",M255/100,H255*L255/100)</f>
        <v/>
      </c>
      <c r="Q255">
        <f>H255-C255/42-P255</f>
        <v/>
      </c>
      <c r="R255">
        <f>H255-E255</f>
        <v/>
      </c>
    </row>
    <row r="256">
      <c r="A256" s="3" t="n">
        <v>40133</v>
      </c>
      <c r="B256" s="3" t="n">
        <v>40130</v>
      </c>
      <c r="C256" t="n">
        <v>78.23999999999999</v>
      </c>
      <c r="D256" t="n">
        <v>76.25</v>
      </c>
      <c r="E256" t="n">
        <v>1.907</v>
      </c>
      <c r="F256" t="n">
        <v>1.961</v>
      </c>
      <c r="G256" t="n">
        <v>1.942</v>
      </c>
      <c r="H256" t="n">
        <v>2.629</v>
      </c>
      <c r="J256" t="n">
        <v>2.601</v>
      </c>
      <c r="K256" t="n">
        <v>2.961</v>
      </c>
      <c r="L256" t="n">
        <v>15.1</v>
      </c>
      <c r="N256">
        <f>IF(OR(E256="",C256=""),"",E256-C256/42)</f>
        <v/>
      </c>
      <c r="O256">
        <f>IF(OR(E256="",D256=""),"",E256-D256/42)</f>
        <v/>
      </c>
      <c r="P256">
        <f>IF(L256="",M256/100,H256*L256/100)</f>
        <v/>
      </c>
      <c r="Q256">
        <f>H256-C256/42-P256</f>
        <v/>
      </c>
      <c r="R256">
        <f>H256-E256</f>
        <v/>
      </c>
    </row>
    <row r="257">
      <c r="A257" s="3" t="n">
        <v>40140</v>
      </c>
      <c r="B257" s="3" t="n">
        <v>40137</v>
      </c>
      <c r="C257" t="n">
        <v>78.37</v>
      </c>
      <c r="D257" t="n">
        <v>77.04000000000001</v>
      </c>
      <c r="E257" t="n">
        <v>1.933</v>
      </c>
      <c r="F257" t="n">
        <v>2.001</v>
      </c>
      <c r="G257" t="n">
        <v>2.005</v>
      </c>
      <c r="H257" t="n">
        <v>2.639</v>
      </c>
      <c r="J257" t="n">
        <v>2.584</v>
      </c>
      <c r="K257" t="n">
        <v>2.94</v>
      </c>
      <c r="L257" t="n">
        <v>15.1</v>
      </c>
      <c r="N257">
        <f>IF(OR(E257="",C257=""),"",E257-C257/42)</f>
        <v/>
      </c>
      <c r="O257">
        <f>IF(OR(E257="",D257=""),"",E257-D257/42)</f>
        <v/>
      </c>
      <c r="P257">
        <f>IF(L257="",M257/100,H257*L257/100)</f>
        <v/>
      </c>
      <c r="Q257">
        <f>H257-C257/42-P257</f>
        <v/>
      </c>
      <c r="R257">
        <f>H257-E257</f>
        <v/>
      </c>
    </row>
    <row r="258">
      <c r="A258" s="3" t="n">
        <v>40147</v>
      </c>
      <c r="B258" s="3" t="n">
        <v>40144</v>
      </c>
      <c r="C258" t="n">
        <v>76.14</v>
      </c>
      <c r="D258" t="n">
        <v>76.52</v>
      </c>
      <c r="E258" t="n">
        <v>1.915</v>
      </c>
      <c r="F258" t="n">
        <v>1.975</v>
      </c>
      <c r="G258" t="n">
        <v>1.965</v>
      </c>
      <c r="H258" t="n">
        <v>2.629</v>
      </c>
      <c r="J258" t="n">
        <v>2.571</v>
      </c>
      <c r="K258" t="n">
        <v>2.921</v>
      </c>
      <c r="L258" t="n">
        <v>15.1</v>
      </c>
      <c r="N258">
        <f>IF(OR(E258="",C258=""),"",E258-C258/42)</f>
        <v/>
      </c>
      <c r="O258">
        <f>IF(OR(E258="",D258=""),"",E258-D258/42)</f>
        <v/>
      </c>
      <c r="P258">
        <f>IF(L258="",M258/100,H258*L258/100)</f>
        <v/>
      </c>
      <c r="Q258">
        <f>H258-C258/42-P258</f>
        <v/>
      </c>
      <c r="R258">
        <f>H258-E258</f>
        <v/>
      </c>
    </row>
    <row r="259">
      <c r="A259" s="3" t="n">
        <v>40154</v>
      </c>
      <c r="B259" s="3" t="n">
        <v>40151</v>
      </c>
      <c r="C259" t="n">
        <v>76.81</v>
      </c>
      <c r="D259" t="n">
        <v>77.78</v>
      </c>
      <c r="E259" t="n">
        <v>1.942</v>
      </c>
      <c r="F259" t="n">
        <v>1.99</v>
      </c>
      <c r="G259" t="n">
        <v>1.998</v>
      </c>
      <c r="H259" t="n">
        <v>2.634</v>
      </c>
      <c r="J259" t="n">
        <v>2.557</v>
      </c>
      <c r="K259" t="n">
        <v>2.912</v>
      </c>
      <c r="L259" t="n">
        <v>15.4</v>
      </c>
      <c r="N259">
        <f>IF(OR(E259="",C259=""),"",E259-C259/42)</f>
        <v/>
      </c>
      <c r="O259">
        <f>IF(OR(E259="",D259=""),"",E259-D259/42)</f>
        <v/>
      </c>
      <c r="P259">
        <f>IF(L259="",M259/100,H259*L259/100)</f>
        <v/>
      </c>
      <c r="Q259">
        <f>H259-C259/42-P259</f>
        <v/>
      </c>
      <c r="R259">
        <f>H259-E259</f>
        <v/>
      </c>
    </row>
    <row r="260">
      <c r="A260" s="3" t="n">
        <v>40161</v>
      </c>
      <c r="B260" s="3" t="n">
        <v>40158</v>
      </c>
      <c r="C260" t="n">
        <v>71.51000000000001</v>
      </c>
      <c r="D260" t="n">
        <v>73.14</v>
      </c>
      <c r="E260" t="n">
        <v>1.836</v>
      </c>
      <c r="F260" t="n">
        <v>1.859</v>
      </c>
      <c r="G260" t="n">
        <v>1.895</v>
      </c>
      <c r="H260" t="n">
        <v>2.599</v>
      </c>
      <c r="J260" t="n">
        <v>2.538</v>
      </c>
      <c r="K260" t="n">
        <v>2.903</v>
      </c>
      <c r="L260" t="n">
        <v>15.4</v>
      </c>
      <c r="N260">
        <f>IF(OR(E260="",C260=""),"",E260-C260/42)</f>
        <v/>
      </c>
      <c r="O260">
        <f>IF(OR(E260="",D260=""),"",E260-D260/42)</f>
        <v/>
      </c>
      <c r="P260">
        <f>IF(L260="",M260/100,H260*L260/100)</f>
        <v/>
      </c>
      <c r="Q260">
        <f>H260-C260/42-P260</f>
        <v/>
      </c>
      <c r="R260">
        <f>H260-E260</f>
        <v/>
      </c>
    </row>
    <row r="261">
      <c r="A261" s="3" t="n">
        <v>40168</v>
      </c>
      <c r="B261" s="3" t="n">
        <v>40165</v>
      </c>
      <c r="C261" t="n">
        <v>71.72</v>
      </c>
      <c r="D261" t="n">
        <v>71.8</v>
      </c>
      <c r="E261" t="n">
        <v>1.818</v>
      </c>
      <c r="F261" t="n">
        <v>1.842</v>
      </c>
      <c r="G261" t="n">
        <v>1.999</v>
      </c>
      <c r="H261" t="n">
        <v>2.589</v>
      </c>
      <c r="J261" t="n">
        <v>2.504</v>
      </c>
      <c r="K261" t="n">
        <v>2.912</v>
      </c>
      <c r="L261" t="n">
        <v>15.4</v>
      </c>
      <c r="N261">
        <f>IF(OR(E261="",C261=""),"",E261-C261/42)</f>
        <v/>
      </c>
      <c r="O261">
        <f>IF(OR(E261="",D261=""),"",E261-D261/42)</f>
        <v/>
      </c>
      <c r="P261">
        <f>IF(L261="",M261/100,H261*L261/100)</f>
        <v/>
      </c>
      <c r="Q261">
        <f>H261-C261/42-P261</f>
        <v/>
      </c>
      <c r="R261">
        <f>H261-E261</f>
        <v/>
      </c>
    </row>
    <row r="262">
      <c r="A262" s="3" t="n">
        <v>40175</v>
      </c>
      <c r="B262" s="3" t="n">
        <v>40172</v>
      </c>
      <c r="C262" t="n">
        <v>74.76000000000001</v>
      </c>
      <c r="D262" t="n">
        <v>73.34999999999999</v>
      </c>
      <c r="E262" t="n">
        <v>1.875</v>
      </c>
      <c r="F262" t="n">
        <v>1.911</v>
      </c>
      <c r="G262" t="n">
        <v>2.043</v>
      </c>
      <c r="H262" t="n">
        <v>2.607</v>
      </c>
      <c r="J262" t="n">
        <v>2.498</v>
      </c>
      <c r="K262" t="n">
        <v>2.933</v>
      </c>
      <c r="L262" t="n">
        <v>15.4</v>
      </c>
      <c r="N262">
        <f>IF(OR(E262="",C262=""),"",E262-C262/42)</f>
        <v/>
      </c>
      <c r="O262">
        <f>IF(OR(E262="",D262=""),"",E262-D262/42)</f>
        <v/>
      </c>
      <c r="P262">
        <f>IF(L262="",M262/100,H262*L262/100)</f>
        <v/>
      </c>
      <c r="Q262">
        <f>H262-C262/42-P262</f>
        <v/>
      </c>
      <c r="R262">
        <f>H262-E262</f>
        <v/>
      </c>
    </row>
    <row r="263">
      <c r="A263" s="3" t="n">
        <v>40182</v>
      </c>
      <c r="B263" s="3" t="n">
        <v>40179</v>
      </c>
      <c r="C263" t="n">
        <v>79.06999999999999</v>
      </c>
      <c r="D263" t="n">
        <v>77.19</v>
      </c>
      <c r="E263" t="n">
        <v>1.993</v>
      </c>
      <c r="F263" t="n">
        <v>2.031</v>
      </c>
      <c r="G263" t="n">
        <v>2.169</v>
      </c>
      <c r="H263" t="n">
        <v>2.665</v>
      </c>
      <c r="J263" t="n">
        <v>2.509</v>
      </c>
      <c r="K263" t="n">
        <v>2.987</v>
      </c>
      <c r="L263" t="n">
        <v>14.7</v>
      </c>
      <c r="N263">
        <f>IF(OR(E263="",C263=""),"",E263-C263/42)</f>
        <v/>
      </c>
      <c r="O263">
        <f>IF(OR(E263="",D263=""),"",E263-D263/42)</f>
        <v/>
      </c>
      <c r="P263">
        <f>IF(L263="",M263/100,H263*L263/100)</f>
        <v/>
      </c>
      <c r="Q263">
        <f>H263-C263/42-P263</f>
        <v/>
      </c>
      <c r="R263">
        <f>H263-E263</f>
        <v/>
      </c>
    </row>
    <row r="264">
      <c r="A264" s="3" t="n">
        <v>40189</v>
      </c>
      <c r="B264" s="3" t="n">
        <v>40186</v>
      </c>
      <c r="C264" t="n">
        <v>82.34</v>
      </c>
      <c r="D264" t="n">
        <v>79.81999999999999</v>
      </c>
      <c r="E264" t="n">
        <v>2.101</v>
      </c>
      <c r="F264" t="n">
        <v>2.124</v>
      </c>
      <c r="G264" t="n">
        <v>2.189</v>
      </c>
      <c r="H264" t="n">
        <v>2.751</v>
      </c>
      <c r="J264" t="n">
        <v>2.578</v>
      </c>
      <c r="K264" t="n">
        <v>3.046</v>
      </c>
      <c r="L264" t="n">
        <v>14.7</v>
      </c>
      <c r="N264">
        <f>IF(OR(E264="",C264=""),"",E264-C264/42)</f>
        <v/>
      </c>
      <c r="O264">
        <f>IF(OR(E264="",D264=""),"",E264-D264/42)</f>
        <v/>
      </c>
      <c r="P264">
        <f>IF(L264="",M264/100,H264*L264/100)</f>
        <v/>
      </c>
      <c r="Q264">
        <f>H264-C264/42-P264</f>
        <v/>
      </c>
      <c r="R264">
        <f>H264-E264</f>
        <v/>
      </c>
    </row>
    <row r="265">
      <c r="A265" s="3" t="n">
        <v>40196</v>
      </c>
      <c r="B265" s="3" t="n">
        <v>40193</v>
      </c>
      <c r="C265" t="n">
        <v>80.06</v>
      </c>
      <c r="D265" t="n">
        <v>78.31</v>
      </c>
      <c r="E265" t="n">
        <v>2.05</v>
      </c>
      <c r="F265" t="n">
        <v>2.079</v>
      </c>
      <c r="G265" t="n">
        <v>2.022</v>
      </c>
      <c r="H265" t="n">
        <v>2.739</v>
      </c>
      <c r="J265" t="n">
        <v>2.617</v>
      </c>
      <c r="K265" t="n">
        <v>3.026</v>
      </c>
      <c r="L265" t="n">
        <v>14.7</v>
      </c>
      <c r="N265">
        <f>IF(OR(E265="",C265=""),"",E265-C265/42)</f>
        <v/>
      </c>
      <c r="O265">
        <f>IF(OR(E265="",D265=""),"",E265-D265/42)</f>
        <v/>
      </c>
      <c r="P265">
        <f>IF(L265="",M265/100,H265*L265/100)</f>
        <v/>
      </c>
      <c r="Q265">
        <f>H265-C265/42-P265</f>
        <v/>
      </c>
      <c r="R265">
        <f>H265-E265</f>
        <v/>
      </c>
    </row>
    <row r="266">
      <c r="A266" s="3" t="n">
        <v>40203</v>
      </c>
      <c r="B266" s="3" t="n">
        <v>40200</v>
      </c>
      <c r="C266" t="n">
        <v>76.62</v>
      </c>
      <c r="D266" t="n">
        <v>74.28</v>
      </c>
      <c r="E266" t="n">
        <v>1.98</v>
      </c>
      <c r="F266" t="n">
        <v>2.01</v>
      </c>
      <c r="G266" t="n">
        <v>1.958</v>
      </c>
      <c r="H266" t="n">
        <v>2.705</v>
      </c>
      <c r="J266" t="n">
        <v>2.622</v>
      </c>
      <c r="K266" t="n">
        <v>3.008</v>
      </c>
      <c r="L266" t="n">
        <v>14.7</v>
      </c>
      <c r="N266">
        <f>IF(OR(E266="",C266=""),"",E266-C266/42)</f>
        <v/>
      </c>
      <c r="O266">
        <f>IF(OR(E266="",D266=""),"",E266-D266/42)</f>
        <v/>
      </c>
      <c r="P266">
        <f>IF(L266="",M266/100,H266*L266/100)</f>
        <v/>
      </c>
      <c r="Q266">
        <f>H266-C266/42-P266</f>
        <v/>
      </c>
      <c r="R266">
        <f>H266-E266</f>
        <v/>
      </c>
    </row>
    <row r="267">
      <c r="A267" s="3" t="n">
        <v>40210</v>
      </c>
      <c r="B267" s="3" t="n">
        <v>40207</v>
      </c>
      <c r="C267" t="n">
        <v>73.94</v>
      </c>
      <c r="D267" t="n">
        <v>71.88</v>
      </c>
      <c r="E267" t="n">
        <v>1.917</v>
      </c>
      <c r="F267" t="n">
        <v>1.942</v>
      </c>
      <c r="G267" t="n">
        <v>2.04</v>
      </c>
      <c r="H267" t="n">
        <v>2.661</v>
      </c>
      <c r="J267" t="n">
        <v>2.615</v>
      </c>
      <c r="K267" t="n">
        <v>2.975</v>
      </c>
      <c r="L267" t="n">
        <v>15.1</v>
      </c>
      <c r="N267">
        <f>IF(OR(E267="",C267=""),"",E267-C267/42)</f>
        <v/>
      </c>
      <c r="O267">
        <f>IF(OR(E267="",D267=""),"",E267-D267/42)</f>
        <v/>
      </c>
      <c r="P267">
        <f>IF(L267="",M267/100,H267*L267/100)</f>
        <v/>
      </c>
      <c r="Q267">
        <f>H267-C267/42-P267</f>
        <v/>
      </c>
      <c r="R267">
        <f>H267-E267</f>
        <v/>
      </c>
    </row>
    <row r="268">
      <c r="A268" s="3" t="n">
        <v>40217</v>
      </c>
      <c r="B268" s="3" t="n">
        <v>40214</v>
      </c>
      <c r="C268" t="n">
        <v>74.56999999999999</v>
      </c>
      <c r="D268" t="n">
        <v>72.54000000000001</v>
      </c>
      <c r="E268" t="n">
        <v>1.928</v>
      </c>
      <c r="F268" t="n">
        <v>1.885</v>
      </c>
      <c r="G268" t="n">
        <v>2.048</v>
      </c>
      <c r="H268" t="n">
        <v>2.652</v>
      </c>
      <c r="J268" t="n">
        <v>2.619</v>
      </c>
      <c r="K268" t="n">
        <v>2.961</v>
      </c>
      <c r="L268" t="n">
        <v>15.1</v>
      </c>
      <c r="N268">
        <f>IF(OR(E268="",C268=""),"",E268-C268/42)</f>
        <v/>
      </c>
      <c r="O268">
        <f>IF(OR(E268="",D268=""),"",E268-D268/42)</f>
        <v/>
      </c>
      <c r="P268">
        <f>IF(L268="",M268/100,H268*L268/100)</f>
        <v/>
      </c>
      <c r="Q268">
        <f>H268-C268/42-P268</f>
        <v/>
      </c>
      <c r="R268">
        <f>H268-E268</f>
        <v/>
      </c>
    </row>
    <row r="269">
      <c r="A269" s="3" t="n">
        <v>40224</v>
      </c>
      <c r="B269" s="3" t="n">
        <v>40221</v>
      </c>
      <c r="C269" t="n">
        <v>73.88</v>
      </c>
      <c r="D269" t="n">
        <v>70.84999999999999</v>
      </c>
      <c r="E269" t="n">
        <v>1.877</v>
      </c>
      <c r="F269" t="n">
        <v>1.908</v>
      </c>
      <c r="G269" t="n">
        <v>1.987</v>
      </c>
      <c r="H269" t="n">
        <v>2.608</v>
      </c>
      <c r="J269" t="n">
        <v>2.602</v>
      </c>
      <c r="K269" t="n">
        <v>2.926</v>
      </c>
      <c r="L269" t="n">
        <v>15.1</v>
      </c>
      <c r="N269">
        <f>IF(OR(E269="",C269=""),"",E269-C269/42)</f>
        <v/>
      </c>
      <c r="O269">
        <f>IF(OR(E269="",D269=""),"",E269-D269/42)</f>
        <v/>
      </c>
      <c r="P269">
        <f>IF(L269="",M269/100,H269*L269/100)</f>
        <v/>
      </c>
      <c r="Q269">
        <f>H269-C269/42-P269</f>
        <v/>
      </c>
      <c r="R269">
        <f>H269-E269</f>
        <v/>
      </c>
    </row>
    <row r="270">
      <c r="A270" s="3" t="n">
        <v>40231</v>
      </c>
      <c r="B270" s="3" t="n">
        <v>40228</v>
      </c>
      <c r="C270" t="n">
        <v>78.25</v>
      </c>
      <c r="D270" t="n">
        <v>75.8</v>
      </c>
      <c r="E270" t="n">
        <v>2.012</v>
      </c>
      <c r="F270" t="n">
        <v>2.031</v>
      </c>
      <c r="G270" t="n">
        <v>2.055</v>
      </c>
      <c r="H270" t="n">
        <v>2.655</v>
      </c>
      <c r="J270" t="n">
        <v>2.617</v>
      </c>
      <c r="K270" t="n">
        <v>2.918</v>
      </c>
      <c r="L270" t="n">
        <v>15.1</v>
      </c>
      <c r="N270">
        <f>IF(OR(E270="",C270=""),"",E270-C270/42)</f>
        <v/>
      </c>
      <c r="O270">
        <f>IF(OR(E270="",D270=""),"",E270-D270/42)</f>
        <v/>
      </c>
      <c r="P270">
        <f>IF(L270="",M270/100,H270*L270/100)</f>
        <v/>
      </c>
      <c r="Q270">
        <f>H270-C270/42-P270</f>
        <v/>
      </c>
      <c r="R270">
        <f>H270-E270</f>
        <v/>
      </c>
    </row>
    <row r="271">
      <c r="A271" s="3" t="n">
        <v>40238</v>
      </c>
      <c r="B271" s="3" t="n">
        <v>40235</v>
      </c>
      <c r="C271" t="n">
        <v>79.22</v>
      </c>
      <c r="D271" t="n">
        <v>76.23</v>
      </c>
      <c r="E271" t="n">
        <v>2.057</v>
      </c>
      <c r="F271" t="n">
        <v>2.042</v>
      </c>
      <c r="G271" t="n">
        <v>2.198</v>
      </c>
      <c r="H271" t="n">
        <v>2.702</v>
      </c>
      <c r="J271" t="n">
        <v>2.631</v>
      </c>
      <c r="K271" t="n">
        <v>2.999</v>
      </c>
      <c r="L271" t="n">
        <v>14.4</v>
      </c>
      <c r="N271">
        <f>IF(OR(E271="",C271=""),"",E271-C271/42)</f>
        <v/>
      </c>
      <c r="O271">
        <f>IF(OR(E271="",D271=""),"",E271-D271/42)</f>
        <v/>
      </c>
      <c r="P271">
        <f>IF(L271="",M271/100,H271*L271/100)</f>
        <v/>
      </c>
      <c r="Q271">
        <f>H271-C271/42-P271</f>
        <v/>
      </c>
      <c r="R271">
        <f>H271-E271</f>
        <v/>
      </c>
    </row>
    <row r="272">
      <c r="A272" s="3" t="n">
        <v>40245</v>
      </c>
      <c r="B272" s="3" t="n">
        <v>40242</v>
      </c>
      <c r="C272" t="n">
        <v>80.19</v>
      </c>
      <c r="D272" t="n">
        <v>77.86</v>
      </c>
      <c r="E272" t="n">
        <v>2.107</v>
      </c>
      <c r="F272" t="n">
        <v>2.127</v>
      </c>
      <c r="G272" t="n">
        <v>2.265</v>
      </c>
      <c r="H272" t="n">
        <v>2.751</v>
      </c>
      <c r="J272" t="n">
        <v>2.685</v>
      </c>
      <c r="K272" t="n">
        <v>3.046</v>
      </c>
      <c r="L272" t="n">
        <v>14.4</v>
      </c>
      <c r="N272">
        <f>IF(OR(E272="",C272=""),"",E272-C272/42)</f>
        <v/>
      </c>
      <c r="O272">
        <f>IF(OR(E272="",D272=""),"",E272-D272/42)</f>
        <v/>
      </c>
      <c r="P272">
        <f>IF(L272="",M272/100,H272*L272/100)</f>
        <v/>
      </c>
      <c r="Q272">
        <f>H272-C272/42-P272</f>
        <v/>
      </c>
      <c r="R272">
        <f>H272-E272</f>
        <v/>
      </c>
    </row>
    <row r="273">
      <c r="A273" s="3" t="n">
        <v>40252</v>
      </c>
      <c r="B273" s="3" t="n">
        <v>40249</v>
      </c>
      <c r="C273" t="n">
        <v>81.76000000000001</v>
      </c>
      <c r="D273" t="n">
        <v>79.36</v>
      </c>
      <c r="E273" t="n">
        <v>2.158</v>
      </c>
      <c r="F273" t="n">
        <v>2.154</v>
      </c>
      <c r="G273" t="n">
        <v>2.246</v>
      </c>
      <c r="H273" t="n">
        <v>2.788</v>
      </c>
      <c r="J273" t="n">
        <v>2.731</v>
      </c>
      <c r="K273" t="n">
        <v>3.061</v>
      </c>
      <c r="L273" t="n">
        <v>14.4</v>
      </c>
      <c r="N273">
        <f>IF(OR(E273="",C273=""),"",E273-C273/42)</f>
        <v/>
      </c>
      <c r="O273">
        <f>IF(OR(E273="",D273=""),"",E273-D273/42)</f>
        <v/>
      </c>
      <c r="P273">
        <f>IF(L273="",M273/100,H273*L273/100)</f>
        <v/>
      </c>
      <c r="Q273">
        <f>H273-C273/42-P273</f>
        <v/>
      </c>
      <c r="R273">
        <f>H273-E273</f>
        <v/>
      </c>
    </row>
    <row r="274">
      <c r="A274" s="3" t="n">
        <v>40259</v>
      </c>
      <c r="B274" s="3" t="n">
        <v>40256</v>
      </c>
      <c r="C274" t="n">
        <v>81.44</v>
      </c>
      <c r="D274" t="n">
        <v>79.05</v>
      </c>
      <c r="E274" t="n">
        <v>2.162</v>
      </c>
      <c r="F274" t="n">
        <v>2.15</v>
      </c>
      <c r="G274" t="n">
        <v>2.272</v>
      </c>
      <c r="H274" t="n">
        <v>2.819</v>
      </c>
      <c r="J274" t="n">
        <v>2.768</v>
      </c>
      <c r="K274" t="n">
        <v>3.091</v>
      </c>
      <c r="L274" t="n">
        <v>14.4</v>
      </c>
      <c r="N274">
        <f>IF(OR(E274="",C274=""),"",E274-C274/42)</f>
        <v/>
      </c>
      <c r="O274">
        <f>IF(OR(E274="",D274=""),"",E274-D274/42)</f>
        <v/>
      </c>
      <c r="P274">
        <f>IF(L274="",M274/100,H274*L274/100)</f>
        <v/>
      </c>
      <c r="Q274">
        <f>H274-C274/42-P274</f>
        <v/>
      </c>
      <c r="R274">
        <f>H274-E274</f>
        <v/>
      </c>
    </row>
    <row r="275">
      <c r="A275" s="3" t="n">
        <v>40266</v>
      </c>
      <c r="B275" s="3" t="n">
        <v>40263</v>
      </c>
      <c r="C275" t="n">
        <v>80.65000000000001</v>
      </c>
      <c r="D275" t="n">
        <v>78.38</v>
      </c>
      <c r="E275" t="n">
        <v>2.109</v>
      </c>
      <c r="F275" t="n">
        <v>2.118</v>
      </c>
      <c r="G275" t="n">
        <v>2.242</v>
      </c>
      <c r="H275" t="n">
        <v>2.798</v>
      </c>
      <c r="J275" t="n">
        <v>2.791</v>
      </c>
      <c r="K275" t="n">
        <v>3.087</v>
      </c>
      <c r="L275" t="n">
        <v>14.4</v>
      </c>
      <c r="N275">
        <f>IF(OR(E275="",C275=""),"",E275-C275/42)</f>
        <v/>
      </c>
      <c r="O275">
        <f>IF(OR(E275="",D275=""),"",E275-D275/42)</f>
        <v/>
      </c>
      <c r="P275">
        <f>IF(L275="",M275/100,H275*L275/100)</f>
        <v/>
      </c>
      <c r="Q275">
        <f>H275-C275/42-P275</f>
        <v/>
      </c>
      <c r="R275">
        <f>H275-E275</f>
        <v/>
      </c>
    </row>
    <row r="276">
      <c r="A276" s="3" t="n">
        <v>40273</v>
      </c>
      <c r="B276" s="3" t="n">
        <v>40270</v>
      </c>
      <c r="C276" t="n">
        <v>83.01000000000001</v>
      </c>
      <c r="D276" t="n">
        <v>80.59</v>
      </c>
      <c r="E276" t="n">
        <v>2.168</v>
      </c>
      <c r="F276" t="n">
        <v>2.191</v>
      </c>
      <c r="G276" t="n">
        <v>2.278</v>
      </c>
      <c r="H276" t="n">
        <v>2.826</v>
      </c>
      <c r="J276" t="n">
        <v>2.827</v>
      </c>
      <c r="K276" t="n">
        <v>3.088</v>
      </c>
      <c r="L276" t="n">
        <v>14.1</v>
      </c>
      <c r="N276">
        <f>IF(OR(E276="",C276=""),"",E276-C276/42)</f>
        <v/>
      </c>
      <c r="O276">
        <f>IF(OR(E276="",D276=""),"",E276-D276/42)</f>
        <v/>
      </c>
      <c r="P276">
        <f>IF(L276="",M276/100,H276*L276/100)</f>
        <v/>
      </c>
      <c r="Q276">
        <f>H276-C276/42-P276</f>
        <v/>
      </c>
      <c r="R276">
        <f>H276-E276</f>
        <v/>
      </c>
    </row>
    <row r="277">
      <c r="A277" s="3" t="n">
        <v>40280</v>
      </c>
      <c r="B277" s="3" t="n">
        <v>40277</v>
      </c>
      <c r="C277" t="n">
        <v>85.66</v>
      </c>
      <c r="D277" t="n">
        <v>83.88</v>
      </c>
      <c r="E277" t="n">
        <v>2.185</v>
      </c>
      <c r="F277" t="n">
        <v>2.238</v>
      </c>
      <c r="G277" t="n">
        <v>2.313</v>
      </c>
      <c r="H277" t="n">
        <v>2.858</v>
      </c>
      <c r="J277" t="n">
        <v>2.864</v>
      </c>
      <c r="K277" t="n">
        <v>3.096</v>
      </c>
      <c r="L277" t="n">
        <v>14.1</v>
      </c>
      <c r="N277">
        <f>IF(OR(E277="",C277=""),"",E277-C277/42)</f>
        <v/>
      </c>
      <c r="O277">
        <f>IF(OR(E277="",D277=""),"",E277-D277/42)</f>
        <v/>
      </c>
      <c r="P277">
        <f>IF(L277="",M277/100,H277*L277/100)</f>
        <v/>
      </c>
      <c r="Q277">
        <f>H277-C277/42-P277</f>
        <v/>
      </c>
      <c r="R277">
        <f>H277-E277</f>
        <v/>
      </c>
    </row>
    <row r="278">
      <c r="A278" s="3" t="n">
        <v>40287</v>
      </c>
      <c r="B278" s="3" t="n">
        <v>40284</v>
      </c>
      <c r="C278" t="n">
        <v>84.34</v>
      </c>
      <c r="D278" t="n">
        <v>85.23</v>
      </c>
      <c r="E278" t="n">
        <v>2.173</v>
      </c>
      <c r="F278" t="n">
        <v>2.205</v>
      </c>
      <c r="G278" t="n">
        <v>2.26</v>
      </c>
      <c r="H278" t="n">
        <v>2.86</v>
      </c>
      <c r="J278" t="n">
        <v>2.884</v>
      </c>
      <c r="K278" t="n">
        <v>3.09</v>
      </c>
      <c r="L278" t="n">
        <v>14.1</v>
      </c>
      <c r="N278">
        <f>IF(OR(E278="",C278=""),"",E278-C278/42)</f>
        <v/>
      </c>
      <c r="O278">
        <f>IF(OR(E278="",D278=""),"",E278-D278/42)</f>
        <v/>
      </c>
      <c r="P278">
        <f>IF(L278="",M278/100,H278*L278/100)</f>
        <v/>
      </c>
      <c r="Q278">
        <f>H278-C278/42-P278</f>
        <v/>
      </c>
      <c r="R278">
        <f>H278-E278</f>
        <v/>
      </c>
    </row>
    <row r="279">
      <c r="A279" s="3" t="n">
        <v>40294</v>
      </c>
      <c r="B279" s="3" t="n">
        <v>40291</v>
      </c>
      <c r="C279" t="n">
        <v>82.90000000000001</v>
      </c>
      <c r="D279" t="n">
        <v>84.61</v>
      </c>
      <c r="E279" t="n">
        <v>2.181</v>
      </c>
      <c r="F279" t="n">
        <v>2.195</v>
      </c>
      <c r="G279" t="n">
        <v>2.278</v>
      </c>
      <c r="H279" t="n">
        <v>2.849</v>
      </c>
      <c r="J279" t="n">
        <v>2.887</v>
      </c>
      <c r="K279" t="n">
        <v>3.088</v>
      </c>
      <c r="L279" t="n">
        <v>14.1</v>
      </c>
      <c r="N279">
        <f>IF(OR(E279="",C279=""),"",E279-C279/42)</f>
        <v/>
      </c>
      <c r="O279">
        <f>IF(OR(E279="",D279=""),"",E279-D279/42)</f>
        <v/>
      </c>
      <c r="P279">
        <f>IF(L279="",M279/100,H279*L279/100)</f>
        <v/>
      </c>
      <c r="Q279">
        <f>H279-C279/42-P279</f>
        <v/>
      </c>
      <c r="R279">
        <f>H279-E279</f>
        <v/>
      </c>
    </row>
    <row r="280">
      <c r="A280" s="3" t="n">
        <v>40301</v>
      </c>
      <c r="B280" s="3" t="n">
        <v>40298</v>
      </c>
      <c r="C280" t="n">
        <v>84.22</v>
      </c>
      <c r="D280" t="n">
        <v>85.98</v>
      </c>
      <c r="E280" t="n">
        <v>2.225</v>
      </c>
      <c r="F280" t="n">
        <v>2.26</v>
      </c>
      <c r="G280" t="n">
        <v>2.371</v>
      </c>
      <c r="H280" t="n">
        <v>2.898</v>
      </c>
      <c r="J280" t="n">
        <v>2.895</v>
      </c>
      <c r="K280" t="n">
        <v>3.118</v>
      </c>
      <c r="L280" t="n">
        <v>14.2</v>
      </c>
      <c r="N280">
        <f>IF(OR(E280="",C280=""),"",E280-C280/42)</f>
        <v/>
      </c>
      <c r="O280">
        <f>IF(OR(E280="",D280=""),"",E280-D280/42)</f>
        <v/>
      </c>
      <c r="P280">
        <f>IF(L280="",M280/100,H280*L280/100)</f>
        <v/>
      </c>
      <c r="Q280">
        <f>H280-C280/42-P280</f>
        <v/>
      </c>
      <c r="R280">
        <f>H280-E280</f>
        <v/>
      </c>
    </row>
    <row r="281">
      <c r="A281" s="3" t="n">
        <v>40308</v>
      </c>
      <c r="B281" s="3" t="n">
        <v>40305</v>
      </c>
      <c r="C281" t="n">
        <v>80.23999999999999</v>
      </c>
      <c r="D281" t="n">
        <v>82.5</v>
      </c>
      <c r="E281" t="n">
        <v>2.134</v>
      </c>
      <c r="F281" t="n">
        <v>2.155</v>
      </c>
      <c r="G281" t="n">
        <v>2.261</v>
      </c>
      <c r="H281" t="n">
        <v>2.905</v>
      </c>
      <c r="J281" t="n">
        <v>2.909</v>
      </c>
      <c r="K281" t="n">
        <v>3.139</v>
      </c>
      <c r="L281" t="n">
        <v>14.2</v>
      </c>
      <c r="N281">
        <f>IF(OR(E281="",C281=""),"",E281-C281/42)</f>
        <v/>
      </c>
      <c r="O281">
        <f>IF(OR(E281="",D281=""),"",E281-D281/42)</f>
        <v/>
      </c>
      <c r="P281">
        <f>IF(L281="",M281/100,H281*L281/100)</f>
        <v/>
      </c>
      <c r="Q281">
        <f>H281-C281/42-P281</f>
        <v/>
      </c>
      <c r="R281">
        <f>H281-E281</f>
        <v/>
      </c>
    </row>
    <row r="282">
      <c r="A282" s="3" t="n">
        <v>40315</v>
      </c>
      <c r="B282" s="3" t="n">
        <v>40312</v>
      </c>
      <c r="C282" t="n">
        <v>74.98</v>
      </c>
      <c r="D282" t="n">
        <v>78.31999999999999</v>
      </c>
      <c r="E282" t="n">
        <v>2.062</v>
      </c>
      <c r="F282" t="n">
        <v>2.099</v>
      </c>
      <c r="G282" t="n">
        <v>2.177</v>
      </c>
      <c r="H282" t="n">
        <v>2.864</v>
      </c>
      <c r="J282" t="n">
        <v>2.896</v>
      </c>
      <c r="K282" t="n">
        <v>3.118</v>
      </c>
      <c r="L282" t="n">
        <v>14.2</v>
      </c>
      <c r="N282">
        <f>IF(OR(E282="",C282=""),"",E282-C282/42)</f>
        <v/>
      </c>
      <c r="O282">
        <f>IF(OR(E282="",D282=""),"",E282-D282/42)</f>
        <v/>
      </c>
      <c r="P282">
        <f>IF(L282="",M282/100,H282*L282/100)</f>
        <v/>
      </c>
      <c r="Q282">
        <f>H282-C282/42-P282</f>
        <v/>
      </c>
      <c r="R282">
        <f>H282-E282</f>
        <v/>
      </c>
    </row>
    <row r="283">
      <c r="A283" s="3" t="n">
        <v>40322</v>
      </c>
      <c r="B283" s="3" t="n">
        <v>40319</v>
      </c>
      <c r="C283" t="n">
        <v>69.14</v>
      </c>
      <c r="D283" t="n">
        <v>72.17</v>
      </c>
      <c r="E283" t="n">
        <v>1.896</v>
      </c>
      <c r="F283" t="n">
        <v>1.921</v>
      </c>
      <c r="G283" t="n">
        <v>1.992</v>
      </c>
      <c r="H283" t="n">
        <v>2.786</v>
      </c>
      <c r="J283" t="n">
        <v>2.854</v>
      </c>
      <c r="K283" t="n">
        <v>3.049</v>
      </c>
      <c r="L283" t="n">
        <v>14.2</v>
      </c>
      <c r="N283">
        <f>IF(OR(E283="",C283=""),"",E283-C283/42)</f>
        <v/>
      </c>
      <c r="O283">
        <f>IF(OR(E283="",D283=""),"",E283-D283/42)</f>
        <v/>
      </c>
      <c r="P283">
        <f>IF(L283="",M283/100,H283*L283/100)</f>
        <v/>
      </c>
      <c r="Q283">
        <f>H283-C283/42-P283</f>
        <v/>
      </c>
      <c r="R283">
        <f>H283-E283</f>
        <v/>
      </c>
    </row>
    <row r="284">
      <c r="A284" s="3" t="n">
        <v>40329</v>
      </c>
      <c r="B284" s="3" t="n">
        <v>40326</v>
      </c>
      <c r="C284" t="n">
        <v>70.62</v>
      </c>
      <c r="D284" t="n">
        <v>70.79000000000001</v>
      </c>
      <c r="E284" t="n">
        <v>1.864</v>
      </c>
      <c r="F284" t="n">
        <v>1.9</v>
      </c>
      <c r="G284" t="n">
        <v>2.029</v>
      </c>
      <c r="H284" t="n">
        <v>2.728</v>
      </c>
      <c r="J284" t="n">
        <v>2.819</v>
      </c>
      <c r="K284" t="n">
        <v>3.024</v>
      </c>
      <c r="L284" t="n">
        <v>14.2</v>
      </c>
      <c r="N284">
        <f>IF(OR(E284="",C284=""),"",E284-C284/42)</f>
        <v/>
      </c>
      <c r="O284">
        <f>IF(OR(E284="",D284=""),"",E284-D284/42)</f>
        <v/>
      </c>
      <c r="P284">
        <f>IF(L284="",M284/100,H284*L284/100)</f>
        <v/>
      </c>
      <c r="Q284">
        <f>H284-C284/42-P284</f>
        <v/>
      </c>
      <c r="R284">
        <f>H284-E284</f>
        <v/>
      </c>
    </row>
    <row r="285">
      <c r="A285" s="3" t="n">
        <v>40336</v>
      </c>
      <c r="B285" s="3" t="n">
        <v>40333</v>
      </c>
      <c r="C285" t="n">
        <v>72.91</v>
      </c>
      <c r="D285" t="n">
        <v>72.70999999999999</v>
      </c>
      <c r="E285" t="n">
        <v>1.905</v>
      </c>
      <c r="F285" t="n">
        <v>1.945</v>
      </c>
      <c r="G285" t="n">
        <v>2.196</v>
      </c>
      <c r="H285" t="n">
        <v>2.725</v>
      </c>
      <c r="J285" t="n">
        <v>2.79</v>
      </c>
      <c r="K285" t="n">
        <v>3.068</v>
      </c>
      <c r="L285" t="n">
        <v>14.7</v>
      </c>
      <c r="N285">
        <f>IF(OR(E285="",C285=""),"",E285-C285/42)</f>
        <v/>
      </c>
      <c r="O285">
        <f>IF(OR(E285="",D285=""),"",E285-D285/42)</f>
        <v/>
      </c>
      <c r="P285">
        <f>IF(L285="",M285/100,H285*L285/100)</f>
        <v/>
      </c>
      <c r="Q285">
        <f>H285-C285/42-P285</f>
        <v/>
      </c>
      <c r="R285">
        <f>H285-E285</f>
        <v/>
      </c>
    </row>
    <row r="286">
      <c r="A286" s="3" t="n">
        <v>40343</v>
      </c>
      <c r="B286" s="3" t="n">
        <v>40340</v>
      </c>
      <c r="C286" t="n">
        <v>73.44</v>
      </c>
      <c r="D286" t="n">
        <v>72.76000000000001</v>
      </c>
      <c r="E286" t="n">
        <v>1.916</v>
      </c>
      <c r="F286" t="n">
        <v>1.969</v>
      </c>
      <c r="G286" t="n">
        <v>2.198</v>
      </c>
      <c r="H286" t="n">
        <v>2.701</v>
      </c>
      <c r="J286" t="n">
        <v>2.768</v>
      </c>
      <c r="K286" t="n">
        <v>3.053</v>
      </c>
      <c r="L286" t="n">
        <v>14.7</v>
      </c>
      <c r="N286">
        <f>IF(OR(E286="",C286=""),"",E286-C286/42)</f>
        <v/>
      </c>
      <c r="O286">
        <f>IF(OR(E286="",D286=""),"",E286-D286/42)</f>
        <v/>
      </c>
      <c r="P286">
        <f>IF(L286="",M286/100,H286*L286/100)</f>
        <v/>
      </c>
      <c r="Q286">
        <f>H286-C286/42-P286</f>
        <v/>
      </c>
      <c r="R286">
        <f>H286-E286</f>
        <v/>
      </c>
    </row>
    <row r="287">
      <c r="A287" s="3" t="n">
        <v>40350</v>
      </c>
      <c r="B287" s="3" t="n">
        <v>40347</v>
      </c>
      <c r="C287" t="n">
        <v>76.7</v>
      </c>
      <c r="D287" t="n">
        <v>76.22</v>
      </c>
      <c r="E287" t="n">
        <v>2.021</v>
      </c>
      <c r="F287" t="n">
        <v>2.08</v>
      </c>
      <c r="G287" t="n">
        <v>2.277</v>
      </c>
      <c r="H287" t="n">
        <v>2.743</v>
      </c>
      <c r="J287" t="n">
        <v>2.771</v>
      </c>
      <c r="K287" t="n">
        <v>3.1</v>
      </c>
      <c r="L287" t="n">
        <v>14.7</v>
      </c>
      <c r="N287">
        <f>IF(OR(E287="",C287=""),"",E287-C287/42)</f>
        <v/>
      </c>
      <c r="O287">
        <f>IF(OR(E287="",D287=""),"",E287-D287/42)</f>
        <v/>
      </c>
      <c r="P287">
        <f>IF(L287="",M287/100,H287*L287/100)</f>
        <v/>
      </c>
      <c r="Q287">
        <f>H287-C287/42-P287</f>
        <v/>
      </c>
      <c r="R287">
        <f>H287-E287</f>
        <v/>
      </c>
    </row>
    <row r="288">
      <c r="A288" s="3" t="n">
        <v>40357</v>
      </c>
      <c r="B288" s="3" t="n">
        <v>40354</v>
      </c>
      <c r="C288" t="n">
        <v>77.06</v>
      </c>
      <c r="D288" t="n">
        <v>76.64</v>
      </c>
      <c r="E288" t="n">
        <v>2.012</v>
      </c>
      <c r="F288" t="n">
        <v>2.054</v>
      </c>
      <c r="G288" t="n">
        <v>2.315</v>
      </c>
      <c r="H288" t="n">
        <v>2.757</v>
      </c>
      <c r="J288" t="n">
        <v>2.766</v>
      </c>
      <c r="K288" t="n">
        <v>3.126</v>
      </c>
      <c r="L288" t="n">
        <v>14.7</v>
      </c>
      <c r="N288">
        <f>IF(OR(E288="",C288=""),"",E288-C288/42)</f>
        <v/>
      </c>
      <c r="O288">
        <f>IF(OR(E288="",D288=""),"",E288-D288/42)</f>
        <v/>
      </c>
      <c r="P288">
        <f>IF(L288="",M288/100,H288*L288/100)</f>
        <v/>
      </c>
      <c r="Q288">
        <f>H288-C288/42-P288</f>
        <v/>
      </c>
      <c r="R288">
        <f>H288-E288</f>
        <v/>
      </c>
    </row>
    <row r="289">
      <c r="A289" s="3" t="n">
        <v>40364</v>
      </c>
      <c r="B289" s="3" t="n">
        <v>40361</v>
      </c>
      <c r="C289" t="n">
        <v>74.95999999999999</v>
      </c>
      <c r="D289" t="n">
        <v>73.86</v>
      </c>
      <c r="E289" t="n">
        <v>1.947</v>
      </c>
      <c r="F289" t="n">
        <v>1.969</v>
      </c>
      <c r="G289" t="n">
        <v>2.245</v>
      </c>
      <c r="H289" t="n">
        <v>2.726</v>
      </c>
      <c r="J289" t="n">
        <v>2.756</v>
      </c>
      <c r="K289" t="n">
        <v>3.117</v>
      </c>
      <c r="L289" t="n">
        <v>14.8</v>
      </c>
      <c r="N289">
        <f>IF(OR(E289="",C289=""),"",E289-C289/42)</f>
        <v/>
      </c>
      <c r="O289">
        <f>IF(OR(E289="",D289=""),"",E289-D289/42)</f>
        <v/>
      </c>
      <c r="P289">
        <f>IF(L289="",M289/100,H289*L289/100)</f>
        <v/>
      </c>
      <c r="Q289">
        <f>H289-C289/42-P289</f>
        <v/>
      </c>
      <c r="R289">
        <f>H289-E289</f>
        <v/>
      </c>
    </row>
    <row r="290">
      <c r="A290" s="3" t="n">
        <v>40371</v>
      </c>
      <c r="B290" s="3" t="n">
        <v>40368</v>
      </c>
      <c r="C290" t="n">
        <v>74.39</v>
      </c>
      <c r="D290" t="n">
        <v>73.95</v>
      </c>
      <c r="E290" t="n">
        <v>1.954</v>
      </c>
      <c r="F290" t="n">
        <v>1.97</v>
      </c>
      <c r="G290" t="n">
        <v>2.227</v>
      </c>
      <c r="H290" t="n">
        <v>2.718</v>
      </c>
      <c r="J290" t="n">
        <v>2.743</v>
      </c>
      <c r="K290" t="n">
        <v>3.113</v>
      </c>
      <c r="L290" t="n">
        <v>14.8</v>
      </c>
      <c r="N290">
        <f>IF(OR(E290="",C290=""),"",E290-C290/42)</f>
        <v/>
      </c>
      <c r="O290">
        <f>IF(OR(E290="",D290=""),"",E290-D290/42)</f>
        <v/>
      </c>
      <c r="P290">
        <f>IF(L290="",M290/100,H290*L290/100)</f>
        <v/>
      </c>
      <c r="Q290">
        <f>H290-C290/42-P290</f>
        <v/>
      </c>
      <c r="R290">
        <f>H290-E290</f>
        <v/>
      </c>
    </row>
    <row r="291">
      <c r="A291" s="3" t="n">
        <v>40378</v>
      </c>
      <c r="B291" s="3" t="n">
        <v>40375</v>
      </c>
      <c r="C291" t="n">
        <v>76.34999999999999</v>
      </c>
      <c r="D291" t="n">
        <v>75.7</v>
      </c>
      <c r="E291" t="n">
        <v>1.974</v>
      </c>
      <c r="F291" t="n">
        <v>1.988</v>
      </c>
      <c r="G291" t="n">
        <v>2.304</v>
      </c>
      <c r="H291" t="n">
        <v>2.722</v>
      </c>
      <c r="J291" t="n">
        <v>2.749</v>
      </c>
      <c r="K291" t="n">
        <v>3.13</v>
      </c>
      <c r="L291" t="n">
        <v>14.8</v>
      </c>
      <c r="N291">
        <f>IF(OR(E291="",C291=""),"",E291-C291/42)</f>
        <v/>
      </c>
      <c r="O291">
        <f>IF(OR(E291="",D291=""),"",E291-D291/42)</f>
        <v/>
      </c>
      <c r="P291">
        <f>IF(L291="",M291/100,H291*L291/100)</f>
        <v/>
      </c>
      <c r="Q291">
        <f>H291-C291/42-P291</f>
        <v/>
      </c>
      <c r="R291">
        <f>H291-E291</f>
        <v/>
      </c>
    </row>
    <row r="292">
      <c r="A292" s="3" t="n">
        <v>40385</v>
      </c>
      <c r="B292" s="3" t="n">
        <v>40382</v>
      </c>
      <c r="C292" t="n">
        <v>77.56</v>
      </c>
      <c r="D292" t="n">
        <v>76.64</v>
      </c>
      <c r="E292" t="n">
        <v>2.003</v>
      </c>
      <c r="F292" t="n">
        <v>2.025</v>
      </c>
      <c r="G292" t="n">
        <v>2.324</v>
      </c>
      <c r="H292" t="n">
        <v>2.749</v>
      </c>
      <c r="J292" t="n">
        <v>2.75</v>
      </c>
      <c r="K292" t="n">
        <v>3.134</v>
      </c>
      <c r="L292" t="n">
        <v>14.8</v>
      </c>
      <c r="N292">
        <f>IF(OR(E292="",C292=""),"",E292-C292/42)</f>
        <v/>
      </c>
      <c r="O292">
        <f>IF(OR(E292="",D292=""),"",E292-D292/42)</f>
        <v/>
      </c>
      <c r="P292">
        <f>IF(L292="",M292/100,H292*L292/100)</f>
        <v/>
      </c>
      <c r="Q292">
        <f>H292-C292/42-P292</f>
        <v/>
      </c>
      <c r="R292">
        <f>H292-E292</f>
        <v/>
      </c>
    </row>
    <row r="293">
      <c r="A293" s="3" t="n">
        <v>40392</v>
      </c>
      <c r="B293" s="3" t="n">
        <v>40389</v>
      </c>
      <c r="C293" t="n">
        <v>78.12</v>
      </c>
      <c r="D293" t="n">
        <v>77.23999999999999</v>
      </c>
      <c r="E293" t="n">
        <v>1.991</v>
      </c>
      <c r="F293" t="n">
        <v>2.024</v>
      </c>
      <c r="G293" t="n">
        <v>2.298</v>
      </c>
      <c r="H293" t="n">
        <v>2.735</v>
      </c>
      <c r="J293" t="n">
        <v>2.754</v>
      </c>
      <c r="K293" t="n">
        <v>3.129</v>
      </c>
      <c r="L293" t="n">
        <v>14.8</v>
      </c>
      <c r="N293">
        <f>IF(OR(E293="",C293=""),"",E293-C293/42)</f>
        <v/>
      </c>
      <c r="O293">
        <f>IF(OR(E293="",D293=""),"",E293-D293/42)</f>
        <v/>
      </c>
      <c r="P293">
        <f>IF(L293="",M293/100,H293*L293/100)</f>
        <v/>
      </c>
      <c r="Q293">
        <f>H293-C293/42-P293</f>
        <v/>
      </c>
      <c r="R293">
        <f>H293-E293</f>
        <v/>
      </c>
    </row>
    <row r="294">
      <c r="A294" s="3" t="n">
        <v>40399</v>
      </c>
      <c r="B294" s="3" t="n">
        <v>40396</v>
      </c>
      <c r="C294" t="n">
        <v>81.79000000000001</v>
      </c>
      <c r="D294" t="n">
        <v>82.69</v>
      </c>
      <c r="E294" t="n">
        <v>2.071</v>
      </c>
      <c r="F294" t="n">
        <v>2.098</v>
      </c>
      <c r="G294" t="n">
        <v>2.353</v>
      </c>
      <c r="H294" t="n">
        <v>2.783</v>
      </c>
      <c r="J294" t="n">
        <v>2.79</v>
      </c>
      <c r="K294" t="n">
        <v>3.172</v>
      </c>
      <c r="L294" t="n">
        <v>14.8</v>
      </c>
      <c r="N294">
        <f>IF(OR(E294="",C294=""),"",E294-C294/42)</f>
        <v/>
      </c>
      <c r="O294">
        <f>IF(OR(E294="",D294=""),"",E294-D294/42)</f>
        <v/>
      </c>
      <c r="P294">
        <f>IF(L294="",M294/100,H294*L294/100)</f>
        <v/>
      </c>
      <c r="Q294">
        <f>H294-C294/42-P294</f>
        <v/>
      </c>
      <c r="R294">
        <f>H294-E294</f>
        <v/>
      </c>
    </row>
    <row r="295">
      <c r="A295" s="3" t="n">
        <v>40406</v>
      </c>
      <c r="B295" s="3" t="n">
        <v>40403</v>
      </c>
      <c r="C295" t="n">
        <v>78.17</v>
      </c>
      <c r="D295" t="n">
        <v>78.20999999999999</v>
      </c>
      <c r="E295" t="n">
        <v>1.935</v>
      </c>
      <c r="F295" t="n">
        <v>1.949</v>
      </c>
      <c r="G295" t="n">
        <v>2.257</v>
      </c>
      <c r="H295" t="n">
        <v>2.745</v>
      </c>
      <c r="J295" t="n">
        <v>2.802</v>
      </c>
      <c r="K295" t="n">
        <v>3.165</v>
      </c>
      <c r="L295" t="n">
        <v>14.8</v>
      </c>
      <c r="N295">
        <f>IF(OR(E295="",C295=""),"",E295-C295/42)</f>
        <v/>
      </c>
      <c r="O295">
        <f>IF(OR(E295="",D295=""),"",E295-D295/42)</f>
        <v/>
      </c>
      <c r="P295">
        <f>IF(L295="",M295/100,H295*L295/100)</f>
        <v/>
      </c>
      <c r="Q295">
        <f>H295-C295/42-P295</f>
        <v/>
      </c>
      <c r="R295">
        <f>H295-E295</f>
        <v/>
      </c>
    </row>
    <row r="296">
      <c r="A296" s="3" t="n">
        <v>40413</v>
      </c>
      <c r="B296" s="3" t="n">
        <v>40410</v>
      </c>
      <c r="C296" t="n">
        <v>74.84</v>
      </c>
      <c r="D296" t="n">
        <v>74.94</v>
      </c>
      <c r="E296" t="n">
        <v>1.857</v>
      </c>
      <c r="F296" t="n">
        <v>1.882</v>
      </c>
      <c r="G296" t="n">
        <v>2.095</v>
      </c>
      <c r="H296" t="n">
        <v>2.704</v>
      </c>
      <c r="J296" t="n">
        <v>2.806</v>
      </c>
      <c r="K296" t="n">
        <v>3.14</v>
      </c>
      <c r="L296" t="n">
        <v>14.8</v>
      </c>
      <c r="N296">
        <f>IF(OR(E296="",C296=""),"",E296-C296/42)</f>
        <v/>
      </c>
      <c r="O296">
        <f>IF(OR(E296="",D296=""),"",E296-D296/42)</f>
        <v/>
      </c>
      <c r="P296">
        <f>IF(L296="",M296/100,H296*L296/100)</f>
        <v/>
      </c>
      <c r="Q296">
        <f>H296-C296/42-P296</f>
        <v/>
      </c>
      <c r="R296">
        <f>H296-E296</f>
        <v/>
      </c>
    </row>
    <row r="297">
      <c r="A297" s="3" t="n">
        <v>40420</v>
      </c>
      <c r="B297" s="3" t="n">
        <v>40417</v>
      </c>
      <c r="C297" t="n">
        <v>72.91</v>
      </c>
      <c r="D297" t="n">
        <v>72.81999999999999</v>
      </c>
      <c r="E297" t="n">
        <v>1.858</v>
      </c>
      <c r="F297" t="n">
        <v>1.859</v>
      </c>
      <c r="G297" t="n">
        <v>2.057</v>
      </c>
      <c r="H297" t="n">
        <v>2.682</v>
      </c>
      <c r="J297" t="n">
        <v>2.82</v>
      </c>
      <c r="K297" t="n">
        <v>3.092</v>
      </c>
      <c r="L297" t="n">
        <v>14.8</v>
      </c>
      <c r="N297">
        <f>IF(OR(E297="",C297=""),"",E297-C297/42)</f>
        <v/>
      </c>
      <c r="O297">
        <f>IF(OR(E297="",D297=""),"",E297-D297/42)</f>
        <v/>
      </c>
      <c r="P297">
        <f>IF(L297="",M297/100,H297*L297/100)</f>
        <v/>
      </c>
      <c r="Q297">
        <f>H297-C297/42-P297</f>
        <v/>
      </c>
      <c r="R297">
        <f>H297-E297</f>
        <v/>
      </c>
    </row>
    <row r="298">
      <c r="A298" s="3" t="n">
        <v>40427</v>
      </c>
      <c r="B298" s="3" t="n">
        <v>40424</v>
      </c>
      <c r="C298" t="n">
        <v>74.02</v>
      </c>
      <c r="D298" t="n">
        <v>75.41</v>
      </c>
      <c r="E298" t="n">
        <v>1.913</v>
      </c>
      <c r="F298" t="n">
        <v>1.919</v>
      </c>
      <c r="G298" t="n">
        <v>2.038</v>
      </c>
      <c r="H298" t="n">
        <v>2.682</v>
      </c>
      <c r="J298" t="n">
        <v>2.822</v>
      </c>
      <c r="K298" t="n">
        <v>3.041</v>
      </c>
      <c r="L298" t="n">
        <v>14.9</v>
      </c>
      <c r="N298">
        <f>IF(OR(E298="",C298=""),"",E298-C298/42)</f>
        <v/>
      </c>
      <c r="O298">
        <f>IF(OR(E298="",D298=""),"",E298-D298/42)</f>
        <v/>
      </c>
      <c r="P298">
        <f>IF(L298="",M298/100,H298*L298/100)</f>
        <v/>
      </c>
      <c r="Q298">
        <f>H298-C298/42-P298</f>
        <v/>
      </c>
      <c r="R298">
        <f>H298-E298</f>
        <v/>
      </c>
    </row>
    <row r="299">
      <c r="A299" s="3" t="n">
        <v>40434</v>
      </c>
      <c r="B299" s="3" t="n">
        <v>40431</v>
      </c>
      <c r="C299" t="n">
        <v>74.81999999999999</v>
      </c>
      <c r="D299" t="n">
        <v>77.17</v>
      </c>
      <c r="E299" t="n">
        <v>1.975</v>
      </c>
      <c r="F299" t="n">
        <v>1.968</v>
      </c>
      <c r="G299" t="n">
        <v>2.068</v>
      </c>
      <c r="H299" t="n">
        <v>2.721</v>
      </c>
      <c r="J299" t="n">
        <v>2.828</v>
      </c>
      <c r="K299" t="n">
        <v>3.026</v>
      </c>
      <c r="L299" t="n">
        <v>14.9</v>
      </c>
      <c r="N299">
        <f>IF(OR(E299="",C299=""),"",E299-C299/42)</f>
        <v/>
      </c>
      <c r="O299">
        <f>IF(OR(E299="",D299=""),"",E299-D299/42)</f>
        <v/>
      </c>
      <c r="P299">
        <f>IF(L299="",M299/100,H299*L299/100)</f>
        <v/>
      </c>
      <c r="Q299">
        <f>H299-C299/42-P299</f>
        <v/>
      </c>
      <c r="R299">
        <f>H299-E299</f>
        <v/>
      </c>
    </row>
    <row r="300">
      <c r="A300" s="3" t="n">
        <v>40441</v>
      </c>
      <c r="B300" s="3" t="n">
        <v>40438</v>
      </c>
      <c r="C300" t="n">
        <v>75.62</v>
      </c>
      <c r="D300" t="n">
        <v>78.44</v>
      </c>
      <c r="E300" t="n">
        <v>1.976</v>
      </c>
      <c r="F300" t="n">
        <v>1.978</v>
      </c>
      <c r="G300" t="n">
        <v>2.07</v>
      </c>
      <c r="H300" t="n">
        <v>2.723</v>
      </c>
      <c r="J300" t="n">
        <v>2.825</v>
      </c>
      <c r="K300" t="n">
        <v>3.005</v>
      </c>
      <c r="L300" t="n">
        <v>14.9</v>
      </c>
      <c r="N300">
        <f>IF(OR(E300="",C300=""),"",E300-C300/42)</f>
        <v/>
      </c>
      <c r="O300">
        <f>IF(OR(E300="",D300=""),"",E300-D300/42)</f>
        <v/>
      </c>
      <c r="P300">
        <f>IF(L300="",M300/100,H300*L300/100)</f>
        <v/>
      </c>
      <c r="Q300">
        <f>H300-C300/42-P300</f>
        <v/>
      </c>
      <c r="R300">
        <f>H300-E300</f>
        <v/>
      </c>
    </row>
    <row r="301">
      <c r="A301" s="3" t="n">
        <v>40448</v>
      </c>
      <c r="B301" s="3" t="n">
        <v>40445</v>
      </c>
      <c r="C301" t="n">
        <v>73.76000000000001</v>
      </c>
      <c r="D301" t="n">
        <v>78.38</v>
      </c>
      <c r="E301" t="n">
        <v>1.921</v>
      </c>
      <c r="F301" t="n">
        <v>1.951</v>
      </c>
      <c r="G301" t="n">
        <v>2.059</v>
      </c>
      <c r="H301" t="n">
        <v>2.694</v>
      </c>
      <c r="J301" t="n">
        <v>2.805</v>
      </c>
      <c r="K301" t="n">
        <v>2.996</v>
      </c>
      <c r="L301" t="n">
        <v>14.9</v>
      </c>
      <c r="N301">
        <f>IF(OR(E301="",C301=""),"",E301-C301/42)</f>
        <v/>
      </c>
      <c r="O301">
        <f>IF(OR(E301="",D301=""),"",E301-D301/42)</f>
        <v/>
      </c>
      <c r="P301">
        <f>IF(L301="",M301/100,H301*L301/100)</f>
        <v/>
      </c>
      <c r="Q301">
        <f>H301-C301/42-P301</f>
        <v/>
      </c>
      <c r="R301">
        <f>H301-E301</f>
        <v/>
      </c>
    </row>
    <row r="302">
      <c r="A302" s="3" t="n">
        <v>40455</v>
      </c>
      <c r="B302" s="3" t="n">
        <v>40452</v>
      </c>
      <c r="C302" t="n">
        <v>78.41</v>
      </c>
      <c r="D302" t="n">
        <v>79.81999999999999</v>
      </c>
      <c r="E302" t="n">
        <v>1.982</v>
      </c>
      <c r="F302" t="n">
        <v>2.034</v>
      </c>
      <c r="G302" t="n">
        <v>2.142</v>
      </c>
      <c r="H302" t="n">
        <v>2.732</v>
      </c>
      <c r="J302" t="n">
        <v>2.794</v>
      </c>
      <c r="K302" t="n">
        <v>3.013</v>
      </c>
      <c r="L302" t="n">
        <v>14.4</v>
      </c>
      <c r="N302">
        <f>IF(OR(E302="",C302=""),"",E302-C302/42)</f>
        <v/>
      </c>
      <c r="O302">
        <f>IF(OR(E302="",D302=""),"",E302-D302/42)</f>
        <v/>
      </c>
      <c r="P302">
        <f>IF(L302="",M302/100,H302*L302/100)</f>
        <v/>
      </c>
      <c r="Q302">
        <f>H302-C302/42-P302</f>
        <v/>
      </c>
      <c r="R302">
        <f>H302-E302</f>
        <v/>
      </c>
    </row>
    <row r="303">
      <c r="A303" s="3" t="n">
        <v>40462</v>
      </c>
      <c r="B303" s="3" t="n">
        <v>40459</v>
      </c>
      <c r="C303" t="n">
        <v>82.29000000000001</v>
      </c>
      <c r="D303" t="n">
        <v>83.87</v>
      </c>
      <c r="E303" t="n">
        <v>2.117</v>
      </c>
      <c r="F303" t="n">
        <v>2.193</v>
      </c>
      <c r="G303" t="n">
        <v>2.308</v>
      </c>
      <c r="H303" t="n">
        <v>2.819</v>
      </c>
      <c r="J303" t="n">
        <v>2.798</v>
      </c>
      <c r="K303" t="n">
        <v>3.089</v>
      </c>
      <c r="L303" t="n">
        <v>14.4</v>
      </c>
      <c r="N303">
        <f>IF(OR(E303="",C303=""),"",E303-C303/42)</f>
        <v/>
      </c>
      <c r="O303">
        <f>IF(OR(E303="",D303=""),"",E303-D303/42)</f>
        <v/>
      </c>
      <c r="P303">
        <f>IF(L303="",M303/100,H303*L303/100)</f>
        <v/>
      </c>
      <c r="Q303">
        <f>H303-C303/42-P303</f>
        <v/>
      </c>
      <c r="R303">
        <f>H303-E303</f>
        <v/>
      </c>
    </row>
    <row r="304">
      <c r="A304" s="3" t="n">
        <v>40469</v>
      </c>
      <c r="B304" s="3" t="n">
        <v>40466</v>
      </c>
      <c r="C304" t="n">
        <v>82.16</v>
      </c>
      <c r="D304" t="n">
        <v>83.11</v>
      </c>
      <c r="E304" t="n">
        <v>2.112</v>
      </c>
      <c r="F304" t="n">
        <v>2.202</v>
      </c>
      <c r="G304" t="n">
        <v>2.329</v>
      </c>
      <c r="H304" t="n">
        <v>2.834</v>
      </c>
      <c r="J304" t="n">
        <v>2.801</v>
      </c>
      <c r="K304" t="n">
        <v>3.147</v>
      </c>
      <c r="L304" t="n">
        <v>14.4</v>
      </c>
      <c r="N304">
        <f>IF(OR(E304="",C304=""),"",E304-C304/42)</f>
        <v/>
      </c>
      <c r="O304">
        <f>IF(OR(E304="",D304=""),"",E304-D304/42)</f>
        <v/>
      </c>
      <c r="P304">
        <f>IF(L304="",M304/100,H304*L304/100)</f>
        <v/>
      </c>
      <c r="Q304">
        <f>H304-C304/42-P304</f>
        <v/>
      </c>
      <c r="R304">
        <f>H304-E304</f>
        <v/>
      </c>
    </row>
    <row r="305">
      <c r="A305" s="3" t="n">
        <v>40476</v>
      </c>
      <c r="B305" s="3" t="n">
        <v>40473</v>
      </c>
      <c r="C305" t="n">
        <v>81.15000000000001</v>
      </c>
      <c r="D305" t="n">
        <v>81.43000000000001</v>
      </c>
      <c r="E305" t="n">
        <v>2.032</v>
      </c>
      <c r="F305" t="n">
        <v>2.146</v>
      </c>
      <c r="G305" t="n">
        <v>2.208</v>
      </c>
      <c r="H305" t="n">
        <v>2.817</v>
      </c>
      <c r="J305" t="n">
        <v>2.794</v>
      </c>
      <c r="K305" t="n">
        <v>3.143</v>
      </c>
      <c r="L305" t="n">
        <v>14.4</v>
      </c>
      <c r="N305">
        <f>IF(OR(E305="",C305=""),"",E305-C305/42)</f>
        <v/>
      </c>
      <c r="O305">
        <f>IF(OR(E305="",D305=""),"",E305-D305/42)</f>
        <v/>
      </c>
      <c r="P305">
        <f>IF(L305="",M305/100,H305*L305/100)</f>
        <v/>
      </c>
      <c r="Q305">
        <f>H305-C305/42-P305</f>
        <v/>
      </c>
      <c r="R305">
        <f>H305-E305</f>
        <v/>
      </c>
    </row>
    <row r="306">
      <c r="A306" s="3" t="n">
        <v>40483</v>
      </c>
      <c r="B306" s="3" t="n">
        <v>40480</v>
      </c>
      <c r="C306" t="n">
        <v>82.03</v>
      </c>
      <c r="D306" t="n">
        <v>82.25</v>
      </c>
      <c r="E306" t="n">
        <v>2.023</v>
      </c>
      <c r="F306" t="n">
        <v>2.122</v>
      </c>
      <c r="G306" t="n">
        <v>2.188</v>
      </c>
      <c r="H306" t="n">
        <v>2.806</v>
      </c>
      <c r="J306" t="n">
        <v>2.784</v>
      </c>
      <c r="K306" t="n">
        <v>3.145</v>
      </c>
      <c r="L306" t="n">
        <v>14.1</v>
      </c>
      <c r="N306">
        <f>IF(OR(E306="",C306=""),"",E306-C306/42)</f>
        <v/>
      </c>
      <c r="O306">
        <f>IF(OR(E306="",D306=""),"",E306-D306/42)</f>
        <v/>
      </c>
      <c r="P306">
        <f>IF(L306="",M306/100,H306*L306/100)</f>
        <v/>
      </c>
      <c r="Q306">
        <f>H306-C306/42-P306</f>
        <v/>
      </c>
      <c r="R306">
        <f>H306-E306</f>
        <v/>
      </c>
    </row>
    <row r="307">
      <c r="A307" s="3" t="n">
        <v>40490</v>
      </c>
      <c r="B307" s="3" t="n">
        <v>40487</v>
      </c>
      <c r="C307" t="n">
        <v>84.93000000000001</v>
      </c>
      <c r="D307" t="n">
        <v>85.59999999999999</v>
      </c>
      <c r="E307" t="n">
        <v>2.082</v>
      </c>
      <c r="F307" t="n">
        <v>2.174</v>
      </c>
      <c r="G307" t="n">
        <v>2.231</v>
      </c>
      <c r="H307" t="n">
        <v>2.865</v>
      </c>
      <c r="J307" t="n">
        <v>2.786</v>
      </c>
      <c r="K307" t="n">
        <v>3.141</v>
      </c>
      <c r="L307" t="n">
        <v>14.1</v>
      </c>
      <c r="N307">
        <f>IF(OR(E307="",C307=""),"",E307-C307/42)</f>
        <v/>
      </c>
      <c r="O307">
        <f>IF(OR(E307="",D307=""),"",E307-D307/42)</f>
        <v/>
      </c>
      <c r="P307">
        <f>IF(L307="",M307/100,H307*L307/100)</f>
        <v/>
      </c>
      <c r="Q307">
        <f>H307-C307/42-P307</f>
        <v/>
      </c>
      <c r="R307">
        <f>H307-E307</f>
        <v/>
      </c>
    </row>
    <row r="308">
      <c r="A308" s="3" t="n">
        <v>40497</v>
      </c>
      <c r="B308" s="3" t="n">
        <v>40494</v>
      </c>
      <c r="C308" t="n">
        <v>86.91</v>
      </c>
      <c r="D308" t="n">
        <v>87.43000000000001</v>
      </c>
      <c r="E308" t="n">
        <v>2.159</v>
      </c>
      <c r="F308" t="n">
        <v>2.242</v>
      </c>
      <c r="G308" t="n">
        <v>2.288</v>
      </c>
      <c r="H308" t="n">
        <v>2.892</v>
      </c>
      <c r="J308" t="n">
        <v>2.797</v>
      </c>
      <c r="K308" t="n">
        <v>3.175</v>
      </c>
      <c r="L308" t="n">
        <v>14.1</v>
      </c>
      <c r="N308">
        <f>IF(OR(E308="",C308=""),"",E308-C308/42)</f>
        <v/>
      </c>
      <c r="O308">
        <f>IF(OR(E308="",D308=""),"",E308-D308/42)</f>
        <v/>
      </c>
      <c r="P308">
        <f>IF(L308="",M308/100,H308*L308/100)</f>
        <v/>
      </c>
      <c r="Q308">
        <f>H308-C308/42-P308</f>
        <v/>
      </c>
      <c r="R308">
        <f>H308-E308</f>
        <v/>
      </c>
    </row>
    <row r="309">
      <c r="A309" s="3" t="n">
        <v>40504</v>
      </c>
      <c r="B309" s="3" t="n">
        <v>40501</v>
      </c>
      <c r="C309" t="n">
        <v>82.23</v>
      </c>
      <c r="D309" t="n">
        <v>83.94</v>
      </c>
      <c r="E309" t="n">
        <v>2.112</v>
      </c>
      <c r="F309" t="n">
        <v>2.287</v>
      </c>
      <c r="G309" t="n">
        <v>2.212</v>
      </c>
      <c r="H309" t="n">
        <v>2.876</v>
      </c>
      <c r="J309" t="n">
        <v>2.784</v>
      </c>
      <c r="K309" t="n">
        <v>3.171</v>
      </c>
      <c r="L309" t="n">
        <v>14.1</v>
      </c>
      <c r="N309">
        <f>IF(OR(E309="",C309=""),"",E309-C309/42)</f>
        <v/>
      </c>
      <c r="O309">
        <f>IF(OR(E309="",D309=""),"",E309-D309/42)</f>
        <v/>
      </c>
      <c r="P309">
        <f>IF(L309="",M309/100,H309*L309/100)</f>
        <v/>
      </c>
      <c r="Q309">
        <f>H309-C309/42-P309</f>
        <v/>
      </c>
      <c r="R309">
        <f>H309-E309</f>
        <v/>
      </c>
    </row>
    <row r="310">
      <c r="A310" s="3" t="n">
        <v>40511</v>
      </c>
      <c r="B310" s="3" t="n">
        <v>40508</v>
      </c>
      <c r="C310" t="n">
        <v>82.28</v>
      </c>
      <c r="D310" t="n">
        <v>83.51000000000001</v>
      </c>
      <c r="E310" t="n">
        <v>2.094</v>
      </c>
      <c r="F310" t="n">
        <v>2.258</v>
      </c>
      <c r="G310" t="n">
        <v>2.198</v>
      </c>
      <c r="H310" t="n">
        <v>2.856</v>
      </c>
      <c r="J310" t="n">
        <v>2.766</v>
      </c>
      <c r="K310" t="n">
        <v>3.152</v>
      </c>
      <c r="L310" t="n">
        <v>14.1</v>
      </c>
      <c r="N310">
        <f>IF(OR(E310="",C310=""),"",E310-C310/42)</f>
        <v/>
      </c>
      <c r="O310">
        <f>IF(OR(E310="",D310=""),"",E310-D310/42)</f>
        <v/>
      </c>
      <c r="P310">
        <f>IF(L310="",M310/100,H310*L310/100)</f>
        <v/>
      </c>
      <c r="Q310">
        <f>H310-C310/42-P310</f>
        <v/>
      </c>
      <c r="R310">
        <f>H310-E310</f>
        <v/>
      </c>
    </row>
    <row r="311">
      <c r="A311" s="3" t="n">
        <v>40518</v>
      </c>
      <c r="B311" s="3" t="n">
        <v>40515</v>
      </c>
      <c r="C311" t="n">
        <v>86.75</v>
      </c>
      <c r="D311" t="n">
        <v>88.09999999999999</v>
      </c>
      <c r="E311" t="n">
        <v>2.237</v>
      </c>
      <c r="F311" t="n">
        <v>2.359</v>
      </c>
      <c r="G311" t="n">
        <v>2.373</v>
      </c>
      <c r="H311" t="n">
        <v>2.958</v>
      </c>
      <c r="J311" t="n">
        <v>2.771</v>
      </c>
      <c r="K311" t="n">
        <v>3.216</v>
      </c>
      <c r="L311" t="n">
        <v>13.5</v>
      </c>
      <c r="N311">
        <f>IF(OR(E311="",C311=""),"",E311-C311/42)</f>
        <v/>
      </c>
      <c r="O311">
        <f>IF(OR(E311="",D311=""),"",E311-D311/42)</f>
        <v/>
      </c>
      <c r="P311">
        <f>IF(L311="",M311/100,H311*L311/100)</f>
        <v/>
      </c>
      <c r="Q311">
        <f>H311-C311/42-P311</f>
        <v/>
      </c>
      <c r="R311">
        <f>H311-E311</f>
        <v/>
      </c>
    </row>
    <row r="312">
      <c r="A312" s="3" t="n">
        <v>40525</v>
      </c>
      <c r="B312" s="3" t="n">
        <v>40522</v>
      </c>
      <c r="C312" t="n">
        <v>88.5</v>
      </c>
      <c r="D312" t="n">
        <v>90.25</v>
      </c>
      <c r="E312" t="n">
        <v>2.277</v>
      </c>
      <c r="F312" t="n">
        <v>2.349</v>
      </c>
      <c r="G312" t="n">
        <v>2.429</v>
      </c>
      <c r="H312" t="n">
        <v>2.98</v>
      </c>
      <c r="J312" t="n">
        <v>2.797</v>
      </c>
      <c r="K312" t="n">
        <v>3.25</v>
      </c>
      <c r="L312" t="n">
        <v>13.5</v>
      </c>
      <c r="N312">
        <f>IF(OR(E312="",C312=""),"",E312-C312/42)</f>
        <v/>
      </c>
      <c r="O312">
        <f>IF(OR(E312="",D312=""),"",E312-D312/42)</f>
        <v/>
      </c>
      <c r="P312">
        <f>IF(L312="",M312/100,H312*L312/100)</f>
        <v/>
      </c>
      <c r="Q312">
        <f>H312-C312/42-P312</f>
        <v/>
      </c>
      <c r="R312">
        <f>H312-E312</f>
        <v/>
      </c>
    </row>
    <row r="313">
      <c r="A313" s="3" t="n">
        <v>40532</v>
      </c>
      <c r="B313" s="3" t="n">
        <v>40529</v>
      </c>
      <c r="C313" t="n">
        <v>88.27</v>
      </c>
      <c r="D313" t="n">
        <v>90.91</v>
      </c>
      <c r="E313" t="n">
        <v>2.256</v>
      </c>
      <c r="F313" t="n">
        <v>2.329</v>
      </c>
      <c r="G313" t="n">
        <v>2.325</v>
      </c>
      <c r="H313" t="n">
        <v>2.982</v>
      </c>
      <c r="J313" t="n">
        <v>2.801</v>
      </c>
      <c r="K313" t="n">
        <v>3.247</v>
      </c>
      <c r="L313" t="n">
        <v>13.5</v>
      </c>
      <c r="N313">
        <f>IF(OR(E313="",C313=""),"",E313-C313/42)</f>
        <v/>
      </c>
      <c r="O313">
        <f>IF(OR(E313="",D313=""),"",E313-D313/42)</f>
        <v/>
      </c>
      <c r="P313">
        <f>IF(L313="",M313/100,H313*L313/100)</f>
        <v/>
      </c>
      <c r="Q313">
        <f>H313-C313/42-P313</f>
        <v/>
      </c>
      <c r="R313">
        <f>H313-E313</f>
        <v/>
      </c>
    </row>
    <row r="314">
      <c r="A314" s="3" t="n">
        <v>40539</v>
      </c>
      <c r="B314" s="3" t="n">
        <v>40536</v>
      </c>
      <c r="C314" t="n">
        <v>89.66</v>
      </c>
      <c r="D314" t="n">
        <v>92.90000000000001</v>
      </c>
      <c r="E314" t="n">
        <v>2.376</v>
      </c>
      <c r="F314" t="n">
        <v>2.452</v>
      </c>
      <c r="G314" t="n">
        <v>2.454</v>
      </c>
      <c r="H314" t="n">
        <v>3.052</v>
      </c>
      <c r="J314" t="n">
        <v>2.824</v>
      </c>
      <c r="K314" t="n">
        <v>3.287</v>
      </c>
      <c r="L314" t="n">
        <v>13.5</v>
      </c>
      <c r="N314">
        <f>IF(OR(E314="",C314=""),"",E314-C314/42)</f>
        <v/>
      </c>
      <c r="O314">
        <f>IF(OR(E314="",D314=""),"",E314-D314/42)</f>
        <v/>
      </c>
      <c r="P314">
        <f>IF(L314="",M314/100,H314*L314/100)</f>
        <v/>
      </c>
      <c r="Q314">
        <f>H314-C314/42-P314</f>
        <v/>
      </c>
      <c r="R314">
        <f>H314-E314</f>
        <v/>
      </c>
    </row>
    <row r="315">
      <c r="A315" s="3" t="n">
        <v>40546</v>
      </c>
      <c r="B315" s="3" t="n">
        <v>40543</v>
      </c>
      <c r="C315" t="n">
        <v>90.97</v>
      </c>
      <c r="D315" t="n">
        <v>93.17</v>
      </c>
      <c r="E315" t="n">
        <v>2.358</v>
      </c>
      <c r="F315" t="n">
        <v>2.43</v>
      </c>
      <c r="G315" t="n">
        <v>2.465</v>
      </c>
      <c r="H315" t="n">
        <v>3.07</v>
      </c>
      <c r="J315" t="n">
        <v>2.848</v>
      </c>
      <c r="K315" t="n">
        <v>3.308</v>
      </c>
      <c r="L315" t="n">
        <v>13</v>
      </c>
      <c r="N315">
        <f>IF(OR(E315="",C315=""),"",E315-C315/42)</f>
        <v/>
      </c>
      <c r="O315">
        <f>IF(OR(E315="",D315=""),"",E315-D315/42)</f>
        <v/>
      </c>
      <c r="P315">
        <f>IF(L315="",M315/100,H315*L315/100)</f>
        <v/>
      </c>
      <c r="Q315">
        <f>H315-C315/42-P315</f>
        <v/>
      </c>
      <c r="R315">
        <f>H315-E315</f>
        <v/>
      </c>
    </row>
    <row r="316">
      <c r="A316" s="3" t="n">
        <v>40553</v>
      </c>
      <c r="B316" s="3" t="n">
        <v>40550</v>
      </c>
      <c r="C316" t="n">
        <v>89.54000000000001</v>
      </c>
      <c r="D316" t="n">
        <v>94.72</v>
      </c>
      <c r="E316" t="n">
        <v>2.387</v>
      </c>
      <c r="F316" t="n">
        <v>2.442</v>
      </c>
      <c r="G316" t="n">
        <v>2.431</v>
      </c>
      <c r="H316" t="n">
        <v>3.089</v>
      </c>
      <c r="J316" t="n">
        <v>2.861</v>
      </c>
      <c r="K316" t="n">
        <v>3.332</v>
      </c>
      <c r="L316" t="n">
        <v>13</v>
      </c>
      <c r="N316">
        <f>IF(OR(E316="",C316=""),"",E316-C316/42)</f>
        <v/>
      </c>
      <c r="O316">
        <f>IF(OR(E316="",D316=""),"",E316-D316/42)</f>
        <v/>
      </c>
      <c r="P316">
        <f>IF(L316="",M316/100,H316*L316/100)</f>
        <v/>
      </c>
      <c r="Q316">
        <f>H316-C316/42-P316</f>
        <v/>
      </c>
      <c r="R316">
        <f>H316-E316</f>
        <v/>
      </c>
    </row>
    <row r="317">
      <c r="A317" s="3" t="n">
        <v>40560</v>
      </c>
      <c r="B317" s="3" t="n">
        <v>40557</v>
      </c>
      <c r="C317" t="n">
        <v>91.02</v>
      </c>
      <c r="D317" t="n">
        <v>97.09</v>
      </c>
      <c r="E317" t="n">
        <v>2.412</v>
      </c>
      <c r="F317" t="n">
        <v>2.474</v>
      </c>
      <c r="G317" t="n">
        <v>2.447</v>
      </c>
      <c r="H317" t="n">
        <v>3.104</v>
      </c>
      <c r="J317" t="n">
        <v>2.894</v>
      </c>
      <c r="K317" t="n">
        <v>3.349</v>
      </c>
      <c r="L317" t="n">
        <v>13</v>
      </c>
      <c r="N317">
        <f>IF(OR(E317="",C317=""),"",E317-C317/42)</f>
        <v/>
      </c>
      <c r="O317">
        <f>IF(OR(E317="",D317=""),"",E317-D317/42)</f>
        <v/>
      </c>
      <c r="P317">
        <f>IF(L317="",M317/100,H317*L317/100)</f>
        <v/>
      </c>
      <c r="Q317">
        <f>H317-C317/42-P317</f>
        <v/>
      </c>
      <c r="R317">
        <f>H317-E317</f>
        <v/>
      </c>
    </row>
    <row r="318">
      <c r="A318" s="3" t="n">
        <v>40567</v>
      </c>
      <c r="B318" s="3" t="n">
        <v>40564</v>
      </c>
      <c r="C318" t="n">
        <v>89.75</v>
      </c>
      <c r="D318" t="n">
        <v>97.34</v>
      </c>
      <c r="E318" t="n">
        <v>2.414</v>
      </c>
      <c r="F318" t="n">
        <v>2.464</v>
      </c>
      <c r="G318" t="n">
        <v>2.412</v>
      </c>
      <c r="H318" t="n">
        <v>3.11</v>
      </c>
      <c r="J318" t="n">
        <v>2.918</v>
      </c>
      <c r="K318" t="n">
        <v>3.357</v>
      </c>
      <c r="L318" t="n">
        <v>13</v>
      </c>
      <c r="N318">
        <f>IF(OR(E318="",C318=""),"",E318-C318/42)</f>
        <v/>
      </c>
      <c r="O318">
        <f>IF(OR(E318="",D318=""),"",E318-D318/42)</f>
        <v/>
      </c>
      <c r="P318">
        <f>IF(L318="",M318/100,H318*L318/100)</f>
        <v/>
      </c>
      <c r="Q318">
        <f>H318-C318/42-P318</f>
        <v/>
      </c>
      <c r="R318">
        <f>H318-E318</f>
        <v/>
      </c>
    </row>
    <row r="319">
      <c r="A319" s="3" t="n">
        <v>40574</v>
      </c>
      <c r="B319" s="3" t="n">
        <v>40571</v>
      </c>
      <c r="C319" t="n">
        <v>86.11</v>
      </c>
      <c r="D319" t="n">
        <v>96.62</v>
      </c>
      <c r="E319" t="n">
        <v>2.352</v>
      </c>
      <c r="F319" t="n">
        <v>2.411</v>
      </c>
      <c r="G319" t="n">
        <v>2.473</v>
      </c>
      <c r="H319" t="n">
        <v>3.101</v>
      </c>
      <c r="J319" t="n">
        <v>2.931</v>
      </c>
      <c r="K319" t="n">
        <v>3.364</v>
      </c>
      <c r="L319" t="n">
        <v>13</v>
      </c>
      <c r="N319">
        <f>IF(OR(E319="",C319=""),"",E319-C319/42)</f>
        <v/>
      </c>
      <c r="O319">
        <f>IF(OR(E319="",D319=""),"",E319-D319/42)</f>
        <v/>
      </c>
      <c r="P319">
        <f>IF(L319="",M319/100,H319*L319/100)</f>
        <v/>
      </c>
      <c r="Q319">
        <f>H319-C319/42-P319</f>
        <v/>
      </c>
      <c r="R319">
        <f>H319-E319</f>
        <v/>
      </c>
    </row>
    <row r="320">
      <c r="A320" s="3" t="n">
        <v>40581</v>
      </c>
      <c r="B320" s="3" t="n">
        <v>40578</v>
      </c>
      <c r="C320" t="n">
        <v>89.52</v>
      </c>
      <c r="D320" t="n">
        <v>100.36</v>
      </c>
      <c r="E320" t="n">
        <v>2.411</v>
      </c>
      <c r="F320" t="n">
        <v>2.466</v>
      </c>
      <c r="G320" t="n">
        <v>2.617</v>
      </c>
      <c r="H320" t="n">
        <v>3.132</v>
      </c>
      <c r="J320" t="n">
        <v>2.986</v>
      </c>
      <c r="K320" t="n">
        <v>3.397</v>
      </c>
      <c r="L320" t="n">
        <v>12.5</v>
      </c>
      <c r="N320">
        <f>IF(OR(E320="",C320=""),"",E320-C320/42)</f>
        <v/>
      </c>
      <c r="O320">
        <f>IF(OR(E320="",D320=""),"",E320-D320/42)</f>
        <v/>
      </c>
      <c r="P320">
        <f>IF(L320="",M320/100,H320*L320/100)</f>
        <v/>
      </c>
      <c r="Q320">
        <f>H320-C320/42-P320</f>
        <v/>
      </c>
      <c r="R320">
        <f>H320-E320</f>
        <v/>
      </c>
    </row>
    <row r="321">
      <c r="A321" s="3" t="n">
        <v>40588</v>
      </c>
      <c r="B321" s="3" t="n">
        <v>40585</v>
      </c>
      <c r="C321" t="n">
        <v>85.51000000000001</v>
      </c>
      <c r="D321" t="n">
        <v>99.90000000000001</v>
      </c>
      <c r="E321" t="n">
        <v>2.44</v>
      </c>
      <c r="F321" t="n">
        <v>2.471</v>
      </c>
      <c r="G321" t="n">
        <v>2.636</v>
      </c>
      <c r="H321" t="n">
        <v>3.14</v>
      </c>
      <c r="J321" t="n">
        <v>3.014</v>
      </c>
      <c r="K321" t="n">
        <v>3.447</v>
      </c>
      <c r="L321" t="n">
        <v>12.5</v>
      </c>
      <c r="N321">
        <f>IF(OR(E321="",C321=""),"",E321-C321/42)</f>
        <v/>
      </c>
      <c r="O321">
        <f>IF(OR(E321="",D321=""),"",E321-D321/42)</f>
        <v/>
      </c>
      <c r="P321">
        <f>IF(L321="",M321/100,H321*L321/100)</f>
        <v/>
      </c>
      <c r="Q321">
        <f>H321-C321/42-P321</f>
        <v/>
      </c>
      <c r="R321">
        <f>H321-E321</f>
        <v/>
      </c>
    </row>
    <row r="322">
      <c r="A322" s="3" t="n">
        <v>40595</v>
      </c>
      <c r="B322" s="3" t="n">
        <v>40592</v>
      </c>
      <c r="C322" t="n">
        <v>84.13</v>
      </c>
      <c r="D322" t="n">
        <v>102.81</v>
      </c>
      <c r="E322" t="n">
        <v>2.489</v>
      </c>
      <c r="F322" t="n">
        <v>2.511</v>
      </c>
      <c r="G322" t="n">
        <v>2.74</v>
      </c>
      <c r="H322" t="n">
        <v>3.189</v>
      </c>
      <c r="J322" t="n">
        <v>3.07</v>
      </c>
      <c r="K322" t="n">
        <v>3.555</v>
      </c>
      <c r="L322" t="n">
        <v>12.5</v>
      </c>
      <c r="N322">
        <f>IF(OR(E322="",C322=""),"",E322-C322/42)</f>
        <v/>
      </c>
      <c r="O322">
        <f>IF(OR(E322="",D322=""),"",E322-D322/42)</f>
        <v/>
      </c>
      <c r="P322">
        <f>IF(L322="",M322/100,H322*L322/100)</f>
        <v/>
      </c>
      <c r="Q322">
        <f>H322-C322/42-P322</f>
        <v/>
      </c>
      <c r="R322">
        <f>H322-E322</f>
        <v/>
      </c>
    </row>
    <row r="323">
      <c r="A323" s="3" t="n">
        <v>40602</v>
      </c>
      <c r="B323" s="3" t="n">
        <v>40599</v>
      </c>
      <c r="C323" t="n">
        <v>95.26000000000001</v>
      </c>
      <c r="D323" t="n">
        <v>110.49</v>
      </c>
      <c r="E323" t="n">
        <v>2.673</v>
      </c>
      <c r="F323" t="n">
        <v>2.731</v>
      </c>
      <c r="G323" t="n">
        <v>2.986</v>
      </c>
      <c r="H323" t="n">
        <v>3.383</v>
      </c>
      <c r="J323" t="n">
        <v>3.181</v>
      </c>
      <c r="K323" t="n">
        <v>3.719</v>
      </c>
      <c r="L323" t="n">
        <v>12.5</v>
      </c>
      <c r="N323">
        <f>IF(OR(E323="",C323=""),"",E323-C323/42)</f>
        <v/>
      </c>
      <c r="O323">
        <f>IF(OR(E323="",D323=""),"",E323-D323/42)</f>
        <v/>
      </c>
      <c r="P323">
        <f>IF(L323="",M323/100,H323*L323/100)</f>
        <v/>
      </c>
      <c r="Q323">
        <f>H323-C323/42-P323</f>
        <v/>
      </c>
      <c r="R323">
        <f>H323-E323</f>
        <v/>
      </c>
    </row>
    <row r="324">
      <c r="A324" s="3" t="n">
        <v>40609</v>
      </c>
      <c r="B324" s="3" t="n">
        <v>40606</v>
      </c>
      <c r="C324" t="n">
        <v>101.05</v>
      </c>
      <c r="D324" t="n">
        <v>114.53</v>
      </c>
      <c r="E324" t="n">
        <v>2.828</v>
      </c>
      <c r="F324" t="n">
        <v>2.864</v>
      </c>
      <c r="G324" t="n">
        <v>3.127</v>
      </c>
      <c r="H324" t="n">
        <v>3.52</v>
      </c>
      <c r="J324" t="n">
        <v>3.297</v>
      </c>
      <c r="K324" t="n">
        <v>3.874</v>
      </c>
      <c r="L324" t="n">
        <v>11.3</v>
      </c>
      <c r="N324">
        <f>IF(OR(E324="",C324=""),"",E324-C324/42)</f>
        <v/>
      </c>
      <c r="O324">
        <f>IF(OR(E324="",D324=""),"",E324-D324/42)</f>
        <v/>
      </c>
      <c r="P324">
        <f>IF(L324="",M324/100,H324*L324/100)</f>
        <v/>
      </c>
      <c r="Q324">
        <f>H324-C324/42-P324</f>
        <v/>
      </c>
      <c r="R324">
        <f>H324-E324</f>
        <v/>
      </c>
    </row>
    <row r="325">
      <c r="A325" s="3" t="n">
        <v>40616</v>
      </c>
      <c r="B325" s="3" t="n">
        <v>40613</v>
      </c>
      <c r="C325" t="n">
        <v>103.74</v>
      </c>
      <c r="D325" t="n">
        <v>114.45</v>
      </c>
      <c r="E325" t="n">
        <v>2.851</v>
      </c>
      <c r="F325" t="n">
        <v>2.832</v>
      </c>
      <c r="G325" t="n">
        <v>3.122</v>
      </c>
      <c r="H325" t="n">
        <v>3.567</v>
      </c>
      <c r="J325" t="n">
        <v>3.358</v>
      </c>
      <c r="K325" t="n">
        <v>3.954</v>
      </c>
      <c r="L325" t="n">
        <v>11.3</v>
      </c>
      <c r="N325">
        <f>IF(OR(E325="",C325=""),"",E325-C325/42)</f>
        <v/>
      </c>
      <c r="O325">
        <f>IF(OR(E325="",D325=""),"",E325-D325/42)</f>
        <v/>
      </c>
      <c r="P325">
        <f>IF(L325="",M325/100,H325*L325/100)</f>
        <v/>
      </c>
      <c r="Q325">
        <f>H325-C325/42-P325</f>
        <v/>
      </c>
      <c r="R325">
        <f>H325-E325</f>
        <v/>
      </c>
    </row>
    <row r="326">
      <c r="A326" s="3" t="n">
        <v>40623</v>
      </c>
      <c r="B326" s="3" t="n">
        <v>40620</v>
      </c>
      <c r="C326" t="n">
        <v>99.79000000000001</v>
      </c>
      <c r="D326" t="n">
        <v>112.67</v>
      </c>
      <c r="E326" t="n">
        <v>2.775</v>
      </c>
      <c r="F326" t="n">
        <v>2.734</v>
      </c>
      <c r="G326" t="n">
        <v>3.073</v>
      </c>
      <c r="H326" t="n">
        <v>3.562</v>
      </c>
      <c r="J326" t="n">
        <v>3.386</v>
      </c>
      <c r="K326" t="n">
        <v>3.966</v>
      </c>
      <c r="L326" t="n">
        <v>11.3</v>
      </c>
      <c r="N326">
        <f>IF(OR(E326="",C326=""),"",E326-C326/42)</f>
        <v/>
      </c>
      <c r="O326">
        <f>IF(OR(E326="",D326=""),"",E326-D326/42)</f>
        <v/>
      </c>
      <c r="P326">
        <f>IF(L326="",M326/100,H326*L326/100)</f>
        <v/>
      </c>
      <c r="Q326">
        <f>H326-C326/42-P326</f>
        <v/>
      </c>
      <c r="R326">
        <f>H326-E326</f>
        <v/>
      </c>
    </row>
    <row r="327">
      <c r="A327" s="3" t="n">
        <v>40630</v>
      </c>
      <c r="B327" s="3" t="n">
        <v>40627</v>
      </c>
      <c r="C327" t="n">
        <v>104.41</v>
      </c>
      <c r="D327" t="n">
        <v>115.41</v>
      </c>
      <c r="E327" t="n">
        <v>2.891</v>
      </c>
      <c r="F327" t="n">
        <v>2.846</v>
      </c>
      <c r="G327" t="n">
        <v>3.2</v>
      </c>
      <c r="H327" t="n">
        <v>3.596</v>
      </c>
      <c r="J327" t="n">
        <v>3.44</v>
      </c>
      <c r="K327" t="n">
        <v>4.028</v>
      </c>
      <c r="L327" t="n">
        <v>11.3</v>
      </c>
      <c r="N327">
        <f>IF(OR(E327="",C327=""),"",E327-C327/42)</f>
        <v/>
      </c>
      <c r="O327">
        <f>IF(OR(E327="",D327=""),"",E327-D327/42)</f>
        <v/>
      </c>
      <c r="P327">
        <f>IF(L327="",M327/100,H327*L327/100)</f>
        <v/>
      </c>
      <c r="Q327">
        <f>H327-C327/42-P327</f>
        <v/>
      </c>
      <c r="R327">
        <f>H327-E327</f>
        <v/>
      </c>
    </row>
    <row r="328">
      <c r="A328" s="3" t="n">
        <v>40637</v>
      </c>
      <c r="B328" s="3" t="n">
        <v>40634</v>
      </c>
      <c r="C328" t="n">
        <v>105.08</v>
      </c>
      <c r="D328" t="n">
        <v>116.49</v>
      </c>
      <c r="E328" t="n">
        <v>2.958</v>
      </c>
      <c r="F328" t="n">
        <v>2.972</v>
      </c>
      <c r="G328" t="n">
        <v>3.256</v>
      </c>
      <c r="H328" t="n">
        <v>3.684</v>
      </c>
      <c r="J328" t="n">
        <v>3.501</v>
      </c>
      <c r="K328" t="n">
        <v>4.057</v>
      </c>
      <c r="L328" t="n">
        <v>10.6</v>
      </c>
      <c r="N328">
        <f>IF(OR(E328="",C328=""),"",E328-C328/42)</f>
        <v/>
      </c>
      <c r="O328">
        <f>IF(OR(E328="",D328=""),"",E328-D328/42)</f>
        <v/>
      </c>
      <c r="P328">
        <f>IF(L328="",M328/100,H328*L328/100)</f>
        <v/>
      </c>
      <c r="Q328">
        <f>H328-C328/42-P328</f>
        <v/>
      </c>
      <c r="R328">
        <f>H328-E328</f>
        <v/>
      </c>
    </row>
    <row r="329">
      <c r="A329" s="3" t="n">
        <v>40644</v>
      </c>
      <c r="B329" s="3" t="n">
        <v>40641</v>
      </c>
      <c r="C329" t="n">
        <v>109.29</v>
      </c>
      <c r="D329" t="n">
        <v>123.03</v>
      </c>
      <c r="E329" t="n">
        <v>3.08</v>
      </c>
      <c r="F329" t="n">
        <v>3.117</v>
      </c>
      <c r="G329" t="n">
        <v>3.349</v>
      </c>
      <c r="H329" t="n">
        <v>3.791</v>
      </c>
      <c r="J329" t="n">
        <v>3.57</v>
      </c>
      <c r="K329" t="n">
        <v>4.161</v>
      </c>
      <c r="L329" t="n">
        <v>10.6</v>
      </c>
      <c r="N329">
        <f>IF(OR(E329="",C329=""),"",E329-C329/42)</f>
        <v/>
      </c>
      <c r="O329">
        <f>IF(OR(E329="",D329=""),"",E329-D329/42)</f>
        <v/>
      </c>
      <c r="P329">
        <f>IF(L329="",M329/100,H329*L329/100)</f>
        <v/>
      </c>
      <c r="Q329">
        <f>H329-C329/42-P329</f>
        <v/>
      </c>
      <c r="R329">
        <f>H329-E329</f>
        <v/>
      </c>
    </row>
    <row r="330">
      <c r="A330" s="3" t="n">
        <v>40651</v>
      </c>
      <c r="B330" s="3" t="n">
        <v>40648</v>
      </c>
      <c r="C330" t="n">
        <v>107.75</v>
      </c>
      <c r="D330" t="n">
        <v>123.57</v>
      </c>
      <c r="E330" t="n">
        <v>3.105</v>
      </c>
      <c r="F330" t="n">
        <v>3.133</v>
      </c>
      <c r="G330" t="n">
        <v>3.364</v>
      </c>
      <c r="H330" t="n">
        <v>3.844</v>
      </c>
      <c r="J330" t="n">
        <v>3.609</v>
      </c>
      <c r="K330" t="n">
        <v>4.205</v>
      </c>
      <c r="L330" t="n">
        <v>10.6</v>
      </c>
      <c r="N330">
        <f>IF(OR(E330="",C330=""),"",E330-C330/42)</f>
        <v/>
      </c>
      <c r="O330">
        <f>IF(OR(E330="",D330=""),"",E330-D330/42)</f>
        <v/>
      </c>
      <c r="P330">
        <f>IF(L330="",M330/100,H330*L330/100)</f>
        <v/>
      </c>
      <c r="Q330">
        <f>H330-C330/42-P330</f>
        <v/>
      </c>
      <c r="R330">
        <f>H330-E330</f>
        <v/>
      </c>
    </row>
    <row r="331">
      <c r="A331" s="3" t="n">
        <v>40658</v>
      </c>
      <c r="B331" s="3" t="n">
        <v>40655</v>
      </c>
      <c r="C331" t="n">
        <v>109.11</v>
      </c>
      <c r="D331" t="n">
        <v>122.74</v>
      </c>
      <c r="E331" t="n">
        <v>3.133</v>
      </c>
      <c r="F331" t="n">
        <v>3.192</v>
      </c>
      <c r="G331" t="n">
        <v>3.353</v>
      </c>
      <c r="H331" t="n">
        <v>3.879</v>
      </c>
      <c r="J331" t="n">
        <v>3.636</v>
      </c>
      <c r="K331" t="n">
        <v>4.217</v>
      </c>
      <c r="L331" t="n">
        <v>10.6</v>
      </c>
      <c r="N331">
        <f>IF(OR(E331="",C331=""),"",E331-C331/42)</f>
        <v/>
      </c>
      <c r="O331">
        <f>IF(OR(E331="",D331=""),"",E331-D331/42)</f>
        <v/>
      </c>
      <c r="P331">
        <f>IF(L331="",M331/100,H331*L331/100)</f>
        <v/>
      </c>
      <c r="Q331">
        <f>H331-C331/42-P331</f>
        <v/>
      </c>
      <c r="R331">
        <f>H331-E331</f>
        <v/>
      </c>
    </row>
    <row r="332">
      <c r="A332" s="3" t="n">
        <v>40665</v>
      </c>
      <c r="B332" s="3" t="n">
        <v>40662</v>
      </c>
      <c r="C332" t="n">
        <v>112.3</v>
      </c>
      <c r="D332" t="n">
        <v>125.36</v>
      </c>
      <c r="E332" t="n">
        <v>3.245</v>
      </c>
      <c r="F332" t="n">
        <v>3.29</v>
      </c>
      <c r="G332" t="n">
        <v>3.435</v>
      </c>
      <c r="H332" t="n">
        <v>3.963</v>
      </c>
      <c r="J332" t="n">
        <v>3.697</v>
      </c>
      <c r="K332" t="n">
        <v>4.257</v>
      </c>
      <c r="L332" t="n">
        <v>10.3</v>
      </c>
      <c r="N332">
        <f>IF(OR(E332="",C332=""),"",E332-C332/42)</f>
        <v/>
      </c>
      <c r="O332">
        <f>IF(OR(E332="",D332=""),"",E332-D332/42)</f>
        <v/>
      </c>
      <c r="P332">
        <f>IF(L332="",M332/100,H332*L332/100)</f>
        <v/>
      </c>
      <c r="Q332">
        <f>H332-C332/42-P332</f>
        <v/>
      </c>
      <c r="R332">
        <f>H332-E332</f>
        <v/>
      </c>
    </row>
    <row r="333">
      <c r="A333" s="3" t="n">
        <v>40672</v>
      </c>
      <c r="B333" s="3" t="n">
        <v>40669</v>
      </c>
      <c r="C333" t="n">
        <v>105.84</v>
      </c>
      <c r="D333" t="n">
        <v>119.56</v>
      </c>
      <c r="E333" t="n">
        <v>3.182</v>
      </c>
      <c r="F333" t="n">
        <v>3.159</v>
      </c>
      <c r="G333" t="n">
        <v>3.315</v>
      </c>
      <c r="H333" t="n">
        <v>3.965</v>
      </c>
      <c r="J333" t="n">
        <v>3.724</v>
      </c>
      <c r="K333" t="n">
        <v>4.254</v>
      </c>
      <c r="L333" t="n">
        <v>10.3</v>
      </c>
      <c r="N333">
        <f>IF(OR(E333="",C333=""),"",E333-C333/42)</f>
        <v/>
      </c>
      <c r="O333">
        <f>IF(OR(E333="",D333=""),"",E333-D333/42)</f>
        <v/>
      </c>
      <c r="P333">
        <f>IF(L333="",M333/100,H333*L333/100)</f>
        <v/>
      </c>
      <c r="Q333">
        <f>H333-C333/42-P333</f>
        <v/>
      </c>
      <c r="R333">
        <f>H333-E333</f>
        <v/>
      </c>
    </row>
    <row r="334">
      <c r="A334" s="3" t="n">
        <v>40679</v>
      </c>
      <c r="B334" s="3" t="n">
        <v>40676</v>
      </c>
      <c r="C334" t="n">
        <v>99.87</v>
      </c>
      <c r="D334" t="n">
        <v>114.53</v>
      </c>
      <c r="E334" t="n">
        <v>3.199</v>
      </c>
      <c r="F334" t="n">
        <v>3.152</v>
      </c>
      <c r="G334" t="n">
        <v>3.115</v>
      </c>
      <c r="H334" t="n">
        <v>3.96</v>
      </c>
      <c r="J334" t="n">
        <v>3.757</v>
      </c>
      <c r="K334" t="n">
        <v>4.218</v>
      </c>
      <c r="L334" t="n">
        <v>10.3</v>
      </c>
      <c r="N334">
        <f>IF(OR(E334="",C334=""),"",E334-C334/42)</f>
        <v/>
      </c>
      <c r="O334">
        <f>IF(OR(E334="",D334=""),"",E334-D334/42)</f>
        <v/>
      </c>
      <c r="P334">
        <f>IF(L334="",M334/100,H334*L334/100)</f>
        <v/>
      </c>
      <c r="Q334">
        <f>H334-C334/42-P334</f>
        <v/>
      </c>
      <c r="R334">
        <f>H334-E334</f>
        <v/>
      </c>
    </row>
    <row r="335">
      <c r="A335" s="3" t="n">
        <v>40686</v>
      </c>
      <c r="B335" s="3" t="n">
        <v>40683</v>
      </c>
      <c r="C335" t="n">
        <v>97.98999999999999</v>
      </c>
      <c r="D335" t="n">
        <v>112.02</v>
      </c>
      <c r="E335" t="n">
        <v>2.848</v>
      </c>
      <c r="F335" t="n">
        <v>2.865</v>
      </c>
      <c r="G335" t="n">
        <v>2.861</v>
      </c>
      <c r="H335" t="n">
        <v>3.849</v>
      </c>
      <c r="J335" t="n">
        <v>3.733</v>
      </c>
      <c r="K335" t="n">
        <v>4.121</v>
      </c>
      <c r="L335" t="n">
        <v>10.3</v>
      </c>
      <c r="N335">
        <f>IF(OR(E335="",C335=""),"",E335-C335/42)</f>
        <v/>
      </c>
      <c r="O335">
        <f>IF(OR(E335="",D335=""),"",E335-D335/42)</f>
        <v/>
      </c>
      <c r="P335">
        <f>IF(L335="",M335/100,H335*L335/100)</f>
        <v/>
      </c>
      <c r="Q335">
        <f>H335-C335/42-P335</f>
        <v/>
      </c>
      <c r="R335">
        <f>H335-E335</f>
        <v/>
      </c>
    </row>
    <row r="336">
      <c r="A336" s="3" t="n">
        <v>40693</v>
      </c>
      <c r="B336" s="3" t="n">
        <v>40690</v>
      </c>
      <c r="C336" t="n">
        <v>99.55</v>
      </c>
      <c r="D336" t="n">
        <v>113.41</v>
      </c>
      <c r="E336" t="n">
        <v>2.888</v>
      </c>
      <c r="F336" t="n">
        <v>2.933</v>
      </c>
      <c r="G336" t="n">
        <v>2.944</v>
      </c>
      <c r="H336" t="n">
        <v>3.794</v>
      </c>
      <c r="J336" t="n">
        <v>3.708</v>
      </c>
      <c r="K336" t="n">
        <v>4.056</v>
      </c>
      <c r="L336" t="n">
        <v>10.3</v>
      </c>
      <c r="N336">
        <f>IF(OR(E336="",C336=""),"",E336-C336/42)</f>
        <v/>
      </c>
      <c r="O336">
        <f>IF(OR(E336="",D336=""),"",E336-D336/42)</f>
        <v/>
      </c>
      <c r="P336">
        <f>IF(L336="",M336/100,H336*L336/100)</f>
        <v/>
      </c>
      <c r="Q336">
        <f>H336-C336/42-P336</f>
        <v/>
      </c>
      <c r="R336">
        <f>H336-E336</f>
        <v/>
      </c>
    </row>
    <row r="337">
      <c r="A337" s="3" t="n">
        <v>40700</v>
      </c>
      <c r="B337" s="3" t="n">
        <v>40697</v>
      </c>
      <c r="C337" t="n">
        <v>100.92</v>
      </c>
      <c r="D337" t="n">
        <v>115.68</v>
      </c>
      <c r="E337" t="n">
        <v>2.906</v>
      </c>
      <c r="F337" t="n">
        <v>2.924</v>
      </c>
      <c r="G337" t="n">
        <v>2.917</v>
      </c>
      <c r="H337" t="n">
        <v>3.781</v>
      </c>
      <c r="J337" t="n">
        <v>3.688</v>
      </c>
      <c r="K337" t="n">
        <v>3.994</v>
      </c>
      <c r="L337" t="n">
        <v>10.9</v>
      </c>
      <c r="N337">
        <f>IF(OR(E337="",C337=""),"",E337-C337/42)</f>
        <v/>
      </c>
      <c r="O337">
        <f>IF(OR(E337="",D337=""),"",E337-D337/42)</f>
        <v/>
      </c>
      <c r="P337">
        <f>IF(L337="",M337/100,H337*L337/100)</f>
        <v/>
      </c>
      <c r="Q337">
        <f>H337-C337/42-P337</f>
        <v/>
      </c>
      <c r="R337">
        <f>H337-E337</f>
        <v/>
      </c>
    </row>
    <row r="338">
      <c r="A338" s="3" t="n">
        <v>40707</v>
      </c>
      <c r="B338" s="3" t="n">
        <v>40704</v>
      </c>
      <c r="C338" t="n">
        <v>100.05</v>
      </c>
      <c r="D338" t="n">
        <v>117.73</v>
      </c>
      <c r="E338" t="n">
        <v>2.849</v>
      </c>
      <c r="F338" t="n">
        <v>2.899</v>
      </c>
      <c r="G338" t="n">
        <v>2.893</v>
      </c>
      <c r="H338" t="n">
        <v>3.713</v>
      </c>
      <c r="J338" t="n">
        <v>3.66</v>
      </c>
      <c r="K338" t="n">
        <v>3.94</v>
      </c>
      <c r="L338" t="n">
        <v>10.9</v>
      </c>
      <c r="N338">
        <f>IF(OR(E338="",C338=""),"",E338-C338/42)</f>
        <v/>
      </c>
      <c r="O338">
        <f>IF(OR(E338="",D338=""),"",E338-D338/42)</f>
        <v/>
      </c>
      <c r="P338">
        <f>IF(L338="",M338/100,H338*L338/100)</f>
        <v/>
      </c>
      <c r="Q338">
        <f>H338-C338/42-P338</f>
        <v/>
      </c>
      <c r="R338">
        <f>H338-E338</f>
        <v/>
      </c>
    </row>
    <row r="339">
      <c r="A339" s="3" t="n">
        <v>40714</v>
      </c>
      <c r="B339" s="3" t="n">
        <v>40711</v>
      </c>
      <c r="C339" t="n">
        <v>95.87</v>
      </c>
      <c r="D339" t="n">
        <v>116.79</v>
      </c>
      <c r="E339" t="n">
        <v>2.809</v>
      </c>
      <c r="F339" t="n">
        <v>2.868</v>
      </c>
      <c r="G339" t="n">
        <v>2.901</v>
      </c>
      <c r="H339" t="n">
        <v>3.652</v>
      </c>
      <c r="J339" t="n">
        <v>3.624</v>
      </c>
      <c r="K339" t="n">
        <v>3.9</v>
      </c>
      <c r="L339" t="n">
        <v>10.9</v>
      </c>
      <c r="N339">
        <f>IF(OR(E339="",C339=""),"",E339-C339/42)</f>
        <v/>
      </c>
      <c r="O339">
        <f>IF(OR(E339="",D339=""),"",E339-D339/42)</f>
        <v/>
      </c>
      <c r="P339">
        <f>IF(L339="",M339/100,H339*L339/100)</f>
        <v/>
      </c>
      <c r="Q339">
        <f>H339-C339/42-P339</f>
        <v/>
      </c>
      <c r="R339">
        <f>H339-E339</f>
        <v/>
      </c>
    </row>
    <row r="340">
      <c r="A340" s="3" t="n">
        <v>40721</v>
      </c>
      <c r="B340" s="3" t="n">
        <v>40718</v>
      </c>
      <c r="C340" t="n">
        <v>92.7</v>
      </c>
      <c r="D340" t="n">
        <v>110.18</v>
      </c>
      <c r="E340" t="n">
        <v>2.674</v>
      </c>
      <c r="F340" t="n">
        <v>2.739</v>
      </c>
      <c r="G340" t="n">
        <v>2.786</v>
      </c>
      <c r="H340" t="n">
        <v>3.574</v>
      </c>
      <c r="J340" t="n">
        <v>3.569</v>
      </c>
      <c r="K340" t="n">
        <v>3.839</v>
      </c>
      <c r="L340" t="n">
        <v>10.9</v>
      </c>
      <c r="N340">
        <f>IF(OR(E340="",C340=""),"",E340-C340/42)</f>
        <v/>
      </c>
      <c r="O340">
        <f>IF(OR(E340="",D340=""),"",E340-D340/42)</f>
        <v/>
      </c>
      <c r="P340">
        <f>IF(L340="",M340/100,H340*L340/100)</f>
        <v/>
      </c>
      <c r="Q340">
        <f>H340-C340/42-P340</f>
        <v/>
      </c>
      <c r="R340">
        <f>H340-E340</f>
        <v/>
      </c>
    </row>
    <row r="341">
      <c r="A341" s="3" t="n">
        <v>40728</v>
      </c>
      <c r="B341" s="3" t="n">
        <v>40725</v>
      </c>
      <c r="C341" t="n">
        <v>93.7</v>
      </c>
      <c r="D341" t="n">
        <v>109.03</v>
      </c>
      <c r="E341" t="n">
        <v>2.771</v>
      </c>
      <c r="F341" t="n">
        <v>2.796</v>
      </c>
      <c r="G341" t="n">
        <v>2.852</v>
      </c>
      <c r="H341" t="n">
        <v>3.579</v>
      </c>
      <c r="J341" t="n">
        <v>3.519</v>
      </c>
      <c r="K341" t="n">
        <v>3.794</v>
      </c>
      <c r="L341" t="n">
        <v>11</v>
      </c>
      <c r="N341">
        <f>IF(OR(E341="",C341=""),"",E341-C341/42)</f>
        <v/>
      </c>
      <c r="O341">
        <f>IF(OR(E341="",D341=""),"",E341-D341/42)</f>
        <v/>
      </c>
      <c r="P341">
        <f>IF(L341="",M341/100,H341*L341/100)</f>
        <v/>
      </c>
      <c r="Q341">
        <f>H341-C341/42-P341</f>
        <v/>
      </c>
      <c r="R341">
        <f>H341-E341</f>
        <v/>
      </c>
    </row>
    <row r="342">
      <c r="A342" s="3" t="n">
        <v>40735</v>
      </c>
      <c r="B342" s="3" t="n">
        <v>40732</v>
      </c>
      <c r="C342" t="n">
        <v>97.12</v>
      </c>
      <c r="D342" t="n">
        <v>115.39</v>
      </c>
      <c r="E342" t="n">
        <v>2.939</v>
      </c>
      <c r="F342" t="n">
        <v>2.973</v>
      </c>
      <c r="G342" t="n">
        <v>2.958</v>
      </c>
      <c r="H342" t="n">
        <v>3.641</v>
      </c>
      <c r="J342" t="n">
        <v>3.509</v>
      </c>
      <c r="K342" t="n">
        <v>3.778</v>
      </c>
      <c r="L342" t="n">
        <v>11</v>
      </c>
      <c r="N342">
        <f>IF(OR(E342="",C342=""),"",E342-C342/42)</f>
        <v/>
      </c>
      <c r="O342">
        <f>IF(OR(E342="",D342=""),"",E342-D342/42)</f>
        <v/>
      </c>
      <c r="P342">
        <f>IF(L342="",M342/100,H342*L342/100)</f>
        <v/>
      </c>
      <c r="Q342">
        <f>H342-C342/42-P342</f>
        <v/>
      </c>
      <c r="R342">
        <f>H342-E342</f>
        <v/>
      </c>
    </row>
    <row r="343">
      <c r="A343" s="3" t="n">
        <v>40742</v>
      </c>
      <c r="B343" s="3" t="n">
        <v>40739</v>
      </c>
      <c r="C343" t="n">
        <v>96.72</v>
      </c>
      <c r="D343" t="n">
        <v>117.72</v>
      </c>
      <c r="E343" t="n">
        <v>2.989</v>
      </c>
      <c r="F343" t="n">
        <v>3.043</v>
      </c>
      <c r="G343" t="n">
        <v>3.007</v>
      </c>
      <c r="H343" t="n">
        <v>3.682</v>
      </c>
      <c r="J343" t="n">
        <v>3.521</v>
      </c>
      <c r="K343" t="n">
        <v>3.8</v>
      </c>
      <c r="L343" t="n">
        <v>11</v>
      </c>
      <c r="N343">
        <f>IF(OR(E343="",C343=""),"",E343-C343/42)</f>
        <v/>
      </c>
      <c r="O343">
        <f>IF(OR(E343="",D343=""),"",E343-D343/42)</f>
        <v/>
      </c>
      <c r="P343">
        <f>IF(L343="",M343/100,H343*L343/100)</f>
        <v/>
      </c>
      <c r="Q343">
        <f>H343-C343/42-P343</f>
        <v/>
      </c>
      <c r="R343">
        <f>H343-E343</f>
        <v/>
      </c>
    </row>
    <row r="344">
      <c r="A344" s="3" t="n">
        <v>40749</v>
      </c>
      <c r="B344" s="3" t="n">
        <v>40746</v>
      </c>
      <c r="C344" t="n">
        <v>98.01000000000001</v>
      </c>
      <c r="D344" t="n">
        <v>118.2</v>
      </c>
      <c r="E344" t="n">
        <v>2.99</v>
      </c>
      <c r="F344" t="n">
        <v>3.039</v>
      </c>
      <c r="G344" t="n">
        <v>2.936</v>
      </c>
      <c r="H344" t="n">
        <v>3.699</v>
      </c>
      <c r="J344" t="n">
        <v>3.532</v>
      </c>
      <c r="K344" t="n">
        <v>3.818</v>
      </c>
      <c r="L344" t="n">
        <v>11</v>
      </c>
      <c r="N344">
        <f>IF(OR(E344="",C344=""),"",E344-C344/42)</f>
        <v/>
      </c>
      <c r="O344">
        <f>IF(OR(E344="",D344=""),"",E344-D344/42)</f>
        <v/>
      </c>
      <c r="P344">
        <f>IF(L344="",M344/100,H344*L344/100)</f>
        <v/>
      </c>
      <c r="Q344">
        <f>H344-C344/42-P344</f>
        <v/>
      </c>
      <c r="R344">
        <f>H344-E344</f>
        <v/>
      </c>
    </row>
    <row r="345">
      <c r="A345" s="3" t="n">
        <v>40756</v>
      </c>
      <c r="B345" s="3" t="n">
        <v>40753</v>
      </c>
      <c r="C345" t="n">
        <v>97.83</v>
      </c>
      <c r="D345" t="n">
        <v>117.7</v>
      </c>
      <c r="E345" t="n">
        <v>2.999</v>
      </c>
      <c r="F345" t="n">
        <v>3.048</v>
      </c>
      <c r="G345" t="n">
        <v>2.9</v>
      </c>
      <c r="H345" t="n">
        <v>3.711</v>
      </c>
      <c r="J345" t="n">
        <v>3.552</v>
      </c>
      <c r="K345" t="n">
        <v>3.811</v>
      </c>
      <c r="L345" t="n">
        <v>11.1</v>
      </c>
      <c r="N345">
        <f>IF(OR(E345="",C345=""),"",E345-C345/42)</f>
        <v/>
      </c>
      <c r="O345">
        <f>IF(OR(E345="",D345=""),"",E345-D345/42)</f>
        <v/>
      </c>
      <c r="P345">
        <f>IF(L345="",M345/100,H345*L345/100)</f>
        <v/>
      </c>
      <c r="Q345">
        <f>H345-C345/42-P345</f>
        <v/>
      </c>
      <c r="R345">
        <f>H345-E345</f>
        <v/>
      </c>
    </row>
    <row r="346">
      <c r="A346" s="3" t="n">
        <v>40763</v>
      </c>
      <c r="B346" s="3" t="n">
        <v>40760</v>
      </c>
      <c r="C346" t="n">
        <v>90.84999999999999</v>
      </c>
      <c r="D346" t="n">
        <v>112.65</v>
      </c>
      <c r="E346" t="n">
        <v>2.816</v>
      </c>
      <c r="F346" t="n">
        <v>2.889</v>
      </c>
      <c r="G346" t="n">
        <v>2.748</v>
      </c>
      <c r="H346" t="n">
        <v>3.674</v>
      </c>
      <c r="J346" t="n">
        <v>3.56</v>
      </c>
      <c r="K346" t="n">
        <v>3.798</v>
      </c>
      <c r="L346" t="n">
        <v>11.1</v>
      </c>
      <c r="N346">
        <f>IF(OR(E346="",C346=""),"",E346-C346/42)</f>
        <v/>
      </c>
      <c r="O346">
        <f>IF(OR(E346="",D346=""),"",E346-D346/42)</f>
        <v/>
      </c>
      <c r="P346">
        <f>IF(L346="",M346/100,H346*L346/100)</f>
        <v/>
      </c>
      <c r="Q346">
        <f>H346-C346/42-P346</f>
        <v/>
      </c>
      <c r="R346">
        <f>H346-E346</f>
        <v/>
      </c>
    </row>
    <row r="347">
      <c r="A347" s="3" t="n">
        <v>40770</v>
      </c>
      <c r="B347" s="3" t="n">
        <v>40767</v>
      </c>
      <c r="C347" t="n">
        <v>82.86</v>
      </c>
      <c r="D347" t="n">
        <v>105.3</v>
      </c>
      <c r="E347" t="n">
        <v>2.673</v>
      </c>
      <c r="F347" t="n">
        <v>2.741</v>
      </c>
      <c r="G347" t="n">
        <v>2.643</v>
      </c>
      <c r="H347" t="n">
        <v>3.604</v>
      </c>
      <c r="J347" t="n">
        <v>3.532</v>
      </c>
      <c r="K347" t="n">
        <v>3.734</v>
      </c>
      <c r="L347" t="n">
        <v>11.1</v>
      </c>
      <c r="N347">
        <f>IF(OR(E347="",C347=""),"",E347-C347/42)</f>
        <v/>
      </c>
      <c r="O347">
        <f>IF(OR(E347="",D347=""),"",E347-D347/42)</f>
        <v/>
      </c>
      <c r="P347">
        <f>IF(L347="",M347/100,H347*L347/100)</f>
        <v/>
      </c>
      <c r="Q347">
        <f>H347-C347/42-P347</f>
        <v/>
      </c>
      <c r="R347">
        <f>H347-E347</f>
        <v/>
      </c>
    </row>
    <row r="348">
      <c r="A348" s="3" t="n">
        <v>40777</v>
      </c>
      <c r="B348" s="3" t="n">
        <v>40774</v>
      </c>
      <c r="C348" t="n">
        <v>85.36</v>
      </c>
      <c r="D348" t="n">
        <v>109.54</v>
      </c>
      <c r="E348" t="n">
        <v>2.773</v>
      </c>
      <c r="F348" t="n">
        <v>2.807</v>
      </c>
      <c r="G348" t="n">
        <v>2.812</v>
      </c>
      <c r="H348" t="n">
        <v>3.581</v>
      </c>
      <c r="J348" t="n">
        <v>3.524</v>
      </c>
      <c r="K348" t="n">
        <v>3.734</v>
      </c>
      <c r="L348" t="n">
        <v>11.1</v>
      </c>
      <c r="N348">
        <f>IF(OR(E348="",C348=""),"",E348-C348/42)</f>
        <v/>
      </c>
      <c r="O348">
        <f>IF(OR(E348="",D348=""),"",E348-D348/42)</f>
        <v/>
      </c>
      <c r="P348">
        <f>IF(L348="",M348/100,H348*L348/100)</f>
        <v/>
      </c>
      <c r="Q348">
        <f>H348-C348/42-P348</f>
        <v/>
      </c>
      <c r="R348">
        <f>H348-E348</f>
        <v/>
      </c>
    </row>
    <row r="349">
      <c r="A349" s="3" t="n">
        <v>40784</v>
      </c>
      <c r="B349" s="3" t="n">
        <v>40781</v>
      </c>
      <c r="C349" t="n">
        <v>85.06</v>
      </c>
      <c r="D349" t="n">
        <v>111.06</v>
      </c>
      <c r="E349" t="n">
        <v>2.866</v>
      </c>
      <c r="F349" t="n">
        <v>2.862</v>
      </c>
      <c r="G349" t="n">
        <v>2.95</v>
      </c>
      <c r="H349" t="n">
        <v>3.627</v>
      </c>
      <c r="J349" t="n">
        <v>3.535</v>
      </c>
      <c r="K349" t="n">
        <v>3.809</v>
      </c>
      <c r="L349" t="n">
        <v>11.1</v>
      </c>
      <c r="N349">
        <f>IF(OR(E349="",C349=""),"",E349-C349/42)</f>
        <v/>
      </c>
      <c r="O349">
        <f>IF(OR(E349="",D349=""),"",E349-D349/42)</f>
        <v/>
      </c>
      <c r="P349">
        <f>IF(L349="",M349/100,H349*L349/100)</f>
        <v/>
      </c>
      <c r="Q349">
        <f>H349-C349/42-P349</f>
        <v/>
      </c>
      <c r="R349">
        <f>H349-E349</f>
        <v/>
      </c>
    </row>
    <row r="350">
      <c r="A350" s="3" t="n">
        <v>40791</v>
      </c>
      <c r="B350" s="3" t="n">
        <v>40788</v>
      </c>
      <c r="C350" t="n">
        <v>88.06999999999999</v>
      </c>
      <c r="D350" t="n">
        <v>116.11</v>
      </c>
      <c r="E350" t="n">
        <v>2.92</v>
      </c>
      <c r="F350" t="n">
        <v>2.911</v>
      </c>
      <c r="G350" t="n">
        <v>3.2</v>
      </c>
      <c r="H350" t="n">
        <v>3.674</v>
      </c>
      <c r="J350" t="n">
        <v>3.575</v>
      </c>
      <c r="K350" t="n">
        <v>3.944</v>
      </c>
      <c r="L350" t="n">
        <v>11.1</v>
      </c>
      <c r="N350">
        <f>IF(OR(E350="",C350=""),"",E350-C350/42)</f>
        <v/>
      </c>
      <c r="O350">
        <f>IF(OR(E350="",D350=""),"",E350-D350/42)</f>
        <v/>
      </c>
      <c r="P350">
        <f>IF(L350="",M350/100,H350*L350/100)</f>
        <v/>
      </c>
      <c r="Q350">
        <f>H350-C350/42-P350</f>
        <v/>
      </c>
      <c r="R350">
        <f>H350-E350</f>
        <v/>
      </c>
    </row>
    <row r="351">
      <c r="A351" s="3" t="n">
        <v>40798</v>
      </c>
      <c r="B351" s="3" t="n">
        <v>40795</v>
      </c>
      <c r="C351" t="n">
        <v>87.91</v>
      </c>
      <c r="D351" t="n">
        <v>115.97</v>
      </c>
      <c r="E351" t="n">
        <v>2.841</v>
      </c>
      <c r="F351" t="n">
        <v>2.937</v>
      </c>
      <c r="G351" t="n">
        <v>3.089</v>
      </c>
      <c r="H351" t="n">
        <v>3.661</v>
      </c>
      <c r="J351" t="n">
        <v>3.597</v>
      </c>
      <c r="K351" t="n">
        <v>3.944</v>
      </c>
      <c r="L351" t="n">
        <v>11.1</v>
      </c>
      <c r="N351">
        <f>IF(OR(E351="",C351=""),"",E351-C351/42)</f>
        <v/>
      </c>
      <c r="O351">
        <f>IF(OR(E351="",D351=""),"",E351-D351/42)</f>
        <v/>
      </c>
      <c r="P351">
        <f>IF(L351="",M351/100,H351*L351/100)</f>
        <v/>
      </c>
      <c r="Q351">
        <f>H351-C351/42-P351</f>
        <v/>
      </c>
      <c r="R351">
        <f>H351-E351</f>
        <v/>
      </c>
    </row>
    <row r="352">
      <c r="A352" s="3" t="n">
        <v>40805</v>
      </c>
      <c r="B352" s="3" t="n">
        <v>40802</v>
      </c>
      <c r="C352" t="n">
        <v>88.93000000000001</v>
      </c>
      <c r="D352" t="n">
        <v>114.98</v>
      </c>
      <c r="E352" t="n">
        <v>2.72</v>
      </c>
      <c r="F352" t="n">
        <v>2.794</v>
      </c>
      <c r="G352" t="n">
        <v>2.929</v>
      </c>
      <c r="H352" t="n">
        <v>3.601</v>
      </c>
      <c r="J352" t="n">
        <v>3.601</v>
      </c>
      <c r="K352" t="n">
        <v>3.923</v>
      </c>
      <c r="L352" t="n">
        <v>11.1</v>
      </c>
      <c r="N352">
        <f>IF(OR(E352="",C352=""),"",E352-C352/42)</f>
        <v/>
      </c>
      <c r="O352">
        <f>IF(OR(E352="",D352=""),"",E352-D352/42)</f>
        <v/>
      </c>
      <c r="P352">
        <f>IF(L352="",M352/100,H352*L352/100)</f>
        <v/>
      </c>
      <c r="Q352">
        <f>H352-C352/42-P352</f>
        <v/>
      </c>
      <c r="R352">
        <f>H352-E352</f>
        <v/>
      </c>
    </row>
    <row r="353">
      <c r="A353" s="3" t="n">
        <v>40812</v>
      </c>
      <c r="B353" s="3" t="n">
        <v>40809</v>
      </c>
      <c r="C353" t="n">
        <v>83.65000000000001</v>
      </c>
      <c r="D353" t="n">
        <v>111.98</v>
      </c>
      <c r="E353" t="n">
        <v>2.583</v>
      </c>
      <c r="F353" t="n">
        <v>2.678</v>
      </c>
      <c r="G353" t="n">
        <v>2.777</v>
      </c>
      <c r="H353" t="n">
        <v>3.509</v>
      </c>
      <c r="J353" t="n">
        <v>3.576</v>
      </c>
      <c r="K353" t="n">
        <v>3.887</v>
      </c>
      <c r="L353" t="n">
        <v>11.1</v>
      </c>
      <c r="N353">
        <f>IF(OR(E353="",C353=""),"",E353-C353/42)</f>
        <v/>
      </c>
      <c r="O353">
        <f>IF(OR(E353="",D353=""),"",E353-D353/42)</f>
        <v/>
      </c>
      <c r="P353">
        <f>IF(L353="",M353/100,H353*L353/100)</f>
        <v/>
      </c>
      <c r="Q353">
        <f>H353-C353/42-P353</f>
        <v/>
      </c>
      <c r="R353">
        <f>H353-E353</f>
        <v/>
      </c>
    </row>
    <row r="354">
      <c r="A354" s="3" t="n">
        <v>40819</v>
      </c>
      <c r="B354" s="3" t="n">
        <v>40816</v>
      </c>
      <c r="C354" t="n">
        <v>81.18000000000001</v>
      </c>
      <c r="D354" t="n">
        <v>107.69</v>
      </c>
      <c r="E354" t="n">
        <v>2.569</v>
      </c>
      <c r="F354" t="n">
        <v>2.635</v>
      </c>
      <c r="G354" t="n">
        <v>2.782</v>
      </c>
      <c r="H354" t="n">
        <v>3.433</v>
      </c>
      <c r="J354" t="n">
        <v>3.546</v>
      </c>
      <c r="K354" t="n">
        <v>3.835</v>
      </c>
      <c r="L354" t="n">
        <v>11.7</v>
      </c>
      <c r="N354">
        <f>IF(OR(E354="",C354=""),"",E354-C354/42)</f>
        <v/>
      </c>
      <c r="O354">
        <f>IF(OR(E354="",D354=""),"",E354-D354/42)</f>
        <v/>
      </c>
      <c r="P354">
        <f>IF(L354="",M354/100,H354*L354/100)</f>
        <v/>
      </c>
      <c r="Q354">
        <f>H354-C354/42-P354</f>
        <v/>
      </c>
      <c r="R354">
        <f>H354-E354</f>
        <v/>
      </c>
    </row>
    <row r="355">
      <c r="A355" s="3" t="n">
        <v>40826</v>
      </c>
      <c r="B355" s="3" t="n">
        <v>40823</v>
      </c>
      <c r="C355" t="n">
        <v>79.43000000000001</v>
      </c>
      <c r="D355" t="n">
        <v>104.03</v>
      </c>
      <c r="E355" t="n">
        <v>2.633</v>
      </c>
      <c r="F355" t="n">
        <v>2.71</v>
      </c>
      <c r="G355" t="n">
        <v>2.85</v>
      </c>
      <c r="H355" t="n">
        <v>3.417</v>
      </c>
      <c r="J355" t="n">
        <v>3.52</v>
      </c>
      <c r="K355" t="n">
        <v>3.815</v>
      </c>
      <c r="L355" t="n">
        <v>11.7</v>
      </c>
      <c r="N355">
        <f>IF(OR(E355="",C355=""),"",E355-C355/42)</f>
        <v/>
      </c>
      <c r="O355">
        <f>IF(OR(E355="",D355=""),"",E355-D355/42)</f>
        <v/>
      </c>
      <c r="P355">
        <f>IF(L355="",M355/100,H355*L355/100)</f>
        <v/>
      </c>
      <c r="Q355">
        <f>H355-C355/42-P355</f>
        <v/>
      </c>
      <c r="R355">
        <f>H355-E355</f>
        <v/>
      </c>
    </row>
    <row r="356">
      <c r="A356" s="3" t="n">
        <v>40833</v>
      </c>
      <c r="B356" s="3" t="n">
        <v>40830</v>
      </c>
      <c r="C356" t="n">
        <v>85.34999999999999</v>
      </c>
      <c r="D356" t="n">
        <v>111.59</v>
      </c>
      <c r="E356" t="n">
        <v>2.777</v>
      </c>
      <c r="F356" t="n">
        <v>2.882</v>
      </c>
      <c r="G356" t="n">
        <v>3.13</v>
      </c>
      <c r="H356" t="n">
        <v>3.476</v>
      </c>
      <c r="J356" t="n">
        <v>3.533</v>
      </c>
      <c r="K356" t="n">
        <v>3.864</v>
      </c>
      <c r="L356" t="n">
        <v>11.7</v>
      </c>
      <c r="N356">
        <f>IF(OR(E356="",C356=""),"",E356-C356/42)</f>
        <v/>
      </c>
      <c r="O356">
        <f>IF(OR(E356="",D356=""),"",E356-D356/42)</f>
        <v/>
      </c>
      <c r="P356">
        <f>IF(L356="",M356/100,H356*L356/100)</f>
        <v/>
      </c>
      <c r="Q356">
        <f>H356-C356/42-P356</f>
        <v/>
      </c>
      <c r="R356">
        <f>H356-E356</f>
        <v/>
      </c>
    </row>
    <row r="357">
      <c r="A357" s="3" t="n">
        <v>40840</v>
      </c>
      <c r="B357" s="3" t="n">
        <v>40837</v>
      </c>
      <c r="C357" t="n">
        <v>86.81999999999999</v>
      </c>
      <c r="D357" t="n">
        <v>111.47</v>
      </c>
      <c r="E357" t="n">
        <v>2.693</v>
      </c>
      <c r="F357" t="n">
        <v>2.772</v>
      </c>
      <c r="G357" t="n">
        <v>2.968</v>
      </c>
      <c r="H357" t="n">
        <v>3.462</v>
      </c>
      <c r="J357" t="n">
        <v>3.521</v>
      </c>
      <c r="K357" t="n">
        <v>3.858</v>
      </c>
      <c r="L357" t="n">
        <v>11.7</v>
      </c>
      <c r="N357">
        <f>IF(OR(E357="",C357=""),"",E357-C357/42)</f>
        <v/>
      </c>
      <c r="O357">
        <f>IF(OR(E357="",D357=""),"",E357-D357/42)</f>
        <v/>
      </c>
      <c r="P357">
        <f>IF(L357="",M357/100,H357*L357/100)</f>
        <v/>
      </c>
      <c r="Q357">
        <f>H357-C357/42-P357</f>
        <v/>
      </c>
      <c r="R357">
        <f>H357-E357</f>
        <v/>
      </c>
    </row>
    <row r="358">
      <c r="A358" s="3" t="n">
        <v>40847</v>
      </c>
      <c r="B358" s="3" t="n">
        <v>40844</v>
      </c>
      <c r="C358" t="n">
        <v>92.31999999999999</v>
      </c>
      <c r="D358" t="n">
        <v>111.33</v>
      </c>
      <c r="E358" t="n">
        <v>2.675</v>
      </c>
      <c r="F358" t="n">
        <v>2.744</v>
      </c>
      <c r="G358" t="n">
        <v>2.854</v>
      </c>
      <c r="H358" t="n">
        <v>3.452</v>
      </c>
      <c r="J358" t="n">
        <v>3.494</v>
      </c>
      <c r="K358" t="n">
        <v>3.846</v>
      </c>
      <c r="L358" t="n">
        <v>11.7</v>
      </c>
      <c r="N358">
        <f>IF(OR(E358="",C358=""),"",E358-C358/42)</f>
        <v/>
      </c>
      <c r="O358">
        <f>IF(OR(E358="",D358=""),"",E358-D358/42)</f>
        <v/>
      </c>
      <c r="P358">
        <f>IF(L358="",M358/100,H358*L358/100)</f>
        <v/>
      </c>
      <c r="Q358">
        <f>H358-C358/42-P358</f>
        <v/>
      </c>
      <c r="R358">
        <f>H358-E358</f>
        <v/>
      </c>
    </row>
    <row r="359">
      <c r="A359" s="3" t="n">
        <v>40854</v>
      </c>
      <c r="B359" s="3" t="n">
        <v>40851</v>
      </c>
      <c r="C359" t="n">
        <v>93.23999999999999</v>
      </c>
      <c r="D359" t="n">
        <v>109.84</v>
      </c>
      <c r="E359" t="n">
        <v>2.621</v>
      </c>
      <c r="F359" t="n">
        <v>2.703</v>
      </c>
      <c r="G359" t="n">
        <v>2.954</v>
      </c>
      <c r="H359" t="n">
        <v>3.424</v>
      </c>
      <c r="J359" t="n">
        <v>3.469</v>
      </c>
      <c r="K359" t="n">
        <v>3.855</v>
      </c>
      <c r="L359" t="n">
        <v>11.9</v>
      </c>
      <c r="N359">
        <f>IF(OR(E359="",C359=""),"",E359-C359/42)</f>
        <v/>
      </c>
      <c r="O359">
        <f>IF(OR(E359="",D359=""),"",E359-D359/42)</f>
        <v/>
      </c>
      <c r="P359">
        <f>IF(L359="",M359/100,H359*L359/100)</f>
        <v/>
      </c>
      <c r="Q359">
        <f>H359-C359/42-P359</f>
        <v/>
      </c>
      <c r="R359">
        <f>H359-E359</f>
        <v/>
      </c>
    </row>
    <row r="360">
      <c r="A360" s="3" t="n">
        <v>40861</v>
      </c>
      <c r="B360" s="3" t="n">
        <v>40858</v>
      </c>
      <c r="C360" t="n">
        <v>96.97</v>
      </c>
      <c r="D360" t="n">
        <v>114.68</v>
      </c>
      <c r="E360" t="n">
        <v>2.633</v>
      </c>
      <c r="F360" t="n">
        <v>2.719</v>
      </c>
      <c r="G360" t="n">
        <v>2.892</v>
      </c>
      <c r="H360" t="n">
        <v>3.436</v>
      </c>
      <c r="J360" t="n">
        <v>3.445</v>
      </c>
      <c r="K360" t="n">
        <v>3.84</v>
      </c>
      <c r="L360" t="n">
        <v>11.9</v>
      </c>
      <c r="N360">
        <f>IF(OR(E360="",C360=""),"",E360-C360/42)</f>
        <v/>
      </c>
      <c r="O360">
        <f>IF(OR(E360="",D360=""),"",E360-D360/42)</f>
        <v/>
      </c>
      <c r="P360">
        <f>IF(L360="",M360/100,H360*L360/100)</f>
        <v/>
      </c>
      <c r="Q360">
        <f>H360-C360/42-P360</f>
        <v/>
      </c>
      <c r="R360">
        <f>H360-E360</f>
        <v/>
      </c>
    </row>
    <row r="361">
      <c r="A361" s="3" t="n">
        <v>40868</v>
      </c>
      <c r="B361" s="3" t="n">
        <v>40865</v>
      </c>
      <c r="C361" t="n">
        <v>99.31999999999999</v>
      </c>
      <c r="D361" t="n">
        <v>110.69</v>
      </c>
      <c r="E361" t="n">
        <v>2.476</v>
      </c>
      <c r="F361" t="n">
        <v>2.577</v>
      </c>
      <c r="G361" t="n">
        <v>2.616</v>
      </c>
      <c r="H361" t="n">
        <v>3.368</v>
      </c>
      <c r="J361" t="n">
        <v>3.402</v>
      </c>
      <c r="K361" t="n">
        <v>3.786</v>
      </c>
      <c r="L361" t="n">
        <v>11.9</v>
      </c>
      <c r="N361">
        <f>IF(OR(E361="",C361=""),"",E361-C361/42)</f>
        <v/>
      </c>
      <c r="O361">
        <f>IF(OR(E361="",D361=""),"",E361-D361/42)</f>
        <v/>
      </c>
      <c r="P361">
        <f>IF(L361="",M361/100,H361*L361/100)</f>
        <v/>
      </c>
      <c r="Q361">
        <f>H361-C361/42-P361</f>
        <v/>
      </c>
      <c r="R361">
        <f>H361-E361</f>
        <v/>
      </c>
    </row>
    <row r="362">
      <c r="A362" s="3" t="n">
        <v>40875</v>
      </c>
      <c r="B362" s="3" t="n">
        <v>40872</v>
      </c>
      <c r="C362" t="n">
        <v>96.89</v>
      </c>
      <c r="D362" t="n">
        <v>106.67</v>
      </c>
      <c r="E362" t="n">
        <v>2.453</v>
      </c>
      <c r="F362" t="n">
        <v>2.548</v>
      </c>
      <c r="G362" t="n">
        <v>2.588</v>
      </c>
      <c r="H362" t="n">
        <v>3.307</v>
      </c>
      <c r="J362" t="n">
        <v>3.346</v>
      </c>
      <c r="K362" t="n">
        <v>3.718</v>
      </c>
      <c r="L362" t="n">
        <v>11.9</v>
      </c>
      <c r="N362">
        <f>IF(OR(E362="",C362=""),"",E362-C362/42)</f>
        <v/>
      </c>
      <c r="O362">
        <f>IF(OR(E362="",D362=""),"",E362-D362/42)</f>
        <v/>
      </c>
      <c r="P362">
        <f>IF(L362="",M362/100,H362*L362/100)</f>
        <v/>
      </c>
      <c r="Q362">
        <f>H362-C362/42-P362</f>
        <v/>
      </c>
      <c r="R362">
        <f>H362-E362</f>
        <v/>
      </c>
    </row>
    <row r="363">
      <c r="A363" s="3" t="n">
        <v>40882</v>
      </c>
      <c r="B363" s="3" t="n">
        <v>40879</v>
      </c>
      <c r="C363" t="n">
        <v>99.91</v>
      </c>
      <c r="D363" t="n">
        <v>110.05</v>
      </c>
      <c r="E363" t="n">
        <v>2.506</v>
      </c>
      <c r="F363" t="n">
        <v>2.602</v>
      </c>
      <c r="G363" t="n">
        <v>2.587</v>
      </c>
      <c r="H363" t="n">
        <v>3.29</v>
      </c>
      <c r="J363" t="n">
        <v>3.297</v>
      </c>
      <c r="K363" t="n">
        <v>3.655</v>
      </c>
      <c r="L363" t="n">
        <v>12.3</v>
      </c>
      <c r="N363">
        <f>IF(OR(E363="",C363=""),"",E363-C363/42)</f>
        <v/>
      </c>
      <c r="O363">
        <f>IF(OR(E363="",D363=""),"",E363-D363/42)</f>
        <v/>
      </c>
      <c r="P363">
        <f>IF(L363="",M363/100,H363*L363/100)</f>
        <v/>
      </c>
      <c r="Q363">
        <f>H363-C363/42-P363</f>
        <v/>
      </c>
      <c r="R363">
        <f>H363-E363</f>
        <v/>
      </c>
    </row>
    <row r="364">
      <c r="A364" s="3" t="n">
        <v>40889</v>
      </c>
      <c r="B364" s="3" t="n">
        <v>40886</v>
      </c>
      <c r="C364" t="n">
        <v>100.08</v>
      </c>
      <c r="D364" t="n">
        <v>109.31</v>
      </c>
      <c r="E364" t="n">
        <v>2.532</v>
      </c>
      <c r="F364" t="n">
        <v>2.636</v>
      </c>
      <c r="G364" t="n">
        <v>2.625</v>
      </c>
      <c r="H364" t="n">
        <v>3.286</v>
      </c>
      <c r="J364" t="n">
        <v>3.238</v>
      </c>
      <c r="K364" t="n">
        <v>3.611</v>
      </c>
      <c r="L364" t="n">
        <v>12.3</v>
      </c>
      <c r="N364">
        <f>IF(OR(E364="",C364=""),"",E364-C364/42)</f>
        <v/>
      </c>
      <c r="O364">
        <f>IF(OR(E364="",D364=""),"",E364-D364/42)</f>
        <v/>
      </c>
      <c r="P364">
        <f>IF(L364="",M364/100,H364*L364/100)</f>
        <v/>
      </c>
      <c r="Q364">
        <f>H364-C364/42-P364</f>
        <v/>
      </c>
      <c r="R364">
        <f>H364-E364</f>
        <v/>
      </c>
    </row>
    <row r="365">
      <c r="A365" s="3" t="n">
        <v>40896</v>
      </c>
      <c r="B365" s="3" t="n">
        <v>40893</v>
      </c>
      <c r="C365" t="n">
        <v>96.06</v>
      </c>
      <c r="D365" t="n">
        <v>106.26</v>
      </c>
      <c r="E365" t="n">
        <v>2.483</v>
      </c>
      <c r="F365" t="n">
        <v>2.568</v>
      </c>
      <c r="G365" t="n">
        <v>2.604</v>
      </c>
      <c r="H365" t="n">
        <v>3.229</v>
      </c>
      <c r="J365" t="n">
        <v>3.142</v>
      </c>
      <c r="K365" t="n">
        <v>3.556</v>
      </c>
      <c r="L365" t="n">
        <v>12.3</v>
      </c>
      <c r="N365">
        <f>IF(OR(E365="",C365=""),"",E365-C365/42)</f>
        <v/>
      </c>
      <c r="O365">
        <f>IF(OR(E365="",D365=""),"",E365-D365/42)</f>
        <v/>
      </c>
      <c r="P365">
        <f>IF(L365="",M365/100,H365*L365/100)</f>
        <v/>
      </c>
      <c r="Q365">
        <f>H365-C365/42-P365</f>
        <v/>
      </c>
      <c r="R365">
        <f>H365-E365</f>
        <v/>
      </c>
    </row>
    <row r="366">
      <c r="A366" s="3" t="n">
        <v>40903</v>
      </c>
      <c r="B366" s="3" t="n">
        <v>40900</v>
      </c>
      <c r="C366" t="n">
        <v>97.73999999999999</v>
      </c>
      <c r="D366" t="n">
        <v>107.72</v>
      </c>
      <c r="E366" t="n">
        <v>2.556</v>
      </c>
      <c r="F366" t="n">
        <v>2.639</v>
      </c>
      <c r="G366" t="n">
        <v>2.751</v>
      </c>
      <c r="H366" t="n">
        <v>3.258</v>
      </c>
      <c r="J366" t="n">
        <v>3.075</v>
      </c>
      <c r="K366" t="n">
        <v>3.576</v>
      </c>
      <c r="L366" t="n">
        <v>12.3</v>
      </c>
      <c r="N366">
        <f>IF(OR(E366="",C366=""),"",E366-C366/42)</f>
        <v/>
      </c>
      <c r="O366">
        <f>IF(OR(E366="",D366=""),"",E366-D366/42)</f>
        <v/>
      </c>
      <c r="P366">
        <f>IF(L366="",M366/100,H366*L366/100)</f>
        <v/>
      </c>
      <c r="Q366">
        <f>H366-C366/42-P366</f>
        <v/>
      </c>
      <c r="R366">
        <f>H366-E366</f>
        <v/>
      </c>
    </row>
    <row r="367">
      <c r="A367" s="3" t="n">
        <v>40910</v>
      </c>
      <c r="B367" s="3" t="n">
        <v>40907</v>
      </c>
      <c r="C367" t="n">
        <v>99.81</v>
      </c>
      <c r="D367" t="n">
        <v>107.51</v>
      </c>
      <c r="E367" t="n">
        <v>2.617</v>
      </c>
      <c r="F367" t="n">
        <v>2.698</v>
      </c>
      <c r="G367" t="n">
        <v>2.913</v>
      </c>
      <c r="H367" t="n">
        <v>3.299</v>
      </c>
      <c r="J367" t="n">
        <v>3.036</v>
      </c>
      <c r="K367" t="n">
        <v>3.635</v>
      </c>
      <c r="L367" t="n">
        <v>11.9</v>
      </c>
      <c r="N367">
        <f>IF(OR(E367="",C367=""),"",E367-C367/42)</f>
        <v/>
      </c>
      <c r="O367">
        <f>IF(OR(E367="",D367=""),"",E367-D367/42)</f>
        <v/>
      </c>
      <c r="P367">
        <f>IF(L367="",M367/100,H367*L367/100)</f>
        <v/>
      </c>
      <c r="Q367">
        <f>H367-C367/42-P367</f>
        <v/>
      </c>
      <c r="R367">
        <f>H367-E367</f>
        <v/>
      </c>
    </row>
    <row r="368">
      <c r="A368" s="3" t="n">
        <v>40917</v>
      </c>
      <c r="B368" s="3" t="n">
        <v>40914</v>
      </c>
      <c r="C368" t="n">
        <v>102.39</v>
      </c>
      <c r="D368" t="n">
        <v>112.51</v>
      </c>
      <c r="E368" t="n">
        <v>2.709</v>
      </c>
      <c r="F368" t="n">
        <v>2.778</v>
      </c>
      <c r="G368" t="n">
        <v>2.941</v>
      </c>
      <c r="H368" t="n">
        <v>3.382</v>
      </c>
      <c r="J368" t="n">
        <v>3.012</v>
      </c>
      <c r="K368" t="n">
        <v>3.707</v>
      </c>
      <c r="L368" t="n">
        <v>11.9</v>
      </c>
      <c r="N368">
        <f>IF(OR(E368="",C368=""),"",E368-C368/42)</f>
        <v/>
      </c>
      <c r="O368">
        <f>IF(OR(E368="",D368=""),"",E368-D368/42)</f>
        <v/>
      </c>
      <c r="P368">
        <f>IF(L368="",M368/100,H368*L368/100)</f>
        <v/>
      </c>
      <c r="Q368">
        <f>H368-C368/42-P368</f>
        <v/>
      </c>
      <c r="R368">
        <f>H368-E368</f>
        <v/>
      </c>
    </row>
    <row r="369">
      <c r="A369" s="3" t="n">
        <v>40924</v>
      </c>
      <c r="B369" s="3" t="n">
        <v>40921</v>
      </c>
      <c r="C369" t="n">
        <v>100.43</v>
      </c>
      <c r="D369" t="n">
        <v>111.78</v>
      </c>
      <c r="E369" t="n">
        <v>2.736</v>
      </c>
      <c r="F369" t="n">
        <v>2.774</v>
      </c>
      <c r="G369" t="n">
        <v>2.856</v>
      </c>
      <c r="H369" t="n">
        <v>3.391</v>
      </c>
      <c r="J369" t="n">
        <v>3.003</v>
      </c>
      <c r="K369" t="n">
        <v>3.7</v>
      </c>
      <c r="L369" t="n">
        <v>11.9</v>
      </c>
      <c r="N369">
        <f>IF(OR(E369="",C369=""),"",E369-C369/42)</f>
        <v/>
      </c>
      <c r="O369">
        <f>IF(OR(E369="",D369=""),"",E369-D369/42)</f>
        <v/>
      </c>
      <c r="P369">
        <f>IF(L369="",M369/100,H369*L369/100)</f>
        <v/>
      </c>
      <c r="Q369">
        <f>H369-C369/42-P369</f>
        <v/>
      </c>
      <c r="R369">
        <f>H369-E369</f>
        <v/>
      </c>
    </row>
    <row r="370">
      <c r="A370" s="3" t="n">
        <v>40931</v>
      </c>
      <c r="B370" s="3" t="n">
        <v>40928</v>
      </c>
      <c r="C370" t="n">
        <v>99.95</v>
      </c>
      <c r="D370" t="n">
        <v>109.6</v>
      </c>
      <c r="E370" t="n">
        <v>2.79</v>
      </c>
      <c r="F370" t="n">
        <v>2.831</v>
      </c>
      <c r="G370" t="n">
        <v>2.917</v>
      </c>
      <c r="H370" t="n">
        <v>3.389</v>
      </c>
      <c r="J370" t="n">
        <v>3.012</v>
      </c>
      <c r="K370" t="n">
        <v>3.714</v>
      </c>
      <c r="L370" t="n">
        <v>11.9</v>
      </c>
      <c r="N370">
        <f>IF(OR(E370="",C370=""),"",E370-C370/42)</f>
        <v/>
      </c>
      <c r="O370">
        <f>IF(OR(E370="",D370=""),"",E370-D370/42)</f>
        <v/>
      </c>
      <c r="P370">
        <f>IF(L370="",M370/100,H370*L370/100)</f>
        <v/>
      </c>
      <c r="Q370">
        <f>H370-C370/42-P370</f>
        <v/>
      </c>
      <c r="R370">
        <f>H370-E370</f>
        <v/>
      </c>
    </row>
    <row r="371">
      <c r="A371" s="3" t="n">
        <v>40938</v>
      </c>
      <c r="B371" s="3" t="n">
        <v>40935</v>
      </c>
      <c r="C371" t="n">
        <v>99.34999999999999</v>
      </c>
      <c r="D371" t="n">
        <v>109.18</v>
      </c>
      <c r="E371" t="n">
        <v>2.827</v>
      </c>
      <c r="F371" t="n">
        <v>2.867</v>
      </c>
      <c r="G371" t="n">
        <v>2.95</v>
      </c>
      <c r="H371" t="n">
        <v>3.439</v>
      </c>
      <c r="J371" t="n">
        <v>3.029</v>
      </c>
      <c r="K371" t="n">
        <v>3.741</v>
      </c>
      <c r="L371" t="n">
        <v>11.9</v>
      </c>
      <c r="N371">
        <f>IF(OR(E371="",C371=""),"",E371-C371/42)</f>
        <v/>
      </c>
      <c r="O371">
        <f>IF(OR(E371="",D371=""),"",E371-D371/42)</f>
        <v/>
      </c>
      <c r="P371">
        <f>IF(L371="",M371/100,H371*L371/100)</f>
        <v/>
      </c>
      <c r="Q371">
        <f>H371-C371/42-P371</f>
        <v/>
      </c>
      <c r="R371">
        <f>H371-E371</f>
        <v/>
      </c>
    </row>
    <row r="372">
      <c r="A372" s="3" t="n">
        <v>40945</v>
      </c>
      <c r="B372" s="3" t="n">
        <v>40942</v>
      </c>
      <c r="C372" t="n">
        <v>97.8</v>
      </c>
      <c r="D372" t="n">
        <v>111.2</v>
      </c>
      <c r="E372" t="n">
        <v>2.875</v>
      </c>
      <c r="F372" t="n">
        <v>2.91</v>
      </c>
      <c r="G372" t="n">
        <v>2.976</v>
      </c>
      <c r="H372" t="n">
        <v>3.482</v>
      </c>
      <c r="J372" t="n">
        <v>3.068</v>
      </c>
      <c r="K372" t="n">
        <v>3.758</v>
      </c>
      <c r="L372" t="n">
        <v>11.2</v>
      </c>
      <c r="N372">
        <f>IF(OR(E372="",C372=""),"",E372-C372/42)</f>
        <v/>
      </c>
      <c r="O372">
        <f>IF(OR(E372="",D372=""),"",E372-D372/42)</f>
        <v/>
      </c>
      <c r="P372">
        <f>IF(L372="",M372/100,H372*L372/100)</f>
        <v/>
      </c>
      <c r="Q372">
        <f>H372-C372/42-P372</f>
        <v/>
      </c>
      <c r="R372">
        <f>H372-E372</f>
        <v/>
      </c>
    </row>
    <row r="373">
      <c r="A373" s="3" t="n">
        <v>40952</v>
      </c>
      <c r="B373" s="3" t="n">
        <v>40949</v>
      </c>
      <c r="C373" t="n">
        <v>98.56</v>
      </c>
      <c r="D373" t="n">
        <v>117.21</v>
      </c>
      <c r="E373" t="n">
        <v>2.948</v>
      </c>
      <c r="F373" t="n">
        <v>2.988</v>
      </c>
      <c r="G373" t="n">
        <v>3.104</v>
      </c>
      <c r="H373" t="n">
        <v>3.523</v>
      </c>
      <c r="J373" t="n">
        <v>3.071</v>
      </c>
      <c r="K373" t="n">
        <v>3.835</v>
      </c>
      <c r="L373" t="n">
        <v>11.2</v>
      </c>
      <c r="N373">
        <f>IF(OR(E373="",C373=""),"",E373-C373/42)</f>
        <v/>
      </c>
      <c r="O373">
        <f>IF(OR(E373="",D373=""),"",E373-D373/42)</f>
        <v/>
      </c>
      <c r="P373">
        <f>IF(L373="",M373/100,H373*L373/100)</f>
        <v/>
      </c>
      <c r="Q373">
        <f>H373-C373/42-P373</f>
        <v/>
      </c>
      <c r="R373">
        <f>H373-E373</f>
        <v/>
      </c>
    </row>
    <row r="374">
      <c r="A374" s="3" t="n">
        <v>40959</v>
      </c>
      <c r="B374" s="3" t="n">
        <v>40956</v>
      </c>
      <c r="C374" t="n">
        <v>101.73</v>
      </c>
      <c r="D374" t="n">
        <v>119.79</v>
      </c>
      <c r="E374" t="n">
        <v>2.988</v>
      </c>
      <c r="F374" t="n">
        <v>3.025</v>
      </c>
      <c r="G374" t="n">
        <v>3.286</v>
      </c>
      <c r="H374" t="n">
        <v>3.591</v>
      </c>
      <c r="J374" t="n">
        <v>3.097</v>
      </c>
      <c r="K374" t="n">
        <v>4.035</v>
      </c>
      <c r="L374" t="n">
        <v>11.2</v>
      </c>
      <c r="N374">
        <f>IF(OR(E374="",C374=""),"",E374-C374/42)</f>
        <v/>
      </c>
      <c r="O374">
        <f>IF(OR(E374="",D374=""),"",E374-D374/42)</f>
        <v/>
      </c>
      <c r="P374">
        <f>IF(L374="",M374/100,H374*L374/100)</f>
        <v/>
      </c>
      <c r="Q374">
        <f>H374-C374/42-P374</f>
        <v/>
      </c>
      <c r="R374">
        <f>H374-E374</f>
        <v/>
      </c>
    </row>
    <row r="375">
      <c r="A375" s="3" t="n">
        <v>40966</v>
      </c>
      <c r="B375" s="3" t="n">
        <v>40963</v>
      </c>
      <c r="C375" t="n">
        <v>107.18</v>
      </c>
      <c r="D375" t="n">
        <v>123.34</v>
      </c>
      <c r="E375" t="n">
        <v>3.115</v>
      </c>
      <c r="F375" t="n">
        <v>3.113</v>
      </c>
      <c r="G375" t="n">
        <v>3.571</v>
      </c>
      <c r="H375" t="n">
        <v>3.721</v>
      </c>
      <c r="J375" t="n">
        <v>3.195</v>
      </c>
      <c r="K375" t="n">
        <v>4.292</v>
      </c>
      <c r="L375" t="n">
        <v>11.2</v>
      </c>
      <c r="N375">
        <f>IF(OR(E375="",C375=""),"",E375-C375/42)</f>
        <v/>
      </c>
      <c r="O375">
        <f>IF(OR(E375="",D375=""),"",E375-D375/42)</f>
        <v/>
      </c>
      <c r="P375">
        <f>IF(L375="",M375/100,H375*L375/100)</f>
        <v/>
      </c>
      <c r="Q375">
        <f>H375-C375/42-P375</f>
        <v/>
      </c>
      <c r="R375">
        <f>H375-E375</f>
        <v/>
      </c>
    </row>
    <row r="376">
      <c r="A376" s="3" t="n">
        <v>40973</v>
      </c>
      <c r="B376" s="3" t="n">
        <v>40970</v>
      </c>
      <c r="C376" t="n">
        <v>107.52</v>
      </c>
      <c r="D376" t="n">
        <v>124.88</v>
      </c>
      <c r="E376" t="n">
        <v>3.067</v>
      </c>
      <c r="F376" t="n">
        <v>3.174</v>
      </c>
      <c r="G376" t="n">
        <v>3.565</v>
      </c>
      <c r="H376" t="n">
        <v>3.793</v>
      </c>
      <c r="J376" t="n">
        <v>3.33</v>
      </c>
      <c r="K376" t="n">
        <v>4.358</v>
      </c>
      <c r="L376" t="n">
        <v>10.8</v>
      </c>
      <c r="N376">
        <f>IF(OR(E376="",C376=""),"",E376-C376/42)</f>
        <v/>
      </c>
      <c r="O376">
        <f>IF(OR(E376="",D376=""),"",E376-D376/42)</f>
        <v/>
      </c>
      <c r="P376">
        <f>IF(L376="",M376/100,H376*L376/100)</f>
        <v/>
      </c>
      <c r="Q376">
        <f>H376-C376/42-P376</f>
        <v/>
      </c>
      <c r="R376">
        <f>H376-E376</f>
        <v/>
      </c>
    </row>
    <row r="377">
      <c r="A377" s="3" t="n">
        <v>40980</v>
      </c>
      <c r="B377" s="3" t="n">
        <v>40977</v>
      </c>
      <c r="C377" t="n">
        <v>106.32</v>
      </c>
      <c r="D377" t="n">
        <v>126.62</v>
      </c>
      <c r="E377" t="n">
        <v>3.104</v>
      </c>
      <c r="F377" t="n">
        <v>3.043</v>
      </c>
      <c r="G377" t="n">
        <v>3.483</v>
      </c>
      <c r="H377" t="n">
        <v>3.829</v>
      </c>
      <c r="J377" t="n">
        <v>3.479</v>
      </c>
      <c r="K377" t="n">
        <v>4.376</v>
      </c>
      <c r="L377" t="n">
        <v>10.8</v>
      </c>
      <c r="N377">
        <f>IF(OR(E377="",C377=""),"",E377-C377/42)</f>
        <v/>
      </c>
      <c r="O377">
        <f>IF(OR(E377="",D377=""),"",E377-D377/42)</f>
        <v/>
      </c>
      <c r="P377">
        <f>IF(L377="",M377/100,H377*L377/100)</f>
        <v/>
      </c>
      <c r="Q377">
        <f>H377-C377/42-P377</f>
        <v/>
      </c>
      <c r="R377">
        <f>H377-E377</f>
        <v/>
      </c>
    </row>
    <row r="378">
      <c r="A378" s="3" t="n">
        <v>40987</v>
      </c>
      <c r="B378" s="3" t="n">
        <v>40984</v>
      </c>
      <c r="C378" t="n">
        <v>106.15</v>
      </c>
      <c r="D378" t="n">
        <v>126.22</v>
      </c>
      <c r="E378" t="n">
        <v>3.155</v>
      </c>
      <c r="F378" t="n">
        <v>3.117</v>
      </c>
      <c r="G378" t="n">
        <v>3.368</v>
      </c>
      <c r="H378" t="n">
        <v>3.867</v>
      </c>
      <c r="J378" t="n">
        <v>3.623</v>
      </c>
      <c r="K378" t="n">
        <v>4.375</v>
      </c>
      <c r="L378" t="n">
        <v>10.8</v>
      </c>
      <c r="N378">
        <f>IF(OR(E378="",C378=""),"",E378-C378/42)</f>
        <v/>
      </c>
      <c r="O378">
        <f>IF(OR(E378="",D378=""),"",E378-D378/42)</f>
        <v/>
      </c>
      <c r="P378">
        <f>IF(L378="",M378/100,H378*L378/100)</f>
        <v/>
      </c>
      <c r="Q378">
        <f>H378-C378/42-P378</f>
        <v/>
      </c>
      <c r="R378">
        <f>H378-E378</f>
        <v/>
      </c>
    </row>
    <row r="379">
      <c r="A379" s="3" t="n">
        <v>40994</v>
      </c>
      <c r="B379" s="3" t="n">
        <v>40991</v>
      </c>
      <c r="C379" t="n">
        <v>106.41</v>
      </c>
      <c r="D379" t="n">
        <v>124.35</v>
      </c>
      <c r="E379" t="n">
        <v>3.215</v>
      </c>
      <c r="F379" t="n">
        <v>3.219</v>
      </c>
      <c r="G379" t="n">
        <v>3.312</v>
      </c>
      <c r="H379" t="n">
        <v>3.918</v>
      </c>
      <c r="J379" t="n">
        <v>3.687</v>
      </c>
      <c r="K379" t="n">
        <v>4.359</v>
      </c>
      <c r="L379" t="n">
        <v>10.8</v>
      </c>
      <c r="N379">
        <f>IF(OR(E379="",C379=""),"",E379-C379/42)</f>
        <v/>
      </c>
      <c r="O379">
        <f>IF(OR(E379="",D379=""),"",E379-D379/42)</f>
        <v/>
      </c>
      <c r="P379">
        <f>IF(L379="",M379/100,H379*L379/100)</f>
        <v/>
      </c>
      <c r="Q379">
        <f>H379-C379/42-P379</f>
        <v/>
      </c>
      <c r="R379">
        <f>H379-E379</f>
        <v/>
      </c>
    </row>
    <row r="380">
      <c r="A380" s="3" t="n">
        <v>41001</v>
      </c>
      <c r="B380" s="3" t="n">
        <v>40998</v>
      </c>
      <c r="C380" t="n">
        <v>105.12</v>
      </c>
      <c r="D380" t="n">
        <v>124.43</v>
      </c>
      <c r="E380" t="n">
        <v>3.24</v>
      </c>
      <c r="F380" t="n">
        <v>3.307</v>
      </c>
      <c r="G380" t="n">
        <v>3.33</v>
      </c>
      <c r="H380" t="n">
        <v>3.941</v>
      </c>
      <c r="J380" t="n">
        <v>3.748</v>
      </c>
      <c r="K380" t="n">
        <v>4.322</v>
      </c>
      <c r="L380" t="n">
        <v>10.6</v>
      </c>
      <c r="N380">
        <f>IF(OR(E380="",C380=""),"",E380-C380/42)</f>
        <v/>
      </c>
      <c r="O380">
        <f>IF(OR(E380="",D380=""),"",E380-D380/42)</f>
        <v/>
      </c>
      <c r="P380">
        <f>IF(L380="",M380/100,H380*L380/100)</f>
        <v/>
      </c>
      <c r="Q380">
        <f>H380-C380/42-P380</f>
        <v/>
      </c>
      <c r="R380">
        <f>H380-E380</f>
        <v/>
      </c>
    </row>
    <row r="381">
      <c r="A381" s="3" t="n">
        <v>41008</v>
      </c>
      <c r="B381" s="3" t="n">
        <v>41005</v>
      </c>
      <c r="C381" t="n">
        <v>103.52</v>
      </c>
      <c r="D381" t="n">
        <v>124.18</v>
      </c>
      <c r="E381" t="n">
        <v>3.25</v>
      </c>
      <c r="F381" t="n">
        <v>3.361</v>
      </c>
      <c r="G381" t="n">
        <v>3.264</v>
      </c>
      <c r="H381" t="n">
        <v>3.939</v>
      </c>
      <c r="J381" t="n">
        <v>3.788</v>
      </c>
      <c r="K381" t="n">
        <v>4.28</v>
      </c>
      <c r="L381" t="n">
        <v>10.6</v>
      </c>
      <c r="N381">
        <f>IF(OR(E381="",C381=""),"",E381-C381/42)</f>
        <v/>
      </c>
      <c r="O381">
        <f>IF(OR(E381="",D381=""),"",E381-D381/42)</f>
        <v/>
      </c>
      <c r="P381">
        <f>IF(L381="",M381/100,H381*L381/100)</f>
        <v/>
      </c>
      <c r="Q381">
        <f>H381-C381/42-P381</f>
        <v/>
      </c>
      <c r="R381">
        <f>H381-E381</f>
        <v/>
      </c>
    </row>
    <row r="382">
      <c r="A382" s="3" t="n">
        <v>41015</v>
      </c>
      <c r="B382" s="3" t="n">
        <v>41012</v>
      </c>
      <c r="C382" t="n">
        <v>102.55</v>
      </c>
      <c r="D382" t="n">
        <v>120.87</v>
      </c>
      <c r="E382" t="n">
        <v>3.173</v>
      </c>
      <c r="F382" t="n">
        <v>3.278</v>
      </c>
      <c r="G382" t="n">
        <v>3.258</v>
      </c>
      <c r="H382" t="n">
        <v>3.922</v>
      </c>
      <c r="J382" t="n">
        <v>3.801</v>
      </c>
      <c r="K382" t="n">
        <v>4.235</v>
      </c>
      <c r="L382" t="n">
        <v>10.6</v>
      </c>
      <c r="N382">
        <f>IF(OR(E382="",C382=""),"",E382-C382/42)</f>
        <v/>
      </c>
      <c r="O382">
        <f>IF(OR(E382="",D382=""),"",E382-D382/42)</f>
        <v/>
      </c>
      <c r="P382">
        <f>IF(L382="",M382/100,H382*L382/100)</f>
        <v/>
      </c>
      <c r="Q382">
        <f>H382-C382/42-P382</f>
        <v/>
      </c>
      <c r="R382">
        <f>H382-E382</f>
        <v/>
      </c>
    </row>
    <row r="383">
      <c r="A383" s="3" t="n">
        <v>41022</v>
      </c>
      <c r="B383" s="3" t="n">
        <v>41019</v>
      </c>
      <c r="C383" t="n">
        <v>103.15</v>
      </c>
      <c r="D383" t="n">
        <v>117.18</v>
      </c>
      <c r="E383" t="n">
        <v>3.059</v>
      </c>
      <c r="F383" t="n">
        <v>3.154</v>
      </c>
      <c r="G383" t="n">
        <v>3.21</v>
      </c>
      <c r="H383" t="n">
        <v>3.87</v>
      </c>
      <c r="J383" t="n">
        <v>3.799</v>
      </c>
      <c r="K383" t="n">
        <v>4.203</v>
      </c>
      <c r="L383" t="n">
        <v>10.6</v>
      </c>
      <c r="N383">
        <f>IF(OR(E383="",C383=""),"",E383-C383/42)</f>
        <v/>
      </c>
      <c r="O383">
        <f>IF(OR(E383="",D383=""),"",E383-D383/42)</f>
        <v/>
      </c>
      <c r="P383">
        <f>IF(L383="",M383/100,H383*L383/100)</f>
        <v/>
      </c>
      <c r="Q383">
        <f>H383-C383/42-P383</f>
        <v/>
      </c>
      <c r="R383">
        <f>H383-E383</f>
        <v/>
      </c>
    </row>
    <row r="384">
      <c r="A384" s="3" t="n">
        <v>41029</v>
      </c>
      <c r="B384" s="3" t="n">
        <v>41026</v>
      </c>
      <c r="C384" t="n">
        <v>103.78</v>
      </c>
      <c r="D384" t="n">
        <v>118.1</v>
      </c>
      <c r="E384" t="n">
        <v>2.987</v>
      </c>
      <c r="F384" t="n">
        <v>3.09</v>
      </c>
      <c r="G384" t="n">
        <v>3.262</v>
      </c>
      <c r="H384" t="n">
        <v>3.83</v>
      </c>
      <c r="J384" t="n">
        <v>3.787</v>
      </c>
      <c r="K384" t="n">
        <v>4.186</v>
      </c>
      <c r="L384" t="n">
        <v>10.6</v>
      </c>
      <c r="N384">
        <f>IF(OR(E384="",C384=""),"",E384-C384/42)</f>
        <v/>
      </c>
      <c r="O384">
        <f>IF(OR(E384="",D384=""),"",E384-D384/42)</f>
        <v/>
      </c>
      <c r="P384">
        <f>IF(L384="",M384/100,H384*L384/100)</f>
        <v/>
      </c>
      <c r="Q384">
        <f>H384-C384/42-P384</f>
        <v/>
      </c>
      <c r="R384">
        <f>H384-E384</f>
        <v/>
      </c>
    </row>
    <row r="385">
      <c r="A385" s="3" t="n">
        <v>41036</v>
      </c>
      <c r="B385" s="3" t="n">
        <v>41033</v>
      </c>
      <c r="C385" t="n">
        <v>103.47</v>
      </c>
      <c r="D385" t="n">
        <v>116.67</v>
      </c>
      <c r="E385" t="n">
        <v>2.876</v>
      </c>
      <c r="F385" t="n">
        <v>2.986</v>
      </c>
      <c r="G385" t="n">
        <v>3.318</v>
      </c>
      <c r="H385" t="n">
        <v>3.79</v>
      </c>
      <c r="J385" t="n">
        <v>3.764</v>
      </c>
      <c r="K385" t="n">
        <v>4.213</v>
      </c>
      <c r="L385" t="n">
        <v>11.1</v>
      </c>
      <c r="N385">
        <f>IF(OR(E385="",C385=""),"",E385-C385/42)</f>
        <v/>
      </c>
      <c r="O385">
        <f>IF(OR(E385="",D385=""),"",E385-D385/42)</f>
        <v/>
      </c>
      <c r="P385">
        <f>IF(L385="",M385/100,H385*L385/100)</f>
        <v/>
      </c>
      <c r="Q385">
        <f>H385-C385/42-P385</f>
        <v/>
      </c>
      <c r="R385">
        <f>H385-E385</f>
        <v/>
      </c>
    </row>
    <row r="386">
      <c r="A386" s="3" t="n">
        <v>41043</v>
      </c>
      <c r="B386" s="3" t="n">
        <v>41040</v>
      </c>
      <c r="C386" t="n">
        <v>96.98</v>
      </c>
      <c r="D386" t="n">
        <v>111.78</v>
      </c>
      <c r="E386" t="n">
        <v>2.826</v>
      </c>
      <c r="F386" t="n">
        <v>2.933</v>
      </c>
      <c r="G386" t="n">
        <v>3.339</v>
      </c>
      <c r="H386" t="n">
        <v>3.754</v>
      </c>
      <c r="J386" t="n">
        <v>3.762</v>
      </c>
      <c r="K386" t="n">
        <v>4.367</v>
      </c>
      <c r="L386" t="n">
        <v>11.1</v>
      </c>
      <c r="N386">
        <f>IF(OR(E386="",C386=""),"",E386-C386/42)</f>
        <v/>
      </c>
      <c r="O386">
        <f>IF(OR(E386="",D386=""),"",E386-D386/42)</f>
        <v/>
      </c>
      <c r="P386">
        <f>IF(L386="",M386/100,H386*L386/100)</f>
        <v/>
      </c>
      <c r="Q386">
        <f>H386-C386/42-P386</f>
        <v/>
      </c>
      <c r="R386">
        <f>H386-E386</f>
        <v/>
      </c>
    </row>
    <row r="387">
      <c r="A387" s="3" t="n">
        <v>41050</v>
      </c>
      <c r="B387" s="3" t="n">
        <v>41047</v>
      </c>
      <c r="C387" t="n">
        <v>93.11</v>
      </c>
      <c r="D387" t="n">
        <v>109.87</v>
      </c>
      <c r="E387" t="n">
        <v>2.755</v>
      </c>
      <c r="F387" t="n">
        <v>2.875</v>
      </c>
      <c r="G387" t="n">
        <v>3.274</v>
      </c>
      <c r="H387" t="n">
        <v>3.715</v>
      </c>
      <c r="J387" t="n">
        <v>3.754</v>
      </c>
      <c r="K387" t="n">
        <v>4.336</v>
      </c>
      <c r="L387" t="n">
        <v>11.1</v>
      </c>
      <c r="N387">
        <f>IF(OR(E387="",C387=""),"",E387-C387/42)</f>
        <v/>
      </c>
      <c r="O387">
        <f>IF(OR(E387="",D387=""),"",E387-D387/42)</f>
        <v/>
      </c>
      <c r="P387">
        <f>IF(L387="",M387/100,H387*L387/100)</f>
        <v/>
      </c>
      <c r="Q387">
        <f>H387-C387/42-P387</f>
        <v/>
      </c>
      <c r="R387">
        <f>H387-E387</f>
        <v/>
      </c>
    </row>
    <row r="388">
      <c r="A388" s="3" t="n">
        <v>41057</v>
      </c>
      <c r="B388" s="3" t="n">
        <v>41054</v>
      </c>
      <c r="C388" t="n">
        <v>90.88</v>
      </c>
      <c r="D388" t="n">
        <v>108.14</v>
      </c>
      <c r="E388" t="n">
        <v>2.739</v>
      </c>
      <c r="F388" t="n">
        <v>2.827</v>
      </c>
      <c r="G388" t="n">
        <v>3.113</v>
      </c>
      <c r="H388" t="n">
        <v>3.67</v>
      </c>
      <c r="J388" t="n">
        <v>3.74</v>
      </c>
      <c r="K388" t="n">
        <v>4.312</v>
      </c>
      <c r="L388" t="n">
        <v>11.1</v>
      </c>
      <c r="N388">
        <f>IF(OR(E388="",C388=""),"",E388-C388/42)</f>
        <v/>
      </c>
      <c r="O388">
        <f>IF(OR(E388="",D388=""),"",E388-D388/42)</f>
        <v/>
      </c>
      <c r="P388">
        <f>IF(L388="",M388/100,H388*L388/100)</f>
        <v/>
      </c>
      <c r="Q388">
        <f>H388-C388/42-P388</f>
        <v/>
      </c>
      <c r="R388">
        <f>H388-E388</f>
        <v/>
      </c>
    </row>
    <row r="389">
      <c r="A389" s="3" t="n">
        <v>41064</v>
      </c>
      <c r="B389" s="3" t="n">
        <v>41061</v>
      </c>
      <c r="C389" t="n">
        <v>87.06</v>
      </c>
      <c r="D389" t="n">
        <v>103.47</v>
      </c>
      <c r="E389" t="n">
        <v>2.662</v>
      </c>
      <c r="F389" t="n">
        <v>2.714</v>
      </c>
      <c r="G389" t="n">
        <v>3.007</v>
      </c>
      <c r="H389" t="n">
        <v>3.613</v>
      </c>
      <c r="J389" t="n">
        <v>3.728</v>
      </c>
      <c r="K389" t="n">
        <v>4.26</v>
      </c>
      <c r="L389" t="n">
        <v>11.7</v>
      </c>
      <c r="N389">
        <f>IF(OR(E389="",C389=""),"",E389-C389/42)</f>
        <v/>
      </c>
      <c r="O389">
        <f>IF(OR(E389="",D389=""),"",E389-D389/42)</f>
        <v/>
      </c>
      <c r="P389">
        <f>IF(L389="",M389/100,H389*L389/100)</f>
        <v/>
      </c>
      <c r="Q389">
        <f>H389-C389/42-P389</f>
        <v/>
      </c>
      <c r="R389">
        <f>H389-E389</f>
        <v/>
      </c>
    </row>
    <row r="390">
      <c r="A390" s="3" t="n">
        <v>41071</v>
      </c>
      <c r="B390" s="3" t="n">
        <v>41068</v>
      </c>
      <c r="C390" t="n">
        <v>84.43000000000001</v>
      </c>
      <c r="D390" t="n">
        <v>99.03</v>
      </c>
      <c r="E390" t="n">
        <v>2.584</v>
      </c>
      <c r="F390" t="n">
        <v>2.683</v>
      </c>
      <c r="G390" t="n">
        <v>2.72</v>
      </c>
      <c r="H390" t="n">
        <v>3.572</v>
      </c>
      <c r="J390" t="n">
        <v>3.708</v>
      </c>
      <c r="K390" t="n">
        <v>4.164</v>
      </c>
      <c r="L390" t="n">
        <v>11.7</v>
      </c>
      <c r="N390">
        <f>IF(OR(E390="",C390=""),"",E390-C390/42)</f>
        <v/>
      </c>
      <c r="O390">
        <f>IF(OR(E390="",D390=""),"",E390-D390/42)</f>
        <v/>
      </c>
      <c r="P390">
        <f>IF(L390="",M390/100,H390*L390/100)</f>
        <v/>
      </c>
      <c r="Q390">
        <f>H390-C390/42-P390</f>
        <v/>
      </c>
      <c r="R390">
        <f>H390-E390</f>
        <v/>
      </c>
    </row>
    <row r="391">
      <c r="A391" s="3" t="n">
        <v>41078</v>
      </c>
      <c r="B391" s="3" t="n">
        <v>41075</v>
      </c>
      <c r="C391" t="n">
        <v>83.27</v>
      </c>
      <c r="D391" t="n">
        <v>97.20999999999999</v>
      </c>
      <c r="E391" t="n">
        <v>2.572</v>
      </c>
      <c r="F391" t="n">
        <v>2.672</v>
      </c>
      <c r="G391" t="n">
        <v>2.612</v>
      </c>
      <c r="H391" t="n">
        <v>3.533</v>
      </c>
      <c r="J391" t="n">
        <v>3.69</v>
      </c>
      <c r="K391" t="n">
        <v>4.029</v>
      </c>
      <c r="L391" t="n">
        <v>11.7</v>
      </c>
      <c r="N391">
        <f>IF(OR(E391="",C391=""),"",E391-C391/42)</f>
        <v/>
      </c>
      <c r="O391">
        <f>IF(OR(E391="",D391=""),"",E391-D391/42)</f>
        <v/>
      </c>
      <c r="P391">
        <f>IF(L391="",M391/100,H391*L391/100)</f>
        <v/>
      </c>
      <c r="Q391">
        <f>H391-C391/42-P391</f>
        <v/>
      </c>
      <c r="R391">
        <f>H391-E391</f>
        <v/>
      </c>
    </row>
    <row r="392">
      <c r="A392" s="3" t="n">
        <v>41085</v>
      </c>
      <c r="B392" s="3" t="n">
        <v>41082</v>
      </c>
      <c r="C392" t="n">
        <v>81.11</v>
      </c>
      <c r="D392" t="n">
        <v>92.45999999999999</v>
      </c>
      <c r="E392" t="n">
        <v>2.463</v>
      </c>
      <c r="F392" t="n">
        <v>2.535</v>
      </c>
      <c r="G392" t="n">
        <v>2.446</v>
      </c>
      <c r="H392" t="n">
        <v>3.437</v>
      </c>
      <c r="J392" t="n">
        <v>3.634</v>
      </c>
      <c r="K392" t="n">
        <v>3.887</v>
      </c>
      <c r="L392" t="n">
        <v>11.7</v>
      </c>
      <c r="N392">
        <f>IF(OR(E392="",C392=""),"",E392-C392/42)</f>
        <v/>
      </c>
      <c r="O392">
        <f>IF(OR(E392="",D392=""),"",E392-D392/42)</f>
        <v/>
      </c>
      <c r="P392">
        <f>IF(L392="",M392/100,H392*L392/100)</f>
        <v/>
      </c>
      <c r="Q392">
        <f>H392-C392/42-P392</f>
        <v/>
      </c>
      <c r="R392">
        <f>H392-E392</f>
        <v/>
      </c>
    </row>
    <row r="393">
      <c r="A393" s="3" t="n">
        <v>41092</v>
      </c>
      <c r="B393" s="3" t="n">
        <v>41089</v>
      </c>
      <c r="C393" t="n">
        <v>80.23</v>
      </c>
      <c r="D393" t="n">
        <v>91.23</v>
      </c>
      <c r="E393" t="n">
        <v>2.433</v>
      </c>
      <c r="F393" t="n">
        <v>2.515</v>
      </c>
      <c r="G393" t="n">
        <v>2.69</v>
      </c>
      <c r="H393" t="n">
        <v>3.356</v>
      </c>
      <c r="J393" t="n">
        <v>3.583</v>
      </c>
      <c r="K393" t="n">
        <v>3.773</v>
      </c>
      <c r="L393" t="n">
        <v>12.1</v>
      </c>
      <c r="N393">
        <f>IF(OR(E393="",C393=""),"",E393-C393/42)</f>
        <v/>
      </c>
      <c r="O393">
        <f>IF(OR(E393="",D393=""),"",E393-D393/42)</f>
        <v/>
      </c>
      <c r="P393">
        <f>IF(L393="",M393/100,H393*L393/100)</f>
        <v/>
      </c>
      <c r="Q393">
        <f>H393-C393/42-P393</f>
        <v/>
      </c>
      <c r="R393">
        <f>H393-E393</f>
        <v/>
      </c>
    </row>
    <row r="394">
      <c r="A394" s="3" t="n">
        <v>41099</v>
      </c>
      <c r="B394" s="3" t="n">
        <v>41096</v>
      </c>
      <c r="C394" t="n">
        <v>85.73999999999999</v>
      </c>
      <c r="D394" t="n">
        <v>98.8</v>
      </c>
      <c r="E394" t="n">
        <v>2.584</v>
      </c>
      <c r="F394" t="n">
        <v>2.664</v>
      </c>
      <c r="G394" t="n">
        <v>2.734</v>
      </c>
      <c r="H394" t="n">
        <v>3.411</v>
      </c>
      <c r="J394" t="n">
        <v>3.549</v>
      </c>
      <c r="K394" t="n">
        <v>3.733</v>
      </c>
      <c r="L394" t="n">
        <v>12.1</v>
      </c>
      <c r="N394">
        <f>IF(OR(E394="",C394=""),"",E394-C394/42)</f>
        <v/>
      </c>
      <c r="O394">
        <f>IF(OR(E394="",D394=""),"",E394-D394/42)</f>
        <v/>
      </c>
      <c r="P394">
        <f>IF(L394="",M394/100,H394*L394/100)</f>
        <v/>
      </c>
      <c r="Q394">
        <f>H394-C394/42-P394</f>
        <v/>
      </c>
      <c r="R394">
        <f>H394-E394</f>
        <v/>
      </c>
    </row>
    <row r="395">
      <c r="A395" s="3" t="n">
        <v>41106</v>
      </c>
      <c r="B395" s="3" t="n">
        <v>41103</v>
      </c>
      <c r="C395" t="n">
        <v>85.78</v>
      </c>
      <c r="D395" t="n">
        <v>99.88</v>
      </c>
      <c r="E395" t="n">
        <v>2.614</v>
      </c>
      <c r="F395" t="n">
        <v>2.769</v>
      </c>
      <c r="G395" t="n">
        <v>2.711</v>
      </c>
      <c r="H395" t="n">
        <v>3.427</v>
      </c>
      <c r="J395" t="n">
        <v>3.507</v>
      </c>
      <c r="K395" t="n">
        <v>3.753</v>
      </c>
      <c r="L395" t="n">
        <v>12.1</v>
      </c>
      <c r="N395">
        <f>IF(OR(E395="",C395=""),"",E395-C395/42)</f>
        <v/>
      </c>
      <c r="O395">
        <f>IF(OR(E395="",D395=""),"",E395-D395/42)</f>
        <v/>
      </c>
      <c r="P395">
        <f>IF(L395="",M395/100,H395*L395/100)</f>
        <v/>
      </c>
      <c r="Q395">
        <f>H395-C395/42-P395</f>
        <v/>
      </c>
      <c r="R395">
        <f>H395-E395</f>
        <v/>
      </c>
    </row>
    <row r="396">
      <c r="A396" s="3" t="n">
        <v>41113</v>
      </c>
      <c r="B396" s="3" t="n">
        <v>41110</v>
      </c>
      <c r="C396" t="n">
        <v>90.34</v>
      </c>
      <c r="D396" t="n">
        <v>105.4</v>
      </c>
      <c r="E396" t="n">
        <v>2.703</v>
      </c>
      <c r="F396" t="n">
        <v>2.82</v>
      </c>
      <c r="G396" t="n">
        <v>2.887</v>
      </c>
      <c r="H396" t="n">
        <v>3.494</v>
      </c>
      <c r="J396" t="n">
        <v>3.491</v>
      </c>
      <c r="K396" t="n">
        <v>3.808</v>
      </c>
      <c r="L396" t="n">
        <v>12.1</v>
      </c>
      <c r="N396">
        <f>IF(OR(E396="",C396=""),"",E396-C396/42)</f>
        <v/>
      </c>
      <c r="O396">
        <f>IF(OR(E396="",D396=""),"",E396-D396/42)</f>
        <v/>
      </c>
      <c r="P396">
        <f>IF(L396="",M396/100,H396*L396/100)</f>
        <v/>
      </c>
      <c r="Q396">
        <f>H396-C396/42-P396</f>
        <v/>
      </c>
      <c r="R396">
        <f>H396-E396</f>
        <v/>
      </c>
    </row>
    <row r="397">
      <c r="A397" s="3" t="n">
        <v>41120</v>
      </c>
      <c r="B397" s="3" t="n">
        <v>41117</v>
      </c>
      <c r="C397" t="n">
        <v>88.88</v>
      </c>
      <c r="D397" t="n">
        <v>104.18</v>
      </c>
      <c r="E397" t="n">
        <v>2.644</v>
      </c>
      <c r="F397" t="n">
        <v>2.711</v>
      </c>
      <c r="G397" t="n">
        <v>2.886</v>
      </c>
      <c r="H397" t="n">
        <v>3.508</v>
      </c>
      <c r="J397" t="n">
        <v>3.466</v>
      </c>
      <c r="K397" t="n">
        <v>3.802</v>
      </c>
      <c r="L397" t="n">
        <v>12.1</v>
      </c>
      <c r="N397">
        <f>IF(OR(E397="",C397=""),"",E397-C397/42)</f>
        <v/>
      </c>
      <c r="O397">
        <f>IF(OR(E397="",D397=""),"",E397-D397/42)</f>
        <v/>
      </c>
      <c r="P397">
        <f>IF(L397="",M397/100,H397*L397/100)</f>
        <v/>
      </c>
      <c r="Q397">
        <f>H397-C397/42-P397</f>
        <v/>
      </c>
      <c r="R397">
        <f>H397-E397</f>
        <v/>
      </c>
    </row>
    <row r="398">
      <c r="A398" s="3" t="n">
        <v>41127</v>
      </c>
      <c r="B398" s="3" t="n">
        <v>41124</v>
      </c>
      <c r="C398" t="n">
        <v>89.09999999999999</v>
      </c>
      <c r="D398" t="n">
        <v>107.27</v>
      </c>
      <c r="E398" t="n">
        <v>2.781</v>
      </c>
      <c r="F398" t="n">
        <v>2.837</v>
      </c>
      <c r="G398" t="n">
        <v>2.96</v>
      </c>
      <c r="H398" t="n">
        <v>3.645</v>
      </c>
      <c r="J398" t="n">
        <v>3.463</v>
      </c>
      <c r="K398" t="n">
        <v>3.868</v>
      </c>
      <c r="L398" t="n">
        <v>11.2</v>
      </c>
      <c r="N398">
        <f>IF(OR(E398="",C398=""),"",E398-C398/42)</f>
        <v/>
      </c>
      <c r="O398">
        <f>IF(OR(E398="",D398=""),"",E398-D398/42)</f>
        <v/>
      </c>
      <c r="P398">
        <f>IF(L398="",M398/100,H398*L398/100)</f>
        <v/>
      </c>
      <c r="Q398">
        <f>H398-C398/42-P398</f>
        <v/>
      </c>
      <c r="R398">
        <f>H398-E398</f>
        <v/>
      </c>
    </row>
    <row r="399">
      <c r="A399" s="3" t="n">
        <v>41134</v>
      </c>
      <c r="B399" s="3" t="n">
        <v>41131</v>
      </c>
      <c r="C399" t="n">
        <v>93.14</v>
      </c>
      <c r="D399" t="n">
        <v>112.49</v>
      </c>
      <c r="E399" t="n">
        <v>2.907</v>
      </c>
      <c r="F399" t="n">
        <v>2.987</v>
      </c>
      <c r="G399" t="n">
        <v>3.182</v>
      </c>
      <c r="H399" t="n">
        <v>3.721</v>
      </c>
      <c r="J399" t="n">
        <v>3.5</v>
      </c>
      <c r="K399" t="n">
        <v>4.096</v>
      </c>
      <c r="L399" t="n">
        <v>11.2</v>
      </c>
      <c r="N399">
        <f>IF(OR(E399="",C399=""),"",E399-C399/42)</f>
        <v/>
      </c>
      <c r="O399">
        <f>IF(OR(E399="",D399=""),"",E399-D399/42)</f>
        <v/>
      </c>
      <c r="P399">
        <f>IF(L399="",M399/100,H399*L399/100)</f>
        <v/>
      </c>
      <c r="Q399">
        <f>H399-C399/42-P399</f>
        <v/>
      </c>
      <c r="R399">
        <f>H399-E399</f>
        <v/>
      </c>
    </row>
    <row r="400">
      <c r="A400" s="3" t="n">
        <v>41141</v>
      </c>
      <c r="B400" s="3" t="n">
        <v>41138</v>
      </c>
      <c r="C400" t="n">
        <v>94.43000000000001</v>
      </c>
      <c r="D400" t="n">
        <v>115.04</v>
      </c>
      <c r="E400" t="n">
        <v>2.93</v>
      </c>
      <c r="F400" t="n">
        <v>3.002</v>
      </c>
      <c r="G400" t="n">
        <v>3.165</v>
      </c>
      <c r="H400" t="n">
        <v>3.744</v>
      </c>
      <c r="J400" t="n">
        <v>3.535</v>
      </c>
      <c r="K400" t="n">
        <v>4.129</v>
      </c>
      <c r="L400" t="n">
        <v>11.2</v>
      </c>
      <c r="N400">
        <f>IF(OR(E400="",C400=""),"",E400-C400/42)</f>
        <v/>
      </c>
      <c r="O400">
        <f>IF(OR(E400="",D400=""),"",E400-D400/42)</f>
        <v/>
      </c>
      <c r="P400">
        <f>IF(L400="",M400/100,H400*L400/100)</f>
        <v/>
      </c>
      <c r="Q400">
        <f>H400-C400/42-P400</f>
        <v/>
      </c>
      <c r="R400">
        <f>H400-E400</f>
        <v/>
      </c>
    </row>
    <row r="401">
      <c r="A401" s="3" t="n">
        <v>41148</v>
      </c>
      <c r="B401" s="3" t="n">
        <v>41145</v>
      </c>
      <c r="C401" t="n">
        <v>96.22</v>
      </c>
      <c r="D401" t="n">
        <v>116.1</v>
      </c>
      <c r="E401" t="n">
        <v>2.979</v>
      </c>
      <c r="F401" t="n">
        <v>3.041</v>
      </c>
      <c r="G401" t="n">
        <v>3.091</v>
      </c>
      <c r="H401" t="n">
        <v>3.776</v>
      </c>
      <c r="J401" t="n">
        <v>3.575</v>
      </c>
      <c r="K401" t="n">
        <v>4.158</v>
      </c>
      <c r="L401" t="n">
        <v>11.2</v>
      </c>
      <c r="N401">
        <f>IF(OR(E401="",C401=""),"",E401-C401/42)</f>
        <v/>
      </c>
      <c r="O401">
        <f>IF(OR(E401="",D401=""),"",E401-D401/42)</f>
        <v/>
      </c>
      <c r="P401">
        <f>IF(L401="",M401/100,H401*L401/100)</f>
        <v/>
      </c>
      <c r="Q401">
        <f>H401-C401/42-P401</f>
        <v/>
      </c>
      <c r="R401">
        <f>H401-E401</f>
        <v/>
      </c>
    </row>
    <row r="402">
      <c r="A402" s="3" t="n">
        <v>41155</v>
      </c>
      <c r="B402" s="3" t="n">
        <v>41152</v>
      </c>
      <c r="C402" t="n">
        <v>95.68000000000001</v>
      </c>
      <c r="D402" t="n">
        <v>113.02</v>
      </c>
      <c r="E402" t="n">
        <v>3.139</v>
      </c>
      <c r="F402" t="n">
        <v>3.146</v>
      </c>
      <c r="G402" t="n">
        <v>3.167</v>
      </c>
      <c r="H402" t="n">
        <v>3.843</v>
      </c>
      <c r="J402" t="n">
        <v>3.64</v>
      </c>
      <c r="K402" t="n">
        <v>4.176</v>
      </c>
      <c r="L402" t="n">
        <v>10.8</v>
      </c>
      <c r="N402">
        <f>IF(OR(E402="",C402=""),"",E402-C402/42)</f>
        <v/>
      </c>
      <c r="O402">
        <f>IF(OR(E402="",D402=""),"",E402-D402/42)</f>
        <v/>
      </c>
      <c r="P402">
        <f>IF(L402="",M402/100,H402*L402/100)</f>
        <v/>
      </c>
      <c r="Q402">
        <f>H402-C402/42-P402</f>
        <v/>
      </c>
      <c r="R402">
        <f>H402-E402</f>
        <v/>
      </c>
    </row>
    <row r="403">
      <c r="A403" s="3" t="n">
        <v>41162</v>
      </c>
      <c r="B403" s="3" t="n">
        <v>41159</v>
      </c>
      <c r="C403" t="n">
        <v>95.68000000000001</v>
      </c>
      <c r="D403" t="n">
        <v>114.11</v>
      </c>
      <c r="E403" t="n">
        <v>3.078</v>
      </c>
      <c r="F403" t="n">
        <v>3.244</v>
      </c>
      <c r="G403" t="n">
        <v>3.238</v>
      </c>
      <c r="H403" t="n">
        <v>3.847</v>
      </c>
      <c r="J403" t="n">
        <v>3.698</v>
      </c>
      <c r="K403" t="n">
        <v>4.178</v>
      </c>
      <c r="L403" t="n">
        <v>10.8</v>
      </c>
      <c r="N403">
        <f>IF(OR(E403="",C403=""),"",E403-C403/42)</f>
        <v/>
      </c>
      <c r="O403">
        <f>IF(OR(E403="",D403=""),"",E403-D403/42)</f>
        <v/>
      </c>
      <c r="P403">
        <f>IF(L403="",M403/100,H403*L403/100)</f>
        <v/>
      </c>
      <c r="Q403">
        <f>H403-C403/42-P403</f>
        <v/>
      </c>
      <c r="R403">
        <f>H403-E403</f>
        <v/>
      </c>
    </row>
    <row r="404">
      <c r="A404" s="3" t="n">
        <v>41169</v>
      </c>
      <c r="B404" s="3" t="n">
        <v>41166</v>
      </c>
      <c r="C404" t="n">
        <v>97.56</v>
      </c>
      <c r="D404" t="n">
        <v>115.41</v>
      </c>
      <c r="E404" t="n">
        <v>3.099</v>
      </c>
      <c r="F404" t="n">
        <v>3.335</v>
      </c>
      <c r="G404" t="n">
        <v>3.088</v>
      </c>
      <c r="H404" t="n">
        <v>3.878</v>
      </c>
      <c r="J404" t="n">
        <v>3.772</v>
      </c>
      <c r="K404" t="n">
        <v>4.155</v>
      </c>
      <c r="L404" t="n">
        <v>10.8</v>
      </c>
      <c r="N404">
        <f>IF(OR(E404="",C404=""),"",E404-C404/42)</f>
        <v/>
      </c>
      <c r="O404">
        <f>IF(OR(E404="",D404=""),"",E404-D404/42)</f>
        <v/>
      </c>
      <c r="P404">
        <f>IF(L404="",M404/100,H404*L404/100)</f>
        <v/>
      </c>
      <c r="Q404">
        <f>H404-C404/42-P404</f>
        <v/>
      </c>
      <c r="R404">
        <f>H404-E404</f>
        <v/>
      </c>
    </row>
    <row r="405">
      <c r="A405" s="3" t="n">
        <v>41176</v>
      </c>
      <c r="B405" s="3" t="n">
        <v>41173</v>
      </c>
      <c r="C405" t="n">
        <v>93.7</v>
      </c>
      <c r="D405" t="n">
        <v>111.83</v>
      </c>
      <c r="E405" t="n">
        <v>2.98</v>
      </c>
      <c r="F405" t="n">
        <v>3.134</v>
      </c>
      <c r="G405" t="n">
        <v>3.171</v>
      </c>
      <c r="H405" t="n">
        <v>3.826</v>
      </c>
      <c r="J405" t="n">
        <v>3.774</v>
      </c>
      <c r="K405" t="n">
        <v>4.151</v>
      </c>
      <c r="L405" t="n">
        <v>10.8</v>
      </c>
      <c r="N405">
        <f>IF(OR(E405="",C405=""),"",E405-C405/42)</f>
        <v/>
      </c>
      <c r="O405">
        <f>IF(OR(E405="",D405=""),"",E405-D405/42)</f>
        <v/>
      </c>
      <c r="P405">
        <f>IF(L405="",M405/100,H405*L405/100)</f>
        <v/>
      </c>
      <c r="Q405">
        <f>H405-C405/42-P405</f>
        <v/>
      </c>
      <c r="R405">
        <f>H405-E405</f>
        <v/>
      </c>
    </row>
    <row r="406">
      <c r="A406" s="3" t="n">
        <v>41183</v>
      </c>
      <c r="B406" s="3" t="n">
        <v>41180</v>
      </c>
      <c r="C406" t="n">
        <v>91.34999999999999</v>
      </c>
      <c r="D406" t="n">
        <v>110.35</v>
      </c>
      <c r="E406" t="n">
        <v>2.986</v>
      </c>
      <c r="F406" t="n">
        <v>3.363</v>
      </c>
      <c r="G406" t="n">
        <v>3.168</v>
      </c>
      <c r="H406" t="n">
        <v>3.804</v>
      </c>
      <c r="J406" t="n">
        <v>3.765</v>
      </c>
      <c r="K406" t="n">
        <v>4.176</v>
      </c>
      <c r="L406" t="n">
        <v>11.1</v>
      </c>
      <c r="N406">
        <f>IF(OR(E406="",C406=""),"",E406-C406/42)</f>
        <v/>
      </c>
      <c r="O406">
        <f>IF(OR(E406="",D406=""),"",E406-D406/42)</f>
        <v/>
      </c>
      <c r="P406">
        <f>IF(L406="",M406/100,H406*L406/100)</f>
        <v/>
      </c>
      <c r="Q406">
        <f>H406-C406/42-P406</f>
        <v/>
      </c>
      <c r="R406">
        <f>H406-E406</f>
        <v/>
      </c>
    </row>
    <row r="407">
      <c r="A407" s="3" t="n">
        <v>41190</v>
      </c>
      <c r="B407" s="3" t="n">
        <v>41187</v>
      </c>
      <c r="C407" t="n">
        <v>90.81</v>
      </c>
      <c r="D407" t="n">
        <v>111.41</v>
      </c>
      <c r="E407" t="n">
        <v>3.011</v>
      </c>
      <c r="F407" t="n">
        <v>3.234</v>
      </c>
      <c r="G407" t="n">
        <v>3.661</v>
      </c>
      <c r="H407" t="n">
        <v>3.85</v>
      </c>
      <c r="J407" t="n">
        <v>3.748</v>
      </c>
      <c r="K407" t="n">
        <v>4.659</v>
      </c>
      <c r="L407" t="n">
        <v>11.1</v>
      </c>
      <c r="N407">
        <f>IF(OR(E407="",C407=""),"",E407-C407/42)</f>
        <v/>
      </c>
      <c r="O407">
        <f>IF(OR(E407="",D407=""),"",E407-D407/42)</f>
        <v/>
      </c>
      <c r="P407">
        <f>IF(L407="",M407/100,H407*L407/100)</f>
        <v/>
      </c>
      <c r="Q407">
        <f>H407-C407/42-P407</f>
        <v/>
      </c>
      <c r="R407">
        <f>H407-E407</f>
        <v/>
      </c>
    </row>
    <row r="408">
      <c r="A408" s="3" t="n">
        <v>41197</v>
      </c>
      <c r="B408" s="3" t="n">
        <v>41194</v>
      </c>
      <c r="C408" t="n">
        <v>91.42</v>
      </c>
      <c r="D408" t="n">
        <v>114.88</v>
      </c>
      <c r="E408" t="n">
        <v>3.035</v>
      </c>
      <c r="F408" t="n">
        <v>3.163</v>
      </c>
      <c r="G408" t="n">
        <v>3.441</v>
      </c>
      <c r="H408" t="n">
        <v>3.819</v>
      </c>
      <c r="J408" t="n">
        <v>3.734</v>
      </c>
      <c r="K408" t="n">
        <v>4.623</v>
      </c>
      <c r="L408" t="n">
        <v>11.1</v>
      </c>
      <c r="N408">
        <f>IF(OR(E408="",C408=""),"",E408-C408/42)</f>
        <v/>
      </c>
      <c r="O408">
        <f>IF(OR(E408="",D408=""),"",E408-D408/42)</f>
        <v/>
      </c>
      <c r="P408">
        <f>IF(L408="",M408/100,H408*L408/100)</f>
        <v/>
      </c>
      <c r="Q408">
        <f>H408-C408/42-P408</f>
        <v/>
      </c>
      <c r="R408">
        <f>H408-E408</f>
        <v/>
      </c>
    </row>
    <row r="409">
      <c r="A409" s="3" t="n">
        <v>41204</v>
      </c>
      <c r="B409" s="3" t="n">
        <v>41201</v>
      </c>
      <c r="C409" t="n">
        <v>91.59</v>
      </c>
      <c r="D409" t="n">
        <v>113.59</v>
      </c>
      <c r="E409" t="n">
        <v>2.749</v>
      </c>
      <c r="F409" t="n">
        <v>2.897</v>
      </c>
      <c r="G409" t="n">
        <v>2.979</v>
      </c>
      <c r="H409" t="n">
        <v>3.687</v>
      </c>
      <c r="J409" t="n">
        <v>3.705</v>
      </c>
      <c r="K409" t="n">
        <v>4.432</v>
      </c>
      <c r="L409" t="n">
        <v>11.1</v>
      </c>
      <c r="N409">
        <f>IF(OR(E409="",C409=""),"",E409-C409/42)</f>
        <v/>
      </c>
      <c r="O409">
        <f>IF(OR(E409="",D409=""),"",E409-D409/42)</f>
        <v/>
      </c>
      <c r="P409">
        <f>IF(L409="",M409/100,H409*L409/100)</f>
        <v/>
      </c>
      <c r="Q409">
        <f>H409-C409/42-P409</f>
        <v/>
      </c>
      <c r="R409">
        <f>H409-E409</f>
        <v/>
      </c>
    </row>
    <row r="410">
      <c r="A410" s="3" t="n">
        <v>41211</v>
      </c>
      <c r="B410" s="3" t="n">
        <v>41208</v>
      </c>
      <c r="C410" t="n">
        <v>86.34999999999999</v>
      </c>
      <c r="D410" t="n">
        <v>108.27</v>
      </c>
      <c r="E410" t="n">
        <v>2.516</v>
      </c>
      <c r="F410" t="n">
        <v>2.717</v>
      </c>
      <c r="G410" t="n">
        <v>2.714</v>
      </c>
      <c r="H410" t="n">
        <v>3.568</v>
      </c>
      <c r="J410" t="n">
        <v>3.65</v>
      </c>
      <c r="K410" t="n">
        <v>4.169</v>
      </c>
      <c r="L410" t="n">
        <v>11.1</v>
      </c>
      <c r="N410">
        <f>IF(OR(E410="",C410=""),"",E410-C410/42)</f>
        <v/>
      </c>
      <c r="O410">
        <f>IF(OR(E410="",D410=""),"",E410-D410/42)</f>
        <v/>
      </c>
      <c r="P410">
        <f>IF(L410="",M410/100,H410*L410/100)</f>
        <v/>
      </c>
      <c r="Q410">
        <f>H410-C410/42-P410</f>
        <v/>
      </c>
      <c r="R410">
        <f>H410-E410</f>
        <v/>
      </c>
    </row>
    <row r="411">
      <c r="A411" s="3" t="n">
        <v>41218</v>
      </c>
      <c r="B411" s="3" t="n">
        <v>41215</v>
      </c>
      <c r="C411" t="n">
        <v>85.87</v>
      </c>
      <c r="D411" t="n">
        <v>108.85</v>
      </c>
      <c r="E411" t="n">
        <v>2.453</v>
      </c>
      <c r="F411" t="n">
        <v>2.73</v>
      </c>
      <c r="G411" t="n">
        <v>2.691</v>
      </c>
      <c r="H411" t="n">
        <v>3.492</v>
      </c>
      <c r="J411" t="n">
        <v>3.611</v>
      </c>
      <c r="K411" t="n">
        <v>3.996</v>
      </c>
      <c r="L411" t="n">
        <v>12.1</v>
      </c>
      <c r="N411">
        <f>IF(OR(E411="",C411=""),"",E411-C411/42)</f>
        <v/>
      </c>
      <c r="O411">
        <f>IF(OR(E411="",D411=""),"",E411-D411/42)</f>
        <v/>
      </c>
      <c r="P411">
        <f>IF(L411="",M411/100,H411*L411/100)</f>
        <v/>
      </c>
      <c r="Q411">
        <f>H411-C411/42-P411</f>
        <v/>
      </c>
      <c r="R411">
        <f>H411-E411</f>
        <v/>
      </c>
    </row>
    <row r="412">
      <c r="A412" s="3" t="n">
        <v>41225</v>
      </c>
      <c r="B412" s="3" t="n">
        <v>41222</v>
      </c>
      <c r="C412" t="n">
        <v>85.98</v>
      </c>
      <c r="D412" t="n">
        <v>107.78</v>
      </c>
      <c r="E412" t="n">
        <v>2.511</v>
      </c>
      <c r="F412" t="n">
        <v>2.81</v>
      </c>
      <c r="G412" t="n">
        <v>2.784</v>
      </c>
      <c r="H412" t="n">
        <v>3.449</v>
      </c>
      <c r="J412" t="n">
        <v>3.559</v>
      </c>
      <c r="K412" t="n">
        <v>3.858</v>
      </c>
      <c r="L412" t="n">
        <v>12.1</v>
      </c>
      <c r="N412">
        <f>IF(OR(E412="",C412=""),"",E412-C412/42)</f>
        <v/>
      </c>
      <c r="O412">
        <f>IF(OR(E412="",D412=""),"",E412-D412/42)</f>
        <v/>
      </c>
      <c r="P412">
        <f>IF(L412="",M412/100,H412*L412/100)</f>
        <v/>
      </c>
      <c r="Q412">
        <f>H412-C412/42-P412</f>
        <v/>
      </c>
      <c r="R412">
        <f>H412-E412</f>
        <v/>
      </c>
    </row>
    <row r="413">
      <c r="A413" s="3" t="n">
        <v>41232</v>
      </c>
      <c r="B413" s="3" t="n">
        <v>41229</v>
      </c>
      <c r="C413" t="n">
        <v>85.87</v>
      </c>
      <c r="D413" t="n">
        <v>109.12</v>
      </c>
      <c r="E413" t="n">
        <v>2.514</v>
      </c>
      <c r="F413" t="n">
        <v>2.921</v>
      </c>
      <c r="G413" t="n">
        <v>2.805</v>
      </c>
      <c r="H413" t="n">
        <v>3.429</v>
      </c>
      <c r="J413" t="n">
        <v>3.509</v>
      </c>
      <c r="K413" t="n">
        <v>3.783</v>
      </c>
      <c r="L413" t="n">
        <v>12.1</v>
      </c>
      <c r="N413">
        <f>IF(OR(E413="",C413=""),"",E413-C413/42)</f>
        <v/>
      </c>
      <c r="O413">
        <f>IF(OR(E413="",D413=""),"",E413-D413/42)</f>
        <v/>
      </c>
      <c r="P413">
        <f>IF(L413="",M413/100,H413*L413/100)</f>
        <v/>
      </c>
      <c r="Q413">
        <f>H413-C413/42-P413</f>
        <v/>
      </c>
      <c r="R413">
        <f>H413-E413</f>
        <v/>
      </c>
    </row>
    <row r="414">
      <c r="A414" s="3" t="n">
        <v>41239</v>
      </c>
      <c r="B414" s="3" t="n">
        <v>41236</v>
      </c>
      <c r="C414" t="n">
        <v>87.40000000000001</v>
      </c>
      <c r="D414" t="n">
        <v>110.26</v>
      </c>
      <c r="E414" t="n">
        <v>2.589</v>
      </c>
      <c r="F414" t="n">
        <v>2.818</v>
      </c>
      <c r="G414" t="n">
        <v>2.829</v>
      </c>
      <c r="H414" t="n">
        <v>3.437</v>
      </c>
      <c r="J414" t="n">
        <v>3.473</v>
      </c>
      <c r="K414" t="n">
        <v>3.747</v>
      </c>
      <c r="L414" t="n">
        <v>12.1</v>
      </c>
      <c r="N414">
        <f>IF(OR(E414="",C414=""),"",E414-C414/42)</f>
        <v/>
      </c>
      <c r="O414">
        <f>IF(OR(E414="",D414=""),"",E414-D414/42)</f>
        <v/>
      </c>
      <c r="P414">
        <f>IF(L414="",M414/100,H414*L414/100)</f>
        <v/>
      </c>
      <c r="Q414">
        <f>H414-C414/42-P414</f>
        <v/>
      </c>
      <c r="R414">
        <f>H414-E414</f>
        <v/>
      </c>
    </row>
    <row r="415">
      <c r="A415" s="3" t="n">
        <v>41246</v>
      </c>
      <c r="B415" s="3" t="n">
        <v>41243</v>
      </c>
      <c r="C415" t="n">
        <v>87.27</v>
      </c>
      <c r="D415" t="n">
        <v>109.82</v>
      </c>
      <c r="E415" t="n">
        <v>2.525</v>
      </c>
      <c r="F415" t="n">
        <v>2.789</v>
      </c>
      <c r="G415" t="n">
        <v>2.81</v>
      </c>
      <c r="H415" t="n">
        <v>3.394</v>
      </c>
      <c r="J415" t="n">
        <v>3.405</v>
      </c>
      <c r="K415" t="n">
        <v>3.696</v>
      </c>
      <c r="L415" t="n">
        <v>12.6</v>
      </c>
      <c r="N415">
        <f>IF(OR(E415="",C415=""),"",E415-C415/42)</f>
        <v/>
      </c>
      <c r="O415">
        <f>IF(OR(E415="",D415=""),"",E415-D415/42)</f>
        <v/>
      </c>
      <c r="P415">
        <f>IF(L415="",M415/100,H415*L415/100)</f>
        <v/>
      </c>
      <c r="Q415">
        <f>H415-C415/42-P415</f>
        <v/>
      </c>
      <c r="R415">
        <f>H415-E415</f>
        <v/>
      </c>
    </row>
    <row r="416">
      <c r="A416" s="3" t="n">
        <v>41253</v>
      </c>
      <c r="B416" s="3" t="n">
        <v>41250</v>
      </c>
      <c r="C416" t="n">
        <v>87</v>
      </c>
      <c r="D416" t="n">
        <v>109.08</v>
      </c>
      <c r="E416" t="n">
        <v>2.455</v>
      </c>
      <c r="F416" t="n">
        <v>2.681</v>
      </c>
      <c r="G416" t="n">
        <v>2.593</v>
      </c>
      <c r="H416" t="n">
        <v>3.349</v>
      </c>
      <c r="J416" t="n">
        <v>3.328</v>
      </c>
      <c r="K416" t="n">
        <v>3.619</v>
      </c>
      <c r="L416" t="n">
        <v>12.6</v>
      </c>
      <c r="N416">
        <f>IF(OR(E416="",C416=""),"",E416-C416/42)</f>
        <v/>
      </c>
      <c r="O416">
        <f>IF(OR(E416="",D416=""),"",E416-D416/42)</f>
        <v/>
      </c>
      <c r="P416">
        <f>IF(L416="",M416/100,H416*L416/100)</f>
        <v/>
      </c>
      <c r="Q416">
        <f>H416-C416/42-P416</f>
        <v/>
      </c>
      <c r="R416">
        <f>H416-E416</f>
        <v/>
      </c>
    </row>
    <row r="417">
      <c r="A417" s="3" t="n">
        <v>41260</v>
      </c>
      <c r="B417" s="3" t="n">
        <v>41257</v>
      </c>
      <c r="C417" t="n">
        <v>85.70999999999999</v>
      </c>
      <c r="D417" t="n">
        <v>109.1</v>
      </c>
      <c r="E417" t="n">
        <v>2.344</v>
      </c>
      <c r="F417" t="n">
        <v>2.645</v>
      </c>
      <c r="G417" t="n">
        <v>2.515</v>
      </c>
      <c r="H417" t="n">
        <v>3.254</v>
      </c>
      <c r="J417" t="n">
        <v>3.211</v>
      </c>
      <c r="K417" t="n">
        <v>3.525</v>
      </c>
      <c r="L417" t="n">
        <v>12.6</v>
      </c>
      <c r="N417">
        <f>IF(OR(E417="",C417=""),"",E417-C417/42)</f>
        <v/>
      </c>
      <c r="O417">
        <f>IF(OR(E417="",D417=""),"",E417-D417/42)</f>
        <v/>
      </c>
      <c r="P417">
        <f>IF(L417="",M417/100,H417*L417/100)</f>
        <v/>
      </c>
      <c r="Q417">
        <f>H417-C417/42-P417</f>
        <v/>
      </c>
      <c r="R417">
        <f>H417-E417</f>
        <v/>
      </c>
    </row>
    <row r="418">
      <c r="A418" s="3" t="n">
        <v>41267</v>
      </c>
      <c r="B418" s="3" t="n">
        <v>41264</v>
      </c>
      <c r="C418" t="n">
        <v>88.23999999999999</v>
      </c>
      <c r="D418" t="n">
        <v>109.79</v>
      </c>
      <c r="E418" t="n">
        <v>2.489</v>
      </c>
      <c r="F418" t="n">
        <v>2.755</v>
      </c>
      <c r="G418" t="n">
        <v>2.553</v>
      </c>
      <c r="H418" t="n">
        <v>3.257</v>
      </c>
      <c r="J418" t="n">
        <v>3.096</v>
      </c>
      <c r="K418" t="n">
        <v>3.506</v>
      </c>
      <c r="L418" t="n">
        <v>12.6</v>
      </c>
      <c r="N418">
        <f>IF(OR(E418="",C418=""),"",E418-C418/42)</f>
        <v/>
      </c>
      <c r="O418">
        <f>IF(OR(E418="",D418=""),"",E418-D418/42)</f>
        <v/>
      </c>
      <c r="P418">
        <f>IF(L418="",M418/100,H418*L418/100)</f>
        <v/>
      </c>
      <c r="Q418">
        <f>H418-C418/42-P418</f>
        <v/>
      </c>
      <c r="R418">
        <f>H418-E418</f>
        <v/>
      </c>
    </row>
    <row r="419">
      <c r="A419" s="3" t="n">
        <v>41274</v>
      </c>
      <c r="B419" s="3" t="n">
        <v>41271</v>
      </c>
      <c r="C419" t="n">
        <v>90.14</v>
      </c>
      <c r="D419" t="n">
        <v>109.81</v>
      </c>
      <c r="E419" t="n">
        <v>2.613</v>
      </c>
      <c r="F419" t="n">
        <v>2.827</v>
      </c>
      <c r="G419" t="n">
        <v>2.798</v>
      </c>
      <c r="H419" t="n">
        <v>3.298</v>
      </c>
      <c r="J419" t="n">
        <v>3.016</v>
      </c>
      <c r="K419" t="n">
        <v>3.554</v>
      </c>
      <c r="L419" t="n">
        <v>12.6</v>
      </c>
      <c r="N419">
        <f>IF(OR(E419="",C419=""),"",E419-C419/42)</f>
        <v/>
      </c>
      <c r="O419">
        <f>IF(OR(E419="",D419=""),"",E419-D419/42)</f>
        <v/>
      </c>
      <c r="P419">
        <f>IF(L419="",M419/100,H419*L419/100)</f>
        <v/>
      </c>
      <c r="Q419">
        <f>H419-C419/42-P419</f>
        <v/>
      </c>
      <c r="R419">
        <f>H419-E419</f>
        <v/>
      </c>
    </row>
    <row r="420">
      <c r="A420" s="3" t="n">
        <v>41281</v>
      </c>
      <c r="B420" s="3" t="n">
        <v>41278</v>
      </c>
      <c r="C420" t="n">
        <v>92.77</v>
      </c>
      <c r="D420" t="n">
        <v>112.35</v>
      </c>
      <c r="E420" t="n">
        <v>2.643</v>
      </c>
      <c r="F420" t="n">
        <v>2.814</v>
      </c>
      <c r="G420" t="n">
        <v>2.808</v>
      </c>
      <c r="H420" t="n">
        <v>3.299</v>
      </c>
      <c r="J420" t="n">
        <v>2.935</v>
      </c>
      <c r="K420" t="n">
        <v>3.605</v>
      </c>
      <c r="L420" t="n">
        <v>12.6</v>
      </c>
      <c r="N420">
        <f>IF(OR(E420="",C420=""),"",E420-C420/42)</f>
        <v/>
      </c>
      <c r="O420">
        <f>IF(OR(E420="",D420=""),"",E420-D420/42)</f>
        <v/>
      </c>
      <c r="P420">
        <f>IF(L420="",M420/100,H420*L420/100)</f>
        <v/>
      </c>
      <c r="Q420">
        <f>H420-C420/42-P420</f>
        <v/>
      </c>
      <c r="R420">
        <f>H420-E420</f>
        <v/>
      </c>
    </row>
    <row r="421">
      <c r="A421" s="3" t="n">
        <v>41288</v>
      </c>
      <c r="B421" s="3" t="n">
        <v>41285</v>
      </c>
      <c r="C421" t="n">
        <v>93.38</v>
      </c>
      <c r="D421" t="n">
        <v>112.37</v>
      </c>
      <c r="E421" t="n">
        <v>2.646</v>
      </c>
      <c r="F421" t="n">
        <v>2.809</v>
      </c>
      <c r="G421" t="n">
        <v>2.769</v>
      </c>
      <c r="H421" t="n">
        <v>3.303</v>
      </c>
      <c r="J421" t="n">
        <v>2.867</v>
      </c>
      <c r="K421" t="n">
        <v>3.615</v>
      </c>
      <c r="L421" t="n">
        <v>12.6</v>
      </c>
      <c r="N421">
        <f>IF(OR(E421="",C421=""),"",E421-C421/42)</f>
        <v/>
      </c>
      <c r="O421">
        <f>IF(OR(E421="",D421=""),"",E421-D421/42)</f>
        <v/>
      </c>
      <c r="P421">
        <f>IF(L421="",M421/100,H421*L421/100)</f>
        <v/>
      </c>
      <c r="Q421">
        <f>H421-C421/42-P421</f>
        <v/>
      </c>
      <c r="R421">
        <f>H421-E421</f>
        <v/>
      </c>
    </row>
    <row r="422">
      <c r="A422" s="3" t="n">
        <v>41295</v>
      </c>
      <c r="B422" s="3" t="n">
        <v>41292</v>
      </c>
      <c r="C422" t="n">
        <v>94.58</v>
      </c>
      <c r="D422" t="n">
        <v>111.35</v>
      </c>
      <c r="E422" t="n">
        <v>2.606</v>
      </c>
      <c r="F422" t="n">
        <v>2.77</v>
      </c>
      <c r="G422" t="n">
        <v>2.765</v>
      </c>
      <c r="H422" t="n">
        <v>3.315</v>
      </c>
      <c r="J422" t="n">
        <v>2.88</v>
      </c>
      <c r="K422" t="n">
        <v>3.63</v>
      </c>
      <c r="L422" t="n">
        <v>12.6</v>
      </c>
      <c r="N422">
        <f>IF(OR(E422="",C422=""),"",E422-C422/42)</f>
        <v/>
      </c>
      <c r="O422">
        <f>IF(OR(E422="",D422=""),"",E422-D422/42)</f>
        <v/>
      </c>
      <c r="P422">
        <f>IF(L422="",M422/100,H422*L422/100)</f>
        <v/>
      </c>
      <c r="Q422">
        <f>H422-C422/42-P422</f>
        <v/>
      </c>
      <c r="R422">
        <f>H422-E422</f>
        <v/>
      </c>
    </row>
    <row r="423">
      <c r="A423" s="3" t="n">
        <v>41302</v>
      </c>
      <c r="B423" s="3" t="n">
        <v>41299</v>
      </c>
      <c r="C423" t="n">
        <v>95.41</v>
      </c>
      <c r="D423" t="n">
        <v>113.72</v>
      </c>
      <c r="E423" t="n">
        <v>2.669</v>
      </c>
      <c r="F423" t="n">
        <v>2.88</v>
      </c>
      <c r="G423" t="n">
        <v>2.948</v>
      </c>
      <c r="H423" t="n">
        <v>3.357</v>
      </c>
      <c r="J423" t="n">
        <v>2.981</v>
      </c>
      <c r="K423" t="n">
        <v>3.676</v>
      </c>
      <c r="L423" t="n">
        <v>12.6</v>
      </c>
      <c r="N423">
        <f>IF(OR(E423="",C423=""),"",E423-C423/42)</f>
        <v/>
      </c>
      <c r="O423">
        <f>IF(OR(E423="",D423=""),"",E423-D423/42)</f>
        <v/>
      </c>
      <c r="P423">
        <f>IF(L423="",M423/100,H423*L423/100)</f>
        <v/>
      </c>
      <c r="Q423">
        <f>H423-C423/42-P423</f>
        <v/>
      </c>
      <c r="R423">
        <f>H423-E423</f>
        <v/>
      </c>
    </row>
    <row r="424">
      <c r="A424" s="3" t="n">
        <v>41309</v>
      </c>
      <c r="B424" s="3" t="n">
        <v>41306</v>
      </c>
      <c r="C424" t="n">
        <v>97.33</v>
      </c>
      <c r="D424" t="n">
        <v>115.13</v>
      </c>
      <c r="E424" t="n">
        <v>2.804</v>
      </c>
      <c r="F424" t="n">
        <v>3.032</v>
      </c>
      <c r="G424" t="n">
        <v>3.279</v>
      </c>
      <c r="H424" t="n">
        <v>3.538</v>
      </c>
      <c r="J424" t="n">
        <v>3.144</v>
      </c>
      <c r="K424" t="n">
        <v>3.904</v>
      </c>
      <c r="L424" t="n">
        <v>11.4</v>
      </c>
      <c r="N424">
        <f>IF(OR(E424="",C424=""),"",E424-C424/42)</f>
        <v/>
      </c>
      <c r="O424">
        <f>IF(OR(E424="",D424=""),"",E424-D424/42)</f>
        <v/>
      </c>
      <c r="P424">
        <f>IF(L424="",M424/100,H424*L424/100)</f>
        <v/>
      </c>
      <c r="Q424">
        <f>H424-C424/42-P424</f>
        <v/>
      </c>
      <c r="R424">
        <f>H424-E424</f>
        <v/>
      </c>
    </row>
    <row r="425">
      <c r="A425" s="3" t="n">
        <v>41316</v>
      </c>
      <c r="B425" s="3" t="n">
        <v>41313</v>
      </c>
      <c r="C425" t="n">
        <v>96.18000000000001</v>
      </c>
      <c r="D425" t="n">
        <v>117.15</v>
      </c>
      <c r="E425" t="n">
        <v>2.828</v>
      </c>
      <c r="F425" t="n">
        <v>3.057</v>
      </c>
      <c r="G425" t="n">
        <v>3.352</v>
      </c>
      <c r="H425" t="n">
        <v>3.611</v>
      </c>
      <c r="J425" t="n">
        <v>3.274</v>
      </c>
      <c r="K425" t="n">
        <v>4.044</v>
      </c>
      <c r="L425" t="n">
        <v>11.4</v>
      </c>
      <c r="N425">
        <f>IF(OR(E425="",C425=""),"",E425-C425/42)</f>
        <v/>
      </c>
      <c r="O425">
        <f>IF(OR(E425="",D425=""),"",E425-D425/42)</f>
        <v/>
      </c>
      <c r="P425">
        <f>IF(L425="",M425/100,H425*L425/100)</f>
        <v/>
      </c>
      <c r="Q425">
        <f>H425-C425/42-P425</f>
        <v/>
      </c>
      <c r="R425">
        <f>H425-E425</f>
        <v/>
      </c>
    </row>
    <row r="426">
      <c r="A426" s="3" t="n">
        <v>41323</v>
      </c>
      <c r="B426" s="3" t="n">
        <v>41320</v>
      </c>
      <c r="C426" t="n">
        <v>96.95</v>
      </c>
      <c r="D426" t="n">
        <v>118.1</v>
      </c>
      <c r="E426" t="n">
        <v>2.967</v>
      </c>
      <c r="F426" t="n">
        <v>3.088</v>
      </c>
      <c r="G426" t="n">
        <v>3.368</v>
      </c>
      <c r="H426" t="n">
        <v>3.747</v>
      </c>
      <c r="J426" t="n">
        <v>3.409</v>
      </c>
      <c r="K426" t="n">
        <v>4.154</v>
      </c>
      <c r="L426" t="n">
        <v>11.4</v>
      </c>
      <c r="N426">
        <f>IF(OR(E426="",C426=""),"",E426-C426/42)</f>
        <v/>
      </c>
      <c r="O426">
        <f>IF(OR(E426="",D426=""),"",E426-D426/42)</f>
        <v/>
      </c>
      <c r="P426">
        <f>IF(L426="",M426/100,H426*L426/100)</f>
        <v/>
      </c>
      <c r="Q426">
        <f>H426-C426/42-P426</f>
        <v/>
      </c>
      <c r="R426">
        <f>H426-E426</f>
        <v/>
      </c>
    </row>
    <row r="427">
      <c r="A427" s="3" t="n">
        <v>41330</v>
      </c>
      <c r="B427" s="3" t="n">
        <v>41327</v>
      </c>
      <c r="C427" t="n">
        <v>94.38</v>
      </c>
      <c r="D427" t="n">
        <v>115.3</v>
      </c>
      <c r="E427" t="n">
        <v>3.04</v>
      </c>
      <c r="F427" t="n">
        <v>3.092</v>
      </c>
      <c r="G427" t="n">
        <v>3.371</v>
      </c>
      <c r="H427" t="n">
        <v>3.784</v>
      </c>
      <c r="J427" t="n">
        <v>3.471</v>
      </c>
      <c r="K427" t="n">
        <v>4.211</v>
      </c>
      <c r="L427" t="n">
        <v>11.4</v>
      </c>
      <c r="N427">
        <f>IF(OR(E427="",C427=""),"",E427-C427/42)</f>
        <v/>
      </c>
      <c r="O427">
        <f>IF(OR(E427="",D427=""),"",E427-D427/42)</f>
        <v/>
      </c>
      <c r="P427">
        <f>IF(L427="",M427/100,H427*L427/100)</f>
        <v/>
      </c>
      <c r="Q427">
        <f>H427-C427/42-P427</f>
        <v/>
      </c>
      <c r="R427">
        <f>H427-E427</f>
        <v/>
      </c>
    </row>
    <row r="428">
      <c r="A428" s="3" t="n">
        <v>41337</v>
      </c>
      <c r="B428" s="3" t="n">
        <v>41334</v>
      </c>
      <c r="C428" t="n">
        <v>92.19</v>
      </c>
      <c r="D428" t="n">
        <v>112.42</v>
      </c>
      <c r="E428" t="n">
        <v>2.924</v>
      </c>
      <c r="F428" t="n">
        <v>2.992</v>
      </c>
      <c r="G428" t="n">
        <v>3.186</v>
      </c>
      <c r="H428" t="n">
        <v>3.759</v>
      </c>
      <c r="J428" t="n">
        <v>3.476</v>
      </c>
      <c r="K428" t="n">
        <v>4.212</v>
      </c>
      <c r="L428" t="n">
        <v>11.3</v>
      </c>
      <c r="N428">
        <f>IF(OR(E428="",C428=""),"",E428-C428/42)</f>
        <v/>
      </c>
      <c r="O428">
        <f>IF(OR(E428="",D428=""),"",E428-D428/42)</f>
        <v/>
      </c>
      <c r="P428">
        <f>IF(L428="",M428/100,H428*L428/100)</f>
        <v/>
      </c>
      <c r="Q428">
        <f>H428-C428/42-P428</f>
        <v/>
      </c>
      <c r="R428">
        <f>H428-E428</f>
        <v/>
      </c>
    </row>
    <row r="429">
      <c r="A429" s="3" t="n">
        <v>41344</v>
      </c>
      <c r="B429" s="3" t="n">
        <v>41341</v>
      </c>
      <c r="C429" t="n">
        <v>91</v>
      </c>
      <c r="D429" t="n">
        <v>109.98</v>
      </c>
      <c r="E429" t="n">
        <v>2.888</v>
      </c>
      <c r="F429" t="n">
        <v>2.913</v>
      </c>
      <c r="G429" t="n">
        <v>3.052</v>
      </c>
      <c r="H429" t="n">
        <v>3.71</v>
      </c>
      <c r="J429" t="n">
        <v>3.469</v>
      </c>
      <c r="K429" t="n">
        <v>4.174</v>
      </c>
      <c r="L429" t="n">
        <v>11.3</v>
      </c>
      <c r="N429">
        <f>IF(OR(E429="",C429=""),"",E429-C429/42)</f>
        <v/>
      </c>
      <c r="O429">
        <f>IF(OR(E429="",D429=""),"",E429-D429/42)</f>
        <v/>
      </c>
      <c r="P429">
        <f>IF(L429="",M429/100,H429*L429/100)</f>
        <v/>
      </c>
      <c r="Q429">
        <f>H429-C429/42-P429</f>
        <v/>
      </c>
      <c r="R429">
        <f>H429-E429</f>
        <v/>
      </c>
    </row>
    <row r="430">
      <c r="A430" s="3" t="n">
        <v>41351</v>
      </c>
      <c r="B430" s="3" t="n">
        <v>41348</v>
      </c>
      <c r="C430" t="n">
        <v>92.7</v>
      </c>
      <c r="D430" t="n">
        <v>108.41</v>
      </c>
      <c r="E430" t="n">
        <v>2.934</v>
      </c>
      <c r="F430" t="n">
        <v>2.909</v>
      </c>
      <c r="G430" t="n">
        <v>3.012</v>
      </c>
      <c r="H430" t="n">
        <v>3.696</v>
      </c>
      <c r="J430" t="n">
        <v>3.469</v>
      </c>
      <c r="K430" t="n">
        <v>4.12</v>
      </c>
      <c r="L430" t="n">
        <v>11.3</v>
      </c>
      <c r="N430">
        <f>IF(OR(E430="",C430=""),"",E430-C430/42)</f>
        <v/>
      </c>
      <c r="O430">
        <f>IF(OR(E430="",D430=""),"",E430-D430/42)</f>
        <v/>
      </c>
      <c r="P430">
        <f>IF(L430="",M430/100,H430*L430/100)</f>
        <v/>
      </c>
      <c r="Q430">
        <f>H430-C430/42-P430</f>
        <v/>
      </c>
      <c r="R430">
        <f>H430-E430</f>
        <v/>
      </c>
    </row>
    <row r="431">
      <c r="A431" s="3" t="n">
        <v>41358</v>
      </c>
      <c r="B431" s="3" t="n">
        <v>41355</v>
      </c>
      <c r="C431" t="n">
        <v>93.05</v>
      </c>
      <c r="D431" t="n">
        <v>107.33</v>
      </c>
      <c r="E431" t="n">
        <v>2.852</v>
      </c>
      <c r="F431" t="n">
        <v>2.875</v>
      </c>
      <c r="G431" t="n">
        <v>2.969</v>
      </c>
      <c r="H431" t="n">
        <v>3.68</v>
      </c>
      <c r="J431" t="n">
        <v>3.469</v>
      </c>
      <c r="K431" t="n">
        <v>4.069</v>
      </c>
      <c r="L431" t="n">
        <v>11.3</v>
      </c>
      <c r="N431">
        <f>IF(OR(E431="",C431=""),"",E431-C431/42)</f>
        <v/>
      </c>
      <c r="O431">
        <f>IF(OR(E431="",D431=""),"",E431-D431/42)</f>
        <v/>
      </c>
      <c r="P431">
        <f>IF(L431="",M431/100,H431*L431/100)</f>
        <v/>
      </c>
      <c r="Q431">
        <f>H431-C431/42-P431</f>
        <v/>
      </c>
      <c r="R431">
        <f>H431-E431</f>
        <v/>
      </c>
    </row>
    <row r="432">
      <c r="A432" s="3" t="n">
        <v>41365</v>
      </c>
      <c r="B432" s="3" t="n">
        <v>41362</v>
      </c>
      <c r="C432" t="n">
        <v>96.08</v>
      </c>
      <c r="D432" t="n">
        <v>107.68</v>
      </c>
      <c r="E432" t="n">
        <v>2.886</v>
      </c>
      <c r="F432" t="n">
        <v>2.911</v>
      </c>
      <c r="G432" t="n">
        <v>3.086</v>
      </c>
      <c r="H432" t="n">
        <v>3.645</v>
      </c>
      <c r="J432" t="n">
        <v>3.497</v>
      </c>
      <c r="K432" t="n">
        <v>4.053</v>
      </c>
      <c r="L432" t="n">
        <v>11.7</v>
      </c>
      <c r="N432">
        <f>IF(OR(E432="",C432=""),"",E432-C432/42)</f>
        <v/>
      </c>
      <c r="O432">
        <f>IF(OR(E432="",D432=""),"",E432-D432/42)</f>
        <v/>
      </c>
      <c r="P432">
        <f>IF(L432="",M432/100,H432*L432/100)</f>
        <v/>
      </c>
      <c r="Q432">
        <f>H432-C432/42-P432</f>
        <v/>
      </c>
      <c r="R432">
        <f>H432-E432</f>
        <v/>
      </c>
    </row>
    <row r="433">
      <c r="A433" s="3" t="n">
        <v>41372</v>
      </c>
      <c r="B433" s="3" t="n">
        <v>41369</v>
      </c>
      <c r="C433" t="n">
        <v>95.06999999999999</v>
      </c>
      <c r="D433" t="n">
        <v>107.06</v>
      </c>
      <c r="E433" t="n">
        <v>2.725</v>
      </c>
      <c r="F433" t="n">
        <v>2.758</v>
      </c>
      <c r="G433" t="n">
        <v>2.979</v>
      </c>
      <c r="H433" t="n">
        <v>3.608</v>
      </c>
      <c r="J433" t="n">
        <v>3.523</v>
      </c>
      <c r="K433" t="n">
        <v>4.033</v>
      </c>
      <c r="L433" t="n">
        <v>11.7</v>
      </c>
      <c r="N433">
        <f>IF(OR(E433="",C433=""),"",E433-C433/42)</f>
        <v/>
      </c>
      <c r="O433">
        <f>IF(OR(E433="",D433=""),"",E433-D433/42)</f>
        <v/>
      </c>
      <c r="P433">
        <f>IF(L433="",M433/100,H433*L433/100)</f>
        <v/>
      </c>
      <c r="Q433">
        <f>H433-C433/42-P433</f>
        <v/>
      </c>
      <c r="R433">
        <f>H433-E433</f>
        <v/>
      </c>
    </row>
    <row r="434">
      <c r="A434" s="3" t="n">
        <v>41379</v>
      </c>
      <c r="B434" s="3" t="n">
        <v>41376</v>
      </c>
      <c r="C434" t="n">
        <v>93.36</v>
      </c>
      <c r="D434" t="n">
        <v>103.25</v>
      </c>
      <c r="E434" t="n">
        <v>2.678</v>
      </c>
      <c r="F434" t="n">
        <v>2.677</v>
      </c>
      <c r="G434" t="n">
        <v>2.928</v>
      </c>
      <c r="H434" t="n">
        <v>3.542</v>
      </c>
      <c r="J434" t="n">
        <v>3.507</v>
      </c>
      <c r="K434" t="n">
        <v>3.992</v>
      </c>
      <c r="L434" t="n">
        <v>11.7</v>
      </c>
      <c r="N434">
        <f>IF(OR(E434="",C434=""),"",E434-C434/42)</f>
        <v/>
      </c>
      <c r="O434">
        <f>IF(OR(E434="",D434=""),"",E434-D434/42)</f>
        <v/>
      </c>
      <c r="P434">
        <f>IF(L434="",M434/100,H434*L434/100)</f>
        <v/>
      </c>
      <c r="Q434">
        <f>H434-C434/42-P434</f>
        <v/>
      </c>
      <c r="R434">
        <f>H434-E434</f>
        <v/>
      </c>
    </row>
    <row r="435">
      <c r="A435" s="3" t="n">
        <v>41386</v>
      </c>
      <c r="B435" s="3" t="n">
        <v>41383</v>
      </c>
      <c r="C435" t="n">
        <v>88</v>
      </c>
      <c r="D435" t="n">
        <v>98.09</v>
      </c>
      <c r="E435" t="n">
        <v>2.658</v>
      </c>
      <c r="F435" t="n">
        <v>2.691</v>
      </c>
      <c r="G435" t="n">
        <v>2.852</v>
      </c>
      <c r="H435" t="n">
        <v>3.536</v>
      </c>
      <c r="J435" t="n">
        <v>3.488</v>
      </c>
      <c r="K435" t="n">
        <v>3.934</v>
      </c>
      <c r="L435" t="n">
        <v>11.7</v>
      </c>
      <c r="N435">
        <f>IF(OR(E435="",C435=""),"",E435-C435/42)</f>
        <v/>
      </c>
      <c r="O435">
        <f>IF(OR(E435="",D435=""),"",E435-D435/42)</f>
        <v/>
      </c>
      <c r="P435">
        <f>IF(L435="",M435/100,H435*L435/100)</f>
        <v/>
      </c>
      <c r="Q435">
        <f>H435-C435/42-P435</f>
        <v/>
      </c>
      <c r="R435">
        <f>H435-E435</f>
        <v/>
      </c>
    </row>
    <row r="436">
      <c r="A436" s="3" t="n">
        <v>41393</v>
      </c>
      <c r="B436" s="3" t="n">
        <v>41390</v>
      </c>
      <c r="C436" t="n">
        <v>91</v>
      </c>
      <c r="D436" t="n">
        <v>100.61</v>
      </c>
      <c r="E436" t="n">
        <v>2.674</v>
      </c>
      <c r="F436" t="n">
        <v>2.691</v>
      </c>
      <c r="G436" t="n">
        <v>2.867</v>
      </c>
      <c r="H436" t="n">
        <v>3.52</v>
      </c>
      <c r="J436" t="n">
        <v>3.484</v>
      </c>
      <c r="K436" t="n">
        <v>3.905</v>
      </c>
      <c r="L436" t="n">
        <v>11.7</v>
      </c>
      <c r="N436">
        <f>IF(OR(E436="",C436=""),"",E436-C436/42)</f>
        <v/>
      </c>
      <c r="O436">
        <f>IF(OR(E436="",D436=""),"",E436-D436/42)</f>
        <v/>
      </c>
      <c r="P436">
        <f>IF(L436="",M436/100,H436*L436/100)</f>
        <v/>
      </c>
      <c r="Q436">
        <f>H436-C436/42-P436</f>
        <v/>
      </c>
      <c r="R436">
        <f>H436-E436</f>
        <v/>
      </c>
    </row>
    <row r="437">
      <c r="A437" s="3" t="n">
        <v>41400</v>
      </c>
      <c r="B437" s="3" t="n">
        <v>41397</v>
      </c>
      <c r="C437" t="n">
        <v>93.40000000000001</v>
      </c>
      <c r="D437" t="n">
        <v>101.53</v>
      </c>
      <c r="E437" t="n">
        <v>2.683</v>
      </c>
      <c r="F437" t="n">
        <v>2.699</v>
      </c>
      <c r="G437" t="n">
        <v>2.908</v>
      </c>
      <c r="H437" t="n">
        <v>3.538</v>
      </c>
      <c r="J437" t="n">
        <v>3.491</v>
      </c>
      <c r="K437" t="n">
        <v>3.911</v>
      </c>
      <c r="L437" t="n">
        <v>11.6</v>
      </c>
      <c r="N437">
        <f>IF(OR(E437="",C437=""),"",E437-C437/42)</f>
        <v/>
      </c>
      <c r="O437">
        <f>IF(OR(E437="",D437=""),"",E437-D437/42)</f>
        <v/>
      </c>
      <c r="P437">
        <f>IF(L437="",M437/100,H437*L437/100)</f>
        <v/>
      </c>
      <c r="Q437">
        <f>H437-C437/42-P437</f>
        <v/>
      </c>
      <c r="R437">
        <f>H437-E437</f>
        <v/>
      </c>
    </row>
    <row r="438">
      <c r="A438" s="3" t="n">
        <v>41407</v>
      </c>
      <c r="B438" s="3" t="n">
        <v>41404</v>
      </c>
      <c r="C438" t="n">
        <v>95.84</v>
      </c>
      <c r="D438" t="n">
        <v>103.77</v>
      </c>
      <c r="E438" t="n">
        <v>2.755</v>
      </c>
      <c r="F438" t="n">
        <v>2.767</v>
      </c>
      <c r="G438" t="n">
        <v>3.21</v>
      </c>
      <c r="H438" t="n">
        <v>3.603</v>
      </c>
      <c r="J438" t="n">
        <v>3.56</v>
      </c>
      <c r="K438" t="n">
        <v>4.04</v>
      </c>
      <c r="L438" t="n">
        <v>11.6</v>
      </c>
      <c r="N438">
        <f>IF(OR(E438="",C438=""),"",E438-C438/42)</f>
        <v/>
      </c>
      <c r="O438">
        <f>IF(OR(E438="",D438=""),"",E438-D438/42)</f>
        <v/>
      </c>
      <c r="P438">
        <f>IF(L438="",M438/100,H438*L438/100)</f>
        <v/>
      </c>
      <c r="Q438">
        <f>H438-C438/42-P438</f>
        <v/>
      </c>
      <c r="R438">
        <f>H438-E438</f>
        <v/>
      </c>
    </row>
    <row r="439">
      <c r="A439" s="3" t="n">
        <v>41414</v>
      </c>
      <c r="B439" s="3" t="n">
        <v>41411</v>
      </c>
      <c r="C439" t="n">
        <v>94.65000000000001</v>
      </c>
      <c r="D439" t="n">
        <v>102.91</v>
      </c>
      <c r="E439" t="n">
        <v>2.758</v>
      </c>
      <c r="F439" t="n">
        <v>2.777</v>
      </c>
      <c r="G439" t="n">
        <v>3.054</v>
      </c>
      <c r="H439" t="n">
        <v>3.673</v>
      </c>
      <c r="J439" t="n">
        <v>3.672</v>
      </c>
      <c r="K439" t="n">
        <v>4.048</v>
      </c>
      <c r="L439" t="n">
        <v>11.6</v>
      </c>
      <c r="N439">
        <f>IF(OR(E439="",C439=""),"",E439-C439/42)</f>
        <v/>
      </c>
      <c r="O439">
        <f>IF(OR(E439="",D439=""),"",E439-D439/42)</f>
        <v/>
      </c>
      <c r="P439">
        <f>IF(L439="",M439/100,H439*L439/100)</f>
        <v/>
      </c>
      <c r="Q439">
        <f>H439-C439/42-P439</f>
        <v/>
      </c>
      <c r="R439">
        <f>H439-E439</f>
        <v/>
      </c>
    </row>
    <row r="440">
      <c r="A440" s="3" t="n">
        <v>41421</v>
      </c>
      <c r="B440" s="3" t="n">
        <v>41418</v>
      </c>
      <c r="C440" t="n">
        <v>94.76000000000001</v>
      </c>
      <c r="D440" t="n">
        <v>102.3</v>
      </c>
      <c r="E440" t="n">
        <v>2.681</v>
      </c>
      <c r="F440" t="n">
        <v>2.747</v>
      </c>
      <c r="G440" t="n">
        <v>2.913</v>
      </c>
      <c r="H440" t="n">
        <v>3.645</v>
      </c>
      <c r="J440" t="n">
        <v>3.725</v>
      </c>
      <c r="K440" t="n">
        <v>4.022</v>
      </c>
      <c r="L440" t="n">
        <v>11.6</v>
      </c>
      <c r="N440">
        <f>IF(OR(E440="",C440=""),"",E440-C440/42)</f>
        <v/>
      </c>
      <c r="O440">
        <f>IF(OR(E440="",D440=""),"",E440-D440/42)</f>
        <v/>
      </c>
      <c r="P440">
        <f>IF(L440="",M440/100,H440*L440/100)</f>
        <v/>
      </c>
      <c r="Q440">
        <f>H440-C440/42-P440</f>
        <v/>
      </c>
      <c r="R440">
        <f>H440-E440</f>
        <v/>
      </c>
    </row>
    <row r="441">
      <c r="A441" s="3" t="n">
        <v>41428</v>
      </c>
      <c r="B441" s="3" t="n">
        <v>41425</v>
      </c>
      <c r="C441" t="n">
        <v>93.31999999999999</v>
      </c>
      <c r="D441" t="n">
        <v>102.03</v>
      </c>
      <c r="E441" t="n">
        <v>2.649</v>
      </c>
      <c r="F441" t="n">
        <v>2.707</v>
      </c>
      <c r="G441" t="n">
        <v>2.843</v>
      </c>
      <c r="H441" t="n">
        <v>3.646</v>
      </c>
      <c r="J441" t="n">
        <v>3.729</v>
      </c>
      <c r="K441" t="n">
        <v>3.977</v>
      </c>
      <c r="L441" t="n">
        <v>11.5</v>
      </c>
      <c r="N441">
        <f>IF(OR(E441="",C441=""),"",E441-C441/42)</f>
        <v/>
      </c>
      <c r="O441">
        <f>IF(OR(E441="",D441=""),"",E441-D441/42)</f>
        <v/>
      </c>
      <c r="P441">
        <f>IF(L441="",M441/100,H441*L441/100)</f>
        <v/>
      </c>
      <c r="Q441">
        <f>H441-C441/42-P441</f>
        <v/>
      </c>
      <c r="R441">
        <f>H441-E441</f>
        <v/>
      </c>
    </row>
    <row r="442">
      <c r="A442" s="3" t="n">
        <v>41435</v>
      </c>
      <c r="B442" s="3" t="n">
        <v>41432</v>
      </c>
      <c r="C442" t="n">
        <v>94.25</v>
      </c>
      <c r="D442" t="n">
        <v>102.92</v>
      </c>
      <c r="E442" t="n">
        <v>2.706</v>
      </c>
      <c r="F442" t="n">
        <v>2.752</v>
      </c>
      <c r="G442" t="n">
        <v>2.917</v>
      </c>
      <c r="H442" t="n">
        <v>3.655</v>
      </c>
      <c r="J442" t="n">
        <v>3.72</v>
      </c>
      <c r="K442" t="n">
        <v>3.969</v>
      </c>
      <c r="L442" t="n">
        <v>11.5</v>
      </c>
      <c r="N442">
        <f>IF(OR(E442="",C442=""),"",E442-C442/42)</f>
        <v/>
      </c>
      <c r="O442">
        <f>IF(OR(E442="",D442=""),"",E442-D442/42)</f>
        <v/>
      </c>
      <c r="P442">
        <f>IF(L442="",M442/100,H442*L442/100)</f>
        <v/>
      </c>
      <c r="Q442">
        <f>H442-C442/42-P442</f>
        <v/>
      </c>
      <c r="R442">
        <f>H442-E442</f>
        <v/>
      </c>
    </row>
    <row r="443">
      <c r="A443" s="3" t="n">
        <v>41442</v>
      </c>
      <c r="B443" s="3" t="n">
        <v>41439</v>
      </c>
      <c r="C443" t="n">
        <v>96.36</v>
      </c>
      <c r="D443" t="n">
        <v>103.39</v>
      </c>
      <c r="E443" t="n">
        <v>2.752</v>
      </c>
      <c r="F443" t="n">
        <v>2.786</v>
      </c>
      <c r="G443" t="n">
        <v>3.091</v>
      </c>
      <c r="H443" t="n">
        <v>3.626</v>
      </c>
      <c r="J443" t="n">
        <v>3.688</v>
      </c>
      <c r="K443" t="n">
        <v>3.989</v>
      </c>
      <c r="L443" t="n">
        <v>11.5</v>
      </c>
      <c r="N443">
        <f>IF(OR(E443="",C443=""),"",E443-C443/42)</f>
        <v/>
      </c>
      <c r="O443">
        <f>IF(OR(E443="",D443=""),"",E443-D443/42)</f>
        <v/>
      </c>
      <c r="P443">
        <f>IF(L443="",M443/100,H443*L443/100)</f>
        <v/>
      </c>
      <c r="Q443">
        <f>H443-C443/42-P443</f>
        <v/>
      </c>
      <c r="R443">
        <f>H443-E443</f>
        <v/>
      </c>
    </row>
    <row r="444">
      <c r="A444" s="3" t="n">
        <v>41449</v>
      </c>
      <c r="B444" s="3" t="n">
        <v>41446</v>
      </c>
      <c r="C444" t="n">
        <v>96.65000000000001</v>
      </c>
      <c r="D444" t="n">
        <v>103.93</v>
      </c>
      <c r="E444" t="n">
        <v>2.719</v>
      </c>
      <c r="F444" t="n">
        <v>2.769</v>
      </c>
      <c r="G444" t="n">
        <v>3.183</v>
      </c>
      <c r="H444" t="n">
        <v>3.577</v>
      </c>
      <c r="J444" t="n">
        <v>3.67</v>
      </c>
      <c r="K444" t="n">
        <v>4.075</v>
      </c>
      <c r="L444" t="n">
        <v>11.5</v>
      </c>
      <c r="N444">
        <f>IF(OR(E444="",C444=""),"",E444-C444/42)</f>
        <v/>
      </c>
      <c r="O444">
        <f>IF(OR(E444="",D444=""),"",E444-D444/42)</f>
        <v/>
      </c>
      <c r="P444">
        <f>IF(L444="",M444/100,H444*L444/100)</f>
        <v/>
      </c>
      <c r="Q444">
        <f>H444-C444/42-P444</f>
        <v/>
      </c>
      <c r="R444">
        <f>H444-E444</f>
        <v/>
      </c>
    </row>
    <row r="445">
      <c r="A445" s="3" t="n">
        <v>41456</v>
      </c>
      <c r="B445" s="3" t="n">
        <v>41453</v>
      </c>
      <c r="C445" t="n">
        <v>95.83</v>
      </c>
      <c r="D445" t="n">
        <v>101.43</v>
      </c>
      <c r="E445" t="n">
        <v>2.573</v>
      </c>
      <c r="F445" t="n">
        <v>2.655</v>
      </c>
      <c r="G445" t="n">
        <v>2.891</v>
      </c>
      <c r="H445" t="n">
        <v>3.496</v>
      </c>
      <c r="J445" t="n">
        <v>3.64</v>
      </c>
      <c r="K445" t="n">
        <v>4.002</v>
      </c>
      <c r="L445" t="n">
        <v>11.7</v>
      </c>
      <c r="N445">
        <f>IF(OR(E445="",C445=""),"",E445-C445/42)</f>
        <v/>
      </c>
      <c r="O445">
        <f>IF(OR(E445="",D445=""),"",E445-D445/42)</f>
        <v/>
      </c>
      <c r="P445">
        <f>IF(L445="",M445/100,H445*L445/100)</f>
        <v/>
      </c>
      <c r="Q445">
        <f>H445-C445/42-P445</f>
        <v/>
      </c>
      <c r="R445">
        <f>H445-E445</f>
        <v/>
      </c>
    </row>
    <row r="446">
      <c r="A446" s="3" t="n">
        <v>41463</v>
      </c>
      <c r="B446" s="3" t="n">
        <v>41460</v>
      </c>
      <c r="C446" t="n">
        <v>100.65</v>
      </c>
      <c r="D446" t="n">
        <v>105.18</v>
      </c>
      <c r="E446" t="n">
        <v>2.663</v>
      </c>
      <c r="F446" t="n">
        <v>2.747</v>
      </c>
      <c r="G446" t="n">
        <v>2.932</v>
      </c>
      <c r="H446" t="n">
        <v>3.492</v>
      </c>
      <c r="J446" t="n">
        <v>3.61</v>
      </c>
      <c r="K446" t="n">
        <v>3.985</v>
      </c>
      <c r="L446" t="n">
        <v>11.7</v>
      </c>
      <c r="N446">
        <f>IF(OR(E446="",C446=""),"",E446-C446/42)</f>
        <v/>
      </c>
      <c r="O446">
        <f>IF(OR(E446="",D446=""),"",E446-D446/42)</f>
        <v/>
      </c>
      <c r="P446">
        <f>IF(L446="",M446/100,H446*L446/100)</f>
        <v/>
      </c>
      <c r="Q446">
        <f>H446-C446/42-P446</f>
        <v/>
      </c>
      <c r="R446">
        <f>H446-E446</f>
        <v/>
      </c>
    </row>
    <row r="447">
      <c r="A447" s="3" t="n">
        <v>41470</v>
      </c>
      <c r="B447" s="3" t="n">
        <v>41467</v>
      </c>
      <c r="C447" t="n">
        <v>104.7</v>
      </c>
      <c r="D447" t="n">
        <v>108.26</v>
      </c>
      <c r="E447" t="n">
        <v>2.858</v>
      </c>
      <c r="F447" t="n">
        <v>2.935</v>
      </c>
      <c r="G447" t="n">
        <v>3.138</v>
      </c>
      <c r="H447" t="n">
        <v>3.639</v>
      </c>
      <c r="J447" t="n">
        <v>3.611</v>
      </c>
      <c r="K447" t="n">
        <v>4.015</v>
      </c>
      <c r="L447" t="n">
        <v>11.7</v>
      </c>
      <c r="N447">
        <f>IF(OR(E447="",C447=""),"",E447-C447/42)</f>
        <v/>
      </c>
      <c r="O447">
        <f>IF(OR(E447="",D447=""),"",E447-D447/42)</f>
        <v/>
      </c>
      <c r="P447">
        <f>IF(L447="",M447/100,H447*L447/100)</f>
        <v/>
      </c>
      <c r="Q447">
        <f>H447-C447/42-P447</f>
        <v/>
      </c>
      <c r="R447">
        <f>H447-E447</f>
        <v/>
      </c>
    </row>
    <row r="448">
      <c r="A448" s="3" t="n">
        <v>41477</v>
      </c>
      <c r="B448" s="3" t="n">
        <v>41474</v>
      </c>
      <c r="C448" t="n">
        <v>106.88</v>
      </c>
      <c r="D448" t="n">
        <v>109.41</v>
      </c>
      <c r="E448" t="n">
        <v>2.953</v>
      </c>
      <c r="F448" t="n">
        <v>3.015</v>
      </c>
      <c r="G448" t="n">
        <v>3.172</v>
      </c>
      <c r="H448" t="n">
        <v>3.682</v>
      </c>
      <c r="J448" t="n">
        <v>3.616</v>
      </c>
      <c r="K448" t="n">
        <v>4.036</v>
      </c>
      <c r="L448" t="n">
        <v>11.7</v>
      </c>
      <c r="N448">
        <f>IF(OR(E448="",C448=""),"",E448-C448/42)</f>
        <v/>
      </c>
      <c r="O448">
        <f>IF(OR(E448="",D448=""),"",E448-D448/42)</f>
        <v/>
      </c>
      <c r="P448">
        <f>IF(L448="",M448/100,H448*L448/100)</f>
        <v/>
      </c>
      <c r="Q448">
        <f>H448-C448/42-P448</f>
        <v/>
      </c>
      <c r="R448">
        <f>H448-E448</f>
        <v/>
      </c>
    </row>
    <row r="449">
      <c r="A449" s="3" t="n">
        <v>41484</v>
      </c>
      <c r="B449" s="3" t="n">
        <v>41481</v>
      </c>
      <c r="C449" t="n">
        <v>105.88</v>
      </c>
      <c r="D449" t="n">
        <v>108.4</v>
      </c>
      <c r="E449" t="n">
        <v>2.88</v>
      </c>
      <c r="F449" t="n">
        <v>2.935</v>
      </c>
      <c r="G449" t="n">
        <v>2.979</v>
      </c>
      <c r="H449" t="n">
        <v>3.646</v>
      </c>
      <c r="J449" t="n">
        <v>3.64</v>
      </c>
      <c r="K449" t="n">
        <v>4.002</v>
      </c>
      <c r="L449" t="n">
        <v>11.7</v>
      </c>
      <c r="N449">
        <f>IF(OR(E449="",C449=""),"",E449-C449/42)</f>
        <v/>
      </c>
      <c r="O449">
        <f>IF(OR(E449="",D449=""),"",E449-D449/42)</f>
        <v/>
      </c>
      <c r="P449">
        <f>IF(L449="",M449/100,H449*L449/100)</f>
        <v/>
      </c>
      <c r="Q449">
        <f>H449-C449/42-P449</f>
        <v/>
      </c>
      <c r="R449">
        <f>H449-E449</f>
        <v/>
      </c>
    </row>
    <row r="450">
      <c r="A450" s="3" t="n">
        <v>41491</v>
      </c>
      <c r="B450" s="3" t="n">
        <v>41488</v>
      </c>
      <c r="C450" t="n">
        <v>105.54</v>
      </c>
      <c r="D450" t="n">
        <v>108.61</v>
      </c>
      <c r="E450" t="n">
        <v>2.887</v>
      </c>
      <c r="F450" t="n">
        <v>2.963</v>
      </c>
      <c r="G450" t="n">
        <v>2.946</v>
      </c>
      <c r="H450" t="n">
        <v>3.632</v>
      </c>
      <c r="J450" t="n">
        <v>3.638</v>
      </c>
      <c r="K450" t="n">
        <v>3.95</v>
      </c>
      <c r="L450" t="n">
        <v>11.7</v>
      </c>
      <c r="N450">
        <f>IF(OR(E450="",C450=""),"",E450-C450/42)</f>
        <v/>
      </c>
      <c r="O450">
        <f>IF(OR(E450="",D450=""),"",E450-D450/42)</f>
        <v/>
      </c>
      <c r="P450">
        <f>IF(L450="",M450/100,H450*L450/100)</f>
        <v/>
      </c>
      <c r="Q450">
        <f>H450-C450/42-P450</f>
        <v/>
      </c>
      <c r="R450">
        <f>H450-E450</f>
        <v/>
      </c>
    </row>
    <row r="451">
      <c r="A451" s="3" t="n">
        <v>41498</v>
      </c>
      <c r="B451" s="3" t="n">
        <v>41495</v>
      </c>
      <c r="C451" t="n">
        <v>105.17</v>
      </c>
      <c r="D451" t="n">
        <v>108.56</v>
      </c>
      <c r="E451" t="n">
        <v>2.777</v>
      </c>
      <c r="F451" t="n">
        <v>2.866</v>
      </c>
      <c r="G451" t="n">
        <v>2.803</v>
      </c>
      <c r="H451" t="n">
        <v>3.561</v>
      </c>
      <c r="J451" t="n">
        <v>3.644</v>
      </c>
      <c r="K451" t="n">
        <v>3.901</v>
      </c>
      <c r="L451" t="n">
        <v>11.7</v>
      </c>
      <c r="N451">
        <f>IF(OR(E451="",C451=""),"",E451-C451/42)</f>
        <v/>
      </c>
      <c r="O451">
        <f>IF(OR(E451="",D451=""),"",E451-D451/42)</f>
        <v/>
      </c>
      <c r="P451">
        <f>IF(L451="",M451/100,H451*L451/100)</f>
        <v/>
      </c>
      <c r="Q451">
        <f>H451-C451/42-P451</f>
        <v/>
      </c>
      <c r="R451">
        <f>H451-E451</f>
        <v/>
      </c>
    </row>
    <row r="452">
      <c r="A452" s="3" t="n">
        <v>41505</v>
      </c>
      <c r="B452" s="3" t="n">
        <v>41502</v>
      </c>
      <c r="C452" t="n">
        <v>106.97</v>
      </c>
      <c r="D452" t="n">
        <v>110.73</v>
      </c>
      <c r="E452" t="n">
        <v>2.858</v>
      </c>
      <c r="F452" t="n">
        <v>2.927</v>
      </c>
      <c r="G452" t="n">
        <v>2.848</v>
      </c>
      <c r="H452" t="n">
        <v>3.55</v>
      </c>
      <c r="J452" t="n">
        <v>3.639</v>
      </c>
      <c r="K452" t="n">
        <v>3.83</v>
      </c>
      <c r="L452" t="n">
        <v>11.7</v>
      </c>
      <c r="N452">
        <f>IF(OR(E452="",C452=""),"",E452-C452/42)</f>
        <v/>
      </c>
      <c r="O452">
        <f>IF(OR(E452="",D452=""),"",E452-D452/42)</f>
        <v/>
      </c>
      <c r="P452">
        <f>IF(L452="",M452/100,H452*L452/100)</f>
        <v/>
      </c>
      <c r="Q452">
        <f>H452-C452/42-P452</f>
        <v/>
      </c>
      <c r="R452">
        <f>H452-E452</f>
        <v/>
      </c>
    </row>
    <row r="453">
      <c r="A453" s="3" t="n">
        <v>41512</v>
      </c>
      <c r="B453" s="3" t="n">
        <v>41509</v>
      </c>
      <c r="C453" t="n">
        <v>105.48</v>
      </c>
      <c r="D453" t="n">
        <v>111.12</v>
      </c>
      <c r="E453" t="n">
        <v>2.881</v>
      </c>
      <c r="F453" t="n">
        <v>2.947</v>
      </c>
      <c r="G453" t="n">
        <v>2.769</v>
      </c>
      <c r="H453" t="n">
        <v>3.552</v>
      </c>
      <c r="J453" t="n">
        <v>3.622</v>
      </c>
      <c r="K453" t="n">
        <v>3.802</v>
      </c>
      <c r="L453" t="n">
        <v>11.7</v>
      </c>
      <c r="N453">
        <f>IF(OR(E453="",C453=""),"",E453-C453/42)</f>
        <v/>
      </c>
      <c r="O453">
        <f>IF(OR(E453="",D453=""),"",E453-D453/42)</f>
        <v/>
      </c>
      <c r="P453">
        <f>IF(L453="",M453/100,H453*L453/100)</f>
        <v/>
      </c>
      <c r="Q453">
        <f>H453-C453/42-P453</f>
        <v/>
      </c>
      <c r="R453">
        <f>H453-E453</f>
        <v/>
      </c>
    </row>
    <row r="454">
      <c r="A454" s="3" t="n">
        <v>41519</v>
      </c>
      <c r="B454" s="3" t="n">
        <v>41516</v>
      </c>
      <c r="C454" t="n">
        <v>108.33</v>
      </c>
      <c r="D454" t="n">
        <v>115.32</v>
      </c>
      <c r="E454" t="n">
        <v>2.916</v>
      </c>
      <c r="F454" t="n">
        <v>2.982</v>
      </c>
      <c r="G454" t="n">
        <v>2.838</v>
      </c>
      <c r="H454" t="n">
        <v>3.608</v>
      </c>
      <c r="J454" t="n">
        <v>3.626</v>
      </c>
      <c r="K454" t="n">
        <v>3.822</v>
      </c>
      <c r="L454" t="n">
        <v>11.9</v>
      </c>
      <c r="N454">
        <f>IF(OR(E454="",C454=""),"",E454-C454/42)</f>
        <v/>
      </c>
      <c r="O454">
        <f>IF(OR(E454="",D454=""),"",E454-D454/42)</f>
        <v/>
      </c>
      <c r="P454">
        <f>IF(L454="",M454/100,H454*L454/100)</f>
        <v/>
      </c>
      <c r="Q454">
        <f>H454-C454/42-P454</f>
        <v/>
      </c>
      <c r="R454">
        <f>H454-E454</f>
        <v/>
      </c>
    </row>
    <row r="455">
      <c r="A455" s="3" t="n">
        <v>41526</v>
      </c>
      <c r="B455" s="3" t="n">
        <v>41523</v>
      </c>
      <c r="C455" t="n">
        <v>108.77</v>
      </c>
      <c r="D455" t="n">
        <v>116.03</v>
      </c>
      <c r="E455" t="n">
        <v>2.761</v>
      </c>
      <c r="F455" t="n">
        <v>2.933</v>
      </c>
      <c r="G455" t="n">
        <v>2.928</v>
      </c>
      <c r="H455" t="n">
        <v>3.587</v>
      </c>
      <c r="J455" t="n">
        <v>3.631</v>
      </c>
      <c r="K455" t="n">
        <v>3.899</v>
      </c>
      <c r="L455" t="n">
        <v>11.9</v>
      </c>
      <c r="N455">
        <f>IF(OR(E455="",C455=""),"",E455-C455/42)</f>
        <v/>
      </c>
      <c r="O455">
        <f>IF(OR(E455="",D455=""),"",E455-D455/42)</f>
        <v/>
      </c>
      <c r="P455">
        <f>IF(L455="",M455/100,H455*L455/100)</f>
        <v/>
      </c>
      <c r="Q455">
        <f>H455-C455/42-P455</f>
        <v/>
      </c>
      <c r="R455">
        <f>H455-E455</f>
        <v/>
      </c>
    </row>
    <row r="456">
      <c r="A456" s="3" t="n">
        <v>41533</v>
      </c>
      <c r="B456" s="3" t="n">
        <v>41530</v>
      </c>
      <c r="C456" t="n">
        <v>108.36</v>
      </c>
      <c r="D456" t="n">
        <v>113.22</v>
      </c>
      <c r="E456" t="n">
        <v>2.626</v>
      </c>
      <c r="F456" t="n">
        <v>2.824</v>
      </c>
      <c r="G456" t="n">
        <v>3.096</v>
      </c>
      <c r="H456" t="n">
        <v>3.547</v>
      </c>
      <c r="J456" t="n">
        <v>3.612</v>
      </c>
      <c r="K456" t="n">
        <v>4.051</v>
      </c>
      <c r="L456" t="n">
        <v>11.9</v>
      </c>
      <c r="N456">
        <f>IF(OR(E456="",C456=""),"",E456-C456/42)</f>
        <v/>
      </c>
      <c r="O456">
        <f>IF(OR(E456="",D456=""),"",E456-D456/42)</f>
        <v/>
      </c>
      <c r="P456">
        <f>IF(L456="",M456/100,H456*L456/100)</f>
        <v/>
      </c>
      <c r="Q456">
        <f>H456-C456/42-P456</f>
        <v/>
      </c>
      <c r="R456">
        <f>H456-E456</f>
        <v/>
      </c>
    </row>
    <row r="457">
      <c r="A457" s="3" t="n">
        <v>41540</v>
      </c>
      <c r="B457" s="3" t="n">
        <v>41537</v>
      </c>
      <c r="C457" t="n">
        <v>106.22</v>
      </c>
      <c r="D457" t="n">
        <v>109.98</v>
      </c>
      <c r="E457" t="n">
        <v>2.564</v>
      </c>
      <c r="F457" t="n">
        <v>2.769</v>
      </c>
      <c r="G457" t="n">
        <v>2.866</v>
      </c>
      <c r="H457" t="n">
        <v>3.495</v>
      </c>
      <c r="J457" t="n">
        <v>3.586</v>
      </c>
      <c r="K457" t="n">
        <v>4.005</v>
      </c>
      <c r="L457" t="n">
        <v>11.9</v>
      </c>
      <c r="N457">
        <f>IF(OR(E457="",C457=""),"",E457-C457/42)</f>
        <v/>
      </c>
      <c r="O457">
        <f>IF(OR(E457="",D457=""),"",E457-D457/42)</f>
        <v/>
      </c>
      <c r="P457">
        <f>IF(L457="",M457/100,H457*L457/100)</f>
        <v/>
      </c>
      <c r="Q457">
        <f>H457-C457/42-P457</f>
        <v/>
      </c>
      <c r="R457">
        <f>H457-E457</f>
        <v/>
      </c>
    </row>
    <row r="458">
      <c r="A458" s="3" t="n">
        <v>41547</v>
      </c>
      <c r="B458" s="3" t="n">
        <v>41544</v>
      </c>
      <c r="C458" t="n">
        <v>103.1</v>
      </c>
      <c r="D458" t="n">
        <v>108.8</v>
      </c>
      <c r="E458" t="n">
        <v>2.515</v>
      </c>
      <c r="F458" t="n">
        <v>2.712</v>
      </c>
      <c r="G458" t="n">
        <v>2.78</v>
      </c>
      <c r="H458" t="n">
        <v>3.425</v>
      </c>
      <c r="J458" t="n">
        <v>3.549</v>
      </c>
      <c r="K458" t="n">
        <v>3.932</v>
      </c>
      <c r="L458" t="n">
        <v>11.9</v>
      </c>
      <c r="N458">
        <f>IF(OR(E458="",C458=""),"",E458-C458/42)</f>
        <v/>
      </c>
      <c r="O458">
        <f>IF(OR(E458="",D458=""),"",E458-D458/42)</f>
        <v/>
      </c>
      <c r="P458">
        <f>IF(L458="",M458/100,H458*L458/100)</f>
        <v/>
      </c>
      <c r="Q458">
        <f>H458-C458/42-P458</f>
        <v/>
      </c>
      <c r="R458">
        <f>H458-E458</f>
        <v/>
      </c>
    </row>
    <row r="459">
      <c r="A459" s="3" t="n">
        <v>41554</v>
      </c>
      <c r="B459" s="3" t="n">
        <v>41551</v>
      </c>
      <c r="C459" t="n">
        <v>103.14</v>
      </c>
      <c r="D459" t="n">
        <v>108.63</v>
      </c>
      <c r="E459" t="n">
        <v>2.485</v>
      </c>
      <c r="F459" t="n">
        <v>2.67</v>
      </c>
      <c r="G459" t="n">
        <v>2.717</v>
      </c>
      <c r="H459" t="n">
        <v>3.367</v>
      </c>
      <c r="J459" t="n">
        <v>3.507</v>
      </c>
      <c r="K459" t="n">
        <v>3.85</v>
      </c>
      <c r="L459" t="n">
        <v>12.5</v>
      </c>
      <c r="N459">
        <f>IF(OR(E459="",C459=""),"",E459-C459/42)</f>
        <v/>
      </c>
      <c r="O459">
        <f>IF(OR(E459="",D459=""),"",E459-D459/42)</f>
        <v/>
      </c>
      <c r="P459">
        <f>IF(L459="",M459/100,H459*L459/100)</f>
        <v/>
      </c>
      <c r="Q459">
        <f>H459-C459/42-P459</f>
        <v/>
      </c>
      <c r="R459">
        <f>H459-E459</f>
        <v/>
      </c>
    </row>
    <row r="460">
      <c r="A460" s="3" t="n">
        <v>41561</v>
      </c>
      <c r="B460" s="3" t="n">
        <v>41558</v>
      </c>
      <c r="C460" t="n">
        <v>102.7</v>
      </c>
      <c r="D460" t="n">
        <v>110.3</v>
      </c>
      <c r="E460" t="n">
        <v>2.534</v>
      </c>
      <c r="F460" t="n">
        <v>2.706</v>
      </c>
      <c r="G460" t="n">
        <v>2.773</v>
      </c>
      <c r="H460" t="n">
        <v>3.354</v>
      </c>
      <c r="J460" t="n">
        <v>3.459</v>
      </c>
      <c r="K460" t="n">
        <v>3.791</v>
      </c>
      <c r="L460" t="n">
        <v>12.5</v>
      </c>
      <c r="N460">
        <f>IF(OR(E460="",C460=""),"",E460-C460/42)</f>
        <v/>
      </c>
      <c r="O460">
        <f>IF(OR(E460="",D460=""),"",E460-D460/42)</f>
        <v/>
      </c>
      <c r="P460">
        <f>IF(L460="",M460/100,H460*L460/100)</f>
        <v/>
      </c>
      <c r="Q460">
        <f>H460-C460/42-P460</f>
        <v/>
      </c>
      <c r="R460">
        <f>H460-E460</f>
        <v/>
      </c>
    </row>
    <row r="461">
      <c r="A461" s="3" t="n">
        <v>41568</v>
      </c>
      <c r="B461" s="3" t="n">
        <v>41565</v>
      </c>
      <c r="C461" t="n">
        <v>101.51</v>
      </c>
      <c r="D461" t="n">
        <v>110.11</v>
      </c>
      <c r="E461" t="n">
        <v>2.571</v>
      </c>
      <c r="F461" t="n">
        <v>2.722</v>
      </c>
      <c r="G461" t="n">
        <v>2.84</v>
      </c>
      <c r="H461" t="n">
        <v>3.36</v>
      </c>
      <c r="J461" t="n">
        <v>3.426</v>
      </c>
      <c r="K461" t="n">
        <v>3.766</v>
      </c>
      <c r="L461" t="n">
        <v>12.5</v>
      </c>
      <c r="N461">
        <f>IF(OR(E461="",C461=""),"",E461-C461/42)</f>
        <v/>
      </c>
      <c r="O461">
        <f>IF(OR(E461="",D461=""),"",E461-D461/42)</f>
        <v/>
      </c>
      <c r="P461">
        <f>IF(L461="",M461/100,H461*L461/100)</f>
        <v/>
      </c>
      <c r="Q461">
        <f>H461-C461/42-P461</f>
        <v/>
      </c>
      <c r="R461">
        <f>H461-E461</f>
        <v/>
      </c>
    </row>
    <row r="462">
      <c r="A462" s="3" t="n">
        <v>41575</v>
      </c>
      <c r="B462" s="3" t="n">
        <v>41572</v>
      </c>
      <c r="C462" t="n">
        <v>97.56999999999999</v>
      </c>
      <c r="D462" t="n">
        <v>107.82</v>
      </c>
      <c r="E462" t="n">
        <v>2.424</v>
      </c>
      <c r="F462" t="n">
        <v>2.657</v>
      </c>
      <c r="G462" t="n">
        <v>2.763</v>
      </c>
      <c r="H462" t="n">
        <v>3.294</v>
      </c>
      <c r="J462" t="n">
        <v>3.368</v>
      </c>
      <c r="K462" t="n">
        <v>3.718</v>
      </c>
      <c r="L462" t="n">
        <v>12.5</v>
      </c>
      <c r="N462">
        <f>IF(OR(E462="",C462=""),"",E462-C462/42)</f>
        <v/>
      </c>
      <c r="O462">
        <f>IF(OR(E462="",D462=""),"",E462-D462/42)</f>
        <v/>
      </c>
      <c r="P462">
        <f>IF(L462="",M462/100,H462*L462/100)</f>
        <v/>
      </c>
      <c r="Q462">
        <f>H462-C462/42-P462</f>
        <v/>
      </c>
      <c r="R462">
        <f>H462-E462</f>
        <v/>
      </c>
    </row>
    <row r="463">
      <c r="A463" s="3" t="n">
        <v>41582</v>
      </c>
      <c r="B463" s="3" t="n">
        <v>41579</v>
      </c>
      <c r="C463" t="n">
        <v>96.94</v>
      </c>
      <c r="D463" t="n">
        <v>107.61</v>
      </c>
      <c r="E463" t="n">
        <v>2.407</v>
      </c>
      <c r="F463" t="n">
        <v>2.654</v>
      </c>
      <c r="G463" t="n">
        <v>2.682</v>
      </c>
      <c r="H463" t="n">
        <v>3.265</v>
      </c>
      <c r="J463" t="n">
        <v>3.307</v>
      </c>
      <c r="K463" t="n">
        <v>3.665</v>
      </c>
      <c r="L463" t="n">
        <v>12.9</v>
      </c>
      <c r="N463">
        <f>IF(OR(E463="",C463=""),"",E463-C463/42)</f>
        <v/>
      </c>
      <c r="O463">
        <f>IF(OR(E463="",D463=""),"",E463-D463/42)</f>
        <v/>
      </c>
      <c r="P463">
        <f>IF(L463="",M463/100,H463*L463/100)</f>
        <v/>
      </c>
      <c r="Q463">
        <f>H463-C463/42-P463</f>
        <v/>
      </c>
      <c r="R463">
        <f>H463-E463</f>
        <v/>
      </c>
    </row>
    <row r="464">
      <c r="A464" s="3" t="n">
        <v>41589</v>
      </c>
      <c r="B464" s="3" t="n">
        <v>41586</v>
      </c>
      <c r="C464" t="n">
        <v>94.31</v>
      </c>
      <c r="D464" t="n">
        <v>104.54</v>
      </c>
      <c r="E464" t="n">
        <v>2.297</v>
      </c>
      <c r="F464" t="n">
        <v>2.588</v>
      </c>
      <c r="G464" t="n">
        <v>2.643</v>
      </c>
      <c r="H464" t="n">
        <v>3.194</v>
      </c>
      <c r="J464" t="n">
        <v>3.227</v>
      </c>
      <c r="K464" t="n">
        <v>3.603</v>
      </c>
      <c r="L464" t="n">
        <v>12.9</v>
      </c>
      <c r="N464">
        <f>IF(OR(E464="",C464=""),"",E464-C464/42)</f>
        <v/>
      </c>
      <c r="O464">
        <f>IF(OR(E464="",D464=""),"",E464-D464/42)</f>
        <v/>
      </c>
      <c r="P464">
        <f>IF(L464="",M464/100,H464*L464/100)</f>
        <v/>
      </c>
      <c r="Q464">
        <f>H464-C464/42-P464</f>
        <v/>
      </c>
      <c r="R464">
        <f>H464-E464</f>
        <v/>
      </c>
    </row>
    <row r="465">
      <c r="A465" s="3" t="n">
        <v>41596</v>
      </c>
      <c r="B465" s="3" t="n">
        <v>41593</v>
      </c>
      <c r="C465" t="n">
        <v>93.94</v>
      </c>
      <c r="D465" t="n">
        <v>107.1</v>
      </c>
      <c r="E465" t="n">
        <v>2.449</v>
      </c>
      <c r="F465" t="n">
        <v>2.695</v>
      </c>
      <c r="G465" t="n">
        <v>2.662</v>
      </c>
      <c r="H465" t="n">
        <v>3.219</v>
      </c>
      <c r="J465" t="n">
        <v>3.183</v>
      </c>
      <c r="K465" t="n">
        <v>3.56</v>
      </c>
      <c r="L465" t="n">
        <v>12.9</v>
      </c>
      <c r="N465">
        <f>IF(OR(E465="",C465=""),"",E465-C465/42)</f>
        <v/>
      </c>
      <c r="O465">
        <f>IF(OR(E465="",D465=""),"",E465-D465/42)</f>
        <v/>
      </c>
      <c r="P465">
        <f>IF(L465="",M465/100,H465*L465/100)</f>
        <v/>
      </c>
      <c r="Q465">
        <f>H465-C465/42-P465</f>
        <v/>
      </c>
      <c r="R465">
        <f>H465-E465</f>
        <v/>
      </c>
    </row>
    <row r="466">
      <c r="A466" s="3" t="n">
        <v>41603</v>
      </c>
      <c r="B466" s="3" t="n">
        <v>41600</v>
      </c>
      <c r="C466" t="n">
        <v>93.92</v>
      </c>
      <c r="D466" t="n">
        <v>109.32</v>
      </c>
      <c r="E466" t="n">
        <v>2.583</v>
      </c>
      <c r="F466" t="n">
        <v>2.725</v>
      </c>
      <c r="G466" t="n">
        <v>2.636</v>
      </c>
      <c r="H466" t="n">
        <v>3.293</v>
      </c>
      <c r="J466" t="n">
        <v>3.145</v>
      </c>
      <c r="K466" t="n">
        <v>3.547</v>
      </c>
      <c r="L466" t="n">
        <v>12.9</v>
      </c>
      <c r="N466">
        <f>IF(OR(E466="",C466=""),"",E466-C466/42)</f>
        <v/>
      </c>
      <c r="O466">
        <f>IF(OR(E466="",D466=""),"",E466-D466/42)</f>
        <v/>
      </c>
      <c r="P466">
        <f>IF(L466="",M466/100,H466*L466/100)</f>
        <v/>
      </c>
      <c r="Q466">
        <f>H466-C466/42-P466</f>
        <v/>
      </c>
      <c r="R466">
        <f>H466-E466</f>
        <v/>
      </c>
    </row>
    <row r="467">
      <c r="A467" s="3" t="n">
        <v>41610</v>
      </c>
      <c r="B467" s="3" t="n">
        <v>41607</v>
      </c>
      <c r="C467" t="n">
        <v>92.97</v>
      </c>
      <c r="D467" t="n">
        <v>111.32</v>
      </c>
      <c r="E467" t="n">
        <v>2.509</v>
      </c>
      <c r="F467" t="n">
        <v>2.707</v>
      </c>
      <c r="G467" t="n">
        <v>2.666</v>
      </c>
      <c r="H467" t="n">
        <v>3.272</v>
      </c>
      <c r="J467" t="n">
        <v>3.113</v>
      </c>
      <c r="K467" t="n">
        <v>3.576</v>
      </c>
      <c r="L467" t="n">
        <v>12.8</v>
      </c>
      <c r="N467">
        <f>IF(OR(E467="",C467=""),"",E467-C467/42)</f>
        <v/>
      </c>
      <c r="O467">
        <f>IF(OR(E467="",D467=""),"",E467-D467/42)</f>
        <v/>
      </c>
      <c r="P467">
        <f>IF(L467="",M467/100,H467*L467/100)</f>
        <v/>
      </c>
      <c r="Q467">
        <f>H467-C467/42-P467</f>
        <v/>
      </c>
      <c r="R467">
        <f>H467-E467</f>
        <v/>
      </c>
    </row>
    <row r="468">
      <c r="A468" s="3" t="n">
        <v>41617</v>
      </c>
      <c r="B468" s="3" t="n">
        <v>41614</v>
      </c>
      <c r="C468" t="n">
        <v>96.20999999999999</v>
      </c>
      <c r="D468" t="n">
        <v>112.28</v>
      </c>
      <c r="E468" t="n">
        <v>2.486</v>
      </c>
      <c r="F468" t="n">
        <v>2.727</v>
      </c>
      <c r="G468" t="n">
        <v>2.685</v>
      </c>
      <c r="H468" t="n">
        <v>3.269</v>
      </c>
      <c r="J468" t="n">
        <v>3.077</v>
      </c>
      <c r="K468" t="n">
        <v>3.58</v>
      </c>
      <c r="L468" t="n">
        <v>12.8</v>
      </c>
      <c r="N468">
        <f>IF(OR(E468="",C468=""),"",E468-C468/42)</f>
        <v/>
      </c>
      <c r="O468">
        <f>IF(OR(E468="",D468=""),"",E468-D468/42)</f>
        <v/>
      </c>
      <c r="P468">
        <f>IF(L468="",M468/100,H468*L468/100)</f>
        <v/>
      </c>
      <c r="Q468">
        <f>H468-C468/42-P468</f>
        <v/>
      </c>
      <c r="R468">
        <f>H468-E468</f>
        <v/>
      </c>
    </row>
    <row r="469">
      <c r="A469" s="3" t="n">
        <v>41624</v>
      </c>
      <c r="B469" s="3" t="n">
        <v>41621</v>
      </c>
      <c r="C469" t="n">
        <v>97.23</v>
      </c>
      <c r="D469" t="n">
        <v>109.1</v>
      </c>
      <c r="E469" t="n">
        <v>2.429</v>
      </c>
      <c r="F469" t="n">
        <v>2.665</v>
      </c>
      <c r="G469" t="n">
        <v>2.585</v>
      </c>
      <c r="H469" t="n">
        <v>3.239</v>
      </c>
      <c r="J469" t="n">
        <v>3.055</v>
      </c>
      <c r="K469" t="n">
        <v>3.574</v>
      </c>
      <c r="L469" t="n">
        <v>12.8</v>
      </c>
      <c r="N469">
        <f>IF(OR(E469="",C469=""),"",E469-C469/42)</f>
        <v/>
      </c>
      <c r="O469">
        <f>IF(OR(E469="",D469=""),"",E469-D469/42)</f>
        <v/>
      </c>
      <c r="P469">
        <f>IF(L469="",M469/100,H469*L469/100)</f>
        <v/>
      </c>
      <c r="Q469">
        <f>H469-C469/42-P469</f>
        <v/>
      </c>
      <c r="R469">
        <f>H469-E469</f>
        <v/>
      </c>
    </row>
    <row r="470">
      <c r="A470" s="3" t="n">
        <v>41631</v>
      </c>
      <c r="B470" s="3" t="n">
        <v>41628</v>
      </c>
      <c r="C470" t="n">
        <v>97.84999999999999</v>
      </c>
      <c r="D470" t="n">
        <v>110.34</v>
      </c>
      <c r="E470" t="n">
        <v>2.512</v>
      </c>
      <c r="F470" t="n">
        <v>2.714</v>
      </c>
      <c r="G470" t="n">
        <v>2.613</v>
      </c>
      <c r="H470" t="n">
        <v>3.271</v>
      </c>
      <c r="J470" t="n">
        <v>3.055</v>
      </c>
      <c r="K470" t="n">
        <v>3.594</v>
      </c>
      <c r="L470" t="n">
        <v>12.8</v>
      </c>
      <c r="N470">
        <f>IF(OR(E470="",C470=""),"",E470-C470/42)</f>
        <v/>
      </c>
      <c r="O470">
        <f>IF(OR(E470="",D470=""),"",E470-D470/42)</f>
        <v/>
      </c>
      <c r="P470">
        <f>IF(L470="",M470/100,H470*L470/100)</f>
        <v/>
      </c>
      <c r="Q470">
        <f>H470-C470/42-P470</f>
        <v/>
      </c>
      <c r="R470">
        <f>H470-E470</f>
        <v/>
      </c>
    </row>
    <row r="471">
      <c r="A471" s="3" t="n">
        <v>41638</v>
      </c>
      <c r="B471" s="3" t="n">
        <v>41635</v>
      </c>
      <c r="C471" t="n">
        <v>99.15000000000001</v>
      </c>
      <c r="D471" t="n">
        <v>111.72</v>
      </c>
      <c r="E471" t="n">
        <v>2.64</v>
      </c>
      <c r="F471" t="n">
        <v>2.823</v>
      </c>
      <c r="G471" t="n">
        <v>2.819</v>
      </c>
      <c r="H471" t="n">
        <v>3.331</v>
      </c>
      <c r="J471" t="n">
        <v>3.1</v>
      </c>
      <c r="K471" t="n">
        <v>3.647</v>
      </c>
      <c r="L471" t="n">
        <v>12.8</v>
      </c>
      <c r="N471">
        <f>IF(OR(E471="",C471=""),"",E471-C471/42)</f>
        <v/>
      </c>
      <c r="O471">
        <f>IF(OR(E471="",D471=""),"",E471-D471/42)</f>
        <v/>
      </c>
      <c r="P471">
        <f>IF(L471="",M471/100,H471*L471/100)</f>
        <v/>
      </c>
      <c r="Q471">
        <f>H471-C471/42-P471</f>
        <v/>
      </c>
      <c r="R471">
        <f>H471-E471</f>
        <v/>
      </c>
    </row>
    <row r="472">
      <c r="A472" s="3" t="n">
        <v>41645</v>
      </c>
      <c r="B472" s="3" t="n">
        <v>41642</v>
      </c>
      <c r="C472" t="n">
        <v>96.47</v>
      </c>
      <c r="D472" t="n">
        <v>108.73</v>
      </c>
      <c r="E472" t="n">
        <v>2.559</v>
      </c>
      <c r="F472" t="n">
        <v>2.753</v>
      </c>
      <c r="G472" t="n">
        <v>2.79</v>
      </c>
      <c r="H472" t="n">
        <v>3.332</v>
      </c>
      <c r="J472" t="n">
        <v>3.12</v>
      </c>
      <c r="K472" t="n">
        <v>3.667</v>
      </c>
      <c r="L472" t="n">
        <v>12.7</v>
      </c>
      <c r="N472">
        <f>IF(OR(E472="",C472=""),"",E472-C472/42)</f>
        <v/>
      </c>
      <c r="O472">
        <f>IF(OR(E472="",D472=""),"",E472-D472/42)</f>
        <v/>
      </c>
      <c r="P472">
        <f>IF(L472="",M472/100,H472*L472/100)</f>
        <v/>
      </c>
      <c r="Q472">
        <f>H472-C472/42-P472</f>
        <v/>
      </c>
      <c r="R472">
        <f>H472-E472</f>
        <v/>
      </c>
    </row>
    <row r="473">
      <c r="A473" s="3" t="n">
        <v>41652</v>
      </c>
      <c r="B473" s="3" t="n">
        <v>41649</v>
      </c>
      <c r="C473" t="n">
        <v>92.42</v>
      </c>
      <c r="D473" t="n">
        <v>107.01</v>
      </c>
      <c r="E473" t="n">
        <v>2.55</v>
      </c>
      <c r="F473" t="n">
        <v>2.685</v>
      </c>
      <c r="G473" t="n">
        <v>2.632</v>
      </c>
      <c r="H473" t="n">
        <v>3.327</v>
      </c>
      <c r="J473" t="n">
        <v>3.148</v>
      </c>
      <c r="K473" t="n">
        <v>3.635</v>
      </c>
      <c r="L473" t="n">
        <v>12.7</v>
      </c>
      <c r="N473">
        <f>IF(OR(E473="",C473=""),"",E473-C473/42)</f>
        <v/>
      </c>
      <c r="O473">
        <f>IF(OR(E473="",D473=""),"",E473-D473/42)</f>
        <v/>
      </c>
      <c r="P473">
        <f>IF(L473="",M473/100,H473*L473/100)</f>
        <v/>
      </c>
      <c r="Q473">
        <f>H473-C473/42-P473</f>
        <v/>
      </c>
      <c r="R473">
        <f>H473-E473</f>
        <v/>
      </c>
    </row>
    <row r="474">
      <c r="A474" s="3" t="n">
        <v>41659</v>
      </c>
      <c r="B474" s="3" t="n">
        <v>41656</v>
      </c>
      <c r="C474" t="n">
        <v>92.98</v>
      </c>
      <c r="D474" t="n">
        <v>107.83</v>
      </c>
      <c r="E474" t="n">
        <v>2.548</v>
      </c>
      <c r="F474" t="n">
        <v>2.636</v>
      </c>
      <c r="G474" t="n">
        <v>2.495</v>
      </c>
      <c r="H474" t="n">
        <v>3.296</v>
      </c>
      <c r="J474" t="n">
        <v>3.145</v>
      </c>
      <c r="K474" t="n">
        <v>3.589</v>
      </c>
      <c r="L474" t="n">
        <v>12.7</v>
      </c>
      <c r="N474">
        <f>IF(OR(E474="",C474=""),"",E474-C474/42)</f>
        <v/>
      </c>
      <c r="O474">
        <f>IF(OR(E474="",D474=""),"",E474-D474/42)</f>
        <v/>
      </c>
      <c r="P474">
        <f>IF(L474="",M474/100,H474*L474/100)</f>
        <v/>
      </c>
      <c r="Q474">
        <f>H474-C474/42-P474</f>
        <v/>
      </c>
      <c r="R474">
        <f>H474-E474</f>
        <v/>
      </c>
    </row>
    <row r="475">
      <c r="A475" s="3" t="n">
        <v>41666</v>
      </c>
      <c r="B475" s="3" t="n">
        <v>41663</v>
      </c>
      <c r="C475" t="n">
        <v>96.19</v>
      </c>
      <c r="D475" t="n">
        <v>109.14</v>
      </c>
      <c r="E475" t="n">
        <v>2.568</v>
      </c>
      <c r="F475" t="n">
        <v>2.687</v>
      </c>
      <c r="G475" t="n">
        <v>2.623</v>
      </c>
      <c r="H475" t="n">
        <v>3.295</v>
      </c>
      <c r="J475" t="n">
        <v>3.134</v>
      </c>
      <c r="K475" t="n">
        <v>3.582</v>
      </c>
      <c r="L475" t="n">
        <v>12.7</v>
      </c>
      <c r="N475">
        <f>IF(OR(E475="",C475=""),"",E475-C475/42)</f>
        <v/>
      </c>
      <c r="O475">
        <f>IF(OR(E475="",D475=""),"",E475-D475/42)</f>
        <v/>
      </c>
      <c r="P475">
        <f>IF(L475="",M475/100,H475*L475/100)</f>
        <v/>
      </c>
      <c r="Q475">
        <f>H475-C475/42-P475</f>
        <v/>
      </c>
      <c r="R475">
        <f>H475-E475</f>
        <v/>
      </c>
    </row>
    <row r="476">
      <c r="A476" s="3" t="n">
        <v>41673</v>
      </c>
      <c r="B476" s="3" t="n">
        <v>41670</v>
      </c>
      <c r="C476" t="n">
        <v>97.29000000000001</v>
      </c>
      <c r="D476" t="n">
        <v>108.83</v>
      </c>
      <c r="E476" t="n">
        <v>2.546</v>
      </c>
      <c r="F476" t="n">
        <v>2.675</v>
      </c>
      <c r="G476" t="n">
        <v>2.716</v>
      </c>
      <c r="H476" t="n">
        <v>3.292</v>
      </c>
      <c r="J476" t="n">
        <v>3.125</v>
      </c>
      <c r="K476" t="n">
        <v>3.59</v>
      </c>
      <c r="L476" t="n">
        <v>12.6</v>
      </c>
      <c r="N476">
        <f>IF(OR(E476="",C476=""),"",E476-C476/42)</f>
        <v/>
      </c>
      <c r="O476">
        <f>IF(OR(E476="",D476=""),"",E476-D476/42)</f>
        <v/>
      </c>
      <c r="P476">
        <f>IF(L476="",M476/100,H476*L476/100)</f>
        <v/>
      </c>
      <c r="Q476">
        <f>H476-C476/42-P476</f>
        <v/>
      </c>
      <c r="R476">
        <f>H476-E476</f>
        <v/>
      </c>
    </row>
    <row r="477">
      <c r="A477" s="3" t="n">
        <v>41680</v>
      </c>
      <c r="B477" s="3" t="n">
        <v>41677</v>
      </c>
      <c r="C477" t="n">
        <v>97.78</v>
      </c>
      <c r="D477" t="n">
        <v>107.73</v>
      </c>
      <c r="E477" t="n">
        <v>2.593</v>
      </c>
      <c r="F477" t="n">
        <v>2.691</v>
      </c>
      <c r="G477" t="n">
        <v>2.795</v>
      </c>
      <c r="H477" t="n">
        <v>3.309</v>
      </c>
      <c r="J477" t="n">
        <v>3.137</v>
      </c>
      <c r="K477" t="n">
        <v>3.626</v>
      </c>
      <c r="L477" t="n">
        <v>12.6</v>
      </c>
      <c r="N477">
        <f>IF(OR(E477="",C477=""),"",E477-C477/42)</f>
        <v/>
      </c>
      <c r="O477">
        <f>IF(OR(E477="",D477=""),"",E477-D477/42)</f>
        <v/>
      </c>
      <c r="P477">
        <f>IF(L477="",M477/100,H477*L477/100)</f>
        <v/>
      </c>
      <c r="Q477">
        <f>H477-C477/42-P477</f>
        <v/>
      </c>
      <c r="R477">
        <f>H477-E477</f>
        <v/>
      </c>
    </row>
    <row r="478">
      <c r="A478" s="3" t="n">
        <v>41687</v>
      </c>
      <c r="B478" s="3" t="n">
        <v>41684</v>
      </c>
      <c r="C478" t="n">
        <v>100.21</v>
      </c>
      <c r="D478" t="n">
        <v>109.12</v>
      </c>
      <c r="E478" t="n">
        <v>2.716</v>
      </c>
      <c r="F478" t="n">
        <v>2.798</v>
      </c>
      <c r="G478" t="n">
        <v>2.88</v>
      </c>
      <c r="H478" t="n">
        <v>3.38</v>
      </c>
      <c r="J478" t="n">
        <v>3.239</v>
      </c>
      <c r="K478" t="n">
        <v>3.697</v>
      </c>
      <c r="L478" t="n">
        <v>12.6</v>
      </c>
      <c r="N478">
        <f>IF(OR(E478="",C478=""),"",E478-C478/42)</f>
        <v/>
      </c>
      <c r="O478">
        <f>IF(OR(E478="",D478=""),"",E478-D478/42)</f>
        <v/>
      </c>
      <c r="P478">
        <f>IF(L478="",M478/100,H478*L478/100)</f>
        <v/>
      </c>
      <c r="Q478">
        <f>H478-C478/42-P478</f>
        <v/>
      </c>
      <c r="R478">
        <f>H478-E478</f>
        <v/>
      </c>
    </row>
    <row r="479">
      <c r="A479" s="3" t="n">
        <v>41694</v>
      </c>
      <c r="B479" s="3" t="n">
        <v>41691</v>
      </c>
      <c r="C479" t="n">
        <v>102.93</v>
      </c>
      <c r="D479" t="n">
        <v>109.74</v>
      </c>
      <c r="E479" t="n">
        <v>2.712</v>
      </c>
      <c r="F479" t="n">
        <v>2.879</v>
      </c>
      <c r="G479" t="n">
        <v>2.845</v>
      </c>
      <c r="H479" t="n">
        <v>3.444</v>
      </c>
      <c r="J479" t="n">
        <v>3.322</v>
      </c>
      <c r="K479" t="n">
        <v>3.795</v>
      </c>
      <c r="L479" t="n">
        <v>12.6</v>
      </c>
      <c r="N479">
        <f>IF(OR(E479="",C479=""),"",E479-C479/42)</f>
        <v/>
      </c>
      <c r="O479">
        <f>IF(OR(E479="",D479=""),"",E479-D479/42)</f>
        <v/>
      </c>
      <c r="P479">
        <f>IF(L479="",M479/100,H479*L479/100)</f>
        <v/>
      </c>
      <c r="Q479">
        <f>H479-C479/42-P479</f>
        <v/>
      </c>
      <c r="R479">
        <f>H479-E479</f>
        <v/>
      </c>
    </row>
    <row r="480">
      <c r="A480" s="3" t="n">
        <v>41701</v>
      </c>
      <c r="B480" s="3" t="n">
        <v>41698</v>
      </c>
      <c r="C480" t="n">
        <v>102.77</v>
      </c>
      <c r="D480" t="n">
        <v>109.17</v>
      </c>
      <c r="E480" t="n">
        <v>2.761</v>
      </c>
      <c r="F480" t="n">
        <v>2.831</v>
      </c>
      <c r="G480" t="n">
        <v>2.95</v>
      </c>
      <c r="H480" t="n">
        <v>3.479</v>
      </c>
      <c r="J480" t="n">
        <v>3.39</v>
      </c>
      <c r="K480" t="n">
        <v>3.855</v>
      </c>
      <c r="L480" t="n">
        <v>12</v>
      </c>
      <c r="N480">
        <f>IF(OR(E480="",C480=""),"",E480-C480/42)</f>
        <v/>
      </c>
      <c r="O480">
        <f>IF(OR(E480="",D480=""),"",E480-D480/42)</f>
        <v/>
      </c>
      <c r="P480">
        <f>IF(L480="",M480/100,H480*L480/100)</f>
        <v/>
      </c>
      <c r="Q480">
        <f>H480-C480/42-P480</f>
        <v/>
      </c>
      <c r="R480">
        <f>H480-E480</f>
        <v/>
      </c>
    </row>
    <row r="481">
      <c r="A481" s="3" t="n">
        <v>41708</v>
      </c>
      <c r="B481" s="3" t="n">
        <v>41705</v>
      </c>
      <c r="C481" t="n">
        <v>103.07</v>
      </c>
      <c r="D481" t="n">
        <v>109.14</v>
      </c>
      <c r="E481" t="n">
        <v>2.731</v>
      </c>
      <c r="F481" t="n">
        <v>2.809</v>
      </c>
      <c r="G481" t="n">
        <v>2.913</v>
      </c>
      <c r="H481" t="n">
        <v>3.512</v>
      </c>
      <c r="J481" t="n">
        <v>3.437</v>
      </c>
      <c r="K481" t="n">
        <v>3.897</v>
      </c>
      <c r="L481" t="n">
        <v>12</v>
      </c>
      <c r="N481">
        <f>IF(OR(E481="",C481=""),"",E481-C481/42)</f>
        <v/>
      </c>
      <c r="O481">
        <f>IF(OR(E481="",D481=""),"",E481-D481/42)</f>
        <v/>
      </c>
      <c r="P481">
        <f>IF(L481="",M481/100,H481*L481/100)</f>
        <v/>
      </c>
      <c r="Q481">
        <f>H481-C481/42-P481</f>
        <v/>
      </c>
      <c r="R481">
        <f>H481-E481</f>
        <v/>
      </c>
    </row>
    <row r="482">
      <c r="A482" s="3" t="n">
        <v>41715</v>
      </c>
      <c r="B482" s="3" t="n">
        <v>41712</v>
      </c>
      <c r="C482" t="n">
        <v>99.55</v>
      </c>
      <c r="D482" t="n">
        <v>108.01</v>
      </c>
      <c r="E482" t="n">
        <v>2.726</v>
      </c>
      <c r="F482" t="n">
        <v>2.791</v>
      </c>
      <c r="G482" t="n">
        <v>2.881</v>
      </c>
      <c r="H482" t="n">
        <v>3.547</v>
      </c>
      <c r="J482" t="n">
        <v>3.455</v>
      </c>
      <c r="K482" t="n">
        <v>3.958</v>
      </c>
      <c r="L482" t="n">
        <v>12</v>
      </c>
      <c r="N482">
        <f>IF(OR(E482="",C482=""),"",E482-C482/42)</f>
        <v/>
      </c>
      <c r="O482">
        <f>IF(OR(E482="",D482=""),"",E482-D482/42)</f>
        <v/>
      </c>
      <c r="P482">
        <f>IF(L482="",M482/100,H482*L482/100)</f>
        <v/>
      </c>
      <c r="Q482">
        <f>H482-C482/42-P482</f>
        <v/>
      </c>
      <c r="R482">
        <f>H482-E482</f>
        <v/>
      </c>
    </row>
    <row r="483">
      <c r="A483" s="3" t="n">
        <v>41722</v>
      </c>
      <c r="B483" s="3" t="n">
        <v>41719</v>
      </c>
      <c r="C483" t="n">
        <v>99.77</v>
      </c>
      <c r="D483" t="n">
        <v>106.53</v>
      </c>
      <c r="E483" t="n">
        <v>2.719</v>
      </c>
      <c r="F483" t="n">
        <v>2.722</v>
      </c>
      <c r="G483" t="n">
        <v>2.853</v>
      </c>
      <c r="H483" t="n">
        <v>3.549</v>
      </c>
      <c r="J483" t="n">
        <v>3.457</v>
      </c>
      <c r="K483" t="n">
        <v>3.969</v>
      </c>
      <c r="L483" t="n">
        <v>12</v>
      </c>
      <c r="N483">
        <f>IF(OR(E483="",C483=""),"",E483-C483/42)</f>
        <v/>
      </c>
      <c r="O483">
        <f>IF(OR(E483="",D483=""),"",E483-D483/42)</f>
        <v/>
      </c>
      <c r="P483">
        <f>IF(L483="",M483/100,H483*L483/100)</f>
        <v/>
      </c>
      <c r="Q483">
        <f>H483-C483/42-P483</f>
        <v/>
      </c>
      <c r="R483">
        <f>H483-E483</f>
        <v/>
      </c>
    </row>
    <row r="484">
      <c r="A484" s="3" t="n">
        <v>41729</v>
      </c>
      <c r="B484" s="3" t="n">
        <v>41726</v>
      </c>
      <c r="C484" t="n">
        <v>100.66</v>
      </c>
      <c r="D484" t="n">
        <v>106.54</v>
      </c>
      <c r="E484" t="n">
        <v>2.687</v>
      </c>
      <c r="F484" t="n">
        <v>2.699</v>
      </c>
      <c r="G484" t="n">
        <v>2.923</v>
      </c>
      <c r="H484" t="n">
        <v>3.579</v>
      </c>
      <c r="J484" t="n">
        <v>3.451</v>
      </c>
      <c r="K484" t="n">
        <v>3.997</v>
      </c>
      <c r="L484" t="n">
        <v>12</v>
      </c>
      <c r="N484">
        <f>IF(OR(E484="",C484=""),"",E484-C484/42)</f>
        <v/>
      </c>
      <c r="O484">
        <f>IF(OR(E484="",D484=""),"",E484-D484/42)</f>
        <v/>
      </c>
      <c r="P484">
        <f>IF(L484="",M484/100,H484*L484/100)</f>
        <v/>
      </c>
      <c r="Q484">
        <f>H484-C484/42-P484</f>
        <v/>
      </c>
      <c r="R484">
        <f>H484-E484</f>
        <v/>
      </c>
    </row>
    <row r="485">
      <c r="A485" s="3" t="n">
        <v>41736</v>
      </c>
      <c r="B485" s="3" t="n">
        <v>41733</v>
      </c>
      <c r="C485" t="n">
        <v>100.46</v>
      </c>
      <c r="D485" t="n">
        <v>105.26</v>
      </c>
      <c r="E485" t="n">
        <v>2.716</v>
      </c>
      <c r="F485" t="n">
        <v>2.709</v>
      </c>
      <c r="G485" t="n">
        <v>2.973</v>
      </c>
      <c r="H485" t="n">
        <v>3.596</v>
      </c>
      <c r="J485" t="n">
        <v>3.446</v>
      </c>
      <c r="K485" t="n">
        <v>4.028</v>
      </c>
      <c r="L485" t="n">
        <v>11.6</v>
      </c>
      <c r="N485">
        <f>IF(OR(E485="",C485=""),"",E485-C485/42)</f>
        <v/>
      </c>
      <c r="O485">
        <f>IF(OR(E485="",D485=""),"",E485-D485/42)</f>
        <v/>
      </c>
      <c r="P485">
        <f>IF(L485="",M485/100,H485*L485/100)</f>
        <v/>
      </c>
      <c r="Q485">
        <f>H485-C485/42-P485</f>
        <v/>
      </c>
      <c r="R485">
        <f>H485-E485</f>
        <v/>
      </c>
    </row>
    <row r="486">
      <c r="A486" s="3" t="n">
        <v>41743</v>
      </c>
      <c r="B486" s="3" t="n">
        <v>41740</v>
      </c>
      <c r="C486" t="n">
        <v>102.72</v>
      </c>
      <c r="D486" t="n">
        <v>106.51</v>
      </c>
      <c r="E486" t="n">
        <v>2.808</v>
      </c>
      <c r="F486" t="n">
        <v>2.886</v>
      </c>
      <c r="G486" t="n">
        <v>3.199</v>
      </c>
      <c r="H486" t="n">
        <v>3.651</v>
      </c>
      <c r="J486" t="n">
        <v>3.438</v>
      </c>
      <c r="K486" t="n">
        <v>4.156</v>
      </c>
      <c r="L486" t="n">
        <v>11.6</v>
      </c>
      <c r="N486">
        <f>IF(OR(E486="",C486=""),"",E486-C486/42)</f>
        <v/>
      </c>
      <c r="O486">
        <f>IF(OR(E486="",D486=""),"",E486-D486/42)</f>
        <v/>
      </c>
      <c r="P486">
        <f>IF(L486="",M486/100,H486*L486/100)</f>
        <v/>
      </c>
      <c r="Q486">
        <f>H486-C486/42-P486</f>
        <v/>
      </c>
      <c r="R486">
        <f>H486-E486</f>
        <v/>
      </c>
    </row>
    <row r="487">
      <c r="A487" s="3" t="n">
        <v>41750</v>
      </c>
      <c r="B487" s="3" t="n">
        <v>41747</v>
      </c>
      <c r="C487" t="n">
        <v>103.95</v>
      </c>
      <c r="D487" t="n">
        <v>109.07</v>
      </c>
      <c r="E487" t="n">
        <v>2.84</v>
      </c>
      <c r="F487" t="n">
        <v>2.971</v>
      </c>
      <c r="G487" t="n">
        <v>3.234</v>
      </c>
      <c r="H487" t="n">
        <v>3.683</v>
      </c>
      <c r="J487" t="n">
        <v>3.446</v>
      </c>
      <c r="K487" t="n">
        <v>4.206</v>
      </c>
      <c r="L487" t="n">
        <v>11.6</v>
      </c>
      <c r="N487">
        <f>IF(OR(E487="",C487=""),"",E487-C487/42)</f>
        <v/>
      </c>
      <c r="O487">
        <f>IF(OR(E487="",D487=""),"",E487-D487/42)</f>
        <v/>
      </c>
      <c r="P487">
        <f>IF(L487="",M487/100,H487*L487/100)</f>
        <v/>
      </c>
      <c r="Q487">
        <f>H487-C487/42-P487</f>
        <v/>
      </c>
      <c r="R487">
        <f>H487-E487</f>
        <v/>
      </c>
    </row>
    <row r="488">
      <c r="A488" s="3" t="n">
        <v>41757</v>
      </c>
      <c r="B488" s="3" t="n">
        <v>41754</v>
      </c>
      <c r="C488" t="n">
        <v>102.11</v>
      </c>
      <c r="D488" t="n">
        <v>109.21</v>
      </c>
      <c r="E488" t="n">
        <v>2.836</v>
      </c>
      <c r="F488" t="n">
        <v>3.001</v>
      </c>
      <c r="G488" t="n">
        <v>3.232</v>
      </c>
      <c r="H488" t="n">
        <v>3.713</v>
      </c>
      <c r="J488" t="n">
        <v>3.482</v>
      </c>
      <c r="K488" t="n">
        <v>4.254</v>
      </c>
      <c r="L488" t="n">
        <v>11.6</v>
      </c>
      <c r="N488">
        <f>IF(OR(E488="",C488=""),"",E488-C488/42)</f>
        <v/>
      </c>
      <c r="O488">
        <f>IF(OR(E488="",D488=""),"",E488-D488/42)</f>
        <v/>
      </c>
      <c r="P488">
        <f>IF(L488="",M488/100,H488*L488/100)</f>
        <v/>
      </c>
      <c r="Q488">
        <f>H488-C488/42-P488</f>
        <v/>
      </c>
      <c r="R488">
        <f>H488-E488</f>
        <v/>
      </c>
    </row>
    <row r="489">
      <c r="A489" s="3" t="n">
        <v>41764</v>
      </c>
      <c r="B489" s="3" t="n">
        <v>41761</v>
      </c>
      <c r="C489" t="n">
        <v>100.51</v>
      </c>
      <c r="D489" t="n">
        <v>109.15</v>
      </c>
      <c r="E489" t="n">
        <v>2.761</v>
      </c>
      <c r="F489" t="n">
        <v>2.883</v>
      </c>
      <c r="G489" t="n">
        <v>3.125</v>
      </c>
      <c r="H489" t="n">
        <v>3.684</v>
      </c>
      <c r="J489" t="n">
        <v>3.501</v>
      </c>
      <c r="K489" t="n">
        <v>4.222</v>
      </c>
      <c r="L489" t="n">
        <v>11.6</v>
      </c>
      <c r="N489">
        <f>IF(OR(E489="",C489=""),"",E489-C489/42)</f>
        <v/>
      </c>
      <c r="O489">
        <f>IF(OR(E489="",D489=""),"",E489-D489/42)</f>
        <v/>
      </c>
      <c r="P489">
        <f>IF(L489="",M489/100,H489*L489/100)</f>
        <v/>
      </c>
      <c r="Q489">
        <f>H489-C489/42-P489</f>
        <v/>
      </c>
      <c r="R489">
        <f>H489-E489</f>
        <v/>
      </c>
    </row>
    <row r="490">
      <c r="A490" s="3" t="n">
        <v>41771</v>
      </c>
      <c r="B490" s="3" t="n">
        <v>41768</v>
      </c>
      <c r="C490" t="n">
        <v>100.29</v>
      </c>
      <c r="D490" t="n">
        <v>108.48</v>
      </c>
      <c r="E490" t="n">
        <v>2.698</v>
      </c>
      <c r="F490" t="n">
        <v>2.832</v>
      </c>
      <c r="G490" t="n">
        <v>2.933</v>
      </c>
      <c r="H490" t="n">
        <v>3.668</v>
      </c>
      <c r="J490" t="n">
        <v>3.51</v>
      </c>
      <c r="K490" t="n">
        <v>4.169</v>
      </c>
      <c r="L490" t="n">
        <v>11.6</v>
      </c>
      <c r="N490">
        <f>IF(OR(E490="",C490=""),"",E490-C490/42)</f>
        <v/>
      </c>
      <c r="O490">
        <f>IF(OR(E490="",D490=""),"",E490-D490/42)</f>
        <v/>
      </c>
      <c r="P490">
        <f>IF(L490="",M490/100,H490*L490/100)</f>
        <v/>
      </c>
      <c r="Q490">
        <f>H490-C490/42-P490</f>
        <v/>
      </c>
      <c r="R490">
        <f>H490-E490</f>
        <v/>
      </c>
    </row>
    <row r="491">
      <c r="A491" s="3" t="n">
        <v>41778</v>
      </c>
      <c r="B491" s="3" t="n">
        <v>41775</v>
      </c>
      <c r="C491" t="n">
        <v>101.92</v>
      </c>
      <c r="D491" t="n">
        <v>109.53</v>
      </c>
      <c r="E491" t="n">
        <v>2.75</v>
      </c>
      <c r="F491" t="n">
        <v>2.864</v>
      </c>
      <c r="G491" t="n">
        <v>3.019</v>
      </c>
      <c r="H491" t="n">
        <v>3.665</v>
      </c>
      <c r="J491" t="n">
        <v>3.505</v>
      </c>
      <c r="K491" t="n">
        <v>4.159</v>
      </c>
      <c r="L491" t="n">
        <v>11.6</v>
      </c>
      <c r="N491">
        <f>IF(OR(E491="",C491=""),"",E491-C491/42)</f>
        <v/>
      </c>
      <c r="O491">
        <f>IF(OR(E491="",D491=""),"",E491-D491/42)</f>
        <v/>
      </c>
      <c r="P491">
        <f>IF(L491="",M491/100,H491*L491/100)</f>
        <v/>
      </c>
      <c r="Q491">
        <f>H491-C491/42-P491</f>
        <v/>
      </c>
      <c r="R491">
        <f>H491-E491</f>
        <v/>
      </c>
    </row>
    <row r="492">
      <c r="A492" s="3" t="n">
        <v>41785</v>
      </c>
      <c r="B492" s="3" t="n">
        <v>41782</v>
      </c>
      <c r="C492" t="n">
        <v>103.82</v>
      </c>
      <c r="D492" t="n">
        <v>110.72</v>
      </c>
      <c r="E492" t="n">
        <v>2.813</v>
      </c>
      <c r="F492" t="n">
        <v>2.896</v>
      </c>
      <c r="G492" t="n">
        <v>3.077</v>
      </c>
      <c r="H492" t="n">
        <v>3.674</v>
      </c>
      <c r="J492" t="n">
        <v>3.502</v>
      </c>
      <c r="K492" t="n">
        <v>4.135</v>
      </c>
      <c r="L492" t="n">
        <v>11.6</v>
      </c>
      <c r="N492">
        <f>IF(OR(E492="",C492=""),"",E492-C492/42)</f>
        <v/>
      </c>
      <c r="O492">
        <f>IF(OR(E492="",D492=""),"",E492-D492/42)</f>
        <v/>
      </c>
      <c r="P492">
        <f>IF(L492="",M492/100,H492*L492/100)</f>
        <v/>
      </c>
      <c r="Q492">
        <f>H492-C492/42-P492</f>
        <v/>
      </c>
      <c r="R492">
        <f>H492-E492</f>
        <v/>
      </c>
    </row>
    <row r="493">
      <c r="A493" s="3" t="n">
        <v>41792</v>
      </c>
      <c r="B493" s="3" t="n">
        <v>41789</v>
      </c>
      <c r="C493" t="n">
        <v>103.95</v>
      </c>
      <c r="D493" t="n">
        <v>109.62</v>
      </c>
      <c r="E493" t="n">
        <v>2.81</v>
      </c>
      <c r="F493" t="n">
        <v>2.853</v>
      </c>
      <c r="G493" t="n">
        <v>3.124</v>
      </c>
      <c r="H493" t="n">
        <v>3.69</v>
      </c>
      <c r="J493" t="n">
        <v>3.504</v>
      </c>
      <c r="K493" t="n">
        <v>4.127</v>
      </c>
      <c r="L493" t="n">
        <v>11.5</v>
      </c>
      <c r="N493">
        <f>IF(OR(E493="",C493=""),"",E493-C493/42)</f>
        <v/>
      </c>
      <c r="O493">
        <f>IF(OR(E493="",D493=""),"",E493-D493/42)</f>
        <v/>
      </c>
      <c r="P493">
        <f>IF(L493="",M493/100,H493*L493/100)</f>
        <v/>
      </c>
      <c r="Q493">
        <f>H493-C493/42-P493</f>
        <v/>
      </c>
      <c r="R493">
        <f>H493-E493</f>
        <v/>
      </c>
    </row>
    <row r="494">
      <c r="A494" s="3" t="n">
        <v>41799</v>
      </c>
      <c r="B494" s="3" t="n">
        <v>41796</v>
      </c>
      <c r="C494" t="n">
        <v>103.23</v>
      </c>
      <c r="D494" t="n">
        <v>108.98</v>
      </c>
      <c r="E494" t="n">
        <v>2.764</v>
      </c>
      <c r="F494" t="n">
        <v>2.819</v>
      </c>
      <c r="G494" t="n">
        <v>3.061</v>
      </c>
      <c r="H494" t="n">
        <v>3.674</v>
      </c>
      <c r="J494" t="n">
        <v>3.507</v>
      </c>
      <c r="K494" t="n">
        <v>4.106</v>
      </c>
      <c r="L494" t="n">
        <v>11.5</v>
      </c>
      <c r="N494">
        <f>IF(OR(E494="",C494=""),"",E494-C494/42)</f>
        <v/>
      </c>
      <c r="O494">
        <f>IF(OR(E494="",D494=""),"",E494-D494/42)</f>
        <v/>
      </c>
      <c r="P494">
        <f>IF(L494="",M494/100,H494*L494/100)</f>
        <v/>
      </c>
      <c r="Q494">
        <f>H494-C494/42-P494</f>
        <v/>
      </c>
      <c r="R494">
        <f>H494-E494</f>
        <v/>
      </c>
    </row>
    <row r="495">
      <c r="A495" s="3" t="n">
        <v>41806</v>
      </c>
      <c r="B495" s="3" t="n">
        <v>41803</v>
      </c>
      <c r="C495" t="n">
        <v>105.97</v>
      </c>
      <c r="D495" t="n">
        <v>110.98</v>
      </c>
      <c r="E495" t="n">
        <v>2.832</v>
      </c>
      <c r="F495" t="n">
        <v>2.882</v>
      </c>
      <c r="G495" t="n">
        <v>3.045</v>
      </c>
      <c r="H495" t="n">
        <v>3.686</v>
      </c>
      <c r="J495" t="n">
        <v>3.53</v>
      </c>
      <c r="K495" t="n">
        <v>4.102</v>
      </c>
      <c r="L495" t="n">
        <v>11.5</v>
      </c>
      <c r="N495">
        <f>IF(OR(E495="",C495=""),"",E495-C495/42)</f>
        <v/>
      </c>
      <c r="O495">
        <f>IF(OR(E495="",D495=""),"",E495-D495/42)</f>
        <v/>
      </c>
      <c r="P495">
        <f>IF(L495="",M495/100,H495*L495/100)</f>
        <v/>
      </c>
      <c r="Q495">
        <f>H495-C495/42-P495</f>
        <v/>
      </c>
      <c r="R495">
        <f>H495-E495</f>
        <v/>
      </c>
    </row>
    <row r="496">
      <c r="A496" s="3" t="n">
        <v>41813</v>
      </c>
      <c r="B496" s="3" t="n">
        <v>41810</v>
      </c>
      <c r="C496" t="n">
        <v>107.23</v>
      </c>
      <c r="D496" t="n">
        <v>114.29</v>
      </c>
      <c r="E496" t="n">
        <v>2.917</v>
      </c>
      <c r="F496" t="n">
        <v>2.952</v>
      </c>
      <c r="G496" t="n">
        <v>3.125</v>
      </c>
      <c r="H496" t="n">
        <v>3.704</v>
      </c>
      <c r="J496" t="n">
        <v>3.606</v>
      </c>
      <c r="K496" t="n">
        <v>4.102</v>
      </c>
      <c r="L496" t="n">
        <v>11.5</v>
      </c>
      <c r="N496">
        <f>IF(OR(E496="",C496=""),"",E496-C496/42)</f>
        <v/>
      </c>
      <c r="O496">
        <f>IF(OR(E496="",D496=""),"",E496-D496/42)</f>
        <v/>
      </c>
      <c r="P496">
        <f>IF(L496="",M496/100,H496*L496/100)</f>
        <v/>
      </c>
      <c r="Q496">
        <f>H496-C496/42-P496</f>
        <v/>
      </c>
      <c r="R496">
        <f>H496-E496</f>
        <v/>
      </c>
    </row>
    <row r="497">
      <c r="A497" s="3" t="n">
        <v>41820</v>
      </c>
      <c r="B497" s="3" t="n">
        <v>41817</v>
      </c>
      <c r="C497" t="n">
        <v>106.69</v>
      </c>
      <c r="D497" t="n">
        <v>113.09</v>
      </c>
      <c r="E497" t="n">
        <v>2.883</v>
      </c>
      <c r="F497" t="n">
        <v>2.932</v>
      </c>
      <c r="G497" t="n">
        <v>3.216</v>
      </c>
      <c r="H497" t="n">
        <v>3.704</v>
      </c>
      <c r="J497" t="n">
        <v>3.629</v>
      </c>
      <c r="K497" t="n">
        <v>4.132</v>
      </c>
      <c r="L497" t="n">
        <v>11.5</v>
      </c>
      <c r="N497">
        <f>IF(OR(E497="",C497=""),"",E497-C497/42)</f>
        <v/>
      </c>
      <c r="O497">
        <f>IF(OR(E497="",D497=""),"",E497-D497/42)</f>
        <v/>
      </c>
      <c r="P497">
        <f>IF(L497="",M497/100,H497*L497/100)</f>
        <v/>
      </c>
      <c r="Q497">
        <f>H497-C497/42-P497</f>
        <v/>
      </c>
      <c r="R497">
        <f>H497-E497</f>
        <v/>
      </c>
    </row>
    <row r="498">
      <c r="A498" s="3" t="n">
        <v>41827</v>
      </c>
      <c r="B498" s="3" t="n">
        <v>41824</v>
      </c>
      <c r="C498" t="n">
        <v>105.52</v>
      </c>
      <c r="D498" t="n">
        <v>110.26</v>
      </c>
      <c r="E498" t="n">
        <v>2.829</v>
      </c>
      <c r="F498" t="n">
        <v>2.887</v>
      </c>
      <c r="G498" t="n">
        <v>3.151</v>
      </c>
      <c r="H498" t="n">
        <v>3.678</v>
      </c>
      <c r="J498" t="n">
        <v>3.642</v>
      </c>
      <c r="K498" t="n">
        <v>4.128</v>
      </c>
      <c r="L498" t="n">
        <v>11.8</v>
      </c>
      <c r="N498">
        <f>IF(OR(E498="",C498=""),"",E498-C498/42)</f>
        <v/>
      </c>
      <c r="O498">
        <f>IF(OR(E498="",D498=""),"",E498-D498/42)</f>
        <v/>
      </c>
      <c r="P498">
        <f>IF(L498="",M498/100,H498*L498/100)</f>
        <v/>
      </c>
      <c r="Q498">
        <f>H498-C498/42-P498</f>
        <v/>
      </c>
      <c r="R498">
        <f>H498-E498</f>
        <v/>
      </c>
    </row>
    <row r="499">
      <c r="A499" s="3" t="n">
        <v>41834</v>
      </c>
      <c r="B499" s="3" t="n">
        <v>41831</v>
      </c>
      <c r="C499" t="n">
        <v>103.25</v>
      </c>
      <c r="D499" t="n">
        <v>107.03</v>
      </c>
      <c r="E499" t="n">
        <v>2.745</v>
      </c>
      <c r="F499" t="n">
        <v>2.829</v>
      </c>
      <c r="G499" t="n">
        <v>2.948</v>
      </c>
      <c r="H499" t="n">
        <v>3.635</v>
      </c>
      <c r="J499" t="n">
        <v>3.644</v>
      </c>
      <c r="K499" t="n">
        <v>4.09</v>
      </c>
      <c r="L499" t="n">
        <v>11.8</v>
      </c>
      <c r="N499">
        <f>IF(OR(E499="",C499=""),"",E499-C499/42)</f>
        <v/>
      </c>
      <c r="O499">
        <f>IF(OR(E499="",D499=""),"",E499-D499/42)</f>
        <v/>
      </c>
      <c r="P499">
        <f>IF(L499="",M499/100,H499*L499/100)</f>
        <v/>
      </c>
      <c r="Q499">
        <f>H499-C499/42-P499</f>
        <v/>
      </c>
      <c r="R499">
        <f>H499-E499</f>
        <v/>
      </c>
    </row>
    <row r="500">
      <c r="A500" s="3" t="n">
        <v>41841</v>
      </c>
      <c r="B500" s="3" t="n">
        <v>41838</v>
      </c>
      <c r="C500" t="n">
        <v>102.37</v>
      </c>
      <c r="D500" t="n">
        <v>105.39</v>
      </c>
      <c r="E500" t="n">
        <v>2.698</v>
      </c>
      <c r="F500" t="n">
        <v>2.786</v>
      </c>
      <c r="G500" t="n">
        <v>2.86</v>
      </c>
      <c r="H500" t="n">
        <v>3.593</v>
      </c>
      <c r="J500" t="n">
        <v>3.64</v>
      </c>
      <c r="K500" t="n">
        <v>4.034</v>
      </c>
      <c r="L500" t="n">
        <v>11.8</v>
      </c>
      <c r="N500">
        <f>IF(OR(E500="",C500=""),"",E500-C500/42)</f>
        <v/>
      </c>
      <c r="O500">
        <f>IF(OR(E500="",D500=""),"",E500-D500/42)</f>
        <v/>
      </c>
      <c r="P500">
        <f>IF(L500="",M500/100,H500*L500/100)</f>
        <v/>
      </c>
      <c r="Q500">
        <f>H500-C500/42-P500</f>
        <v/>
      </c>
      <c r="R500">
        <f>H500-E500</f>
        <v/>
      </c>
    </row>
    <row r="501">
      <c r="A501" s="3" t="n">
        <v>41848</v>
      </c>
      <c r="B501" s="3" t="n">
        <v>41845</v>
      </c>
      <c r="C501" t="n">
        <v>104.35</v>
      </c>
      <c r="D501" t="n">
        <v>106.34</v>
      </c>
      <c r="E501" t="n">
        <v>2.68</v>
      </c>
      <c r="F501" t="n">
        <v>2.782</v>
      </c>
      <c r="G501" t="n">
        <v>2.833</v>
      </c>
      <c r="H501" t="n">
        <v>3.539</v>
      </c>
      <c r="J501" t="n">
        <v>3.645</v>
      </c>
      <c r="K501" t="n">
        <v>3.991</v>
      </c>
      <c r="L501" t="n">
        <v>11.8</v>
      </c>
      <c r="N501">
        <f>IF(OR(E501="",C501=""),"",E501-C501/42)</f>
        <v/>
      </c>
      <c r="O501">
        <f>IF(OR(E501="",D501=""),"",E501-D501/42)</f>
        <v/>
      </c>
      <c r="P501">
        <f>IF(L501="",M501/100,H501*L501/100)</f>
        <v/>
      </c>
      <c r="Q501">
        <f>H501-C501/42-P501</f>
        <v/>
      </c>
      <c r="R501">
        <f>H501-E501</f>
        <v/>
      </c>
    </row>
    <row r="502">
      <c r="A502" s="3" t="n">
        <v>41855</v>
      </c>
      <c r="B502" s="3" t="n">
        <v>41852</v>
      </c>
      <c r="C502" t="n">
        <v>102.19</v>
      </c>
      <c r="D502" t="n">
        <v>105.71</v>
      </c>
      <c r="E502" t="n">
        <v>2.63</v>
      </c>
      <c r="F502" t="n">
        <v>2.735</v>
      </c>
      <c r="G502" t="n">
        <v>2.821</v>
      </c>
      <c r="H502" t="n">
        <v>3.515</v>
      </c>
      <c r="J502" t="n">
        <v>3.641</v>
      </c>
      <c r="K502" t="n">
        <v>3.948</v>
      </c>
      <c r="L502" t="n">
        <v>12.2</v>
      </c>
      <c r="N502">
        <f>IF(OR(E502="",C502=""),"",E502-C502/42)</f>
        <v/>
      </c>
      <c r="O502">
        <f>IF(OR(E502="",D502=""),"",E502-D502/42)</f>
        <v/>
      </c>
      <c r="P502">
        <f>IF(L502="",M502/100,H502*L502/100)</f>
        <v/>
      </c>
      <c r="Q502">
        <f>H502-C502/42-P502</f>
        <v/>
      </c>
      <c r="R502">
        <f>H502-E502</f>
        <v/>
      </c>
    </row>
    <row r="503">
      <c r="A503" s="3" t="n">
        <v>41862</v>
      </c>
      <c r="B503" s="3" t="n">
        <v>41859</v>
      </c>
      <c r="C503" t="n">
        <v>97.5</v>
      </c>
      <c r="D503" t="n">
        <v>103.6</v>
      </c>
      <c r="E503" t="n">
        <v>2.598</v>
      </c>
      <c r="F503" t="n">
        <v>2.688</v>
      </c>
      <c r="G503" t="n">
        <v>2.767</v>
      </c>
      <c r="H503" t="n">
        <v>3.505</v>
      </c>
      <c r="J503" t="n">
        <v>3.652</v>
      </c>
      <c r="K503" t="n">
        <v>3.926</v>
      </c>
      <c r="L503" t="n">
        <v>12.2</v>
      </c>
      <c r="N503">
        <f>IF(OR(E503="",C503=""),"",E503-C503/42)</f>
        <v/>
      </c>
      <c r="O503">
        <f>IF(OR(E503="",D503=""),"",E503-D503/42)</f>
        <v/>
      </c>
      <c r="P503">
        <f>IF(L503="",M503/100,H503*L503/100)</f>
        <v/>
      </c>
      <c r="Q503">
        <f>H503-C503/42-P503</f>
        <v/>
      </c>
      <c r="R503">
        <f>H503-E503</f>
        <v/>
      </c>
    </row>
    <row r="504">
      <c r="A504" s="3" t="n">
        <v>41869</v>
      </c>
      <c r="B504" s="3" t="n">
        <v>41866</v>
      </c>
      <c r="C504" t="n">
        <v>97.17</v>
      </c>
      <c r="D504" t="n">
        <v>101.94</v>
      </c>
      <c r="E504" t="n">
        <v>2.633</v>
      </c>
      <c r="F504" t="n">
        <v>2.685</v>
      </c>
      <c r="G504" t="n">
        <v>2.835</v>
      </c>
      <c r="H504" t="n">
        <v>3.472</v>
      </c>
      <c r="J504" t="n">
        <v>3.658</v>
      </c>
      <c r="K504" t="n">
        <v>3.898</v>
      </c>
      <c r="L504" t="n">
        <v>12.2</v>
      </c>
      <c r="N504">
        <f>IF(OR(E504="",C504=""),"",E504-C504/42)</f>
        <v/>
      </c>
      <c r="O504">
        <f>IF(OR(E504="",D504=""),"",E504-D504/42)</f>
        <v/>
      </c>
      <c r="P504">
        <f>IF(L504="",M504/100,H504*L504/100)</f>
        <v/>
      </c>
      <c r="Q504">
        <f>H504-C504/42-P504</f>
        <v/>
      </c>
      <c r="R504">
        <f>H504-E504</f>
        <v/>
      </c>
    </row>
    <row r="505">
      <c r="A505" s="3" t="n">
        <v>41876</v>
      </c>
      <c r="B505" s="3" t="n">
        <v>41873</v>
      </c>
      <c r="C505" t="n">
        <v>94.95</v>
      </c>
      <c r="D505" t="n">
        <v>99.88</v>
      </c>
      <c r="E505" t="n">
        <v>2.666</v>
      </c>
      <c r="F505" t="n">
        <v>2.704</v>
      </c>
      <c r="G505" t="n">
        <v>2.797</v>
      </c>
      <c r="H505" t="n">
        <v>3.454</v>
      </c>
      <c r="J505" t="n">
        <v>3.651</v>
      </c>
      <c r="K505" t="n">
        <v>3.876</v>
      </c>
      <c r="L505" t="n">
        <v>12.2</v>
      </c>
      <c r="N505">
        <f>IF(OR(E505="",C505=""),"",E505-C505/42)</f>
        <v/>
      </c>
      <c r="O505">
        <f>IF(OR(E505="",D505=""),"",E505-D505/42)</f>
        <v/>
      </c>
      <c r="P505">
        <f>IF(L505="",M505/100,H505*L505/100)</f>
        <v/>
      </c>
      <c r="Q505">
        <f>H505-C505/42-P505</f>
        <v/>
      </c>
      <c r="R505">
        <f>H505-E505</f>
        <v/>
      </c>
    </row>
    <row r="506">
      <c r="A506" s="3" t="n">
        <v>41883</v>
      </c>
      <c r="B506" s="3" t="n">
        <v>41880</v>
      </c>
      <c r="C506" t="n">
        <v>96.25</v>
      </c>
      <c r="D506" t="n">
        <v>100.64</v>
      </c>
      <c r="E506" t="n">
        <v>2.642</v>
      </c>
      <c r="F506" t="n">
        <v>2.75</v>
      </c>
      <c r="G506" t="n">
        <v>2.846</v>
      </c>
      <c r="H506" t="n">
        <v>3.459</v>
      </c>
      <c r="J506" t="n">
        <v>3.639</v>
      </c>
      <c r="K506" t="n">
        <v>3.843</v>
      </c>
      <c r="L506" t="n">
        <v>12.5</v>
      </c>
      <c r="N506">
        <f>IF(OR(E506="",C506=""),"",E506-C506/42)</f>
        <v/>
      </c>
      <c r="O506">
        <f>IF(OR(E506="",D506=""),"",E506-D506/42)</f>
        <v/>
      </c>
      <c r="P506">
        <f>IF(L506="",M506/100,H506*L506/100)</f>
        <v/>
      </c>
      <c r="Q506">
        <f>H506-C506/42-P506</f>
        <v/>
      </c>
      <c r="R506">
        <f>H506-E506</f>
        <v/>
      </c>
    </row>
    <row r="507">
      <c r="A507" s="3" t="n">
        <v>41890</v>
      </c>
      <c r="B507" s="3" t="n">
        <v>41887</v>
      </c>
      <c r="C507" t="n">
        <v>94.06</v>
      </c>
      <c r="D507" t="n">
        <v>100.45</v>
      </c>
      <c r="E507" t="n">
        <v>2.628</v>
      </c>
      <c r="F507" t="n">
        <v>2.748</v>
      </c>
      <c r="G507" t="n">
        <v>2.866</v>
      </c>
      <c r="H507" t="n">
        <v>3.457</v>
      </c>
      <c r="J507" t="n">
        <v>3.626</v>
      </c>
      <c r="K507" t="n">
        <v>3.816</v>
      </c>
      <c r="L507" t="n">
        <v>12.5</v>
      </c>
      <c r="N507">
        <f>IF(OR(E507="",C507=""),"",E507-C507/42)</f>
        <v/>
      </c>
      <c r="O507">
        <f>IF(OR(E507="",D507=""),"",E507-D507/42)</f>
        <v/>
      </c>
      <c r="P507">
        <f>IF(L507="",M507/100,H507*L507/100)</f>
        <v/>
      </c>
      <c r="Q507">
        <f>H507-C507/42-P507</f>
        <v/>
      </c>
      <c r="R507">
        <f>H507-E507</f>
        <v/>
      </c>
    </row>
    <row r="508">
      <c r="A508" s="3" t="n">
        <v>41897</v>
      </c>
      <c r="B508" s="3" t="n">
        <v>41894</v>
      </c>
      <c r="C508" t="n">
        <v>92.43000000000001</v>
      </c>
      <c r="D508" t="n">
        <v>97.31999999999999</v>
      </c>
      <c r="E508" t="n">
        <v>2.555</v>
      </c>
      <c r="F508" t="n">
        <v>2.691</v>
      </c>
      <c r="G508" t="n">
        <v>2.666</v>
      </c>
      <c r="H508" t="n">
        <v>3.408</v>
      </c>
      <c r="J508" t="n">
        <v>3.593</v>
      </c>
      <c r="K508" t="n">
        <v>3.786</v>
      </c>
      <c r="L508" t="n">
        <v>12.5</v>
      </c>
      <c r="N508">
        <f>IF(OR(E508="",C508=""),"",E508-C508/42)</f>
        <v/>
      </c>
      <c r="O508">
        <f>IF(OR(E508="",D508=""),"",E508-D508/42)</f>
        <v/>
      </c>
      <c r="P508">
        <f>IF(L508="",M508/100,H508*L508/100)</f>
        <v/>
      </c>
      <c r="Q508">
        <f>H508-C508/42-P508</f>
        <v/>
      </c>
      <c r="R508">
        <f>H508-E508</f>
        <v/>
      </c>
    </row>
    <row r="509">
      <c r="A509" s="3" t="n">
        <v>41904</v>
      </c>
      <c r="B509" s="3" t="n">
        <v>41901</v>
      </c>
      <c r="C509" t="n">
        <v>93.52</v>
      </c>
      <c r="D509" t="n">
        <v>97.02</v>
      </c>
      <c r="E509" t="n">
        <v>2.593</v>
      </c>
      <c r="F509" t="n">
        <v>2.677</v>
      </c>
      <c r="G509" t="n">
        <v>2.656</v>
      </c>
      <c r="H509" t="n">
        <v>3.353</v>
      </c>
      <c r="J509" t="n">
        <v>3.544</v>
      </c>
      <c r="K509" t="n">
        <v>3.728</v>
      </c>
      <c r="L509" t="n">
        <v>12.5</v>
      </c>
      <c r="N509">
        <f>IF(OR(E509="",C509=""),"",E509-C509/42)</f>
        <v/>
      </c>
      <c r="O509">
        <f>IF(OR(E509="",D509=""),"",E509-D509/42)</f>
        <v/>
      </c>
      <c r="P509">
        <f>IF(L509="",M509/100,H509*L509/100)</f>
        <v/>
      </c>
      <c r="Q509">
        <f>H509-C509/42-P509</f>
        <v/>
      </c>
      <c r="R509">
        <f>H509-E509</f>
        <v/>
      </c>
    </row>
    <row r="510">
      <c r="A510" s="3" t="n">
        <v>41911</v>
      </c>
      <c r="B510" s="3" t="n">
        <v>41908</v>
      </c>
      <c r="C510" t="n">
        <v>93.15000000000001</v>
      </c>
      <c r="D510" t="n">
        <v>95.01000000000001</v>
      </c>
      <c r="E510" t="n">
        <v>2.642</v>
      </c>
      <c r="F510" t="n">
        <v>2.762</v>
      </c>
      <c r="G510" t="n">
        <v>2.713</v>
      </c>
      <c r="H510" t="n">
        <v>3.354</v>
      </c>
      <c r="J510" t="n">
        <v>3.494</v>
      </c>
      <c r="K510" t="n">
        <v>3.693</v>
      </c>
      <c r="L510" t="n">
        <v>12.5</v>
      </c>
      <c r="N510">
        <f>IF(OR(E510="",C510=""),"",E510-C510/42)</f>
        <v/>
      </c>
      <c r="O510">
        <f>IF(OR(E510="",D510=""),"",E510-D510/42)</f>
        <v/>
      </c>
      <c r="P510">
        <f>IF(L510="",M510/100,H510*L510/100)</f>
        <v/>
      </c>
      <c r="Q510">
        <f>H510-C510/42-P510</f>
        <v/>
      </c>
      <c r="R510">
        <f>H510-E510</f>
        <v/>
      </c>
    </row>
    <row r="511">
      <c r="A511" s="3" t="n">
        <v>41918</v>
      </c>
      <c r="B511" s="3" t="n">
        <v>41915</v>
      </c>
      <c r="C511" t="n">
        <v>91.44</v>
      </c>
      <c r="D511" t="n">
        <v>93.41</v>
      </c>
      <c r="E511" t="n">
        <v>2.565</v>
      </c>
      <c r="F511" t="n">
        <v>2.667</v>
      </c>
      <c r="G511" t="n">
        <v>2.744</v>
      </c>
      <c r="H511" t="n">
        <v>3.299</v>
      </c>
      <c r="J511" t="n">
        <v>3.433</v>
      </c>
      <c r="K511" t="n">
        <v>3.666</v>
      </c>
      <c r="L511" t="n">
        <v>13.4</v>
      </c>
      <c r="N511">
        <f>IF(OR(E511="",C511=""),"",E511-C511/42)</f>
        <v/>
      </c>
      <c r="O511">
        <f>IF(OR(E511="",D511=""),"",E511-D511/42)</f>
        <v/>
      </c>
      <c r="P511">
        <f>IF(L511="",M511/100,H511*L511/100)</f>
        <v/>
      </c>
      <c r="Q511">
        <f>H511-C511/42-P511</f>
        <v/>
      </c>
      <c r="R511">
        <f>H511-E511</f>
        <v/>
      </c>
    </row>
    <row r="512">
      <c r="A512" s="3" t="n">
        <v>41925</v>
      </c>
      <c r="B512" s="3" t="n">
        <v>41922</v>
      </c>
      <c r="C512" t="n">
        <v>87.63</v>
      </c>
      <c r="D512" t="n">
        <v>90.19</v>
      </c>
      <c r="E512" t="n">
        <v>2.289</v>
      </c>
      <c r="F512" t="n">
        <v>2.483</v>
      </c>
      <c r="G512" t="n">
        <v>2.479</v>
      </c>
      <c r="H512" t="n">
        <v>3.207</v>
      </c>
      <c r="J512" t="n">
        <v>3.343</v>
      </c>
      <c r="K512" t="n">
        <v>3.598</v>
      </c>
      <c r="L512" t="n">
        <v>13.4</v>
      </c>
      <c r="N512">
        <f>IF(OR(E512="",C512=""),"",E512-C512/42)</f>
        <v/>
      </c>
      <c r="O512">
        <f>IF(OR(E512="",D512=""),"",E512-D512/42)</f>
        <v/>
      </c>
      <c r="P512">
        <f>IF(L512="",M512/100,H512*L512/100)</f>
        <v/>
      </c>
      <c r="Q512">
        <f>H512-C512/42-P512</f>
        <v/>
      </c>
      <c r="R512">
        <f>H512-E512</f>
        <v/>
      </c>
    </row>
    <row r="513">
      <c r="A513" s="3" t="n">
        <v>41932</v>
      </c>
      <c r="B513" s="3" t="n">
        <v>41929</v>
      </c>
      <c r="C513" t="n">
        <v>82.88</v>
      </c>
      <c r="D513" t="n">
        <v>85.5</v>
      </c>
      <c r="E513" t="n">
        <v>2.093</v>
      </c>
      <c r="F513" t="n">
        <v>2.331</v>
      </c>
      <c r="G513" t="n">
        <v>2.274</v>
      </c>
      <c r="H513" t="n">
        <v>3.12</v>
      </c>
      <c r="J513" t="n">
        <v>3.25</v>
      </c>
      <c r="K513" t="n">
        <v>3.489</v>
      </c>
      <c r="L513" t="n">
        <v>13.4</v>
      </c>
      <c r="N513">
        <f>IF(OR(E513="",C513=""),"",E513-C513/42)</f>
        <v/>
      </c>
      <c r="O513">
        <f>IF(OR(E513="",D513=""),"",E513-D513/42)</f>
        <v/>
      </c>
      <c r="P513">
        <f>IF(L513="",M513/100,H513*L513/100)</f>
        <v/>
      </c>
      <c r="Q513">
        <f>H513-C513/42-P513</f>
        <v/>
      </c>
      <c r="R513">
        <f>H513-E513</f>
        <v/>
      </c>
    </row>
    <row r="514">
      <c r="A514" s="3" t="n">
        <v>41939</v>
      </c>
      <c r="B514" s="3" t="n">
        <v>41936</v>
      </c>
      <c r="C514" t="n">
        <v>82.12</v>
      </c>
      <c r="D514" t="n">
        <v>85.58</v>
      </c>
      <c r="E514" t="n">
        <v>2.056</v>
      </c>
      <c r="F514" t="n">
        <v>2.347</v>
      </c>
      <c r="G514" t="n">
        <v>2.192</v>
      </c>
      <c r="H514" t="n">
        <v>3.056</v>
      </c>
      <c r="J514" t="n">
        <v>3.197</v>
      </c>
      <c r="K514" t="n">
        <v>3.39</v>
      </c>
      <c r="L514" t="n">
        <v>13.4</v>
      </c>
      <c r="N514">
        <f>IF(OR(E514="",C514=""),"",E514-C514/42)</f>
        <v/>
      </c>
      <c r="O514">
        <f>IF(OR(E514="",D514=""),"",E514-D514/42)</f>
        <v/>
      </c>
      <c r="P514">
        <f>IF(L514="",M514/100,H514*L514/100)</f>
        <v/>
      </c>
      <c r="Q514">
        <f>H514-C514/42-P514</f>
        <v/>
      </c>
      <c r="R514">
        <f>H514-E514</f>
        <v/>
      </c>
    </row>
    <row r="515">
      <c r="A515" s="3" t="n">
        <v>41946</v>
      </c>
      <c r="B515" s="3" t="n">
        <v>41943</v>
      </c>
      <c r="C515" t="n">
        <v>81.29000000000001</v>
      </c>
      <c r="D515" t="n">
        <v>85.56</v>
      </c>
      <c r="E515" t="n">
        <v>2.069</v>
      </c>
      <c r="F515" t="n">
        <v>2.302</v>
      </c>
      <c r="G515" t="n">
        <v>2.159</v>
      </c>
      <c r="H515" t="n">
        <v>2.993</v>
      </c>
      <c r="J515" t="n">
        <v>3.14</v>
      </c>
      <c r="K515" t="n">
        <v>3.3</v>
      </c>
      <c r="L515" t="n">
        <v>14.6</v>
      </c>
      <c r="N515">
        <f>IF(OR(E515="",C515=""),"",E515-C515/42)</f>
        <v/>
      </c>
      <c r="O515">
        <f>IF(OR(E515="",D515=""),"",E515-D515/42)</f>
        <v/>
      </c>
      <c r="P515">
        <f>IF(L515="",M515/100,H515*L515/100)</f>
        <v/>
      </c>
      <c r="Q515">
        <f>H515-C515/42-P515</f>
        <v/>
      </c>
      <c r="R515">
        <f>H515-E515</f>
        <v/>
      </c>
    </row>
    <row r="516">
      <c r="A516" s="3" t="n">
        <v>41953</v>
      </c>
      <c r="B516" s="3" t="n">
        <v>41950</v>
      </c>
      <c r="C516" t="n">
        <v>78.23999999999999</v>
      </c>
      <c r="D516" t="n">
        <v>83.04000000000001</v>
      </c>
      <c r="E516" t="n">
        <v>2.07</v>
      </c>
      <c r="F516" t="n">
        <v>2.213</v>
      </c>
      <c r="G516" t="n">
        <v>2.098</v>
      </c>
      <c r="H516" t="n">
        <v>2.941</v>
      </c>
      <c r="J516" t="n">
        <v>3.076</v>
      </c>
      <c r="K516" t="n">
        <v>3.217</v>
      </c>
      <c r="L516" t="n">
        <v>14.6</v>
      </c>
      <c r="N516">
        <f>IF(OR(E516="",C516=""),"",E516-C516/42)</f>
        <v/>
      </c>
      <c r="O516">
        <f>IF(OR(E516="",D516=""),"",E516-D516/42)</f>
        <v/>
      </c>
      <c r="P516">
        <f>IF(L516="",M516/100,H516*L516/100)</f>
        <v/>
      </c>
      <c r="Q516">
        <f>H516-C516/42-P516</f>
        <v/>
      </c>
      <c r="R516">
        <f>H516-E516</f>
        <v/>
      </c>
    </row>
    <row r="517">
      <c r="A517" s="3" t="n">
        <v>41960</v>
      </c>
      <c r="B517" s="3" t="n">
        <v>41957</v>
      </c>
      <c r="C517" t="n">
        <v>76.5</v>
      </c>
      <c r="D517" t="n">
        <v>79.90000000000001</v>
      </c>
      <c r="E517" t="n">
        <v>1.994</v>
      </c>
      <c r="F517" t="n">
        <v>2.183</v>
      </c>
      <c r="G517" t="n">
        <v>2.082</v>
      </c>
      <c r="H517" t="n">
        <v>2.894</v>
      </c>
      <c r="J517" t="n">
        <v>3.011</v>
      </c>
      <c r="K517" t="n">
        <v>3.151</v>
      </c>
      <c r="L517" t="n">
        <v>14.6</v>
      </c>
      <c r="N517">
        <f>IF(OR(E517="",C517=""),"",E517-C517/42)</f>
        <v/>
      </c>
      <c r="O517">
        <f>IF(OR(E517="",D517=""),"",E517-D517/42)</f>
        <v/>
      </c>
      <c r="P517">
        <f>IF(L517="",M517/100,H517*L517/100)</f>
        <v/>
      </c>
      <c r="Q517">
        <f>H517-C517/42-P517</f>
        <v/>
      </c>
      <c r="R517">
        <f>H517-E517</f>
        <v/>
      </c>
    </row>
    <row r="518">
      <c r="A518" s="3" t="n">
        <v>41967</v>
      </c>
      <c r="B518" s="3" t="n">
        <v>41964</v>
      </c>
      <c r="C518" t="n">
        <v>75.38</v>
      </c>
      <c r="D518" t="n">
        <v>77.62</v>
      </c>
      <c r="E518" t="n">
        <v>1.867</v>
      </c>
      <c r="F518" t="n">
        <v>2.151</v>
      </c>
      <c r="G518" t="n">
        <v>1.972</v>
      </c>
      <c r="H518" t="n">
        <v>2.821</v>
      </c>
      <c r="J518" t="n">
        <v>2.933</v>
      </c>
      <c r="K518" t="n">
        <v>3.072</v>
      </c>
      <c r="L518" t="n">
        <v>14.6</v>
      </c>
      <c r="N518">
        <f>IF(OR(E518="",C518=""),"",E518-C518/42)</f>
        <v/>
      </c>
      <c r="O518">
        <f>IF(OR(E518="",D518=""),"",E518-D518/42)</f>
        <v/>
      </c>
      <c r="P518">
        <f>IF(L518="",M518/100,H518*L518/100)</f>
        <v/>
      </c>
      <c r="Q518">
        <f>H518-C518/42-P518</f>
        <v/>
      </c>
      <c r="R518">
        <f>H518-E518</f>
        <v/>
      </c>
    </row>
    <row r="519">
      <c r="A519" s="3" t="n">
        <v>41974</v>
      </c>
      <c r="B519" s="3" t="n">
        <v>41971</v>
      </c>
      <c r="C519" t="n">
        <v>72.36</v>
      </c>
      <c r="D519" t="n">
        <v>76.63</v>
      </c>
      <c r="E519" t="n">
        <v>1.788</v>
      </c>
      <c r="F519" t="n">
        <v>2.102</v>
      </c>
      <c r="G519" t="n">
        <v>1.926</v>
      </c>
      <c r="H519" t="n">
        <v>2.778</v>
      </c>
      <c r="J519" t="n">
        <v>2.861</v>
      </c>
      <c r="K519" t="n">
        <v>3.047</v>
      </c>
      <c r="L519" t="n">
        <v>16.7</v>
      </c>
      <c r="N519">
        <f>IF(OR(E519="",C519=""),"",E519-C519/42)</f>
        <v/>
      </c>
      <c r="O519">
        <f>IF(OR(E519="",D519=""),"",E519-D519/42)</f>
        <v/>
      </c>
      <c r="P519">
        <f>IF(L519="",M519/100,H519*L519/100)</f>
        <v/>
      </c>
      <c r="Q519">
        <f>H519-C519/42-P519</f>
        <v/>
      </c>
      <c r="R519">
        <f>H519-E519</f>
        <v/>
      </c>
    </row>
    <row r="520">
      <c r="A520" s="3" t="n">
        <v>41981</v>
      </c>
      <c r="B520" s="3" t="n">
        <v>41978</v>
      </c>
      <c r="C520" t="n">
        <v>67.18000000000001</v>
      </c>
      <c r="D520" t="n">
        <v>69.72</v>
      </c>
      <c r="E520" t="n">
        <v>1.64</v>
      </c>
      <c r="F520" t="n">
        <v>1.902</v>
      </c>
      <c r="G520" t="n">
        <v>1.753</v>
      </c>
      <c r="H520" t="n">
        <v>2.679</v>
      </c>
      <c r="J520" t="n">
        <v>2.74</v>
      </c>
      <c r="K520" t="n">
        <v>2.979</v>
      </c>
      <c r="L520" t="n">
        <v>16.7</v>
      </c>
      <c r="N520">
        <f>IF(OR(E520="",C520=""),"",E520-C520/42)</f>
        <v/>
      </c>
      <c r="O520">
        <f>IF(OR(E520="",D520=""),"",E520-D520/42)</f>
        <v/>
      </c>
      <c r="P520">
        <f>IF(L520="",M520/100,H520*L520/100)</f>
        <v/>
      </c>
      <c r="Q520">
        <f>H520-C520/42-P520</f>
        <v/>
      </c>
      <c r="R520">
        <f>H520-E520</f>
        <v/>
      </c>
    </row>
    <row r="521">
      <c r="A521" s="3" t="n">
        <v>41988</v>
      </c>
      <c r="B521" s="3" t="n">
        <v>41985</v>
      </c>
      <c r="C521" t="n">
        <v>61.14</v>
      </c>
      <c r="D521" t="n">
        <v>64.08</v>
      </c>
      <c r="E521" t="n">
        <v>1.504</v>
      </c>
      <c r="F521" t="n">
        <v>1.712</v>
      </c>
      <c r="G521" t="n">
        <v>1.565</v>
      </c>
      <c r="H521" t="n">
        <v>2.554</v>
      </c>
      <c r="J521" t="n">
        <v>2.586</v>
      </c>
      <c r="K521" t="n">
        <v>2.878</v>
      </c>
      <c r="L521" t="n">
        <v>16.7</v>
      </c>
      <c r="N521">
        <f>IF(OR(E521="",C521=""),"",E521-C521/42)</f>
        <v/>
      </c>
      <c r="O521">
        <f>IF(OR(E521="",D521=""),"",E521-D521/42)</f>
        <v/>
      </c>
      <c r="P521">
        <f>IF(L521="",M521/100,H521*L521/100)</f>
        <v/>
      </c>
      <c r="Q521">
        <f>H521-C521/42-P521</f>
        <v/>
      </c>
      <c r="R521">
        <f>H521-E521</f>
        <v/>
      </c>
    </row>
    <row r="522">
      <c r="A522" s="3" t="n">
        <v>41995</v>
      </c>
      <c r="B522" s="3" t="n">
        <v>41992</v>
      </c>
      <c r="C522" t="n">
        <v>55.89</v>
      </c>
      <c r="D522" t="n">
        <v>59.77</v>
      </c>
      <c r="E522" t="n">
        <v>1.384</v>
      </c>
      <c r="F522" t="n">
        <v>1.607</v>
      </c>
      <c r="G522" t="n">
        <v>1.385</v>
      </c>
      <c r="H522" t="n">
        <v>2.403</v>
      </c>
      <c r="J522" t="n">
        <v>2.384</v>
      </c>
      <c r="K522" t="n">
        <v>2.75</v>
      </c>
      <c r="L522" t="n">
        <v>16.7</v>
      </c>
      <c r="N522">
        <f>IF(OR(E522="",C522=""),"",E522-C522/42)</f>
        <v/>
      </c>
      <c r="O522">
        <f>IF(OR(E522="",D522=""),"",E522-D522/42)</f>
        <v/>
      </c>
      <c r="P522">
        <f>IF(L522="",M522/100,H522*L522/100)</f>
        <v/>
      </c>
      <c r="Q522">
        <f>H522-C522/42-P522</f>
        <v/>
      </c>
      <c r="R522">
        <f>H522-E522</f>
        <v/>
      </c>
    </row>
    <row r="523">
      <c r="A523" s="3" t="n">
        <v>42002</v>
      </c>
      <c r="B523" s="3" t="n">
        <v>41999</v>
      </c>
      <c r="C523" t="n">
        <v>55.58</v>
      </c>
      <c r="D523" t="n">
        <v>58.69</v>
      </c>
      <c r="E523" t="n">
        <v>1.238</v>
      </c>
      <c r="F523" t="n">
        <v>1.59</v>
      </c>
      <c r="G523" t="n">
        <v>1.405</v>
      </c>
      <c r="H523" t="n">
        <v>2.299</v>
      </c>
      <c r="J523" t="n">
        <v>2.228</v>
      </c>
      <c r="K523" t="n">
        <v>2.68</v>
      </c>
      <c r="L523" t="n">
        <v>16.7</v>
      </c>
      <c r="N523">
        <f>IF(OR(E523="",C523=""),"",E523-C523/42)</f>
        <v/>
      </c>
      <c r="O523">
        <f>IF(OR(E523="",D523=""),"",E523-D523/42)</f>
        <v/>
      </c>
      <c r="P523">
        <f>IF(L523="",M523/100,H523*L523/100)</f>
        <v/>
      </c>
      <c r="Q523">
        <f>H523-C523/42-P523</f>
        <v/>
      </c>
      <c r="R523">
        <f>H523-E523</f>
        <v/>
      </c>
    </row>
    <row r="524">
      <c r="A524" s="3" t="n">
        <v>42009</v>
      </c>
      <c r="B524" s="3" t="n">
        <v>42006</v>
      </c>
      <c r="C524" t="n">
        <v>53.44</v>
      </c>
      <c r="D524" t="n">
        <v>56.03</v>
      </c>
      <c r="E524" t="n">
        <v>1.256</v>
      </c>
      <c r="F524" t="n">
        <v>1.514</v>
      </c>
      <c r="G524" t="n">
        <v>1.351</v>
      </c>
      <c r="H524" t="n">
        <v>2.214</v>
      </c>
      <c r="J524" t="n">
        <v>2.114</v>
      </c>
      <c r="K524" t="n">
        <v>2.671</v>
      </c>
      <c r="L524" t="n">
        <v>20.1</v>
      </c>
      <c r="N524">
        <f>IF(OR(E524="",C524=""),"",E524-C524/42)</f>
        <v/>
      </c>
      <c r="O524">
        <f>IF(OR(E524="",D524=""),"",E524-D524/42)</f>
        <v/>
      </c>
      <c r="P524">
        <f>IF(L524="",M524/100,H524*L524/100)</f>
        <v/>
      </c>
      <c r="Q524">
        <f>H524-C524/42-P524</f>
        <v/>
      </c>
      <c r="R524">
        <f>H524-E524</f>
        <v/>
      </c>
    </row>
    <row r="525">
      <c r="A525" s="3" t="n">
        <v>42016</v>
      </c>
      <c r="B525" s="3" t="n">
        <v>42013</v>
      </c>
      <c r="C525" t="n">
        <v>48.77</v>
      </c>
      <c r="D525" t="n">
        <v>49.47</v>
      </c>
      <c r="E525" t="n">
        <v>1.209</v>
      </c>
      <c r="F525" t="n">
        <v>1.376</v>
      </c>
      <c r="G525" t="n">
        <v>1.264</v>
      </c>
      <c r="H525" t="n">
        <v>2.139</v>
      </c>
      <c r="J525" t="n">
        <v>1.986</v>
      </c>
      <c r="K525" t="n">
        <v>2.594</v>
      </c>
      <c r="L525" t="n">
        <v>20.1</v>
      </c>
      <c r="N525">
        <f>IF(OR(E525="",C525=""),"",E525-C525/42)</f>
        <v/>
      </c>
      <c r="O525">
        <f>IF(OR(E525="",D525=""),"",E525-D525/42)</f>
        <v/>
      </c>
      <c r="P525">
        <f>IF(L525="",M525/100,H525*L525/100)</f>
        <v/>
      </c>
      <c r="Q525">
        <f>H525-C525/42-P525</f>
        <v/>
      </c>
      <c r="R525">
        <f>H525-E525</f>
        <v/>
      </c>
    </row>
    <row r="526">
      <c r="A526" s="3" t="n">
        <v>42023</v>
      </c>
      <c r="B526" s="3" t="n">
        <v>42020</v>
      </c>
      <c r="C526" t="n">
        <v>47.07</v>
      </c>
      <c r="D526" t="n">
        <v>46.58</v>
      </c>
      <c r="E526" t="n">
        <v>1.226</v>
      </c>
      <c r="F526" t="n">
        <v>1.325</v>
      </c>
      <c r="G526" t="n">
        <v>1.165</v>
      </c>
      <c r="H526" t="n">
        <v>2.066</v>
      </c>
      <c r="J526" t="n">
        <v>1.908</v>
      </c>
      <c r="K526" t="n">
        <v>2.484</v>
      </c>
      <c r="L526" t="n">
        <v>20.1</v>
      </c>
      <c r="N526">
        <f>IF(OR(E526="",C526=""),"",E526-C526/42)</f>
        <v/>
      </c>
      <c r="O526">
        <f>IF(OR(E526="",D526=""),"",E526-D526/42)</f>
        <v/>
      </c>
      <c r="P526">
        <f>IF(L526="",M526/100,H526*L526/100)</f>
        <v/>
      </c>
      <c r="Q526">
        <f>H526-C526/42-P526</f>
        <v/>
      </c>
      <c r="R526">
        <f>H526-E526</f>
        <v/>
      </c>
    </row>
    <row r="527">
      <c r="A527" s="3" t="n">
        <v>42030</v>
      </c>
      <c r="B527" s="3" t="n">
        <v>42027</v>
      </c>
      <c r="C527" t="n">
        <v>46.46</v>
      </c>
      <c r="D527" t="n">
        <v>46.44</v>
      </c>
      <c r="E527" t="n">
        <v>1.288</v>
      </c>
      <c r="F527" t="n">
        <v>1.35</v>
      </c>
      <c r="G527" t="n">
        <v>1.276</v>
      </c>
      <c r="H527" t="n">
        <v>2.044</v>
      </c>
      <c r="J527" t="n">
        <v>1.873</v>
      </c>
      <c r="K527" t="n">
        <v>2.44</v>
      </c>
      <c r="L527" t="n">
        <v>20.1</v>
      </c>
      <c r="N527">
        <f>IF(OR(E527="",C527=""),"",E527-C527/42)</f>
        <v/>
      </c>
      <c r="O527">
        <f>IF(OR(E527="",D527=""),"",E527-D527/42)</f>
        <v/>
      </c>
      <c r="P527">
        <f>IF(L527="",M527/100,H527*L527/100)</f>
        <v/>
      </c>
      <c r="Q527">
        <f>H527-C527/42-P527</f>
        <v/>
      </c>
      <c r="R527">
        <f>H527-E527</f>
        <v/>
      </c>
    </row>
    <row r="528">
      <c r="A528" s="3" t="n">
        <v>42037</v>
      </c>
      <c r="B528" s="3" t="n">
        <v>42034</v>
      </c>
      <c r="C528" t="n">
        <v>45.32</v>
      </c>
      <c r="D528" t="n">
        <v>46.76</v>
      </c>
      <c r="E528" t="n">
        <v>1.36</v>
      </c>
      <c r="F528" t="n">
        <v>1.377</v>
      </c>
      <c r="G528" t="n">
        <v>1.484</v>
      </c>
      <c r="H528" t="n">
        <v>2.068</v>
      </c>
      <c r="J528" t="n">
        <v>1.867</v>
      </c>
      <c r="K528" t="n">
        <v>2.441</v>
      </c>
      <c r="L528" t="n">
        <v>20.4</v>
      </c>
      <c r="N528">
        <f>IF(OR(E528="",C528=""),"",E528-C528/42)</f>
        <v/>
      </c>
      <c r="O528">
        <f>IF(OR(E528="",D528=""),"",E528-D528/42)</f>
        <v/>
      </c>
      <c r="P528">
        <f>IF(L528="",M528/100,H528*L528/100)</f>
        <v/>
      </c>
      <c r="Q528">
        <f>H528-C528/42-P528</f>
        <v/>
      </c>
      <c r="R528">
        <f>H528-E528</f>
        <v/>
      </c>
    </row>
    <row r="529">
      <c r="A529" s="3" t="n">
        <v>42044</v>
      </c>
      <c r="B529" s="3" t="n">
        <v>42041</v>
      </c>
      <c r="C529" t="n">
        <v>50.58</v>
      </c>
      <c r="D529" t="n">
        <v>54.62</v>
      </c>
      <c r="E529" t="n">
        <v>1.52</v>
      </c>
      <c r="F529" t="n">
        <v>1.531</v>
      </c>
      <c r="G529" t="n">
        <v>1.691</v>
      </c>
      <c r="H529" t="n">
        <v>2.191</v>
      </c>
      <c r="J529" t="n">
        <v>1.946</v>
      </c>
      <c r="K529" t="n">
        <v>2.627</v>
      </c>
      <c r="L529" t="n">
        <v>20.4</v>
      </c>
      <c r="N529">
        <f>IF(OR(E529="",C529=""),"",E529-C529/42)</f>
        <v/>
      </c>
      <c r="O529">
        <f>IF(OR(E529="",D529=""),"",E529-D529/42)</f>
        <v/>
      </c>
      <c r="P529">
        <f>IF(L529="",M529/100,H529*L529/100)</f>
        <v/>
      </c>
      <c r="Q529">
        <f>H529-C529/42-P529</f>
        <v/>
      </c>
      <c r="R529">
        <f>H529-E529</f>
        <v/>
      </c>
    </row>
    <row r="530">
      <c r="A530" s="3" t="n">
        <v>42051</v>
      </c>
      <c r="B530" s="3" t="n">
        <v>42048</v>
      </c>
      <c r="C530" t="n">
        <v>51.14</v>
      </c>
      <c r="D530" t="n">
        <v>56.57</v>
      </c>
      <c r="E530" t="n">
        <v>1.576</v>
      </c>
      <c r="F530" t="n">
        <v>1.575</v>
      </c>
      <c r="G530" t="n">
        <v>1.817</v>
      </c>
      <c r="H530" t="n">
        <v>2.274</v>
      </c>
      <c r="J530" t="n">
        <v>1.995</v>
      </c>
      <c r="K530" t="n">
        <v>2.798</v>
      </c>
      <c r="L530" t="n">
        <v>20.4</v>
      </c>
      <c r="N530">
        <f>IF(OR(E530="",C530=""),"",E530-C530/42)</f>
        <v/>
      </c>
      <c r="O530">
        <f>IF(OR(E530="",D530=""),"",E530-D530/42)</f>
        <v/>
      </c>
      <c r="P530">
        <f>IF(L530="",M530/100,H530*L530/100)</f>
        <v/>
      </c>
      <c r="Q530">
        <f>H530-C530/42-P530</f>
        <v/>
      </c>
      <c r="R530">
        <f>H530-E530</f>
        <v/>
      </c>
    </row>
    <row r="531">
      <c r="A531" s="3" t="n">
        <v>42058</v>
      </c>
      <c r="B531" s="3" t="n">
        <v>42055</v>
      </c>
      <c r="C531" t="n">
        <v>51.69</v>
      </c>
      <c r="D531" t="n">
        <v>60.57</v>
      </c>
      <c r="E531" t="n">
        <v>1.594</v>
      </c>
      <c r="F531" t="n">
        <v>1.604</v>
      </c>
      <c r="G531" t="n">
        <v>1.942</v>
      </c>
      <c r="H531" t="n">
        <v>2.332</v>
      </c>
      <c r="J531" t="n">
        <v>2.041</v>
      </c>
      <c r="K531" t="n">
        <v>2.959</v>
      </c>
      <c r="L531" t="n">
        <v>20.4</v>
      </c>
      <c r="N531">
        <f>IF(OR(E531="",C531=""),"",E531-C531/42)</f>
        <v/>
      </c>
      <c r="O531">
        <f>IF(OR(E531="",D531=""),"",E531-D531/42)</f>
        <v/>
      </c>
      <c r="P531">
        <f>IF(L531="",M531/100,H531*L531/100)</f>
        <v/>
      </c>
      <c r="Q531">
        <f>H531-C531/42-P531</f>
        <v/>
      </c>
      <c r="R531">
        <f>H531-E531</f>
        <v/>
      </c>
    </row>
    <row r="532">
      <c r="A532" s="3" t="n">
        <v>42065</v>
      </c>
      <c r="B532" s="3" t="n">
        <v>42062</v>
      </c>
      <c r="C532" t="n">
        <v>49.16</v>
      </c>
      <c r="D532" t="n">
        <v>60.63</v>
      </c>
      <c r="E532" t="n">
        <v>1.718</v>
      </c>
      <c r="F532" t="n">
        <v>1.718</v>
      </c>
      <c r="G532" t="n">
        <v>2.316</v>
      </c>
      <c r="H532" t="n">
        <v>2.473</v>
      </c>
      <c r="J532" t="n">
        <v>2.123</v>
      </c>
      <c r="K532" t="n">
        <v>3.418</v>
      </c>
      <c r="L532" t="n">
        <v>18.4</v>
      </c>
      <c r="N532">
        <f>IF(OR(E532="",C532=""),"",E532-C532/42)</f>
        <v/>
      </c>
      <c r="O532">
        <f>IF(OR(E532="",D532=""),"",E532-D532/42)</f>
        <v/>
      </c>
      <c r="P532">
        <f>IF(L532="",M532/100,H532*L532/100)</f>
        <v/>
      </c>
      <c r="Q532">
        <f>H532-C532/42-P532</f>
        <v/>
      </c>
      <c r="R532">
        <f>H532-E532</f>
        <v/>
      </c>
    </row>
    <row r="533">
      <c r="A533" s="3" t="n">
        <v>42072</v>
      </c>
      <c r="B533" s="3" t="n">
        <v>42069</v>
      </c>
      <c r="C533" t="n">
        <v>50.38</v>
      </c>
      <c r="D533" t="n">
        <v>60.12</v>
      </c>
      <c r="E533" t="n">
        <v>1.732</v>
      </c>
      <c r="F533" t="n">
        <v>1.726</v>
      </c>
      <c r="G533" t="n">
        <v>2.301</v>
      </c>
      <c r="H533" t="n">
        <v>2.487</v>
      </c>
      <c r="J533" t="n">
        <v>2.232</v>
      </c>
      <c r="K533" t="n">
        <v>3.439</v>
      </c>
      <c r="L533" t="n">
        <v>18.4</v>
      </c>
      <c r="N533">
        <f>IF(OR(E533="",C533=""),"",E533-C533/42)</f>
        <v/>
      </c>
      <c r="O533">
        <f>IF(OR(E533="",D533=""),"",E533-D533/42)</f>
        <v/>
      </c>
      <c r="P533">
        <f>IF(L533="",M533/100,H533*L533/100)</f>
        <v/>
      </c>
      <c r="Q533">
        <f>H533-C533/42-P533</f>
        <v/>
      </c>
      <c r="R533">
        <f>H533-E533</f>
        <v/>
      </c>
    </row>
    <row r="534">
      <c r="A534" s="3" t="n">
        <v>42079</v>
      </c>
      <c r="B534" s="3" t="n">
        <v>42076</v>
      </c>
      <c r="C534" t="n">
        <v>47.69</v>
      </c>
      <c r="D534" t="n">
        <v>56.51</v>
      </c>
      <c r="E534" t="n">
        <v>1.652</v>
      </c>
      <c r="F534" t="n">
        <v>1.628</v>
      </c>
      <c r="G534" t="n">
        <v>2.048</v>
      </c>
      <c r="H534" t="n">
        <v>2.453</v>
      </c>
      <c r="J534" t="n">
        <v>2.288</v>
      </c>
      <c r="K534" t="n">
        <v>3.356</v>
      </c>
      <c r="L534" t="n">
        <v>18.4</v>
      </c>
      <c r="N534">
        <f>IF(OR(E534="",C534=""),"",E534-C534/42)</f>
        <v/>
      </c>
      <c r="O534">
        <f>IF(OR(E534="",D534=""),"",E534-D534/42)</f>
        <v/>
      </c>
      <c r="P534">
        <f>IF(L534="",M534/100,H534*L534/100)</f>
        <v/>
      </c>
      <c r="Q534">
        <f>H534-C534/42-P534</f>
        <v/>
      </c>
      <c r="R534">
        <f>H534-E534</f>
        <v/>
      </c>
    </row>
    <row r="535">
      <c r="A535" s="3" t="n">
        <v>42086</v>
      </c>
      <c r="B535" s="3" t="n">
        <v>42083</v>
      </c>
      <c r="C535" t="n">
        <v>44.39</v>
      </c>
      <c r="D535" t="n">
        <v>52.72</v>
      </c>
      <c r="E535" t="n">
        <v>1.656</v>
      </c>
      <c r="F535" t="n">
        <v>1.575</v>
      </c>
      <c r="G535" t="n">
        <v>1.843</v>
      </c>
      <c r="H535" t="n">
        <v>2.457</v>
      </c>
      <c r="J535" t="n">
        <v>2.303</v>
      </c>
      <c r="K535" t="n">
        <v>3.267</v>
      </c>
      <c r="L535" t="n">
        <v>18.4</v>
      </c>
      <c r="N535">
        <f>IF(OR(E535="",C535=""),"",E535-C535/42)</f>
        <v/>
      </c>
      <c r="O535">
        <f>IF(OR(E535="",D535=""),"",E535-D535/42)</f>
        <v/>
      </c>
      <c r="P535">
        <f>IF(L535="",M535/100,H535*L535/100)</f>
        <v/>
      </c>
      <c r="Q535">
        <f>H535-C535/42-P535</f>
        <v/>
      </c>
      <c r="R535">
        <f>H535-E535</f>
        <v/>
      </c>
    </row>
    <row r="536">
      <c r="A536" s="3" t="n">
        <v>42093</v>
      </c>
      <c r="B536" s="3" t="n">
        <v>42090</v>
      </c>
      <c r="C536" t="n">
        <v>48.68</v>
      </c>
      <c r="D536" t="n">
        <v>55.01</v>
      </c>
      <c r="E536" t="n">
        <v>1.7</v>
      </c>
      <c r="F536" t="n">
        <v>1.654</v>
      </c>
      <c r="G536" t="n">
        <v>1.919</v>
      </c>
      <c r="H536" t="n">
        <v>2.448</v>
      </c>
      <c r="J536" t="n">
        <v>2.313</v>
      </c>
      <c r="K536" t="n">
        <v>3.209</v>
      </c>
      <c r="L536" t="n">
        <v>18.4</v>
      </c>
      <c r="N536">
        <f>IF(OR(E536="",C536=""),"",E536-C536/42)</f>
        <v/>
      </c>
      <c r="O536">
        <f>IF(OR(E536="",D536=""),"",E536-D536/42)</f>
        <v/>
      </c>
      <c r="P536">
        <f>IF(L536="",M536/100,H536*L536/100)</f>
        <v/>
      </c>
      <c r="Q536">
        <f>H536-C536/42-P536</f>
        <v/>
      </c>
      <c r="R536">
        <f>H536-E536</f>
        <v/>
      </c>
    </row>
    <row r="537">
      <c r="A537" s="3" t="n">
        <v>42100</v>
      </c>
      <c r="B537" s="3" t="n">
        <v>42097</v>
      </c>
      <c r="C537" t="n">
        <v>48.91</v>
      </c>
      <c r="D537" t="n">
        <v>54.79</v>
      </c>
      <c r="E537" t="n">
        <v>1.613</v>
      </c>
      <c r="F537" t="n">
        <v>1.633</v>
      </c>
      <c r="G537" t="n">
        <v>1.931</v>
      </c>
      <c r="H537" t="n">
        <v>2.413</v>
      </c>
      <c r="J537" t="n">
        <v>2.319</v>
      </c>
      <c r="K537" t="n">
        <v>3.147</v>
      </c>
      <c r="L537" t="n">
        <v>18.3</v>
      </c>
      <c r="N537">
        <f>IF(OR(E537="",C537=""),"",E537-C537/42)</f>
        <v/>
      </c>
      <c r="O537">
        <f>IF(OR(E537="",D537=""),"",E537-D537/42)</f>
        <v/>
      </c>
      <c r="P537">
        <f>IF(L537="",M537/100,H537*L537/100)</f>
        <v/>
      </c>
      <c r="Q537">
        <f>H537-C537/42-P537</f>
        <v/>
      </c>
      <c r="R537">
        <f>H537-E537</f>
        <v/>
      </c>
    </row>
    <row r="538">
      <c r="A538" s="3" t="n">
        <v>42107</v>
      </c>
      <c r="B538" s="3" t="n">
        <v>42104</v>
      </c>
      <c r="C538" t="n">
        <v>51.78</v>
      </c>
      <c r="D538" t="n">
        <v>56.51</v>
      </c>
      <c r="E538" t="n">
        <v>1.634</v>
      </c>
      <c r="F538" t="n">
        <v>1.716</v>
      </c>
      <c r="G538" t="n">
        <v>1.887</v>
      </c>
      <c r="H538" t="n">
        <v>2.408</v>
      </c>
      <c r="J538" t="n">
        <v>2.351</v>
      </c>
      <c r="K538" t="n">
        <v>3.102</v>
      </c>
      <c r="L538" t="n">
        <v>18.3</v>
      </c>
      <c r="N538">
        <f>IF(OR(E538="",C538=""),"",E538-C538/42)</f>
        <v/>
      </c>
      <c r="O538">
        <f>IF(OR(E538="",D538=""),"",E538-D538/42)</f>
        <v/>
      </c>
      <c r="P538">
        <f>IF(L538="",M538/100,H538*L538/100)</f>
        <v/>
      </c>
      <c r="Q538">
        <f>H538-C538/42-P538</f>
        <v/>
      </c>
      <c r="R538">
        <f>H538-E538</f>
        <v/>
      </c>
    </row>
    <row r="539">
      <c r="A539" s="3" t="n">
        <v>42114</v>
      </c>
      <c r="B539" s="3" t="n">
        <v>42111</v>
      </c>
      <c r="C539" t="n">
        <v>54.78</v>
      </c>
      <c r="D539" t="n">
        <v>59.12</v>
      </c>
      <c r="E539" t="n">
        <v>1.727</v>
      </c>
      <c r="F539" t="n">
        <v>1.777</v>
      </c>
      <c r="G539" t="n">
        <v>2.051</v>
      </c>
      <c r="H539" t="n">
        <v>2.485</v>
      </c>
      <c r="J539" t="n">
        <v>2.427</v>
      </c>
      <c r="K539" t="n">
        <v>3.158</v>
      </c>
      <c r="L539" t="n">
        <v>18.3</v>
      </c>
      <c r="N539">
        <f>IF(OR(E539="",C539=""),"",E539-C539/42)</f>
        <v/>
      </c>
      <c r="O539">
        <f>IF(OR(E539="",D539=""),"",E539-D539/42)</f>
        <v/>
      </c>
      <c r="P539">
        <f>IF(L539="",M539/100,H539*L539/100)</f>
        <v/>
      </c>
      <c r="Q539">
        <f>H539-C539/42-P539</f>
        <v/>
      </c>
      <c r="R539">
        <f>H539-E539</f>
        <v/>
      </c>
    </row>
    <row r="540">
      <c r="A540" s="3" t="n">
        <v>42121</v>
      </c>
      <c r="B540" s="3" t="n">
        <v>42118</v>
      </c>
      <c r="C540" t="n">
        <v>56.14</v>
      </c>
      <c r="D540" t="n">
        <v>61.41</v>
      </c>
      <c r="E540" t="n">
        <v>1.787</v>
      </c>
      <c r="F540" t="n">
        <v>1.847</v>
      </c>
      <c r="G540" t="n">
        <v>2.275</v>
      </c>
      <c r="H540" t="n">
        <v>2.57</v>
      </c>
      <c r="J540" t="n">
        <v>2.478</v>
      </c>
      <c r="K540" t="n">
        <v>3.433</v>
      </c>
      <c r="L540" t="n">
        <v>18.3</v>
      </c>
      <c r="N540">
        <f>IF(OR(E540="",C540=""),"",E540-C540/42)</f>
        <v/>
      </c>
      <c r="O540">
        <f>IF(OR(E540="",D540=""),"",E540-D540/42)</f>
        <v/>
      </c>
      <c r="P540">
        <f>IF(L540="",M540/100,H540*L540/100)</f>
        <v/>
      </c>
      <c r="Q540">
        <f>H540-C540/42-P540</f>
        <v/>
      </c>
      <c r="R540">
        <f>H540-E540</f>
        <v/>
      </c>
    </row>
    <row r="541">
      <c r="A541" s="3" t="n">
        <v>42128</v>
      </c>
      <c r="B541" s="3" t="n">
        <v>42125</v>
      </c>
      <c r="C541" t="n">
        <v>57.98</v>
      </c>
      <c r="D541" t="n">
        <v>63.49</v>
      </c>
      <c r="E541" t="n">
        <v>1.861</v>
      </c>
      <c r="F541" t="n">
        <v>1.924</v>
      </c>
      <c r="G541" t="n">
        <v>2.582</v>
      </c>
      <c r="H541" t="n">
        <v>2.664</v>
      </c>
      <c r="J541" t="n">
        <v>2.567</v>
      </c>
      <c r="K541" t="n">
        <v>3.711</v>
      </c>
      <c r="L541" t="n">
        <v>16.7</v>
      </c>
      <c r="N541">
        <f>IF(OR(E541="",C541=""),"",E541-C541/42)</f>
        <v/>
      </c>
      <c r="O541">
        <f>IF(OR(E541="",D541=""),"",E541-D541/42)</f>
        <v/>
      </c>
      <c r="P541">
        <f>IF(L541="",M541/100,H541*L541/100)</f>
        <v/>
      </c>
      <c r="Q541">
        <f>H541-C541/42-P541</f>
        <v/>
      </c>
      <c r="R541">
        <f>H541-E541</f>
        <v/>
      </c>
    </row>
    <row r="542">
      <c r="A542" s="3" t="n">
        <v>42135</v>
      </c>
      <c r="B542" s="3" t="n">
        <v>42132</v>
      </c>
      <c r="C542" t="n">
        <v>59.73</v>
      </c>
      <c r="D542" t="n">
        <v>65.01000000000001</v>
      </c>
      <c r="E542" t="n">
        <v>1.85</v>
      </c>
      <c r="F542" t="n">
        <v>1.922</v>
      </c>
      <c r="G542" t="n">
        <v>2.458</v>
      </c>
      <c r="H542" t="n">
        <v>2.691</v>
      </c>
      <c r="J542" t="n">
        <v>2.634</v>
      </c>
      <c r="K542" t="n">
        <v>3.732</v>
      </c>
      <c r="L542" t="n">
        <v>16.7</v>
      </c>
      <c r="N542">
        <f>IF(OR(E542="",C542=""),"",E542-C542/42)</f>
        <v/>
      </c>
      <c r="O542">
        <f>IF(OR(E542="",D542=""),"",E542-D542/42)</f>
        <v/>
      </c>
      <c r="P542">
        <f>IF(L542="",M542/100,H542*L542/100)</f>
        <v/>
      </c>
      <c r="Q542">
        <f>H542-C542/42-P542</f>
        <v/>
      </c>
      <c r="R542">
        <f>H542-E542</f>
        <v/>
      </c>
    </row>
    <row r="543">
      <c r="A543" s="3" t="n">
        <v>42142</v>
      </c>
      <c r="B543" s="3" t="n">
        <v>42139</v>
      </c>
      <c r="C543" t="n">
        <v>60.01</v>
      </c>
      <c r="D543" t="n">
        <v>64.90000000000001</v>
      </c>
      <c r="E543" t="n">
        <v>1.887</v>
      </c>
      <c r="F543" t="n">
        <v>1.937</v>
      </c>
      <c r="G543" t="n">
        <v>2.656</v>
      </c>
      <c r="H543" t="n">
        <v>2.744</v>
      </c>
      <c r="J543" t="n">
        <v>2.688</v>
      </c>
      <c r="K543" t="n">
        <v>3.807</v>
      </c>
      <c r="L543" t="n">
        <v>16.7</v>
      </c>
      <c r="N543">
        <f>IF(OR(E543="",C543=""),"",E543-C543/42)</f>
        <v/>
      </c>
      <c r="O543">
        <f>IF(OR(E543="",D543=""),"",E543-D543/42)</f>
        <v/>
      </c>
      <c r="P543">
        <f>IF(L543="",M543/100,H543*L543/100)</f>
        <v/>
      </c>
      <c r="Q543">
        <f>H543-C543/42-P543</f>
        <v/>
      </c>
      <c r="R543">
        <f>H543-E543</f>
        <v/>
      </c>
    </row>
    <row r="544">
      <c r="A544" s="3" t="n">
        <v>42149</v>
      </c>
      <c r="B544" s="3" t="n">
        <v>42146</v>
      </c>
      <c r="C544" t="n">
        <v>58.95</v>
      </c>
      <c r="D544" t="n">
        <v>64.31</v>
      </c>
      <c r="E544" t="n">
        <v>1.914</v>
      </c>
      <c r="F544" t="n">
        <v>1.96</v>
      </c>
      <c r="G544" t="n">
        <v>2.424</v>
      </c>
      <c r="H544" t="n">
        <v>2.774</v>
      </c>
      <c r="J544" t="n">
        <v>2.728</v>
      </c>
      <c r="K544" t="n">
        <v>3.757</v>
      </c>
      <c r="L544" t="n">
        <v>16.7</v>
      </c>
      <c r="N544">
        <f>IF(OR(E544="",C544=""),"",E544-C544/42)</f>
        <v/>
      </c>
      <c r="O544">
        <f>IF(OR(E544="",D544=""),"",E544-D544/42)</f>
        <v/>
      </c>
      <c r="P544">
        <f>IF(L544="",M544/100,H544*L544/100)</f>
        <v/>
      </c>
      <c r="Q544">
        <f>H544-C544/42-P544</f>
        <v/>
      </c>
      <c r="R544">
        <f>H544-E544</f>
        <v/>
      </c>
    </row>
    <row r="545">
      <c r="A545" s="3" t="n">
        <v>42156</v>
      </c>
      <c r="B545" s="3" t="n">
        <v>42153</v>
      </c>
      <c r="C545" t="n">
        <v>58.19</v>
      </c>
      <c r="D545" t="n">
        <v>61.57</v>
      </c>
      <c r="E545" t="n">
        <v>1.888</v>
      </c>
      <c r="F545" t="n">
        <v>1.93</v>
      </c>
      <c r="G545" t="n">
        <v>2.275</v>
      </c>
      <c r="H545" t="n">
        <v>2.78</v>
      </c>
      <c r="J545" t="n">
        <v>2.738</v>
      </c>
      <c r="K545" t="n">
        <v>3.693</v>
      </c>
      <c r="L545" t="n">
        <v>16.2</v>
      </c>
      <c r="N545">
        <f>IF(OR(E545="",C545=""),"",E545-C545/42)</f>
        <v/>
      </c>
      <c r="O545">
        <f>IF(OR(E545="",D545=""),"",E545-D545/42)</f>
        <v/>
      </c>
      <c r="P545">
        <f>IF(L545="",M545/100,H545*L545/100)</f>
        <v/>
      </c>
      <c r="Q545">
        <f>H545-C545/42-P545</f>
        <v/>
      </c>
      <c r="R545">
        <f>H545-E545</f>
        <v/>
      </c>
    </row>
    <row r="546">
      <c r="A546" s="3" t="n">
        <v>42163</v>
      </c>
      <c r="B546" s="3" t="n">
        <v>42160</v>
      </c>
      <c r="C546" t="n">
        <v>59.66</v>
      </c>
      <c r="D546" t="n">
        <v>61.9</v>
      </c>
      <c r="E546" t="n">
        <v>1.918</v>
      </c>
      <c r="F546" t="n">
        <v>1.975</v>
      </c>
      <c r="G546" t="n">
        <v>2.174</v>
      </c>
      <c r="H546" t="n">
        <v>2.78</v>
      </c>
      <c r="J546" t="n">
        <v>2.758</v>
      </c>
      <c r="K546" t="n">
        <v>3.591</v>
      </c>
      <c r="L546" t="n">
        <v>16.2</v>
      </c>
      <c r="N546">
        <f>IF(OR(E546="",C546=""),"",E546-C546/42)</f>
        <v/>
      </c>
      <c r="O546">
        <f>IF(OR(E546="",D546=""),"",E546-D546/42)</f>
        <v/>
      </c>
      <c r="P546">
        <f>IF(L546="",M546/100,H546*L546/100)</f>
        <v/>
      </c>
      <c r="Q546">
        <f>H546-C546/42-P546</f>
        <v/>
      </c>
      <c r="R546">
        <f>H546-E546</f>
        <v/>
      </c>
    </row>
    <row r="547">
      <c r="A547" s="3" t="n">
        <v>42170</v>
      </c>
      <c r="B547" s="3" t="n">
        <v>42167</v>
      </c>
      <c r="C547" t="n">
        <v>60.07</v>
      </c>
      <c r="D547" t="n">
        <v>63.24</v>
      </c>
      <c r="E547" t="n">
        <v>1.985</v>
      </c>
      <c r="F547" t="n">
        <v>2.041</v>
      </c>
      <c r="G547" t="n">
        <v>2.154</v>
      </c>
      <c r="H547" t="n">
        <v>2.835</v>
      </c>
      <c r="J547" t="n">
        <v>2.785</v>
      </c>
      <c r="K547" t="n">
        <v>3.511</v>
      </c>
      <c r="L547" t="n">
        <v>16.2</v>
      </c>
      <c r="N547">
        <f>IF(OR(E547="",C547=""),"",E547-C547/42)</f>
        <v/>
      </c>
      <c r="O547">
        <f>IF(OR(E547="",D547=""),"",E547-D547/42)</f>
        <v/>
      </c>
      <c r="P547">
        <f>IF(L547="",M547/100,H547*L547/100)</f>
        <v/>
      </c>
      <c r="Q547">
        <f>H547-C547/42-P547</f>
        <v/>
      </c>
      <c r="R547">
        <f>H547-E547</f>
        <v/>
      </c>
    </row>
    <row r="548">
      <c r="A548" s="3" t="n">
        <v>42177</v>
      </c>
      <c r="B548" s="3" t="n">
        <v>42174</v>
      </c>
      <c r="C548" t="n">
        <v>59.89</v>
      </c>
      <c r="D548" t="n">
        <v>60.65</v>
      </c>
      <c r="E548" t="n">
        <v>1.959</v>
      </c>
      <c r="F548" t="n">
        <v>2.049</v>
      </c>
      <c r="G548" t="n">
        <v>2.185</v>
      </c>
      <c r="H548" t="n">
        <v>2.812</v>
      </c>
      <c r="J548" t="n">
        <v>2.788</v>
      </c>
      <c r="K548" t="n">
        <v>3.48</v>
      </c>
      <c r="L548" t="n">
        <v>16.2</v>
      </c>
      <c r="N548">
        <f>IF(OR(E548="",C548=""),"",E548-C548/42)</f>
        <v/>
      </c>
      <c r="O548">
        <f>IF(OR(E548="",D548=""),"",E548-D548/42)</f>
        <v/>
      </c>
      <c r="P548">
        <f>IF(L548="",M548/100,H548*L548/100)</f>
        <v/>
      </c>
      <c r="Q548">
        <f>H548-C548/42-P548</f>
        <v/>
      </c>
      <c r="R548">
        <f>H548-E548</f>
        <v/>
      </c>
    </row>
    <row r="549">
      <c r="A549" s="3" t="n">
        <v>42184</v>
      </c>
      <c r="B549" s="3" t="n">
        <v>42181</v>
      </c>
      <c r="C549" t="n">
        <v>60.01</v>
      </c>
      <c r="D549" t="n">
        <v>60.84</v>
      </c>
      <c r="E549" t="n">
        <v>1.918</v>
      </c>
      <c r="F549" t="n">
        <v>1.976</v>
      </c>
      <c r="G549" t="n">
        <v>2.209</v>
      </c>
      <c r="H549" t="n">
        <v>2.801</v>
      </c>
      <c r="J549" t="n">
        <v>2.791</v>
      </c>
      <c r="K549" t="n">
        <v>3.45</v>
      </c>
      <c r="L549" t="n">
        <v>16.2</v>
      </c>
      <c r="N549">
        <f>IF(OR(E549="",C549=""),"",E549-C549/42)</f>
        <v/>
      </c>
      <c r="O549">
        <f>IF(OR(E549="",D549=""),"",E549-D549/42)</f>
        <v/>
      </c>
      <c r="P549">
        <f>IF(L549="",M549/100,H549*L549/100)</f>
        <v/>
      </c>
      <c r="Q549">
        <f>H549-C549/42-P549</f>
        <v/>
      </c>
      <c r="R549">
        <f>H549-E549</f>
        <v/>
      </c>
    </row>
    <row r="550">
      <c r="A550" s="3" t="n">
        <v>42191</v>
      </c>
      <c r="B550" s="3" t="n">
        <v>42188</v>
      </c>
      <c r="C550" t="n">
        <v>57.92</v>
      </c>
      <c r="D550" t="n">
        <v>60.36</v>
      </c>
      <c r="E550" t="n">
        <v>1.971</v>
      </c>
      <c r="F550" t="n">
        <v>1.958</v>
      </c>
      <c r="G550" t="n">
        <v>2.311</v>
      </c>
      <c r="H550" t="n">
        <v>2.793</v>
      </c>
      <c r="J550" t="n">
        <v>2.81</v>
      </c>
      <c r="K550" t="n">
        <v>3.432</v>
      </c>
      <c r="L550" t="n">
        <v>16.2</v>
      </c>
      <c r="N550">
        <f>IF(OR(E550="",C550=""),"",E550-C550/42)</f>
        <v/>
      </c>
      <c r="O550">
        <f>IF(OR(E550="",D550=""),"",E550-D550/42)</f>
        <v/>
      </c>
      <c r="P550">
        <f>IF(L550="",M550/100,H550*L550/100)</f>
        <v/>
      </c>
      <c r="Q550">
        <f>H550-C550/42-P550</f>
        <v/>
      </c>
      <c r="R550">
        <f>H550-E550</f>
        <v/>
      </c>
    </row>
    <row r="551">
      <c r="A551" s="3" t="n">
        <v>42198</v>
      </c>
      <c r="B551" s="3" t="n">
        <v>42195</v>
      </c>
      <c r="C551" t="n">
        <v>52.38</v>
      </c>
      <c r="D551" t="n">
        <v>56.63</v>
      </c>
      <c r="E551" t="n">
        <v>1.983</v>
      </c>
      <c r="F551" t="n">
        <v>1.952</v>
      </c>
      <c r="G551" t="n">
        <v>2.635</v>
      </c>
      <c r="H551" t="n">
        <v>2.834</v>
      </c>
      <c r="J551" t="n">
        <v>2.818</v>
      </c>
      <c r="K551" t="n">
        <v>3.88</v>
      </c>
      <c r="L551" t="n">
        <v>16.2</v>
      </c>
      <c r="N551">
        <f>IF(OR(E551="",C551=""),"",E551-C551/42)</f>
        <v/>
      </c>
      <c r="O551">
        <f>IF(OR(E551="",D551=""),"",E551-D551/42)</f>
        <v/>
      </c>
      <c r="P551">
        <f>IF(L551="",M551/100,H551*L551/100)</f>
        <v/>
      </c>
      <c r="Q551">
        <f>H551-C551/42-P551</f>
        <v/>
      </c>
      <c r="R551">
        <f>H551-E551</f>
        <v/>
      </c>
    </row>
    <row r="552">
      <c r="A552" s="3" t="n">
        <v>42205</v>
      </c>
      <c r="B552" s="3" t="n">
        <v>42202</v>
      </c>
      <c r="C552" t="n">
        <v>51.68</v>
      </c>
      <c r="D552" t="n">
        <v>57.17</v>
      </c>
      <c r="E552" t="n">
        <v>1.859</v>
      </c>
      <c r="F552" t="n">
        <v>1.856</v>
      </c>
      <c r="G552" t="n">
        <v>2.936</v>
      </c>
      <c r="H552" t="n">
        <v>2.802</v>
      </c>
      <c r="J552" t="n">
        <v>2.841</v>
      </c>
      <c r="K552" t="n">
        <v>3.897</v>
      </c>
      <c r="L552" t="n">
        <v>16.2</v>
      </c>
      <c r="N552">
        <f>IF(OR(E552="",C552=""),"",E552-C552/42)</f>
        <v/>
      </c>
      <c r="O552">
        <f>IF(OR(E552="",D552=""),"",E552-D552/42)</f>
        <v/>
      </c>
      <c r="P552">
        <f>IF(L552="",M552/100,H552*L552/100)</f>
        <v/>
      </c>
      <c r="Q552">
        <f>H552-C552/42-P552</f>
        <v/>
      </c>
      <c r="R552">
        <f>H552-E552</f>
        <v/>
      </c>
    </row>
    <row r="553">
      <c r="A553" s="3" t="n">
        <v>42212</v>
      </c>
      <c r="B553" s="3" t="n">
        <v>42209</v>
      </c>
      <c r="C553" t="n">
        <v>49.21</v>
      </c>
      <c r="D553" t="n">
        <v>55.75</v>
      </c>
      <c r="E553" t="n">
        <v>1.807</v>
      </c>
      <c r="F553" t="n">
        <v>1.823</v>
      </c>
      <c r="G553" t="n">
        <v>2.716</v>
      </c>
      <c r="H553" t="n">
        <v>2.745</v>
      </c>
      <c r="J553" t="n">
        <v>2.856</v>
      </c>
      <c r="K553" t="n">
        <v>3.812</v>
      </c>
      <c r="L553" t="n">
        <v>16.2</v>
      </c>
      <c r="N553">
        <f>IF(OR(E553="",C553=""),"",E553-C553/42)</f>
        <v/>
      </c>
      <c r="O553">
        <f>IF(OR(E553="",D553=""),"",E553-D553/42)</f>
        <v/>
      </c>
      <c r="P553">
        <f>IF(L553="",M553/100,H553*L553/100)</f>
        <v/>
      </c>
      <c r="Q553">
        <f>H553-C553/42-P553</f>
        <v/>
      </c>
      <c r="R553">
        <f>H553-E553</f>
        <v/>
      </c>
    </row>
    <row r="554">
      <c r="A554" s="3" t="n">
        <v>42219</v>
      </c>
      <c r="B554" s="3" t="n">
        <v>42216</v>
      </c>
      <c r="C554" t="n">
        <v>47.91</v>
      </c>
      <c r="D554" t="n">
        <v>54.14</v>
      </c>
      <c r="E554" t="n">
        <v>1.716</v>
      </c>
      <c r="F554" t="n">
        <v>1.747</v>
      </c>
      <c r="G554" t="n">
        <v>2.554</v>
      </c>
      <c r="H554" t="n">
        <v>2.689</v>
      </c>
      <c r="J554" t="n">
        <v>2.828</v>
      </c>
      <c r="K554" t="n">
        <v>3.724</v>
      </c>
      <c r="L554" t="n">
        <v>17</v>
      </c>
      <c r="N554">
        <f>IF(OR(E554="",C554=""),"",E554-C554/42)</f>
        <v/>
      </c>
      <c r="O554">
        <f>IF(OR(E554="",D554=""),"",E554-D554/42)</f>
        <v/>
      </c>
      <c r="P554">
        <f>IF(L554="",M554/100,H554*L554/100)</f>
        <v/>
      </c>
      <c r="Q554">
        <f>H554-C554/42-P554</f>
        <v/>
      </c>
      <c r="R554">
        <f>H554-E554</f>
        <v/>
      </c>
    </row>
    <row r="555">
      <c r="A555" s="3" t="n">
        <v>42226</v>
      </c>
      <c r="B555" s="3" t="n">
        <v>42223</v>
      </c>
      <c r="C555" t="n">
        <v>44.94</v>
      </c>
      <c r="D555" t="n">
        <v>48.59</v>
      </c>
      <c r="E555" t="n">
        <v>1.642</v>
      </c>
      <c r="F555" t="n">
        <v>1.695</v>
      </c>
      <c r="G555" t="n">
        <v>2.02</v>
      </c>
      <c r="H555" t="n">
        <v>2.629</v>
      </c>
      <c r="J555" t="n">
        <v>2.798</v>
      </c>
      <c r="K555" t="n">
        <v>3.565</v>
      </c>
      <c r="L555" t="n">
        <v>17</v>
      </c>
      <c r="N555">
        <f>IF(OR(E555="",C555=""),"",E555-C555/42)</f>
        <v/>
      </c>
      <c r="O555">
        <f>IF(OR(E555="",D555=""),"",E555-D555/42)</f>
        <v/>
      </c>
      <c r="P555">
        <f>IF(L555="",M555/100,H555*L555/100)</f>
        <v/>
      </c>
      <c r="Q555">
        <f>H555-C555/42-P555</f>
        <v/>
      </c>
      <c r="R555">
        <f>H555-E555</f>
        <v/>
      </c>
    </row>
    <row r="556">
      <c r="A556" s="3" t="n">
        <v>42233</v>
      </c>
      <c r="B556" s="3" t="n">
        <v>42230</v>
      </c>
      <c r="C556" t="n">
        <v>43.2</v>
      </c>
      <c r="D556" t="n">
        <v>47.94</v>
      </c>
      <c r="E556" t="n">
        <v>1.719</v>
      </c>
      <c r="F556" t="n">
        <v>1.724</v>
      </c>
      <c r="G556" t="n">
        <v>2.456</v>
      </c>
      <c r="H556" t="n">
        <v>2.716</v>
      </c>
      <c r="J556" t="n">
        <v>2.835</v>
      </c>
      <c r="K556" t="n">
        <v>3.584</v>
      </c>
      <c r="L556" t="n">
        <v>17</v>
      </c>
      <c r="N556">
        <f>IF(OR(E556="",C556=""),"",E556-C556/42)</f>
        <v/>
      </c>
      <c r="O556">
        <f>IF(OR(E556="",D556=""),"",E556-D556/42)</f>
        <v/>
      </c>
      <c r="P556">
        <f>IF(L556="",M556/100,H556*L556/100)</f>
        <v/>
      </c>
      <c r="Q556">
        <f>H556-C556/42-P556</f>
        <v/>
      </c>
      <c r="R556">
        <f>H556-E556</f>
        <v/>
      </c>
    </row>
    <row r="557">
      <c r="A557" s="3" t="n">
        <v>42240</v>
      </c>
      <c r="B557" s="3" t="n">
        <v>42237</v>
      </c>
      <c r="C557" t="n">
        <v>41.34</v>
      </c>
      <c r="D557" t="n">
        <v>46</v>
      </c>
      <c r="E557" t="n">
        <v>1.566</v>
      </c>
      <c r="F557" t="n">
        <v>1.593</v>
      </c>
      <c r="G557" t="n">
        <v>1.986</v>
      </c>
      <c r="H557" t="n">
        <v>2.637</v>
      </c>
      <c r="J557" t="n">
        <v>2.82</v>
      </c>
      <c r="K557" t="n">
        <v>3.483</v>
      </c>
      <c r="L557" t="n">
        <v>17</v>
      </c>
      <c r="N557">
        <f>IF(OR(E557="",C557=""),"",E557-C557/42)</f>
        <v/>
      </c>
      <c r="O557">
        <f>IF(OR(E557="",D557=""),"",E557-D557/42)</f>
        <v/>
      </c>
      <c r="P557">
        <f>IF(L557="",M557/100,H557*L557/100)</f>
        <v/>
      </c>
      <c r="Q557">
        <f>H557-C557/42-P557</f>
        <v/>
      </c>
      <c r="R557">
        <f>H557-E557</f>
        <v/>
      </c>
    </row>
    <row r="558">
      <c r="A558" s="3" t="n">
        <v>42247</v>
      </c>
      <c r="B558" s="3" t="n">
        <v>42244</v>
      </c>
      <c r="C558" t="n">
        <v>40.73</v>
      </c>
      <c r="D558" t="n">
        <v>43.53</v>
      </c>
      <c r="E558" t="n">
        <v>1.388</v>
      </c>
      <c r="F558" t="n">
        <v>1.463</v>
      </c>
      <c r="G558" t="n">
        <v>1.866</v>
      </c>
      <c r="H558" t="n">
        <v>2.51</v>
      </c>
      <c r="J558" t="n">
        <v>2.768</v>
      </c>
      <c r="K558" t="n">
        <v>3.342</v>
      </c>
      <c r="L558" t="n">
        <v>17</v>
      </c>
      <c r="N558">
        <f>IF(OR(E558="",C558=""),"",E558-C558/42)</f>
        <v/>
      </c>
      <c r="O558">
        <f>IF(OR(E558="",D558=""),"",E558-D558/42)</f>
        <v/>
      </c>
      <c r="P558">
        <f>IF(L558="",M558/100,H558*L558/100)</f>
        <v/>
      </c>
      <c r="Q558">
        <f>H558-C558/42-P558</f>
        <v/>
      </c>
      <c r="R558">
        <f>H558-E558</f>
        <v/>
      </c>
    </row>
    <row r="559">
      <c r="A559" s="3" t="n">
        <v>42254</v>
      </c>
      <c r="B559" s="3" t="n">
        <v>42251</v>
      </c>
      <c r="C559" t="n">
        <v>46.73</v>
      </c>
      <c r="D559" t="n">
        <v>48.87</v>
      </c>
      <c r="E559" t="n">
        <v>1.419</v>
      </c>
      <c r="F559" t="n">
        <v>1.538</v>
      </c>
      <c r="G559" t="n">
        <v>1.92</v>
      </c>
      <c r="H559" t="n">
        <v>2.437</v>
      </c>
      <c r="J559" t="n">
        <v>2.73</v>
      </c>
      <c r="K559" t="n">
        <v>3.266</v>
      </c>
      <c r="L559" t="n">
        <v>19</v>
      </c>
      <c r="N559">
        <f>IF(OR(E559="",C559=""),"",E559-C559/42)</f>
        <v/>
      </c>
      <c r="O559">
        <f>IF(OR(E559="",D559=""),"",E559-D559/42)</f>
        <v/>
      </c>
      <c r="P559">
        <f>IF(L559="",M559/100,H559*L559/100)</f>
        <v/>
      </c>
      <c r="Q559">
        <f>H559-C559/42-P559</f>
        <v/>
      </c>
      <c r="R559">
        <f>H559-E559</f>
        <v/>
      </c>
    </row>
    <row r="560">
      <c r="A560" s="3" t="n">
        <v>42261</v>
      </c>
      <c r="B560" s="3" t="n">
        <v>42258</v>
      </c>
      <c r="C560" t="n">
        <v>45.16</v>
      </c>
      <c r="D560" t="n">
        <v>47.6</v>
      </c>
      <c r="E560" t="n">
        <v>1.338</v>
      </c>
      <c r="F560" t="n">
        <v>1.49</v>
      </c>
      <c r="G560" t="n">
        <v>1.764</v>
      </c>
      <c r="H560" t="n">
        <v>2.375</v>
      </c>
      <c r="J560" t="n">
        <v>2.683</v>
      </c>
      <c r="K560" t="n">
        <v>3.155</v>
      </c>
      <c r="L560" t="n">
        <v>19</v>
      </c>
      <c r="N560">
        <f>IF(OR(E560="",C560=""),"",E560-C560/42)</f>
        <v/>
      </c>
      <c r="O560">
        <f>IF(OR(E560="",D560=""),"",E560-D560/42)</f>
        <v/>
      </c>
      <c r="P560">
        <f>IF(L560="",M560/100,H560*L560/100)</f>
        <v/>
      </c>
      <c r="Q560">
        <f>H560-C560/42-P560</f>
        <v/>
      </c>
      <c r="R560">
        <f>H560-E560</f>
        <v/>
      </c>
    </row>
    <row r="561">
      <c r="A561" s="3" t="n">
        <v>42268</v>
      </c>
      <c r="B561" s="3" t="n">
        <v>42265</v>
      </c>
      <c r="C561" t="n">
        <v>45.48</v>
      </c>
      <c r="D561" t="n">
        <v>47.34</v>
      </c>
      <c r="E561" t="n">
        <v>1.308</v>
      </c>
      <c r="F561" t="n">
        <v>1.431</v>
      </c>
      <c r="G561" t="n">
        <v>1.604</v>
      </c>
      <c r="H561" t="n">
        <v>2.327</v>
      </c>
      <c r="J561" t="n">
        <v>2.606</v>
      </c>
      <c r="K561" t="n">
        <v>3.072</v>
      </c>
      <c r="L561" t="n">
        <v>19</v>
      </c>
      <c r="N561">
        <f>IF(OR(E561="",C561=""),"",E561-C561/42)</f>
        <v/>
      </c>
      <c r="O561">
        <f>IF(OR(E561="",D561=""),"",E561-D561/42)</f>
        <v/>
      </c>
      <c r="P561">
        <f>IF(L561="",M561/100,H561*L561/100)</f>
        <v/>
      </c>
      <c r="Q561">
        <f>H561-C561/42-P561</f>
        <v/>
      </c>
      <c r="R561">
        <f>H561-E561</f>
        <v/>
      </c>
    </row>
    <row r="562">
      <c r="A562" s="3" t="n">
        <v>42275</v>
      </c>
      <c r="B562" s="3" t="n">
        <v>42272</v>
      </c>
      <c r="C562" t="n">
        <v>45.57</v>
      </c>
      <c r="D562" t="n">
        <v>47.33</v>
      </c>
      <c r="E562" t="n">
        <v>1.365</v>
      </c>
      <c r="F562" t="n">
        <v>1.446</v>
      </c>
      <c r="G562" t="n">
        <v>1.648</v>
      </c>
      <c r="H562" t="n">
        <v>2.322</v>
      </c>
      <c r="J562" t="n">
        <v>2.539</v>
      </c>
      <c r="K562" t="n">
        <v>2.994</v>
      </c>
      <c r="L562" t="n">
        <v>19</v>
      </c>
      <c r="N562">
        <f>IF(OR(E562="",C562=""),"",E562-C562/42)</f>
        <v/>
      </c>
      <c r="O562">
        <f>IF(OR(E562="",D562=""),"",E562-D562/42)</f>
        <v/>
      </c>
      <c r="P562">
        <f>IF(L562="",M562/100,H562*L562/100)</f>
        <v/>
      </c>
      <c r="Q562">
        <f>H562-C562/42-P562</f>
        <v/>
      </c>
      <c r="R562">
        <f>H562-E562</f>
        <v/>
      </c>
    </row>
    <row r="563">
      <c r="A563" s="3" t="n">
        <v>42282</v>
      </c>
      <c r="B563" s="3" t="n">
        <v>42279</v>
      </c>
      <c r="C563" t="n">
        <v>45</v>
      </c>
      <c r="D563" t="n">
        <v>46.99</v>
      </c>
      <c r="E563" t="n">
        <v>1.374</v>
      </c>
      <c r="F563" t="n">
        <v>1.418</v>
      </c>
      <c r="G563" t="n">
        <v>1.665</v>
      </c>
      <c r="H563" t="n">
        <v>2.318</v>
      </c>
      <c r="J563" t="n">
        <v>2.477</v>
      </c>
      <c r="K563" t="n">
        <v>2.949</v>
      </c>
      <c r="L563" t="n">
        <v>19.6</v>
      </c>
      <c r="N563">
        <f>IF(OR(E563="",C563=""),"",E563-C563/42)</f>
        <v/>
      </c>
      <c r="O563">
        <f>IF(OR(E563="",D563=""),"",E563-D563/42)</f>
        <v/>
      </c>
      <c r="P563">
        <f>IF(L563="",M563/100,H563*L563/100)</f>
        <v/>
      </c>
      <c r="Q563">
        <f>H563-C563/42-P563</f>
        <v/>
      </c>
      <c r="R563">
        <f>H563-E563</f>
        <v/>
      </c>
    </row>
    <row r="564">
      <c r="A564" s="3" t="n">
        <v>42289</v>
      </c>
      <c r="B564" s="3" t="n">
        <v>42286</v>
      </c>
      <c r="C564" t="n">
        <v>48.36</v>
      </c>
      <c r="D564" t="n">
        <v>51.33</v>
      </c>
      <c r="E564" t="n">
        <v>1.426</v>
      </c>
      <c r="F564" t="n">
        <v>1.477</v>
      </c>
      <c r="G564" t="n">
        <v>1.738</v>
      </c>
      <c r="H564" t="n">
        <v>2.337</v>
      </c>
      <c r="J564" t="n">
        <v>2.424</v>
      </c>
      <c r="K564" t="n">
        <v>2.914</v>
      </c>
      <c r="L564" t="n">
        <v>19.6</v>
      </c>
      <c r="N564">
        <f>IF(OR(E564="",C564=""),"",E564-C564/42)</f>
        <v/>
      </c>
      <c r="O564">
        <f>IF(OR(E564="",D564=""),"",E564-D564/42)</f>
        <v/>
      </c>
      <c r="P564">
        <f>IF(L564="",M564/100,H564*L564/100)</f>
        <v/>
      </c>
      <c r="Q564">
        <f>H564-C564/42-P564</f>
        <v/>
      </c>
      <c r="R564">
        <f>H564-E564</f>
        <v/>
      </c>
    </row>
    <row r="565">
      <c r="A565" s="3" t="n">
        <v>42296</v>
      </c>
      <c r="B565" s="3" t="n">
        <v>42293</v>
      </c>
      <c r="C565" t="n">
        <v>46.82</v>
      </c>
      <c r="D565" t="n">
        <v>48.99</v>
      </c>
      <c r="E565" t="n">
        <v>1.262</v>
      </c>
      <c r="F565" t="n">
        <v>1.382</v>
      </c>
      <c r="G565" t="n">
        <v>1.64</v>
      </c>
      <c r="H565" t="n">
        <v>2.277</v>
      </c>
      <c r="J565" t="n">
        <v>2.356</v>
      </c>
      <c r="K565" t="n">
        <v>2.861</v>
      </c>
      <c r="L565" t="n">
        <v>19.6</v>
      </c>
      <c r="N565">
        <f>IF(OR(E565="",C565=""),"",E565-C565/42)</f>
        <v/>
      </c>
      <c r="O565">
        <f>IF(OR(E565="",D565=""),"",E565-D565/42)</f>
        <v/>
      </c>
      <c r="P565">
        <f>IF(L565="",M565/100,H565*L565/100)</f>
        <v/>
      </c>
      <c r="Q565">
        <f>H565-C565/42-P565</f>
        <v/>
      </c>
      <c r="R565">
        <f>H565-E565</f>
        <v/>
      </c>
    </row>
    <row r="566">
      <c r="A566" s="3" t="n">
        <v>42303</v>
      </c>
      <c r="B566" s="3" t="n">
        <v>42300</v>
      </c>
      <c r="C566" t="n">
        <v>45.16</v>
      </c>
      <c r="D566" t="n">
        <v>46.81</v>
      </c>
      <c r="E566" t="n">
        <v>1.228</v>
      </c>
      <c r="F566" t="n">
        <v>1.337</v>
      </c>
      <c r="G566" t="n">
        <v>1.634</v>
      </c>
      <c r="H566" t="n">
        <v>2.228</v>
      </c>
      <c r="J566" t="n">
        <v>2.302</v>
      </c>
      <c r="K566" t="n">
        <v>2.847</v>
      </c>
      <c r="L566" t="n">
        <v>19.6</v>
      </c>
      <c r="N566">
        <f>IF(OR(E566="",C566=""),"",E566-C566/42)</f>
        <v/>
      </c>
      <c r="O566">
        <f>IF(OR(E566="",D566=""),"",E566-D566/42)</f>
        <v/>
      </c>
      <c r="P566">
        <f>IF(L566="",M566/100,H566*L566/100)</f>
        <v/>
      </c>
      <c r="Q566">
        <f>H566-C566/42-P566</f>
        <v/>
      </c>
      <c r="R566">
        <f>H566-E566</f>
        <v/>
      </c>
    </row>
    <row r="567">
      <c r="A567" s="3" t="n">
        <v>42310</v>
      </c>
      <c r="B567" s="3" t="n">
        <v>42307</v>
      </c>
      <c r="C567" t="n">
        <v>44.99</v>
      </c>
      <c r="D567" t="n">
        <v>47.15</v>
      </c>
      <c r="E567" t="n">
        <v>1.28</v>
      </c>
      <c r="F567" t="n">
        <v>1.381</v>
      </c>
      <c r="G567" t="n">
        <v>1.662</v>
      </c>
      <c r="H567" t="n">
        <v>2.224</v>
      </c>
      <c r="J567" t="n">
        <v>2.24</v>
      </c>
      <c r="K567" t="n">
        <v>2.817</v>
      </c>
      <c r="L567" t="n">
        <v>20.8</v>
      </c>
      <c r="N567">
        <f>IF(OR(E567="",C567=""),"",E567-C567/42)</f>
        <v/>
      </c>
      <c r="O567">
        <f>IF(OR(E567="",D567=""),"",E567-D567/42)</f>
        <v/>
      </c>
      <c r="P567">
        <f>IF(L567="",M567/100,H567*L567/100)</f>
        <v/>
      </c>
      <c r="Q567">
        <f>H567-C567/42-P567</f>
        <v/>
      </c>
      <c r="R567">
        <f>H567-E567</f>
        <v/>
      </c>
    </row>
    <row r="568">
      <c r="A568" s="3" t="n">
        <v>42317</v>
      </c>
      <c r="B568" s="3" t="n">
        <v>42314</v>
      </c>
      <c r="C568" t="n">
        <v>45.98</v>
      </c>
      <c r="D568" t="n">
        <v>47.23</v>
      </c>
      <c r="E568" t="n">
        <v>1.381</v>
      </c>
      <c r="F568" t="n">
        <v>1.449</v>
      </c>
      <c r="G568" t="n">
        <v>1.752</v>
      </c>
      <c r="H568" t="n">
        <v>2.235</v>
      </c>
      <c r="J568" t="n">
        <v>2.181</v>
      </c>
      <c r="K568" t="n">
        <v>2.824</v>
      </c>
      <c r="L568" t="n">
        <v>20.8</v>
      </c>
      <c r="N568">
        <f>IF(OR(E568="",C568=""),"",E568-C568/42)</f>
        <v/>
      </c>
      <c r="O568">
        <f>IF(OR(E568="",D568=""),"",E568-D568/42)</f>
        <v/>
      </c>
      <c r="P568">
        <f>IF(L568="",M568/100,H568*L568/100)</f>
        <v/>
      </c>
      <c r="Q568">
        <f>H568-C568/42-P568</f>
        <v/>
      </c>
      <c r="R568">
        <f>H568-E568</f>
        <v/>
      </c>
    </row>
    <row r="569">
      <c r="A569" s="3" t="n">
        <v>42324</v>
      </c>
      <c r="B569" s="3" t="n">
        <v>42321</v>
      </c>
      <c r="C569" t="n">
        <v>42.7</v>
      </c>
      <c r="D569" t="n">
        <v>44.75</v>
      </c>
      <c r="E569" t="n">
        <v>1.233</v>
      </c>
      <c r="F569" t="n">
        <v>1.372</v>
      </c>
      <c r="G569" t="n">
        <v>1.567</v>
      </c>
      <c r="H569" t="n">
        <v>2.178</v>
      </c>
      <c r="J569" t="n">
        <v>2.136</v>
      </c>
      <c r="K569" t="n">
        <v>2.78</v>
      </c>
      <c r="L569" t="n">
        <v>20.8</v>
      </c>
      <c r="N569">
        <f>IF(OR(E569="",C569=""),"",E569-C569/42)</f>
        <v/>
      </c>
      <c r="O569">
        <f>IF(OR(E569="",D569=""),"",E569-D569/42)</f>
        <v/>
      </c>
      <c r="P569">
        <f>IF(L569="",M569/100,H569*L569/100)</f>
        <v/>
      </c>
      <c r="Q569">
        <f>H569-C569/42-P569</f>
        <v/>
      </c>
      <c r="R569">
        <f>H569-E569</f>
        <v/>
      </c>
    </row>
    <row r="570">
      <c r="A570" s="3" t="n">
        <v>42331</v>
      </c>
      <c r="B570" s="3" t="n">
        <v>42328</v>
      </c>
      <c r="C570" t="n">
        <v>40.62</v>
      </c>
      <c r="D570" t="n">
        <v>41.54</v>
      </c>
      <c r="E570" t="n">
        <v>1.151</v>
      </c>
      <c r="F570" t="n">
        <v>1.316</v>
      </c>
      <c r="G570" t="n">
        <v>1.333</v>
      </c>
      <c r="H570" t="n">
        <v>2.094</v>
      </c>
      <c r="J570" t="n">
        <v>2.092</v>
      </c>
      <c r="K570" t="n">
        <v>2.716</v>
      </c>
      <c r="L570" t="n">
        <v>20.8</v>
      </c>
      <c r="N570">
        <f>IF(OR(E570="",C570=""),"",E570-C570/42)</f>
        <v/>
      </c>
      <c r="O570">
        <f>IF(OR(E570="",D570=""),"",E570-D570/42)</f>
        <v/>
      </c>
      <c r="P570">
        <f>IF(L570="",M570/100,H570*L570/100)</f>
        <v/>
      </c>
      <c r="Q570">
        <f>H570-C570/42-P570</f>
        <v/>
      </c>
      <c r="R570">
        <f>H570-E570</f>
        <v/>
      </c>
    </row>
    <row r="571">
      <c r="A571" s="3" t="n">
        <v>42338</v>
      </c>
      <c r="B571" s="3" t="n">
        <v>42335</v>
      </c>
      <c r="C571" t="n">
        <v>40.49</v>
      </c>
      <c r="D571" t="n">
        <v>43.65</v>
      </c>
      <c r="E571" t="n">
        <v>1.226</v>
      </c>
      <c r="F571" t="n">
        <v>1.371</v>
      </c>
      <c r="G571" t="n">
        <v>1.402</v>
      </c>
      <c r="H571" t="n">
        <v>2.059</v>
      </c>
      <c r="J571" t="n">
        <v>2.052</v>
      </c>
      <c r="K571" t="n">
        <v>2.691</v>
      </c>
      <c r="L571" t="n">
        <v>20.8</v>
      </c>
      <c r="N571">
        <f>IF(OR(E571="",C571=""),"",E571-C571/42)</f>
        <v/>
      </c>
      <c r="O571">
        <f>IF(OR(E571="",D571=""),"",E571-D571/42)</f>
        <v/>
      </c>
      <c r="P571">
        <f>IF(L571="",M571/100,H571*L571/100)</f>
        <v/>
      </c>
      <c r="Q571">
        <f>H571-C571/42-P571</f>
        <v/>
      </c>
      <c r="R571">
        <f>H571-E571</f>
        <v/>
      </c>
    </row>
    <row r="572">
      <c r="A572" s="3" t="n">
        <v>42345</v>
      </c>
      <c r="B572" s="3" t="n">
        <v>42342</v>
      </c>
      <c r="C572" t="n">
        <v>40.4</v>
      </c>
      <c r="D572" t="n">
        <v>42.41</v>
      </c>
      <c r="E572" t="n">
        <v>1.208</v>
      </c>
      <c r="F572" t="n">
        <v>1.365</v>
      </c>
      <c r="G572" t="n">
        <v>1.513</v>
      </c>
      <c r="H572" t="n">
        <v>2.053</v>
      </c>
      <c r="J572" t="n">
        <v>2.014</v>
      </c>
      <c r="K572" t="n">
        <v>2.679</v>
      </c>
      <c r="L572" t="n">
        <v>22</v>
      </c>
      <c r="N572">
        <f>IF(OR(E572="",C572=""),"",E572-C572/42)</f>
        <v/>
      </c>
      <c r="O572">
        <f>IF(OR(E572="",D572=""),"",E572-D572/42)</f>
        <v/>
      </c>
      <c r="P572">
        <f>IF(L572="",M572/100,H572*L572/100)</f>
        <v/>
      </c>
      <c r="Q572">
        <f>H572-C572/42-P572</f>
        <v/>
      </c>
      <c r="R572">
        <f>H572-E572</f>
        <v/>
      </c>
    </row>
    <row r="573">
      <c r="A573" s="3" t="n">
        <v>42352</v>
      </c>
      <c r="B573" s="3" t="n">
        <v>42349</v>
      </c>
      <c r="C573" t="n">
        <v>36.93</v>
      </c>
      <c r="D573" t="n">
        <v>38.76</v>
      </c>
      <c r="E573" t="n">
        <v>1.187</v>
      </c>
      <c r="F573" t="n">
        <v>1.249</v>
      </c>
      <c r="G573" t="n">
        <v>1.403</v>
      </c>
      <c r="H573" t="n">
        <v>2.037</v>
      </c>
      <c r="J573" t="n">
        <v>1.995</v>
      </c>
      <c r="K573" t="n">
        <v>2.654</v>
      </c>
      <c r="L573" t="n">
        <v>22</v>
      </c>
      <c r="N573">
        <f>IF(OR(E573="",C573=""),"",E573-C573/42)</f>
        <v/>
      </c>
      <c r="O573">
        <f>IF(OR(E573="",D573=""),"",E573-D573/42)</f>
        <v/>
      </c>
      <c r="P573">
        <f>IF(L573="",M573/100,H573*L573/100)</f>
        <v/>
      </c>
      <c r="Q573">
        <f>H573-C573/42-P573</f>
        <v/>
      </c>
      <c r="R573">
        <f>H573-E573</f>
        <v/>
      </c>
    </row>
    <row r="574">
      <c r="A574" s="3" t="n">
        <v>42359</v>
      </c>
      <c r="B574" s="3" t="n">
        <v>42356</v>
      </c>
      <c r="C574" t="n">
        <v>35.78</v>
      </c>
      <c r="D574" t="n">
        <v>36.84</v>
      </c>
      <c r="E574" t="n">
        <v>1.199</v>
      </c>
      <c r="F574" t="n">
        <v>1.265</v>
      </c>
      <c r="G574" t="n">
        <v>1.545</v>
      </c>
      <c r="H574" t="n">
        <v>2.026</v>
      </c>
      <c r="J574" t="n">
        <v>1.994</v>
      </c>
      <c r="K574" t="n">
        <v>2.736</v>
      </c>
      <c r="L574" t="n">
        <v>22</v>
      </c>
      <c r="N574">
        <f>IF(OR(E574="",C574=""),"",E574-C574/42)</f>
        <v/>
      </c>
      <c r="O574">
        <f>IF(OR(E574="",D574=""),"",E574-D574/42)</f>
        <v/>
      </c>
      <c r="P574">
        <f>IF(L574="",M574/100,H574*L574/100)</f>
        <v/>
      </c>
      <c r="Q574">
        <f>H574-C574/42-P574</f>
        <v/>
      </c>
      <c r="R574">
        <f>H574-E574</f>
        <v/>
      </c>
    </row>
    <row r="575">
      <c r="A575" s="3" t="n">
        <v>42366</v>
      </c>
      <c r="B575" s="3" t="n">
        <v>42363</v>
      </c>
      <c r="C575" t="n">
        <v>36.26</v>
      </c>
      <c r="D575" t="n">
        <v>35.9</v>
      </c>
      <c r="E575" t="n">
        <v>1.162</v>
      </c>
      <c r="F575" t="n">
        <v>1.245</v>
      </c>
      <c r="G575" t="n">
        <v>1.88</v>
      </c>
      <c r="H575" t="n">
        <v>2.034</v>
      </c>
      <c r="J575" t="n">
        <v>1.972</v>
      </c>
      <c r="K575" t="n">
        <v>2.825</v>
      </c>
      <c r="L575" t="n">
        <v>22</v>
      </c>
      <c r="N575">
        <f>IF(OR(E575="",C575=""),"",E575-C575/42)</f>
        <v/>
      </c>
      <c r="O575">
        <f>IF(OR(E575="",D575=""),"",E575-D575/42)</f>
        <v/>
      </c>
      <c r="P575">
        <f>IF(L575="",M575/100,H575*L575/100)</f>
        <v/>
      </c>
      <c r="Q575">
        <f>H575-C575/42-P575</f>
        <v/>
      </c>
      <c r="R575">
        <f>H575-E575</f>
        <v/>
      </c>
    </row>
    <row r="576">
      <c r="A576" s="3" t="n">
        <v>42373</v>
      </c>
      <c r="B576" s="3" t="n">
        <v>42370</v>
      </c>
      <c r="C576" t="n">
        <v>36.99</v>
      </c>
      <c r="D576" t="n">
        <v>36.55</v>
      </c>
      <c r="E576" t="n">
        <v>1.152</v>
      </c>
      <c r="F576" t="n">
        <v>1.277</v>
      </c>
      <c r="G576" t="n">
        <v>1.897</v>
      </c>
      <c r="H576" t="n">
        <v>2.028</v>
      </c>
      <c r="J576" t="n">
        <v>1.964</v>
      </c>
      <c r="K576" t="n">
        <v>2.875</v>
      </c>
      <c r="L576" t="n">
        <v>23</v>
      </c>
      <c r="N576">
        <f>IF(OR(E576="",C576=""),"",E576-C576/42)</f>
        <v/>
      </c>
      <c r="O576">
        <f>IF(OR(E576="",D576=""),"",E576-D576/42)</f>
        <v/>
      </c>
      <c r="P576">
        <f>IF(L576="",M576/100,H576*L576/100)</f>
        <v/>
      </c>
      <c r="Q576">
        <f>H576-C576/42-P576</f>
        <v/>
      </c>
      <c r="R576">
        <f>H576-E576</f>
        <v/>
      </c>
    </row>
    <row r="577">
      <c r="A577" s="3" t="n">
        <v>42380</v>
      </c>
      <c r="B577" s="3" t="n">
        <v>42377</v>
      </c>
      <c r="C577" t="n">
        <v>34.65</v>
      </c>
      <c r="D577" t="n">
        <v>34.19</v>
      </c>
      <c r="E577" t="n">
        <v>1.097</v>
      </c>
      <c r="F577" t="n">
        <v>1.203</v>
      </c>
      <c r="G577" t="n">
        <v>1.666</v>
      </c>
      <c r="H577" t="n">
        <v>1.996</v>
      </c>
      <c r="J577" t="n">
        <v>1.946</v>
      </c>
      <c r="K577" t="n">
        <v>2.842</v>
      </c>
      <c r="L577" t="n">
        <v>23</v>
      </c>
      <c r="N577">
        <f>IF(OR(E577="",C577=""),"",E577-C577/42)</f>
        <v/>
      </c>
      <c r="O577">
        <f>IF(OR(E577="",D577=""),"",E577-D577/42)</f>
        <v/>
      </c>
      <c r="P577">
        <f>IF(L577="",M577/100,H577*L577/100)</f>
        <v/>
      </c>
      <c r="Q577">
        <f>H577-C577/42-P577</f>
        <v/>
      </c>
      <c r="R577">
        <f>H577-E577</f>
        <v/>
      </c>
    </row>
    <row r="578">
      <c r="A578" s="3" t="n">
        <v>42387</v>
      </c>
      <c r="B578" s="3" t="n">
        <v>42384</v>
      </c>
      <c r="C578" t="n">
        <v>30.59</v>
      </c>
      <c r="D578" t="n">
        <v>29.1</v>
      </c>
      <c r="E578" t="n">
        <v>0.99</v>
      </c>
      <c r="F578" t="n">
        <v>1.083</v>
      </c>
      <c r="G578" t="n">
        <v>1.222</v>
      </c>
      <c r="H578" t="n">
        <v>1.914</v>
      </c>
      <c r="J578" t="n">
        <v>1.906</v>
      </c>
      <c r="K578" t="n">
        <v>2.712</v>
      </c>
      <c r="L578" t="n">
        <v>23</v>
      </c>
      <c r="N578">
        <f>IF(OR(E578="",C578=""),"",E578-C578/42)</f>
        <v/>
      </c>
      <c r="O578">
        <f>IF(OR(E578="",D578=""),"",E578-D578/42)</f>
        <v/>
      </c>
      <c r="P578">
        <f>IF(L578="",M578/100,H578*L578/100)</f>
        <v/>
      </c>
      <c r="Q578">
        <f>H578-C578/42-P578</f>
        <v/>
      </c>
      <c r="R578">
        <f>H578-E578</f>
        <v/>
      </c>
    </row>
    <row r="579">
      <c r="A579" s="3" t="n">
        <v>42394</v>
      </c>
      <c r="B579" s="3" t="n">
        <v>42391</v>
      </c>
      <c r="C579" t="n">
        <v>29.19</v>
      </c>
      <c r="D579" t="n">
        <v>27.76</v>
      </c>
      <c r="E579" t="n">
        <v>0.962</v>
      </c>
      <c r="F579" t="n">
        <v>1.065</v>
      </c>
      <c r="G579" t="n">
        <v>1.097</v>
      </c>
      <c r="H579" t="n">
        <v>1.856</v>
      </c>
      <c r="J579" t="n">
        <v>1.861</v>
      </c>
      <c r="K579" t="n">
        <v>2.643</v>
      </c>
      <c r="L579" t="n">
        <v>23</v>
      </c>
      <c r="N579">
        <f>IF(OR(E579="",C579=""),"",E579-C579/42)</f>
        <v/>
      </c>
      <c r="O579">
        <f>IF(OR(E579="",D579=""),"",E579-D579/42)</f>
        <v/>
      </c>
      <c r="P579">
        <f>IF(L579="",M579/100,H579*L579/100)</f>
        <v/>
      </c>
      <c r="Q579">
        <f>H579-C579/42-P579</f>
        <v/>
      </c>
      <c r="R579">
        <f>H579-E579</f>
        <v/>
      </c>
    </row>
    <row r="580">
      <c r="A580" s="3" t="n">
        <v>42401</v>
      </c>
      <c r="B580" s="3" t="n">
        <v>42398</v>
      </c>
      <c r="C580" t="n">
        <v>31.81</v>
      </c>
      <c r="D580" t="n">
        <v>31.75</v>
      </c>
      <c r="E580" t="n">
        <v>1.008</v>
      </c>
      <c r="F580" t="n">
        <v>1.098</v>
      </c>
      <c r="G580" t="n">
        <v>1.171</v>
      </c>
      <c r="H580" t="n">
        <v>1.822</v>
      </c>
      <c r="J580" t="n">
        <v>1.803</v>
      </c>
      <c r="K580" t="n">
        <v>2.551</v>
      </c>
      <c r="L580" t="n">
        <v>25.5</v>
      </c>
      <c r="N580">
        <f>IF(OR(E580="",C580=""),"",E580-C580/42)</f>
        <v/>
      </c>
      <c r="O580">
        <f>IF(OR(E580="",D580=""),"",E580-D580/42)</f>
        <v/>
      </c>
      <c r="P580">
        <f>IF(L580="",M580/100,H580*L580/100)</f>
        <v/>
      </c>
      <c r="Q580">
        <f>H580-C580/42-P580</f>
        <v/>
      </c>
      <c r="R580">
        <f>H580-E580</f>
        <v/>
      </c>
    </row>
    <row r="581">
      <c r="A581" s="3" t="n">
        <v>42408</v>
      </c>
      <c r="B581" s="3" t="n">
        <v>42405</v>
      </c>
      <c r="C581" t="n">
        <v>31.26</v>
      </c>
      <c r="D581" t="n">
        <v>32.18</v>
      </c>
      <c r="E581" t="n">
        <v>0.911</v>
      </c>
      <c r="F581" t="n">
        <v>1.058</v>
      </c>
      <c r="G581" t="n">
        <v>1.12</v>
      </c>
      <c r="H581" t="n">
        <v>1.759</v>
      </c>
      <c r="J581" t="n">
        <v>1.753</v>
      </c>
      <c r="K581" t="n">
        <v>2.486</v>
      </c>
      <c r="L581" t="n">
        <v>25.5</v>
      </c>
      <c r="N581">
        <f>IF(OR(E581="",C581=""),"",E581-C581/42)</f>
        <v/>
      </c>
      <c r="O581">
        <f>IF(OR(E581="",D581=""),"",E581-D581/42)</f>
        <v/>
      </c>
      <c r="P581">
        <f>IF(L581="",M581/100,H581*L581/100)</f>
        <v/>
      </c>
      <c r="Q581">
        <f>H581-C581/42-P581</f>
        <v/>
      </c>
      <c r="R581">
        <f>H581-E581</f>
        <v/>
      </c>
    </row>
    <row r="582">
      <c r="A582" s="3" t="n">
        <v>42415</v>
      </c>
      <c r="B582" s="3" t="n">
        <v>42412</v>
      </c>
      <c r="C582" t="n">
        <v>28.14</v>
      </c>
      <c r="D582" t="n">
        <v>30.41</v>
      </c>
      <c r="E582" t="n">
        <v>0.883</v>
      </c>
      <c r="F582" t="n">
        <v>0.994</v>
      </c>
      <c r="G582" t="n">
        <v>0.926</v>
      </c>
      <c r="H582" t="n">
        <v>1.724</v>
      </c>
      <c r="J582" t="n">
        <v>1.691</v>
      </c>
      <c r="K582" t="n">
        <v>2.378</v>
      </c>
      <c r="L582" t="n">
        <v>25.5</v>
      </c>
      <c r="N582">
        <f>IF(OR(E582="",C582=""),"",E582-C582/42)</f>
        <v/>
      </c>
      <c r="O582">
        <f>IF(OR(E582="",D582=""),"",E582-D582/42)</f>
        <v/>
      </c>
      <c r="P582">
        <f>IF(L582="",M582/100,H582*L582/100)</f>
        <v/>
      </c>
      <c r="Q582">
        <f>H582-C582/42-P582</f>
        <v/>
      </c>
      <c r="R582">
        <f>H582-E582</f>
        <v/>
      </c>
    </row>
    <row r="583">
      <c r="A583" s="3" t="n">
        <v>42422</v>
      </c>
      <c r="B583" s="3" t="n">
        <v>42419</v>
      </c>
      <c r="C583" t="n">
        <v>30.02</v>
      </c>
      <c r="D583" t="n">
        <v>32.29</v>
      </c>
      <c r="E583" t="n">
        <v>0.944</v>
      </c>
      <c r="F583" t="n">
        <v>1.109</v>
      </c>
      <c r="G583" t="n">
        <v>0.738</v>
      </c>
      <c r="H583" t="n">
        <v>1.73</v>
      </c>
      <c r="J583" t="n">
        <v>1.673</v>
      </c>
      <c r="K583" t="n">
        <v>2.295</v>
      </c>
      <c r="L583" t="n">
        <v>25.5</v>
      </c>
      <c r="N583">
        <f>IF(OR(E583="",C583=""),"",E583-C583/42)</f>
        <v/>
      </c>
      <c r="O583">
        <f>IF(OR(E583="",D583=""),"",E583-D583/42)</f>
        <v/>
      </c>
      <c r="P583">
        <f>IF(L583="",M583/100,H583*L583/100)</f>
        <v/>
      </c>
      <c r="Q583">
        <f>H583-C583/42-P583</f>
        <v/>
      </c>
      <c r="R583">
        <f>H583-E583</f>
        <v/>
      </c>
    </row>
    <row r="584">
      <c r="A584" s="3" t="n">
        <v>42429</v>
      </c>
      <c r="B584" s="3" t="n">
        <v>42426</v>
      </c>
      <c r="C584" t="n">
        <v>31.32</v>
      </c>
      <c r="D584" t="n">
        <v>33.12</v>
      </c>
      <c r="E584" t="n">
        <v>0.979</v>
      </c>
      <c r="F584" t="n">
        <v>1.073</v>
      </c>
      <c r="G584" t="n">
        <v>1.04</v>
      </c>
      <c r="H584" t="n">
        <v>1.783</v>
      </c>
      <c r="J584" t="n">
        <v>1.702</v>
      </c>
      <c r="K584" t="n">
        <v>2.406</v>
      </c>
      <c r="L584" t="n">
        <v>25.5</v>
      </c>
      <c r="N584">
        <f>IF(OR(E584="",C584=""),"",E584-C584/42)</f>
        <v/>
      </c>
      <c r="O584">
        <f>IF(OR(E584="",D584=""),"",E584-D584/42)</f>
        <v/>
      </c>
      <c r="P584">
        <f>IF(L584="",M584/100,H584*L584/100)</f>
        <v/>
      </c>
      <c r="Q584">
        <f>H584-C584/42-P584</f>
        <v/>
      </c>
      <c r="R584">
        <f>H584-E584</f>
        <v/>
      </c>
    </row>
    <row r="585">
      <c r="A585" s="3" t="n">
        <v>42436</v>
      </c>
      <c r="B585" s="3" t="n">
        <v>42433</v>
      </c>
      <c r="C585" t="n">
        <v>34.43</v>
      </c>
      <c r="D585" t="n">
        <v>36.28</v>
      </c>
      <c r="E585" t="n">
        <v>1.016</v>
      </c>
      <c r="F585" t="n">
        <v>1.047</v>
      </c>
      <c r="G585" t="n">
        <v>1.216</v>
      </c>
      <c r="H585" t="n">
        <v>1.841</v>
      </c>
      <c r="J585" t="n">
        <v>1.784</v>
      </c>
      <c r="K585" t="n">
        <v>2.441</v>
      </c>
      <c r="L585" t="n">
        <v>22.8</v>
      </c>
      <c r="N585">
        <f>IF(OR(E585="",C585=""),"",E585-C585/42)</f>
        <v/>
      </c>
      <c r="O585">
        <f>IF(OR(E585="",D585=""),"",E585-D585/42)</f>
        <v/>
      </c>
      <c r="P585">
        <f>IF(L585="",M585/100,H585*L585/100)</f>
        <v/>
      </c>
      <c r="Q585">
        <f>H585-C585/42-P585</f>
        <v/>
      </c>
      <c r="R585">
        <f>H585-E585</f>
        <v/>
      </c>
    </row>
    <row r="586">
      <c r="A586" s="3" t="n">
        <v>42443</v>
      </c>
      <c r="B586" s="3" t="n">
        <v>42440</v>
      </c>
      <c r="C586" t="n">
        <v>37.69</v>
      </c>
      <c r="D586" t="n">
        <v>39.3</v>
      </c>
      <c r="E586" t="n">
        <v>1.172</v>
      </c>
      <c r="F586" t="n">
        <v>1.147</v>
      </c>
      <c r="G586" t="n">
        <v>1.447</v>
      </c>
      <c r="H586" t="n">
        <v>1.961</v>
      </c>
      <c r="J586" t="n">
        <v>1.867</v>
      </c>
      <c r="K586" t="n">
        <v>2.596</v>
      </c>
      <c r="L586" t="n">
        <v>22.8</v>
      </c>
      <c r="N586">
        <f>IF(OR(E586="",C586=""),"",E586-C586/42)</f>
        <v/>
      </c>
      <c r="O586">
        <f>IF(OR(E586="",D586=""),"",E586-D586/42)</f>
        <v/>
      </c>
      <c r="P586">
        <f>IF(L586="",M586/100,H586*L586/100)</f>
        <v/>
      </c>
      <c r="Q586">
        <f>H586-C586/42-P586</f>
        <v/>
      </c>
      <c r="R586">
        <f>H586-E586</f>
        <v/>
      </c>
    </row>
    <row r="587">
      <c r="A587" s="3" t="n">
        <v>42450</v>
      </c>
      <c r="B587" s="3" t="n">
        <v>42447</v>
      </c>
      <c r="C587" t="n">
        <v>38.32</v>
      </c>
      <c r="D587" t="n">
        <v>38.5</v>
      </c>
      <c r="E587" t="n">
        <v>1.258</v>
      </c>
      <c r="F587" t="n">
        <v>1.181</v>
      </c>
      <c r="G587" t="n">
        <v>1.577</v>
      </c>
      <c r="H587" t="n">
        <v>2.007</v>
      </c>
      <c r="J587" t="n">
        <v>1.902</v>
      </c>
      <c r="K587" t="n">
        <v>2.681</v>
      </c>
      <c r="L587" t="n">
        <v>22.8</v>
      </c>
      <c r="N587">
        <f>IF(OR(E587="",C587=""),"",E587-C587/42)</f>
        <v/>
      </c>
      <c r="O587">
        <f>IF(OR(E587="",D587=""),"",E587-D587/42)</f>
        <v/>
      </c>
      <c r="P587">
        <f>IF(L587="",M587/100,H587*L587/100)</f>
        <v/>
      </c>
      <c r="Q587">
        <f>H587-C587/42-P587</f>
        <v/>
      </c>
      <c r="R587">
        <f>H587-E587</f>
        <v/>
      </c>
    </row>
    <row r="588">
      <c r="A588" s="3" t="n">
        <v>42457</v>
      </c>
      <c r="B588" s="3" t="n">
        <v>42454</v>
      </c>
      <c r="C588" t="n">
        <v>39.45</v>
      </c>
      <c r="D588" t="n">
        <v>39.41</v>
      </c>
      <c r="E588" t="n">
        <v>1.327</v>
      </c>
      <c r="F588" t="n">
        <v>1.286</v>
      </c>
      <c r="G588" t="n">
        <v>1.683</v>
      </c>
      <c r="H588" t="n">
        <v>2.066</v>
      </c>
      <c r="J588" t="n">
        <v>1.947</v>
      </c>
      <c r="K588" t="n">
        <v>2.782</v>
      </c>
      <c r="L588" t="n">
        <v>22.8</v>
      </c>
      <c r="N588">
        <f>IF(OR(E588="",C588=""),"",E588-C588/42)</f>
        <v/>
      </c>
      <c r="O588">
        <f>IF(OR(E588="",D588=""),"",E588-D588/42)</f>
        <v/>
      </c>
      <c r="P588">
        <f>IF(L588="",M588/100,H588*L588/100)</f>
        <v/>
      </c>
      <c r="Q588">
        <f>H588-C588/42-P588</f>
        <v/>
      </c>
      <c r="R588">
        <f>H588-E588</f>
        <v/>
      </c>
    </row>
    <row r="589">
      <c r="A589" s="3" t="n">
        <v>42464</v>
      </c>
      <c r="B589" s="3" t="n">
        <v>42461</v>
      </c>
      <c r="C589" t="n">
        <v>36.82</v>
      </c>
      <c r="D589" t="n">
        <v>37</v>
      </c>
      <c r="E589" t="n">
        <v>1.27</v>
      </c>
      <c r="F589" t="n">
        <v>1.338</v>
      </c>
      <c r="G589" t="n">
        <v>1.673</v>
      </c>
      <c r="H589" t="n">
        <v>2.083</v>
      </c>
      <c r="J589" t="n">
        <v>1.969</v>
      </c>
      <c r="K589" t="n">
        <v>2.776</v>
      </c>
      <c r="L589" t="n">
        <v>21.3</v>
      </c>
      <c r="N589">
        <f>IF(OR(E589="",C589=""),"",E589-C589/42)</f>
        <v/>
      </c>
      <c r="O589">
        <f>IF(OR(E589="",D589=""),"",E589-D589/42)</f>
        <v/>
      </c>
      <c r="P589">
        <f>IF(L589="",M589/100,H589*L589/100)</f>
        <v/>
      </c>
      <c r="Q589">
        <f>H589-C589/42-P589</f>
        <v/>
      </c>
      <c r="R589">
        <f>H589-E589</f>
        <v/>
      </c>
    </row>
    <row r="590">
      <c r="A590" s="3" t="n">
        <v>42471</v>
      </c>
      <c r="B590" s="3" t="n">
        <v>42468</v>
      </c>
      <c r="C590" t="n">
        <v>36.72</v>
      </c>
      <c r="D590" t="n">
        <v>37.51</v>
      </c>
      <c r="E590" t="n">
        <v>1.234</v>
      </c>
      <c r="F590" t="n">
        <v>1.346</v>
      </c>
      <c r="G590" t="n">
        <v>1.466</v>
      </c>
      <c r="H590" t="n">
        <v>2.069</v>
      </c>
      <c r="J590" t="n">
        <v>2.001</v>
      </c>
      <c r="K590" t="n">
        <v>2.75</v>
      </c>
      <c r="L590" t="n">
        <v>21.3</v>
      </c>
      <c r="N590">
        <f>IF(OR(E590="",C590=""),"",E590-C590/42)</f>
        <v/>
      </c>
      <c r="O590">
        <f>IF(OR(E590="",D590=""),"",E590-D590/42)</f>
        <v/>
      </c>
      <c r="P590">
        <f>IF(L590="",M590/100,H590*L590/100)</f>
        <v/>
      </c>
      <c r="Q590">
        <f>H590-C590/42-P590</f>
        <v/>
      </c>
      <c r="R590">
        <f>H590-E590</f>
        <v/>
      </c>
    </row>
    <row r="591">
      <c r="A591" s="3" t="n">
        <v>42478</v>
      </c>
      <c r="B591" s="3" t="n">
        <v>42475</v>
      </c>
      <c r="C591" t="n">
        <v>41.23</v>
      </c>
      <c r="D591" t="n">
        <v>42.35</v>
      </c>
      <c r="E591" t="n">
        <v>1.335</v>
      </c>
      <c r="F591" t="n">
        <v>1.466</v>
      </c>
      <c r="G591" t="n">
        <v>1.607</v>
      </c>
      <c r="H591" t="n">
        <v>2.137</v>
      </c>
      <c r="J591" t="n">
        <v>2.078</v>
      </c>
      <c r="K591" t="n">
        <v>2.771</v>
      </c>
      <c r="L591" t="n">
        <v>21.3</v>
      </c>
      <c r="N591">
        <f>IF(OR(E591="",C591=""),"",E591-C591/42)</f>
        <v/>
      </c>
      <c r="O591">
        <f>IF(OR(E591="",D591=""),"",E591-D591/42)</f>
        <v/>
      </c>
      <c r="P591">
        <f>IF(L591="",M591/100,H591*L591/100)</f>
        <v/>
      </c>
      <c r="Q591">
        <f>H591-C591/42-P591</f>
        <v/>
      </c>
      <c r="R591">
        <f>H591-E591</f>
        <v/>
      </c>
    </row>
    <row r="592">
      <c r="A592" s="3" t="n">
        <v>42485</v>
      </c>
      <c r="B592" s="3" t="n">
        <v>42482</v>
      </c>
      <c r="C592" t="n">
        <v>41.86</v>
      </c>
      <c r="D592" t="n">
        <v>43.04</v>
      </c>
      <c r="E592" t="n">
        <v>1.344</v>
      </c>
      <c r="F592" t="n">
        <v>1.462</v>
      </c>
      <c r="G592" t="n">
        <v>1.509</v>
      </c>
      <c r="H592" t="n">
        <v>2.162</v>
      </c>
      <c r="J592" t="n">
        <v>2.116</v>
      </c>
      <c r="K592" t="n">
        <v>2.775</v>
      </c>
      <c r="L592" t="n">
        <v>21.3</v>
      </c>
      <c r="N592">
        <f>IF(OR(E592="",C592=""),"",E592-C592/42)</f>
        <v/>
      </c>
      <c r="O592">
        <f>IF(OR(E592="",D592=""),"",E592-D592/42)</f>
        <v/>
      </c>
      <c r="P592">
        <f>IF(L592="",M592/100,H592*L592/100)</f>
        <v/>
      </c>
      <c r="Q592">
        <f>H592-C592/42-P592</f>
        <v/>
      </c>
      <c r="R592">
        <f>H592-E592</f>
        <v/>
      </c>
    </row>
    <row r="593">
      <c r="A593" s="3" t="n">
        <v>42492</v>
      </c>
      <c r="B593" s="3" t="n">
        <v>42489</v>
      </c>
      <c r="C593" t="n">
        <v>44.3</v>
      </c>
      <c r="D593" t="n">
        <v>44.46</v>
      </c>
      <c r="E593" t="n">
        <v>1.458</v>
      </c>
      <c r="F593" t="n">
        <v>1.545</v>
      </c>
      <c r="G593" t="n">
        <v>1.617</v>
      </c>
      <c r="H593" t="n">
        <v>2.24</v>
      </c>
      <c r="J593" t="n">
        <v>2.167</v>
      </c>
      <c r="K593" t="n">
        <v>2.809</v>
      </c>
      <c r="L593" t="n">
        <v>19.8</v>
      </c>
      <c r="N593">
        <f>IF(OR(E593="",C593=""),"",E593-C593/42)</f>
        <v/>
      </c>
      <c r="O593">
        <f>IF(OR(E593="",D593=""),"",E593-D593/42)</f>
        <v/>
      </c>
      <c r="P593">
        <f>IF(L593="",M593/100,H593*L593/100)</f>
        <v/>
      </c>
      <c r="Q593">
        <f>H593-C593/42-P593</f>
        <v/>
      </c>
      <c r="R593">
        <f>H593-E593</f>
        <v/>
      </c>
    </row>
    <row r="594">
      <c r="A594" s="3" t="n">
        <v>42499</v>
      </c>
      <c r="B594" s="3" t="n">
        <v>42496</v>
      </c>
      <c r="C594" t="n">
        <v>44.22</v>
      </c>
      <c r="D594" t="n">
        <v>44.2</v>
      </c>
      <c r="E594" t="n">
        <v>1.366</v>
      </c>
      <c r="F594" t="n">
        <v>1.492</v>
      </c>
      <c r="G594" t="n">
        <v>1.533</v>
      </c>
      <c r="H594" t="n">
        <v>2.22</v>
      </c>
      <c r="J594" t="n">
        <v>2.214</v>
      </c>
      <c r="K594" t="n">
        <v>2.786</v>
      </c>
      <c r="L594" t="n">
        <v>19.8</v>
      </c>
      <c r="N594">
        <f>IF(OR(E594="",C594=""),"",E594-C594/42)</f>
        <v/>
      </c>
      <c r="O594">
        <f>IF(OR(E594="",D594=""),"",E594-D594/42)</f>
        <v/>
      </c>
      <c r="P594">
        <f>IF(L594="",M594/100,H594*L594/100)</f>
        <v/>
      </c>
      <c r="Q594">
        <f>H594-C594/42-P594</f>
        <v/>
      </c>
      <c r="R594">
        <f>H594-E594</f>
        <v/>
      </c>
    </row>
    <row r="595">
      <c r="A595" s="3" t="n">
        <v>42506</v>
      </c>
      <c r="B595" s="3" t="n">
        <v>42503</v>
      </c>
      <c r="C595" t="n">
        <v>45.44</v>
      </c>
      <c r="D595" t="n">
        <v>45.2</v>
      </c>
      <c r="E595" t="n">
        <v>1.374</v>
      </c>
      <c r="F595" t="n">
        <v>1.505</v>
      </c>
      <c r="G595" t="n">
        <v>1.456</v>
      </c>
      <c r="H595" t="n">
        <v>2.242</v>
      </c>
      <c r="J595" t="n">
        <v>2.243</v>
      </c>
      <c r="K595" t="n">
        <v>2.789</v>
      </c>
      <c r="L595" t="n">
        <v>19.8</v>
      </c>
      <c r="N595">
        <f>IF(OR(E595="",C595=""),"",E595-C595/42)</f>
        <v/>
      </c>
      <c r="O595">
        <f>IF(OR(E595="",D595=""),"",E595-D595/42)</f>
        <v/>
      </c>
      <c r="P595">
        <f>IF(L595="",M595/100,H595*L595/100)</f>
        <v/>
      </c>
      <c r="Q595">
        <f>H595-C595/42-P595</f>
        <v/>
      </c>
      <c r="R595">
        <f>H595-E595</f>
        <v/>
      </c>
    </row>
    <row r="596">
      <c r="A596" s="3" t="n">
        <v>42513</v>
      </c>
      <c r="B596" s="3" t="n">
        <v>42510</v>
      </c>
      <c r="C596" t="n">
        <v>47.99</v>
      </c>
      <c r="D596" t="n">
        <v>48.34</v>
      </c>
      <c r="E596" t="n">
        <v>1.47</v>
      </c>
      <c r="F596" t="n">
        <v>1.622</v>
      </c>
      <c r="G596" t="n">
        <v>1.528</v>
      </c>
      <c r="H596" t="n">
        <v>2.3</v>
      </c>
      <c r="J596" t="n">
        <v>2.3</v>
      </c>
      <c r="K596" t="n">
        <v>2.804</v>
      </c>
      <c r="L596" t="n">
        <v>19.8</v>
      </c>
      <c r="N596">
        <f>IF(OR(E596="",C596=""),"",E596-C596/42)</f>
        <v/>
      </c>
      <c r="O596">
        <f>IF(OR(E596="",D596=""),"",E596-D596/42)</f>
        <v/>
      </c>
      <c r="P596">
        <f>IF(L596="",M596/100,H596*L596/100)</f>
        <v/>
      </c>
      <c r="Q596">
        <f>H596-C596/42-P596</f>
        <v/>
      </c>
      <c r="R596">
        <f>H596-E596</f>
        <v/>
      </c>
    </row>
    <row r="597">
      <c r="A597" s="3" t="n">
        <v>42520</v>
      </c>
      <c r="B597" s="3" t="n">
        <v>42517</v>
      </c>
      <c r="C597" t="n">
        <v>48.72</v>
      </c>
      <c r="D597" t="n">
        <v>48.73</v>
      </c>
      <c r="E597" t="n">
        <v>1.501</v>
      </c>
      <c r="F597" t="n">
        <v>1.626</v>
      </c>
      <c r="G597" t="n">
        <v>1.582</v>
      </c>
      <c r="H597" t="n">
        <v>2.339</v>
      </c>
      <c r="J597" t="n">
        <v>2.316</v>
      </c>
      <c r="K597" t="n">
        <v>2.812</v>
      </c>
      <c r="L597" t="n">
        <v>19.8</v>
      </c>
      <c r="N597">
        <f>IF(OR(E597="",C597=""),"",E597-C597/42)</f>
        <v/>
      </c>
      <c r="O597">
        <f>IF(OR(E597="",D597=""),"",E597-D597/42)</f>
        <v/>
      </c>
      <c r="P597">
        <f>IF(L597="",M597/100,H597*L597/100)</f>
        <v/>
      </c>
      <c r="Q597">
        <f>H597-C597/42-P597</f>
        <v/>
      </c>
      <c r="R597">
        <f>H597-E597</f>
        <v/>
      </c>
    </row>
    <row r="598">
      <c r="A598" s="3" t="n">
        <v>42527</v>
      </c>
      <c r="B598" s="3" t="n">
        <v>42524</v>
      </c>
      <c r="C598" t="n">
        <v>49</v>
      </c>
      <c r="D598" t="n">
        <v>48.91</v>
      </c>
      <c r="E598" t="n">
        <v>1.523</v>
      </c>
      <c r="F598" t="n">
        <v>1.606</v>
      </c>
      <c r="G598" t="n">
        <v>1.592</v>
      </c>
      <c r="H598" t="n">
        <v>2.381</v>
      </c>
      <c r="J598" t="n">
        <v>2.314</v>
      </c>
      <c r="K598" t="n">
        <v>2.84</v>
      </c>
      <c r="L598" t="n">
        <v>19</v>
      </c>
      <c r="N598">
        <f>IF(OR(E598="",C598=""),"",E598-C598/42)</f>
        <v/>
      </c>
      <c r="O598">
        <f>IF(OR(E598="",D598=""),"",E598-D598/42)</f>
        <v/>
      </c>
      <c r="P598">
        <f>IF(L598="",M598/100,H598*L598/100)</f>
        <v/>
      </c>
      <c r="Q598">
        <f>H598-C598/42-P598</f>
        <v/>
      </c>
      <c r="R598">
        <f>H598-E598</f>
        <v/>
      </c>
    </row>
    <row r="599">
      <c r="A599" s="3" t="n">
        <v>42534</v>
      </c>
      <c r="B599" s="3" t="n">
        <v>42531</v>
      </c>
      <c r="C599" t="n">
        <v>50.18</v>
      </c>
      <c r="D599" t="n">
        <v>49.94</v>
      </c>
      <c r="E599" t="n">
        <v>1.527</v>
      </c>
      <c r="F599" t="n">
        <v>1.573</v>
      </c>
      <c r="G599" t="n">
        <v>1.658</v>
      </c>
      <c r="H599" t="n">
        <v>2.399</v>
      </c>
      <c r="J599" t="n">
        <v>2.322</v>
      </c>
      <c r="K599" t="n">
        <v>2.864</v>
      </c>
      <c r="L599" t="n">
        <v>19</v>
      </c>
      <c r="N599">
        <f>IF(OR(E599="",C599=""),"",E599-C599/42)</f>
        <v/>
      </c>
      <c r="O599">
        <f>IF(OR(E599="",D599=""),"",E599-D599/42)</f>
        <v/>
      </c>
      <c r="P599">
        <f>IF(L599="",M599/100,H599*L599/100)</f>
        <v/>
      </c>
      <c r="Q599">
        <f>H599-C599/42-P599</f>
        <v/>
      </c>
      <c r="R599">
        <f>H599-E599</f>
        <v/>
      </c>
    </row>
    <row r="600">
      <c r="A600" s="3" t="n">
        <v>42541</v>
      </c>
      <c r="B600" s="3" t="n">
        <v>42538</v>
      </c>
      <c r="C600" t="n">
        <v>47.89</v>
      </c>
      <c r="D600" t="n">
        <v>47.39</v>
      </c>
      <c r="E600" t="n">
        <v>1.431</v>
      </c>
      <c r="F600" t="n">
        <v>1.45</v>
      </c>
      <c r="G600" t="n">
        <v>1.56</v>
      </c>
      <c r="H600" t="n">
        <v>2.353</v>
      </c>
      <c r="J600" t="n">
        <v>2.33</v>
      </c>
      <c r="K600" t="n">
        <v>2.866</v>
      </c>
      <c r="L600" t="n">
        <v>19</v>
      </c>
      <c r="N600">
        <f>IF(OR(E600="",C600=""),"",E600-C600/42)</f>
        <v/>
      </c>
      <c r="O600">
        <f>IF(OR(E600="",D600=""),"",E600-D600/42)</f>
        <v/>
      </c>
      <c r="P600">
        <f>IF(L600="",M600/100,H600*L600/100)</f>
        <v/>
      </c>
      <c r="Q600">
        <f>H600-C600/42-P600</f>
        <v/>
      </c>
      <c r="R600">
        <f>H600-E600</f>
        <v/>
      </c>
    </row>
    <row r="601">
      <c r="A601" s="3" t="n">
        <v>42548</v>
      </c>
      <c r="B601" s="3" t="n">
        <v>42545</v>
      </c>
      <c r="C601" t="n">
        <v>48.71</v>
      </c>
      <c r="D601" t="n">
        <v>48.12</v>
      </c>
      <c r="E601" t="n">
        <v>1.501</v>
      </c>
      <c r="F601" t="n">
        <v>1.491</v>
      </c>
      <c r="G601" t="n">
        <v>1.732</v>
      </c>
      <c r="H601" t="n">
        <v>2.329</v>
      </c>
      <c r="J601" t="n">
        <v>2.319</v>
      </c>
      <c r="K601" t="n">
        <v>2.929</v>
      </c>
      <c r="L601" t="n">
        <v>19</v>
      </c>
      <c r="N601">
        <f>IF(OR(E601="",C601=""),"",E601-C601/42)</f>
        <v/>
      </c>
      <c r="O601">
        <f>IF(OR(E601="",D601=""),"",E601-D601/42)</f>
        <v/>
      </c>
      <c r="P601">
        <f>IF(L601="",M601/100,H601*L601/100)</f>
        <v/>
      </c>
      <c r="Q601">
        <f>H601-C601/42-P601</f>
        <v/>
      </c>
      <c r="R601">
        <f>H601-E601</f>
        <v/>
      </c>
    </row>
    <row r="602">
      <c r="A602" s="3" t="n">
        <v>42555</v>
      </c>
      <c r="B602" s="3" t="n">
        <v>42552</v>
      </c>
      <c r="C602" t="n">
        <v>48.17</v>
      </c>
      <c r="D602" t="n">
        <v>47.09</v>
      </c>
      <c r="E602" t="n">
        <v>1.453</v>
      </c>
      <c r="F602" t="n">
        <v>1.442</v>
      </c>
      <c r="G602" t="n">
        <v>1.642</v>
      </c>
      <c r="H602" t="n">
        <v>2.291</v>
      </c>
      <c r="J602" t="n">
        <v>2.305</v>
      </c>
      <c r="K602" t="n">
        <v>2.91</v>
      </c>
      <c r="L602" t="n">
        <v>20.1</v>
      </c>
      <c r="N602">
        <f>IF(OR(E602="",C602=""),"",E602-C602/42)</f>
        <v/>
      </c>
      <c r="O602">
        <f>IF(OR(E602="",D602=""),"",E602-D602/42)</f>
        <v/>
      </c>
      <c r="P602">
        <f>IF(L602="",M602/100,H602*L602/100)</f>
        <v/>
      </c>
      <c r="Q602">
        <f>H602-C602/42-P602</f>
        <v/>
      </c>
      <c r="R602">
        <f>H602-E602</f>
        <v/>
      </c>
    </row>
    <row r="603">
      <c r="A603" s="3" t="n">
        <v>42562</v>
      </c>
      <c r="B603" s="3" t="n">
        <v>42559</v>
      </c>
      <c r="C603" t="n">
        <v>46.17</v>
      </c>
      <c r="D603" t="n">
        <v>45.96</v>
      </c>
      <c r="E603" t="n">
        <v>1.379</v>
      </c>
      <c r="F603" t="n">
        <v>1.373</v>
      </c>
      <c r="G603" t="n">
        <v>1.496</v>
      </c>
      <c r="H603" t="n">
        <v>2.253</v>
      </c>
      <c r="J603" t="n">
        <v>2.288</v>
      </c>
      <c r="K603" t="n">
        <v>2.866</v>
      </c>
      <c r="L603" t="n">
        <v>20.1</v>
      </c>
      <c r="N603">
        <f>IF(OR(E603="",C603=""),"",E603-C603/42)</f>
        <v/>
      </c>
      <c r="O603">
        <f>IF(OR(E603="",D603=""),"",E603-D603/42)</f>
        <v/>
      </c>
      <c r="P603">
        <f>IF(L603="",M603/100,H603*L603/100)</f>
        <v/>
      </c>
      <c r="Q603">
        <f>H603-C603/42-P603</f>
        <v/>
      </c>
      <c r="R603">
        <f>H603-E603</f>
        <v/>
      </c>
    </row>
    <row r="604">
      <c r="A604" s="3" t="n">
        <v>42569</v>
      </c>
      <c r="B604" s="3" t="n">
        <v>42566</v>
      </c>
      <c r="C604" t="n">
        <v>45.6</v>
      </c>
      <c r="D604" t="n">
        <v>45.54</v>
      </c>
      <c r="E604" t="n">
        <v>1.361</v>
      </c>
      <c r="F604" t="n">
        <v>1.368</v>
      </c>
      <c r="G604" t="n">
        <v>1.478</v>
      </c>
      <c r="H604" t="n">
        <v>2.23</v>
      </c>
      <c r="J604" t="n">
        <v>2.276</v>
      </c>
      <c r="K604" t="n">
        <v>2.858</v>
      </c>
      <c r="L604" t="n">
        <v>20.1</v>
      </c>
      <c r="N604">
        <f>IF(OR(E604="",C604=""),"",E604-C604/42)</f>
        <v/>
      </c>
      <c r="O604">
        <f>IF(OR(E604="",D604=""),"",E604-D604/42)</f>
        <v/>
      </c>
      <c r="P604">
        <f>IF(L604="",M604/100,H604*L604/100)</f>
        <v/>
      </c>
      <c r="Q604">
        <f>H604-C604/42-P604</f>
        <v/>
      </c>
      <c r="R604">
        <f>H604-E604</f>
        <v/>
      </c>
    </row>
    <row r="605">
      <c r="A605" s="3" t="n">
        <v>42576</v>
      </c>
      <c r="B605" s="3" t="n">
        <v>42573</v>
      </c>
      <c r="C605" t="n">
        <v>44.44</v>
      </c>
      <c r="D605" t="n">
        <v>45.22</v>
      </c>
      <c r="E605" t="n">
        <v>1.342</v>
      </c>
      <c r="F605" t="n">
        <v>1.334</v>
      </c>
      <c r="G605" t="n">
        <v>1.386</v>
      </c>
      <c r="H605" t="n">
        <v>2.182</v>
      </c>
      <c r="J605" t="n">
        <v>2.264</v>
      </c>
      <c r="K605" t="n">
        <v>2.792</v>
      </c>
      <c r="L605" t="n">
        <v>20.1</v>
      </c>
      <c r="N605">
        <f>IF(OR(E605="",C605=""),"",E605-C605/42)</f>
        <v/>
      </c>
      <c r="O605">
        <f>IF(OR(E605="",D605=""),"",E605-D605/42)</f>
        <v/>
      </c>
      <c r="P605">
        <f>IF(L605="",M605/100,H605*L605/100)</f>
        <v/>
      </c>
      <c r="Q605">
        <f>H605-C605/42-P605</f>
        <v/>
      </c>
      <c r="R605">
        <f>H605-E605</f>
        <v/>
      </c>
    </row>
    <row r="606">
      <c r="A606" s="3" t="n">
        <v>42583</v>
      </c>
      <c r="B606" s="3" t="n">
        <v>42580</v>
      </c>
      <c r="C606" t="n">
        <v>41.83</v>
      </c>
      <c r="D606" t="n">
        <v>42.55</v>
      </c>
      <c r="E606" t="n">
        <v>1.328</v>
      </c>
      <c r="F606" t="n">
        <v>1.32</v>
      </c>
      <c r="G606" t="n">
        <v>1.248</v>
      </c>
      <c r="H606" t="n">
        <v>2.159</v>
      </c>
      <c r="J606" t="n">
        <v>2.252</v>
      </c>
      <c r="K606" t="n">
        <v>2.725</v>
      </c>
      <c r="L606" t="n">
        <v>20.7</v>
      </c>
      <c r="N606">
        <f>IF(OR(E606="",C606=""),"",E606-C606/42)</f>
        <v/>
      </c>
      <c r="O606">
        <f>IF(OR(E606="",D606=""),"",E606-D606/42)</f>
        <v/>
      </c>
      <c r="P606">
        <f>IF(L606="",M606/100,H606*L606/100)</f>
        <v/>
      </c>
      <c r="Q606">
        <f>H606-C606/42-P606</f>
        <v/>
      </c>
      <c r="R606">
        <f>H606-E606</f>
        <v/>
      </c>
    </row>
    <row r="607">
      <c r="A607" s="3" t="n">
        <v>42590</v>
      </c>
      <c r="B607" s="3" t="n">
        <v>42587</v>
      </c>
      <c r="C607" t="n">
        <v>40.82</v>
      </c>
      <c r="D607" t="n">
        <v>40.88</v>
      </c>
      <c r="E607" t="n">
        <v>1.348</v>
      </c>
      <c r="F607" t="n">
        <v>1.331</v>
      </c>
      <c r="G607" t="n">
        <v>1.228</v>
      </c>
      <c r="H607" t="n">
        <v>2.15</v>
      </c>
      <c r="J607" t="n">
        <v>2.226</v>
      </c>
      <c r="K607" t="n">
        <v>2.681</v>
      </c>
      <c r="L607" t="n">
        <v>20.7</v>
      </c>
      <c r="N607">
        <f>IF(OR(E607="",C607=""),"",E607-C607/42)</f>
        <v/>
      </c>
      <c r="O607">
        <f>IF(OR(E607="",D607=""),"",E607-D607/42)</f>
        <v/>
      </c>
      <c r="P607">
        <f>IF(L607="",M607/100,H607*L607/100)</f>
        <v/>
      </c>
      <c r="Q607">
        <f>H607-C607/42-P607</f>
        <v/>
      </c>
      <c r="R607">
        <f>H607-E607</f>
        <v/>
      </c>
    </row>
    <row r="608">
      <c r="A608" s="3" t="n">
        <v>42597</v>
      </c>
      <c r="B608" s="3" t="n">
        <v>42594</v>
      </c>
      <c r="C608" t="n">
        <v>43.11</v>
      </c>
      <c r="D608" t="n">
        <v>43.63</v>
      </c>
      <c r="E608" t="n">
        <v>1.356</v>
      </c>
      <c r="F608" t="n">
        <v>1.325</v>
      </c>
      <c r="G608" t="n">
        <v>1.265</v>
      </c>
      <c r="H608" t="n">
        <v>2.149</v>
      </c>
      <c r="J608" t="n">
        <v>2.214</v>
      </c>
      <c r="K608" t="n">
        <v>2.643</v>
      </c>
      <c r="L608" t="n">
        <v>20.7</v>
      </c>
      <c r="N608">
        <f>IF(OR(E608="",C608=""),"",E608-C608/42)</f>
        <v/>
      </c>
      <c r="O608">
        <f>IF(OR(E608="",D608=""),"",E608-D608/42)</f>
        <v/>
      </c>
      <c r="P608">
        <f>IF(L608="",M608/100,H608*L608/100)</f>
        <v/>
      </c>
      <c r="Q608">
        <f>H608-C608/42-P608</f>
        <v/>
      </c>
      <c r="R608">
        <f>H608-E608</f>
        <v/>
      </c>
    </row>
    <row r="609">
      <c r="A609" s="3" t="n">
        <v>42604</v>
      </c>
      <c r="B609" s="3" t="n">
        <v>42601</v>
      </c>
      <c r="C609" t="n">
        <v>47.16</v>
      </c>
      <c r="D609" t="n">
        <v>48.6</v>
      </c>
      <c r="E609" t="n">
        <v>1.445</v>
      </c>
      <c r="F609" t="n">
        <v>1.441</v>
      </c>
      <c r="G609" t="n">
        <v>1.458</v>
      </c>
      <c r="H609" t="n">
        <v>2.193</v>
      </c>
      <c r="J609" t="n">
        <v>2.229</v>
      </c>
      <c r="K609" t="n">
        <v>2.702</v>
      </c>
      <c r="L609" t="n">
        <v>20.7</v>
      </c>
      <c r="N609">
        <f>IF(OR(E609="",C609=""),"",E609-C609/42)</f>
        <v/>
      </c>
      <c r="O609">
        <f>IF(OR(E609="",D609=""),"",E609-D609/42)</f>
        <v/>
      </c>
      <c r="P609">
        <f>IF(L609="",M609/100,H609*L609/100)</f>
        <v/>
      </c>
      <c r="Q609">
        <f>H609-C609/42-P609</f>
        <v/>
      </c>
      <c r="R609">
        <f>H609-E609</f>
        <v/>
      </c>
    </row>
    <row r="610">
      <c r="A610" s="3" t="n">
        <v>42611</v>
      </c>
      <c r="B610" s="3" t="n">
        <v>42608</v>
      </c>
      <c r="C610" t="n">
        <v>47.05</v>
      </c>
      <c r="D610" t="n">
        <v>48.65</v>
      </c>
      <c r="E610" t="n">
        <v>1.532</v>
      </c>
      <c r="F610" t="n">
        <v>1.424</v>
      </c>
      <c r="G610" t="n">
        <v>1.52</v>
      </c>
      <c r="H610" t="n">
        <v>2.237</v>
      </c>
      <c r="J610" t="n">
        <v>2.263</v>
      </c>
      <c r="K610" t="n">
        <v>2.709</v>
      </c>
      <c r="L610" t="n">
        <v>20.7</v>
      </c>
      <c r="N610">
        <f>IF(OR(E610="",C610=""),"",E610-C610/42)</f>
        <v/>
      </c>
      <c r="O610">
        <f>IF(OR(E610="",D610=""),"",E610-D610/42)</f>
        <v/>
      </c>
      <c r="P610">
        <f>IF(L610="",M610/100,H610*L610/100)</f>
        <v/>
      </c>
      <c r="Q610">
        <f>H610-C610/42-P610</f>
        <v/>
      </c>
      <c r="R610">
        <f>H610-E610</f>
        <v/>
      </c>
    </row>
    <row r="611">
      <c r="A611" s="3" t="n">
        <v>42618</v>
      </c>
      <c r="B611" s="3" t="n">
        <v>42615</v>
      </c>
      <c r="C611" t="n">
        <v>45.11</v>
      </c>
      <c r="D611" t="n">
        <v>47.31</v>
      </c>
      <c r="E611" t="n">
        <v>1.426</v>
      </c>
      <c r="F611" t="n">
        <v>1.371</v>
      </c>
      <c r="G611" t="n">
        <v>1.495</v>
      </c>
      <c r="H611" t="n">
        <v>2.223</v>
      </c>
      <c r="J611" t="n">
        <v>2.267</v>
      </c>
      <c r="K611" t="n">
        <v>2.706</v>
      </c>
      <c r="L611" t="n">
        <v>20.3</v>
      </c>
      <c r="N611">
        <f>IF(OR(E611="",C611=""),"",E611-C611/42)</f>
        <v/>
      </c>
      <c r="O611">
        <f>IF(OR(E611="",D611=""),"",E611-D611/42)</f>
        <v/>
      </c>
      <c r="P611">
        <f>IF(L611="",M611/100,H611*L611/100)</f>
        <v/>
      </c>
      <c r="Q611">
        <f>H611-C611/42-P611</f>
        <v/>
      </c>
      <c r="R611">
        <f>H611-E611</f>
        <v/>
      </c>
    </row>
    <row r="612">
      <c r="A612" s="3" t="n">
        <v>42625</v>
      </c>
      <c r="B612" s="3" t="n">
        <v>42622</v>
      </c>
      <c r="C612" t="n">
        <v>45.96</v>
      </c>
      <c r="D612" t="n">
        <v>47.51</v>
      </c>
      <c r="E612" t="n">
        <v>1.371</v>
      </c>
      <c r="F612" t="n">
        <v>1.413</v>
      </c>
      <c r="G612" t="n">
        <v>1.568</v>
      </c>
      <c r="H612" t="n">
        <v>2.202</v>
      </c>
      <c r="J612" t="n">
        <v>2.274</v>
      </c>
      <c r="K612" t="n">
        <v>2.753</v>
      </c>
      <c r="L612" t="n">
        <v>20.3</v>
      </c>
      <c r="N612">
        <f>IF(OR(E612="",C612=""),"",E612-C612/42)</f>
        <v/>
      </c>
      <c r="O612">
        <f>IF(OR(E612="",D612=""),"",E612-D612/42)</f>
        <v/>
      </c>
      <c r="P612">
        <f>IF(L612="",M612/100,H612*L612/100)</f>
        <v/>
      </c>
      <c r="Q612">
        <f>H612-C612/42-P612</f>
        <v/>
      </c>
      <c r="R612">
        <f>H612-E612</f>
        <v/>
      </c>
    </row>
    <row r="613">
      <c r="A613" s="3" t="n">
        <v>42632</v>
      </c>
      <c r="B613" s="3" t="n">
        <v>42629</v>
      </c>
      <c r="C613" t="n">
        <v>44.34</v>
      </c>
      <c r="D613" t="n">
        <v>46.21</v>
      </c>
      <c r="E613" t="n">
        <v>1.394</v>
      </c>
      <c r="F613" t="n">
        <v>1.439</v>
      </c>
      <c r="G613" t="n">
        <v>1.536</v>
      </c>
      <c r="H613" t="n">
        <v>2.225</v>
      </c>
      <c r="J613" t="n">
        <v>2.265</v>
      </c>
      <c r="K613" t="n">
        <v>2.763</v>
      </c>
      <c r="L613" t="n">
        <v>20.3</v>
      </c>
      <c r="N613">
        <f>IF(OR(E613="",C613=""),"",E613-C613/42)</f>
        <v/>
      </c>
      <c r="O613">
        <f>IF(OR(E613="",D613=""),"",E613-D613/42)</f>
        <v/>
      </c>
      <c r="P613">
        <f>IF(L613="",M613/100,H613*L613/100)</f>
        <v/>
      </c>
      <c r="Q613">
        <f>H613-C613/42-P613</f>
        <v/>
      </c>
      <c r="R613">
        <f>H613-E613</f>
        <v/>
      </c>
    </row>
    <row r="614">
      <c r="A614" s="3" t="n">
        <v>42639</v>
      </c>
      <c r="B614" s="3" t="n">
        <v>42636</v>
      </c>
      <c r="C614" t="n">
        <v>44.59</v>
      </c>
      <c r="D614" t="n">
        <v>46.24</v>
      </c>
      <c r="E614" t="n">
        <v>1.373</v>
      </c>
      <c r="F614" t="n">
        <v>1.44</v>
      </c>
      <c r="G614" t="n">
        <v>1.497</v>
      </c>
      <c r="H614" t="n">
        <v>2.224</v>
      </c>
      <c r="J614" t="n">
        <v>2.246</v>
      </c>
      <c r="K614" t="n">
        <v>2.764</v>
      </c>
      <c r="L614" t="n">
        <v>20.3</v>
      </c>
      <c r="N614">
        <f>IF(OR(E614="",C614=""),"",E614-C614/42)</f>
        <v/>
      </c>
      <c r="O614">
        <f>IF(OR(E614="",D614=""),"",E614-D614/42)</f>
        <v/>
      </c>
      <c r="P614">
        <f>IF(L614="",M614/100,H614*L614/100)</f>
        <v/>
      </c>
      <c r="Q614">
        <f>H614-C614/42-P614</f>
        <v/>
      </c>
      <c r="R614">
        <f>H614-E614</f>
        <v/>
      </c>
    </row>
    <row r="615">
      <c r="A615" s="3" t="n">
        <v>42646</v>
      </c>
      <c r="B615" s="3" t="n">
        <v>42643</v>
      </c>
      <c r="C615" t="n">
        <v>46.55</v>
      </c>
      <c r="D615" t="n">
        <v>46.74</v>
      </c>
      <c r="E615" t="n">
        <v>1.456</v>
      </c>
      <c r="F615" t="n">
        <v>1.486</v>
      </c>
      <c r="G615" t="n">
        <v>1.647</v>
      </c>
      <c r="H615" t="n">
        <v>2.245</v>
      </c>
      <c r="J615" t="n">
        <v>2.242</v>
      </c>
      <c r="K615" t="n">
        <v>2.809</v>
      </c>
      <c r="L615" t="n">
        <v>20</v>
      </c>
      <c r="N615">
        <f>IF(OR(E615="",C615=""),"",E615-C615/42)</f>
        <v/>
      </c>
      <c r="O615">
        <f>IF(OR(E615="",D615=""),"",E615-D615/42)</f>
        <v/>
      </c>
      <c r="P615">
        <f>IF(L615="",M615/100,H615*L615/100)</f>
        <v/>
      </c>
      <c r="Q615">
        <f>H615-C615/42-P615</f>
        <v/>
      </c>
      <c r="R615">
        <f>H615-E615</f>
        <v/>
      </c>
    </row>
    <row r="616">
      <c r="A616" s="3" t="n">
        <v>42653</v>
      </c>
      <c r="B616" s="3" t="n">
        <v>42650</v>
      </c>
      <c r="C616" t="n">
        <v>49.48</v>
      </c>
      <c r="D616" t="n">
        <v>49.52</v>
      </c>
      <c r="E616" t="n">
        <v>1.517</v>
      </c>
      <c r="F616" t="n">
        <v>1.506</v>
      </c>
      <c r="G616" t="n">
        <v>1.647</v>
      </c>
      <c r="H616" t="n">
        <v>2.272</v>
      </c>
      <c r="J616" t="n">
        <v>2.244</v>
      </c>
      <c r="K616" t="n">
        <v>2.799</v>
      </c>
      <c r="L616" t="n">
        <v>20</v>
      </c>
      <c r="N616">
        <f>IF(OR(E616="",C616=""),"",E616-C616/42)</f>
        <v/>
      </c>
      <c r="O616">
        <f>IF(OR(E616="",D616=""),"",E616-D616/42)</f>
        <v/>
      </c>
      <c r="P616">
        <f>IF(L616="",M616/100,H616*L616/100)</f>
        <v/>
      </c>
      <c r="Q616">
        <f>H616-C616/42-P616</f>
        <v/>
      </c>
      <c r="R616">
        <f>H616-E616</f>
        <v/>
      </c>
    </row>
    <row r="617">
      <c r="A617" s="3" t="n">
        <v>42660</v>
      </c>
      <c r="B617" s="3" t="n">
        <v>42657</v>
      </c>
      <c r="C617" t="n">
        <v>50.29</v>
      </c>
      <c r="D617" t="n">
        <v>49.94</v>
      </c>
      <c r="E617" t="n">
        <v>1.501</v>
      </c>
      <c r="F617" t="n">
        <v>1.503</v>
      </c>
      <c r="G617" t="n">
        <v>1.581</v>
      </c>
      <c r="H617" t="n">
        <v>2.257</v>
      </c>
      <c r="J617" t="n">
        <v>2.269</v>
      </c>
      <c r="K617" t="n">
        <v>2.805</v>
      </c>
      <c r="L617" t="n">
        <v>20</v>
      </c>
      <c r="N617">
        <f>IF(OR(E617="",C617=""),"",E617-C617/42)</f>
        <v/>
      </c>
      <c r="O617">
        <f>IF(OR(E617="",D617=""),"",E617-D617/42)</f>
        <v/>
      </c>
      <c r="P617">
        <f>IF(L617="",M617/100,H617*L617/100)</f>
        <v/>
      </c>
      <c r="Q617">
        <f>H617-C617/42-P617</f>
        <v/>
      </c>
      <c r="R617">
        <f>H617-E617</f>
        <v/>
      </c>
    </row>
    <row r="618">
      <c r="A618" s="3" t="n">
        <v>42667</v>
      </c>
      <c r="B618" s="3" t="n">
        <v>42664</v>
      </c>
      <c r="C618" t="n">
        <v>50.56</v>
      </c>
      <c r="D618" t="n">
        <v>50.33</v>
      </c>
      <c r="E618" t="n">
        <v>1.5</v>
      </c>
      <c r="F618" t="n">
        <v>1.549</v>
      </c>
      <c r="G618" t="n">
        <v>1.631</v>
      </c>
      <c r="H618" t="n">
        <v>2.243</v>
      </c>
      <c r="J618" t="n">
        <v>2.286</v>
      </c>
      <c r="K618" t="n">
        <v>2.798</v>
      </c>
      <c r="L618" t="n">
        <v>20</v>
      </c>
      <c r="N618">
        <f>IF(OR(E618="",C618=""),"",E618-C618/42)</f>
        <v/>
      </c>
      <c r="O618">
        <f>IF(OR(E618="",D618=""),"",E618-D618/42)</f>
        <v/>
      </c>
      <c r="P618">
        <f>IF(L618="",M618/100,H618*L618/100)</f>
        <v/>
      </c>
      <c r="Q618">
        <f>H618-C618/42-P618</f>
        <v/>
      </c>
      <c r="R618">
        <f>H618-E618</f>
        <v/>
      </c>
    </row>
    <row r="619">
      <c r="A619" s="3" t="n">
        <v>42674</v>
      </c>
      <c r="B619" s="3" t="n">
        <v>42671</v>
      </c>
      <c r="C619" t="n">
        <v>49.36</v>
      </c>
      <c r="D619" t="n">
        <v>48.95</v>
      </c>
      <c r="E619" t="n">
        <v>1.454</v>
      </c>
      <c r="F619" t="n">
        <v>1.534</v>
      </c>
      <c r="G619" t="n">
        <v>1.625</v>
      </c>
      <c r="H619" t="n">
        <v>2.23</v>
      </c>
      <c r="J619" t="n">
        <v>2.293</v>
      </c>
      <c r="K619" t="n">
        <v>2.824</v>
      </c>
      <c r="L619" t="n">
        <v>20</v>
      </c>
      <c r="N619">
        <f>IF(OR(E619="",C619=""),"",E619-C619/42)</f>
        <v/>
      </c>
      <c r="O619">
        <f>IF(OR(E619="",D619=""),"",E619-D619/42)</f>
        <v/>
      </c>
      <c r="P619">
        <f>IF(L619="",M619/100,H619*L619/100)</f>
        <v/>
      </c>
      <c r="Q619">
        <f>H619-C619/42-P619</f>
        <v/>
      </c>
      <c r="R619">
        <f>H619-E619</f>
        <v/>
      </c>
    </row>
    <row r="620">
      <c r="A620" s="3" t="n">
        <v>42681</v>
      </c>
      <c r="B620" s="3" t="n">
        <v>42678</v>
      </c>
      <c r="C620" t="n">
        <v>45.51</v>
      </c>
      <c r="D620" t="n">
        <v>44.63</v>
      </c>
      <c r="E620" t="n">
        <v>1.393</v>
      </c>
      <c r="F620" t="n">
        <v>1.529</v>
      </c>
      <c r="G620" t="n">
        <v>1.662</v>
      </c>
      <c r="H620" t="n">
        <v>2.233</v>
      </c>
      <c r="J620" t="n">
        <v>2.268</v>
      </c>
      <c r="K620" t="n">
        <v>2.809</v>
      </c>
      <c r="L620" t="n">
        <v>20.6</v>
      </c>
      <c r="N620">
        <f>IF(OR(E620="",C620=""),"",E620-C620/42)</f>
        <v/>
      </c>
      <c r="O620">
        <f>IF(OR(E620="",D620=""),"",E620-D620/42)</f>
        <v/>
      </c>
      <c r="P620">
        <f>IF(L620="",M620/100,H620*L620/100)</f>
        <v/>
      </c>
      <c r="Q620">
        <f>H620-C620/42-P620</f>
        <v/>
      </c>
      <c r="R620">
        <f>H620-E620</f>
        <v/>
      </c>
    </row>
    <row r="621">
      <c r="A621" s="3" t="n">
        <v>42688</v>
      </c>
      <c r="B621" s="3" t="n">
        <v>42685</v>
      </c>
      <c r="C621" t="n">
        <v>44.61</v>
      </c>
      <c r="D621" t="n">
        <v>43.09</v>
      </c>
      <c r="E621" t="n">
        <v>1.273</v>
      </c>
      <c r="F621" t="n">
        <v>1.459</v>
      </c>
      <c r="G621" t="n">
        <v>1.502</v>
      </c>
      <c r="H621" t="n">
        <v>2.184</v>
      </c>
      <c r="J621" t="n">
        <v>2.235</v>
      </c>
      <c r="K621" t="n">
        <v>2.755</v>
      </c>
      <c r="L621" t="n">
        <v>20.6</v>
      </c>
      <c r="N621">
        <f>IF(OR(E621="",C621=""),"",E621-C621/42)</f>
        <v/>
      </c>
      <c r="O621">
        <f>IF(OR(E621="",D621=""),"",E621-D621/42)</f>
        <v/>
      </c>
      <c r="P621">
        <f>IF(L621="",M621/100,H621*L621/100)</f>
        <v/>
      </c>
      <c r="Q621">
        <f>H621-C621/42-P621</f>
        <v/>
      </c>
      <c r="R621">
        <f>H621-E621</f>
        <v/>
      </c>
    </row>
    <row r="622">
      <c r="A622" s="3" t="n">
        <v>42695</v>
      </c>
      <c r="B622" s="3" t="n">
        <v>42692</v>
      </c>
      <c r="C622" t="n">
        <v>45.15</v>
      </c>
      <c r="D622" t="n">
        <v>44.01</v>
      </c>
      <c r="E622" t="n">
        <v>1.23</v>
      </c>
      <c r="F622" t="n">
        <v>1.388</v>
      </c>
      <c r="G622" t="n">
        <v>1.316</v>
      </c>
      <c r="H622" t="n">
        <v>2.155</v>
      </c>
      <c r="J622" t="n">
        <v>2.185</v>
      </c>
      <c r="K622" t="n">
        <v>2.69</v>
      </c>
      <c r="L622" t="n">
        <v>20.6</v>
      </c>
      <c r="N622">
        <f>IF(OR(E622="",C622=""),"",E622-C622/42)</f>
        <v/>
      </c>
      <c r="O622">
        <f>IF(OR(E622="",D622=""),"",E622-D622/42)</f>
        <v/>
      </c>
      <c r="P622">
        <f>IF(L622="",M622/100,H622*L622/100)</f>
        <v/>
      </c>
      <c r="Q622">
        <f>H622-C622/42-P622</f>
        <v/>
      </c>
      <c r="R622">
        <f>H622-E622</f>
        <v/>
      </c>
    </row>
    <row r="623">
      <c r="A623" s="3" t="n">
        <v>42702</v>
      </c>
      <c r="B623" s="3" t="n">
        <v>42699</v>
      </c>
      <c r="C623" t="n">
        <v>47.25</v>
      </c>
      <c r="D623" t="n">
        <v>46.49</v>
      </c>
      <c r="E623" t="n">
        <v>1.354</v>
      </c>
      <c r="F623" t="n">
        <v>1.47</v>
      </c>
      <c r="G623" t="n">
        <v>1.345</v>
      </c>
      <c r="H623" t="n">
        <v>2.154</v>
      </c>
      <c r="J623" t="n">
        <v>2.146</v>
      </c>
      <c r="K623" t="n">
        <v>2.672</v>
      </c>
      <c r="L623" t="n">
        <v>20.6</v>
      </c>
      <c r="N623">
        <f>IF(OR(E623="",C623=""),"",E623-C623/42)</f>
        <v/>
      </c>
      <c r="O623">
        <f>IF(OR(E623="",D623=""),"",E623-D623/42)</f>
        <v/>
      </c>
      <c r="P623">
        <f>IF(L623="",M623/100,H623*L623/100)</f>
        <v/>
      </c>
      <c r="Q623">
        <f>H623-C623/42-P623</f>
        <v/>
      </c>
      <c r="R623">
        <f>H623-E623</f>
        <v/>
      </c>
    </row>
    <row r="624">
      <c r="A624" s="3" t="n">
        <v>42709</v>
      </c>
      <c r="B624" s="3" t="n">
        <v>42706</v>
      </c>
      <c r="C624" t="n">
        <v>48.63</v>
      </c>
      <c r="D624" t="n">
        <v>48.78</v>
      </c>
      <c r="E624" t="n">
        <v>1.423</v>
      </c>
      <c r="F624" t="n">
        <v>1.529</v>
      </c>
      <c r="G624" t="n">
        <v>1.393</v>
      </c>
      <c r="H624" t="n">
        <v>2.208</v>
      </c>
      <c r="J624" t="n">
        <v>2.12</v>
      </c>
      <c r="K624" t="n">
        <v>2.682</v>
      </c>
      <c r="L624" t="n">
        <v>20</v>
      </c>
      <c r="N624">
        <f>IF(OR(E624="",C624=""),"",E624-C624/42)</f>
        <v/>
      </c>
      <c r="O624">
        <f>IF(OR(E624="",D624=""),"",E624-D624/42)</f>
        <v/>
      </c>
      <c r="P624">
        <f>IF(L624="",M624/100,H624*L624/100)</f>
        <v/>
      </c>
      <c r="Q624">
        <f>H624-C624/42-P624</f>
        <v/>
      </c>
      <c r="R624">
        <f>H624-E624</f>
        <v/>
      </c>
    </row>
    <row r="625">
      <c r="A625" s="3" t="n">
        <v>42716</v>
      </c>
      <c r="B625" s="3" t="n">
        <v>42713</v>
      </c>
      <c r="C625" t="n">
        <v>50.97</v>
      </c>
      <c r="D625" t="n">
        <v>52.26</v>
      </c>
      <c r="E625" t="n">
        <v>1.489</v>
      </c>
      <c r="F625" t="n">
        <v>1.575</v>
      </c>
      <c r="G625" t="n">
        <v>1.419</v>
      </c>
      <c r="H625" t="n">
        <v>2.236</v>
      </c>
      <c r="J625" t="n">
        <v>2.122</v>
      </c>
      <c r="K625" t="n">
        <v>2.666</v>
      </c>
      <c r="L625" t="n">
        <v>20</v>
      </c>
      <c r="N625">
        <f>IF(OR(E625="",C625=""),"",E625-C625/42)</f>
        <v/>
      </c>
      <c r="O625">
        <f>IF(OR(E625="",D625=""),"",E625-D625/42)</f>
        <v/>
      </c>
      <c r="P625">
        <f>IF(L625="",M625/100,H625*L625/100)</f>
        <v/>
      </c>
      <c r="Q625">
        <f>H625-C625/42-P625</f>
        <v/>
      </c>
      <c r="R625">
        <f>H625-E625</f>
        <v/>
      </c>
    </row>
    <row r="626">
      <c r="A626" s="3" t="n">
        <v>42723</v>
      </c>
      <c r="B626" s="3" t="n">
        <v>42720</v>
      </c>
      <c r="C626" t="n">
        <v>51.91</v>
      </c>
      <c r="D626" t="n">
        <v>53.26</v>
      </c>
      <c r="E626" t="n">
        <v>1.521</v>
      </c>
      <c r="F626" t="n">
        <v>1.603</v>
      </c>
      <c r="G626" t="n">
        <v>1.421</v>
      </c>
      <c r="H626" t="n">
        <v>2.264</v>
      </c>
      <c r="J626" t="n">
        <v>2.135</v>
      </c>
      <c r="K626" t="n">
        <v>2.67</v>
      </c>
      <c r="L626" t="n">
        <v>20</v>
      </c>
      <c r="N626">
        <f>IF(OR(E626="",C626=""),"",E626-C626/42)</f>
        <v/>
      </c>
      <c r="O626">
        <f>IF(OR(E626="",D626=""),"",E626-D626/42)</f>
        <v/>
      </c>
      <c r="P626">
        <f>IF(L626="",M626/100,H626*L626/100)</f>
        <v/>
      </c>
      <c r="Q626">
        <f>H626-C626/42-P626</f>
        <v/>
      </c>
      <c r="R626">
        <f>H626-E626</f>
        <v/>
      </c>
    </row>
    <row r="627">
      <c r="A627" s="3" t="n">
        <v>42730</v>
      </c>
      <c r="B627" s="3" t="n">
        <v>42727</v>
      </c>
      <c r="C627" t="n">
        <v>51.95</v>
      </c>
      <c r="D627" t="n">
        <v>53.81</v>
      </c>
      <c r="E627" t="n">
        <v>1.599</v>
      </c>
      <c r="F627" t="n">
        <v>1.655</v>
      </c>
      <c r="G627" t="n">
        <v>1.512</v>
      </c>
      <c r="H627" t="n">
        <v>2.309</v>
      </c>
      <c r="J627" t="n">
        <v>2.175</v>
      </c>
      <c r="K627" t="n">
        <v>2.706</v>
      </c>
      <c r="L627" t="n">
        <v>20</v>
      </c>
      <c r="N627">
        <f>IF(OR(E627="",C627=""),"",E627-C627/42)</f>
        <v/>
      </c>
      <c r="O627">
        <f>IF(OR(E627="",D627=""),"",E627-D627/42)</f>
        <v/>
      </c>
      <c r="P627">
        <f>IF(L627="",M627/100,H627*L627/100)</f>
        <v/>
      </c>
      <c r="Q627">
        <f>H627-C627/42-P627</f>
        <v/>
      </c>
      <c r="R627">
        <f>H627-E627</f>
        <v/>
      </c>
    </row>
    <row r="628">
      <c r="A628" s="3" t="n">
        <v>42737</v>
      </c>
      <c r="B628" s="3" t="n">
        <v>42734</v>
      </c>
      <c r="C628" t="n">
        <v>53.6</v>
      </c>
      <c r="D628" t="n">
        <v>54.96</v>
      </c>
      <c r="E628" t="n">
        <v>1.683</v>
      </c>
      <c r="F628" t="n">
        <v>1.715</v>
      </c>
      <c r="G628" t="n">
        <v>1.659</v>
      </c>
      <c r="H628" t="n">
        <v>2.377</v>
      </c>
      <c r="J628" t="n">
        <v>2.234</v>
      </c>
      <c r="K628" t="n">
        <v>2.779</v>
      </c>
      <c r="L628" t="n">
        <v>19.5</v>
      </c>
      <c r="N628">
        <f>IF(OR(E628="",C628=""),"",E628-C628/42)</f>
        <v/>
      </c>
      <c r="O628">
        <f>IF(OR(E628="",D628=""),"",E628-D628/42)</f>
        <v/>
      </c>
      <c r="P628">
        <f>IF(L628="",M628/100,H628*L628/100)</f>
        <v/>
      </c>
      <c r="Q628">
        <f>H628-C628/42-P628</f>
        <v/>
      </c>
      <c r="R628">
        <f>H628-E628</f>
        <v/>
      </c>
    </row>
    <row r="629">
      <c r="A629" s="3" t="n">
        <v>42744</v>
      </c>
      <c r="B629" s="3" t="n">
        <v>42741</v>
      </c>
      <c r="C629" t="n">
        <v>53.34</v>
      </c>
      <c r="D629" t="n">
        <v>55.13</v>
      </c>
      <c r="E629" t="n">
        <v>1.658</v>
      </c>
      <c r="F629" t="n">
        <v>1.695</v>
      </c>
      <c r="G629" t="n">
        <v>1.703</v>
      </c>
      <c r="H629" t="n">
        <v>2.388</v>
      </c>
      <c r="J629" t="n">
        <v>2.259</v>
      </c>
      <c r="K629" t="n">
        <v>2.804</v>
      </c>
      <c r="L629" t="n">
        <v>19.5</v>
      </c>
      <c r="N629">
        <f>IF(OR(E629="",C629=""),"",E629-C629/42)</f>
        <v/>
      </c>
      <c r="O629">
        <f>IF(OR(E629="",D629=""),"",E629-D629/42)</f>
        <v/>
      </c>
      <c r="P629">
        <f>IF(L629="",M629/100,H629*L629/100)</f>
        <v/>
      </c>
      <c r="Q629">
        <f>H629-C629/42-P629</f>
        <v/>
      </c>
      <c r="R629">
        <f>H629-E629</f>
        <v/>
      </c>
    </row>
    <row r="630">
      <c r="A630" s="3" t="n">
        <v>42751</v>
      </c>
      <c r="B630" s="3" t="n">
        <v>42748</v>
      </c>
      <c r="C630" t="n">
        <v>52.07</v>
      </c>
      <c r="D630" t="n">
        <v>54.02</v>
      </c>
      <c r="E630" t="n">
        <v>1.612</v>
      </c>
      <c r="F630" t="n">
        <v>1.628</v>
      </c>
      <c r="G630" t="n">
        <v>1.671</v>
      </c>
      <c r="H630" t="n">
        <v>2.358</v>
      </c>
      <c r="J630" t="n">
        <v>2.264</v>
      </c>
      <c r="K630" t="n">
        <v>2.794</v>
      </c>
      <c r="L630" t="n">
        <v>19.5</v>
      </c>
      <c r="N630">
        <f>IF(OR(E630="",C630=""),"",E630-C630/42)</f>
        <v/>
      </c>
      <c r="O630">
        <f>IF(OR(E630="",D630=""),"",E630-D630/42)</f>
        <v/>
      </c>
      <c r="P630">
        <f>IF(L630="",M630/100,H630*L630/100)</f>
        <v/>
      </c>
      <c r="Q630">
        <f>H630-C630/42-P630</f>
        <v/>
      </c>
      <c r="R630">
        <f>H630-E630</f>
        <v/>
      </c>
    </row>
    <row r="631">
      <c r="A631" s="3" t="n">
        <v>42758</v>
      </c>
      <c r="B631" s="3" t="n">
        <v>42755</v>
      </c>
      <c r="C631" t="n">
        <v>51.82</v>
      </c>
      <c r="D631" t="n">
        <v>54.19</v>
      </c>
      <c r="E631" t="n">
        <v>1.576</v>
      </c>
      <c r="F631" t="n">
        <v>1.615</v>
      </c>
      <c r="G631" t="n">
        <v>1.546</v>
      </c>
      <c r="H631" t="n">
        <v>2.326</v>
      </c>
      <c r="J631" t="n">
        <v>2.256</v>
      </c>
      <c r="K631" t="n">
        <v>2.783</v>
      </c>
      <c r="L631" t="n">
        <v>19.5</v>
      </c>
      <c r="N631">
        <f>IF(OR(E631="",C631=""),"",E631-C631/42)</f>
        <v/>
      </c>
      <c r="O631">
        <f>IF(OR(E631="",D631=""),"",E631-D631/42)</f>
        <v/>
      </c>
      <c r="P631">
        <f>IF(L631="",M631/100,H631*L631/100)</f>
        <v/>
      </c>
      <c r="Q631">
        <f>H631-C631/42-P631</f>
        <v/>
      </c>
      <c r="R631">
        <f>H631-E631</f>
        <v/>
      </c>
    </row>
    <row r="632">
      <c r="A632" s="3" t="n">
        <v>42765</v>
      </c>
      <c r="B632" s="3" t="n">
        <v>42762</v>
      </c>
      <c r="C632" t="n">
        <v>52.74</v>
      </c>
      <c r="D632" t="n">
        <v>54.91</v>
      </c>
      <c r="E632" t="n">
        <v>1.546</v>
      </c>
      <c r="F632" t="n">
        <v>1.574</v>
      </c>
      <c r="G632" t="n">
        <v>1.53</v>
      </c>
      <c r="H632" t="n">
        <v>2.296</v>
      </c>
      <c r="J632" t="n">
        <v>2.255</v>
      </c>
      <c r="K632" t="n">
        <v>2.791</v>
      </c>
      <c r="L632" t="n">
        <v>19.5</v>
      </c>
      <c r="N632">
        <f>IF(OR(E632="",C632=""),"",E632-C632/42)</f>
        <v/>
      </c>
      <c r="O632">
        <f>IF(OR(E632="",D632=""),"",E632-D632/42)</f>
        <v/>
      </c>
      <c r="P632">
        <f>IF(L632="",M632/100,H632*L632/100)</f>
        <v/>
      </c>
      <c r="Q632">
        <f>H632-C632/42-P632</f>
        <v/>
      </c>
      <c r="R632">
        <f>H632-E632</f>
        <v/>
      </c>
    </row>
    <row r="633">
      <c r="A633" s="3" t="n">
        <v>42772</v>
      </c>
      <c r="B633" s="3" t="n">
        <v>42769</v>
      </c>
      <c r="C633" t="n">
        <v>53.33</v>
      </c>
      <c r="D633" t="n">
        <v>55.53</v>
      </c>
      <c r="E633" t="n">
        <v>1.553</v>
      </c>
      <c r="F633" t="n">
        <v>1.563</v>
      </c>
      <c r="G633" t="n">
        <v>1.675</v>
      </c>
      <c r="H633" t="n">
        <v>2.293</v>
      </c>
      <c r="J633" t="n">
        <v>2.233</v>
      </c>
      <c r="K633" t="n">
        <v>2.825</v>
      </c>
      <c r="L633" t="n">
        <v>19.8</v>
      </c>
      <c r="N633">
        <f>IF(OR(E633="",C633=""),"",E633-C633/42)</f>
        <v/>
      </c>
      <c r="O633">
        <f>IF(OR(E633="",D633=""),"",E633-D633/42)</f>
        <v/>
      </c>
      <c r="P633">
        <f>IF(L633="",M633/100,H633*L633/100)</f>
        <v/>
      </c>
      <c r="Q633">
        <f>H633-C633/42-P633</f>
        <v/>
      </c>
      <c r="R633">
        <f>H633-E633</f>
        <v/>
      </c>
    </row>
    <row r="634">
      <c r="A634" s="3" t="n">
        <v>42779</v>
      </c>
      <c r="B634" s="3" t="n">
        <v>42776</v>
      </c>
      <c r="C634" t="n">
        <v>52.88</v>
      </c>
      <c r="D634" t="n">
        <v>54.48</v>
      </c>
      <c r="E634" t="n">
        <v>1.546</v>
      </c>
      <c r="F634" t="n">
        <v>1.536</v>
      </c>
      <c r="G634" t="n">
        <v>1.725</v>
      </c>
      <c r="H634" t="n">
        <v>2.307</v>
      </c>
      <c r="J634" t="n">
        <v>2.23</v>
      </c>
      <c r="K634" t="n">
        <v>2.874</v>
      </c>
      <c r="L634" t="n">
        <v>19.8</v>
      </c>
      <c r="N634">
        <f>IF(OR(E634="",C634=""),"",E634-C634/42)</f>
        <v/>
      </c>
      <c r="O634">
        <f>IF(OR(E634="",D634=""),"",E634-D634/42)</f>
        <v/>
      </c>
      <c r="P634">
        <f>IF(L634="",M634/100,H634*L634/100)</f>
        <v/>
      </c>
      <c r="Q634">
        <f>H634-C634/42-P634</f>
        <v/>
      </c>
      <c r="R634">
        <f>H634-E634</f>
        <v/>
      </c>
    </row>
    <row r="635">
      <c r="A635" s="3" t="n">
        <v>42786</v>
      </c>
      <c r="B635" s="3" t="n">
        <v>42783</v>
      </c>
      <c r="C635" t="n">
        <v>53.22</v>
      </c>
      <c r="D635" t="n">
        <v>54.46</v>
      </c>
      <c r="E635" t="n">
        <v>1.513</v>
      </c>
      <c r="F635" t="n">
        <v>1.547</v>
      </c>
      <c r="G635" t="n">
        <v>1.738</v>
      </c>
      <c r="H635" t="n">
        <v>2.302</v>
      </c>
      <c r="J635" t="n">
        <v>2.252</v>
      </c>
      <c r="K635" t="n">
        <v>2.898</v>
      </c>
      <c r="L635" t="n">
        <v>19.8</v>
      </c>
      <c r="N635">
        <f>IF(OR(E635="",C635=""),"",E635-C635/42)</f>
        <v/>
      </c>
      <c r="O635">
        <f>IF(OR(E635="",D635=""),"",E635-D635/42)</f>
        <v/>
      </c>
      <c r="P635">
        <f>IF(L635="",M635/100,H635*L635/100)</f>
        <v/>
      </c>
      <c r="Q635">
        <f>H635-C635/42-P635</f>
        <v/>
      </c>
      <c r="R635">
        <f>H635-E635</f>
        <v/>
      </c>
    </row>
    <row r="636">
      <c r="A636" s="3" t="n">
        <v>42793</v>
      </c>
      <c r="B636" s="3" t="n">
        <v>42790</v>
      </c>
      <c r="C636" t="n">
        <v>54.03</v>
      </c>
      <c r="D636" t="n">
        <v>55.4</v>
      </c>
      <c r="E636" t="n">
        <v>1.541</v>
      </c>
      <c r="F636" t="n">
        <v>1.533</v>
      </c>
      <c r="G636" t="n">
        <v>1.786</v>
      </c>
      <c r="H636" t="n">
        <v>2.314</v>
      </c>
      <c r="J636" t="n">
        <v>2.273</v>
      </c>
      <c r="K636" t="n">
        <v>2.956</v>
      </c>
      <c r="L636" t="n">
        <v>19.8</v>
      </c>
      <c r="N636">
        <f>IF(OR(E636="",C636=""),"",E636-C636/42)</f>
        <v/>
      </c>
      <c r="O636">
        <f>IF(OR(E636="",D636=""),"",E636-D636/42)</f>
        <v/>
      </c>
      <c r="P636">
        <f>IF(L636="",M636/100,H636*L636/100)</f>
        <v/>
      </c>
      <c r="Q636">
        <f>H636-C636/42-P636</f>
        <v/>
      </c>
      <c r="R636">
        <f>H636-E636</f>
        <v/>
      </c>
    </row>
    <row r="637">
      <c r="A637" s="3" t="n">
        <v>42800</v>
      </c>
      <c r="B637" s="3" t="n">
        <v>42797</v>
      </c>
      <c r="C637" t="n">
        <v>53.56</v>
      </c>
      <c r="D637" t="n">
        <v>54.4</v>
      </c>
      <c r="E637" t="n">
        <v>1.532</v>
      </c>
      <c r="F637" t="n">
        <v>1.492</v>
      </c>
      <c r="G637" t="n">
        <v>1.824</v>
      </c>
      <c r="H637" t="n">
        <v>2.341</v>
      </c>
      <c r="J637" t="n">
        <v>2.287</v>
      </c>
      <c r="K637" t="n">
        <v>3</v>
      </c>
      <c r="L637" t="n">
        <v>19.7</v>
      </c>
      <c r="N637">
        <f>IF(OR(E637="",C637=""),"",E637-C637/42)</f>
        <v/>
      </c>
      <c r="O637">
        <f>IF(OR(E637="",D637=""),"",E637-D637/42)</f>
        <v/>
      </c>
      <c r="P637">
        <f>IF(L637="",M637/100,H637*L637/100)</f>
        <v/>
      </c>
      <c r="Q637">
        <f>H637-C637/42-P637</f>
        <v/>
      </c>
      <c r="R637">
        <f>H637-E637</f>
        <v/>
      </c>
    </row>
    <row r="638">
      <c r="A638" s="3" t="n">
        <v>42807</v>
      </c>
      <c r="B638" s="3" t="n">
        <v>42804</v>
      </c>
      <c r="C638" t="n">
        <v>50.5</v>
      </c>
      <c r="D638" t="n">
        <v>52.78</v>
      </c>
      <c r="E638" t="n">
        <v>1.5</v>
      </c>
      <c r="F638" t="n">
        <v>1.484</v>
      </c>
      <c r="G638" t="n">
        <v>1.785</v>
      </c>
      <c r="H638" t="n">
        <v>2.323</v>
      </c>
      <c r="J638" t="n">
        <v>2.305</v>
      </c>
      <c r="K638" t="n">
        <v>3.005</v>
      </c>
      <c r="L638" t="n">
        <v>19.7</v>
      </c>
      <c r="N638">
        <f>IF(OR(E638="",C638=""),"",E638-C638/42)</f>
        <v/>
      </c>
      <c r="O638">
        <f>IF(OR(E638="",D638=""),"",E638-D638/42)</f>
        <v/>
      </c>
      <c r="P638">
        <f>IF(L638="",M638/100,H638*L638/100)</f>
        <v/>
      </c>
      <c r="Q638">
        <f>H638-C638/42-P638</f>
        <v/>
      </c>
      <c r="R638">
        <f>H638-E638</f>
        <v/>
      </c>
    </row>
    <row r="639">
      <c r="A639" s="3" t="n">
        <v>42814</v>
      </c>
      <c r="B639" s="3" t="n">
        <v>42811</v>
      </c>
      <c r="C639" t="n">
        <v>48.03</v>
      </c>
      <c r="D639" t="n">
        <v>50.29</v>
      </c>
      <c r="E639" t="n">
        <v>1.493</v>
      </c>
      <c r="F639" t="n">
        <v>1.454</v>
      </c>
      <c r="G639" t="n">
        <v>1.673</v>
      </c>
      <c r="H639" t="n">
        <v>2.321</v>
      </c>
      <c r="J639" t="n">
        <v>2.304</v>
      </c>
      <c r="K639" t="n">
        <v>3.001</v>
      </c>
      <c r="L639" t="n">
        <v>19.7</v>
      </c>
      <c r="N639">
        <f>IF(OR(E639="",C639=""),"",E639-C639/42)</f>
        <v/>
      </c>
      <c r="O639">
        <f>IF(OR(E639="",D639=""),"",E639-D639/42)</f>
        <v/>
      </c>
      <c r="P639">
        <f>IF(L639="",M639/100,H639*L639/100)</f>
        <v/>
      </c>
      <c r="Q639">
        <f>H639-C639/42-P639</f>
        <v/>
      </c>
      <c r="R639">
        <f>H639-E639</f>
        <v/>
      </c>
    </row>
    <row r="640">
      <c r="A640" s="3" t="n">
        <v>42821</v>
      </c>
      <c r="B640" s="3" t="n">
        <v>42818</v>
      </c>
      <c r="C640" t="n">
        <v>47.28</v>
      </c>
      <c r="D640" t="n">
        <v>50.1</v>
      </c>
      <c r="E640" t="n">
        <v>1.519</v>
      </c>
      <c r="F640" t="n">
        <v>1.491</v>
      </c>
      <c r="G640" t="n">
        <v>1.625</v>
      </c>
      <c r="H640" t="n">
        <v>2.315</v>
      </c>
      <c r="J640" t="n">
        <v>2.303</v>
      </c>
      <c r="K640" t="n">
        <v>2.998</v>
      </c>
      <c r="L640" t="n">
        <v>19.7</v>
      </c>
      <c r="N640">
        <f>IF(OR(E640="",C640=""),"",E640-C640/42)</f>
        <v/>
      </c>
      <c r="O640">
        <f>IF(OR(E640="",D640=""),"",E640-D640/42)</f>
        <v/>
      </c>
      <c r="P640">
        <f>IF(L640="",M640/100,H640*L640/100)</f>
        <v/>
      </c>
      <c r="Q640">
        <f>H640-C640/42-P640</f>
        <v/>
      </c>
      <c r="R640">
        <f>H640-E640</f>
        <v/>
      </c>
    </row>
    <row r="641">
      <c r="A641" s="3" t="n">
        <v>42828</v>
      </c>
      <c r="B641" s="3" t="n">
        <v>42825</v>
      </c>
      <c r="C641" t="n">
        <v>49.14</v>
      </c>
      <c r="D641" t="n">
        <v>51.33</v>
      </c>
      <c r="E641" t="n">
        <v>1.595</v>
      </c>
      <c r="F641" t="n">
        <v>1.565</v>
      </c>
      <c r="G641" t="n">
        <v>1.746</v>
      </c>
      <c r="H641" t="n">
        <v>2.36</v>
      </c>
      <c r="J641" t="n">
        <v>2.297</v>
      </c>
      <c r="K641" t="n">
        <v>2.992</v>
      </c>
      <c r="L641" t="n">
        <v>18.9</v>
      </c>
      <c r="N641">
        <f>IF(OR(E641="",C641=""),"",E641-C641/42)</f>
        <v/>
      </c>
      <c r="O641">
        <f>IF(OR(E641="",D641=""),"",E641-D641/42)</f>
        <v/>
      </c>
      <c r="P641">
        <f>IF(L641="",M641/100,H641*L641/100)</f>
        <v/>
      </c>
      <c r="Q641">
        <f>H641-C641/42-P641</f>
        <v/>
      </c>
      <c r="R641">
        <f>H641-E641</f>
        <v/>
      </c>
    </row>
    <row r="642">
      <c r="A642" s="3" t="n">
        <v>42835</v>
      </c>
      <c r="B642" s="3" t="n">
        <v>42832</v>
      </c>
      <c r="C642" t="n">
        <v>51.26</v>
      </c>
      <c r="D642" t="n">
        <v>53.28</v>
      </c>
      <c r="E642" t="n">
        <v>1.662</v>
      </c>
      <c r="F642" t="n">
        <v>1.636</v>
      </c>
      <c r="G642" t="n">
        <v>1.813</v>
      </c>
      <c r="H642" t="n">
        <v>2.424</v>
      </c>
      <c r="J642" t="n">
        <v>2.333</v>
      </c>
      <c r="K642" t="n">
        <v>3.008</v>
      </c>
      <c r="L642" t="n">
        <v>18.9</v>
      </c>
      <c r="N642">
        <f>IF(OR(E642="",C642=""),"",E642-C642/42)</f>
        <v/>
      </c>
      <c r="O642">
        <f>IF(OR(E642="",D642=""),"",E642-D642/42)</f>
        <v/>
      </c>
      <c r="P642">
        <f>IF(L642="",M642/100,H642*L642/100)</f>
        <v/>
      </c>
      <c r="Q642">
        <f>H642-C642/42-P642</f>
        <v/>
      </c>
      <c r="R642">
        <f>H642-E642</f>
        <v/>
      </c>
    </row>
    <row r="643">
      <c r="A643" s="3" t="n">
        <v>42842</v>
      </c>
      <c r="B643" s="3" t="n">
        <v>42839</v>
      </c>
      <c r="C643" t="n">
        <v>53.19</v>
      </c>
      <c r="D643" t="n">
        <v>54.83</v>
      </c>
      <c r="E643" t="n">
        <v>1.677</v>
      </c>
      <c r="F643" t="n">
        <v>1.656</v>
      </c>
      <c r="G643" t="n">
        <v>1.851</v>
      </c>
      <c r="H643" t="n">
        <v>2.436</v>
      </c>
      <c r="J643" t="n">
        <v>2.376</v>
      </c>
      <c r="K643" t="n">
        <v>3.017</v>
      </c>
      <c r="L643" t="n">
        <v>18.9</v>
      </c>
      <c r="N643">
        <f>IF(OR(E643="",C643=""),"",E643-C643/42)</f>
        <v/>
      </c>
      <c r="O643">
        <f>IF(OR(E643="",D643=""),"",E643-D643/42)</f>
        <v/>
      </c>
      <c r="P643">
        <f>IF(L643="",M643/100,H643*L643/100)</f>
        <v/>
      </c>
      <c r="Q643">
        <f>H643-C643/42-P643</f>
        <v/>
      </c>
      <c r="R643">
        <f>H643-E643</f>
        <v/>
      </c>
    </row>
    <row r="644">
      <c r="A644" s="3" t="n">
        <v>42849</v>
      </c>
      <c r="B644" s="3" t="n">
        <v>42846</v>
      </c>
      <c r="C644" t="n">
        <v>51.09</v>
      </c>
      <c r="D644" t="n">
        <v>52.08</v>
      </c>
      <c r="E644" t="n">
        <v>1.615</v>
      </c>
      <c r="F644" t="n">
        <v>1.621</v>
      </c>
      <c r="G644" t="n">
        <v>1.772</v>
      </c>
      <c r="H644" t="n">
        <v>2.449</v>
      </c>
      <c r="J644" t="n">
        <v>2.413</v>
      </c>
      <c r="K644" t="n">
        <v>3.017</v>
      </c>
      <c r="L644" t="n">
        <v>18.9</v>
      </c>
      <c r="N644">
        <f>IF(OR(E644="",C644=""),"",E644-C644/42)</f>
        <v/>
      </c>
      <c r="O644">
        <f>IF(OR(E644="",D644=""),"",E644-D644/42)</f>
        <v/>
      </c>
      <c r="P644">
        <f>IF(L644="",M644/100,H644*L644/100)</f>
        <v/>
      </c>
      <c r="Q644">
        <f>H644-C644/42-P644</f>
        <v/>
      </c>
      <c r="R644">
        <f>H644-E644</f>
        <v/>
      </c>
    </row>
    <row r="645">
      <c r="A645" s="3" t="n">
        <v>42856</v>
      </c>
      <c r="B645" s="3" t="n">
        <v>42853</v>
      </c>
      <c r="C645" t="n">
        <v>49.12</v>
      </c>
      <c r="D645" t="n">
        <v>49.55</v>
      </c>
      <c r="E645" t="n">
        <v>1.531</v>
      </c>
      <c r="F645" t="n">
        <v>1.533</v>
      </c>
      <c r="G645" t="n">
        <v>1.67</v>
      </c>
      <c r="H645" t="n">
        <v>2.411</v>
      </c>
      <c r="J645" t="n">
        <v>2.404</v>
      </c>
      <c r="K645" t="n">
        <v>3.002</v>
      </c>
      <c r="L645" t="n">
        <v>19.1</v>
      </c>
      <c r="N645">
        <f>IF(OR(E645="",C645=""),"",E645-C645/42)</f>
        <v/>
      </c>
      <c r="O645">
        <f>IF(OR(E645="",D645=""),"",E645-D645/42)</f>
        <v/>
      </c>
      <c r="P645">
        <f>IF(L645="",M645/100,H645*L645/100)</f>
        <v/>
      </c>
      <c r="Q645">
        <f>H645-C645/42-P645</f>
        <v/>
      </c>
      <c r="R645">
        <f>H645-E645</f>
        <v/>
      </c>
    </row>
    <row r="646">
      <c r="A646" s="3" t="n">
        <v>42863</v>
      </c>
      <c r="B646" s="3" t="n">
        <v>42860</v>
      </c>
      <c r="C646" t="n">
        <v>47.21</v>
      </c>
      <c r="D646" t="n">
        <v>48.7</v>
      </c>
      <c r="E646" t="n">
        <v>1.449</v>
      </c>
      <c r="F646" t="n">
        <v>1.46</v>
      </c>
      <c r="G646" t="n">
        <v>1.605</v>
      </c>
      <c r="H646" t="n">
        <v>2.372</v>
      </c>
      <c r="J646" t="n">
        <v>2.393</v>
      </c>
      <c r="K646" t="n">
        <v>2.986</v>
      </c>
      <c r="L646" t="n">
        <v>19.1</v>
      </c>
      <c r="N646">
        <f>IF(OR(E646="",C646=""),"",E646-C646/42)</f>
        <v/>
      </c>
      <c r="O646">
        <f>IF(OR(E646="",D646=""),"",E646-D646/42)</f>
        <v/>
      </c>
      <c r="P646">
        <f>IF(L646="",M646/100,H646*L646/100)</f>
        <v/>
      </c>
      <c r="Q646">
        <f>H646-C646/42-P646</f>
        <v/>
      </c>
      <c r="R646">
        <f>H646-E646</f>
        <v/>
      </c>
    </row>
    <row r="647">
      <c r="A647" s="3" t="n">
        <v>42870</v>
      </c>
      <c r="B647" s="3" t="n">
        <v>42867</v>
      </c>
      <c r="C647" t="n">
        <v>47.04</v>
      </c>
      <c r="D647" t="n">
        <v>48</v>
      </c>
      <c r="E647" t="n">
        <v>1.483</v>
      </c>
      <c r="F647" t="n">
        <v>1.486</v>
      </c>
      <c r="G647" t="n">
        <v>1.687</v>
      </c>
      <c r="H647" t="n">
        <v>2.369</v>
      </c>
      <c r="J647" t="n">
        <v>2.384</v>
      </c>
      <c r="K647" t="n">
        <v>3.005</v>
      </c>
      <c r="L647" t="n">
        <v>19.1</v>
      </c>
      <c r="N647">
        <f>IF(OR(E647="",C647=""),"",E647-C647/42)</f>
        <v/>
      </c>
      <c r="O647">
        <f>IF(OR(E647="",D647=""),"",E647-D647/42)</f>
        <v/>
      </c>
      <c r="P647">
        <f>IF(L647="",M647/100,H647*L647/100)</f>
        <v/>
      </c>
      <c r="Q647">
        <f>H647-C647/42-P647</f>
        <v/>
      </c>
      <c r="R647">
        <f>H647-E647</f>
        <v/>
      </c>
    </row>
    <row r="648">
      <c r="A648" s="3" t="n">
        <v>42877</v>
      </c>
      <c r="B648" s="3" t="n">
        <v>42874</v>
      </c>
      <c r="C648" t="n">
        <v>49.24</v>
      </c>
      <c r="D648" t="n">
        <v>51.75</v>
      </c>
      <c r="E648" t="n">
        <v>1.548</v>
      </c>
      <c r="F648" t="n">
        <v>1.569</v>
      </c>
      <c r="G648" t="n">
        <v>1.844</v>
      </c>
      <c r="H648" t="n">
        <v>2.399</v>
      </c>
      <c r="J648" t="n">
        <v>2.381</v>
      </c>
      <c r="K648" t="n">
        <v>3.094</v>
      </c>
      <c r="L648" t="n">
        <v>19.1</v>
      </c>
      <c r="N648">
        <f>IF(OR(E648="",C648=""),"",E648-C648/42)</f>
        <v/>
      </c>
      <c r="O648">
        <f>IF(OR(E648="",D648=""),"",E648-D648/42)</f>
        <v/>
      </c>
      <c r="P648">
        <f>IF(L648="",M648/100,H648*L648/100)</f>
        <v/>
      </c>
      <c r="Q648">
        <f>H648-C648/42-P648</f>
        <v/>
      </c>
      <c r="R648">
        <f>H648-E648</f>
        <v/>
      </c>
    </row>
    <row r="649">
      <c r="A649" s="3" t="n">
        <v>42884</v>
      </c>
      <c r="B649" s="3" t="n">
        <v>42881</v>
      </c>
      <c r="C649" t="n">
        <v>50.21</v>
      </c>
      <c r="D649" t="n">
        <v>52.58</v>
      </c>
      <c r="E649" t="n">
        <v>1.577</v>
      </c>
      <c r="F649" t="n">
        <v>1.61</v>
      </c>
      <c r="G649" t="n">
        <v>1.818</v>
      </c>
      <c r="H649" t="n">
        <v>2.406</v>
      </c>
      <c r="J649" t="n">
        <v>2.422</v>
      </c>
      <c r="K649" t="n">
        <v>3.127</v>
      </c>
      <c r="L649" t="n">
        <v>19.1</v>
      </c>
      <c r="N649">
        <f>IF(OR(E649="",C649=""),"",E649-C649/42)</f>
        <v/>
      </c>
      <c r="O649">
        <f>IF(OR(E649="",D649=""),"",E649-D649/42)</f>
        <v/>
      </c>
      <c r="P649">
        <f>IF(L649="",M649/100,H649*L649/100)</f>
        <v/>
      </c>
      <c r="Q649">
        <f>H649-C649/42-P649</f>
        <v/>
      </c>
      <c r="R649">
        <f>H649-E649</f>
        <v/>
      </c>
    </row>
    <row r="650">
      <c r="A650" s="3" t="n">
        <v>42891</v>
      </c>
      <c r="B650" s="3" t="n">
        <v>42888</v>
      </c>
      <c r="C650" t="n">
        <v>48.48</v>
      </c>
      <c r="D650" t="n">
        <v>50.23</v>
      </c>
      <c r="E650" t="n">
        <v>1.54</v>
      </c>
      <c r="F650" t="n">
        <v>1.585</v>
      </c>
      <c r="G650" t="n">
        <v>1.768</v>
      </c>
      <c r="H650" t="n">
        <v>2.414</v>
      </c>
      <c r="J650" t="n">
        <v>2.431</v>
      </c>
      <c r="K650" t="n">
        <v>3.104</v>
      </c>
      <c r="L650" t="n">
        <v>19.5</v>
      </c>
      <c r="N650">
        <f>IF(OR(E650="",C650=""),"",E650-C650/42)</f>
        <v/>
      </c>
      <c r="O650">
        <f>IF(OR(E650="",D650=""),"",E650-D650/42)</f>
        <v/>
      </c>
      <c r="P650">
        <f>IF(L650="",M650/100,H650*L650/100)</f>
        <v/>
      </c>
      <c r="Q650">
        <f>H650-C650/42-P650</f>
        <v/>
      </c>
      <c r="R650">
        <f>H650-E650</f>
        <v/>
      </c>
    </row>
    <row r="651">
      <c r="A651" s="3" t="n">
        <v>42898</v>
      </c>
      <c r="B651" s="3" t="n">
        <v>42895</v>
      </c>
      <c r="C651" t="n">
        <v>46.57</v>
      </c>
      <c r="D651" t="n">
        <v>47.28</v>
      </c>
      <c r="E651" t="n">
        <v>1.465</v>
      </c>
      <c r="F651" t="n">
        <v>1.481</v>
      </c>
      <c r="G651" t="n">
        <v>1.632</v>
      </c>
      <c r="H651" t="n">
        <v>2.366</v>
      </c>
      <c r="J651" t="n">
        <v>2.422</v>
      </c>
      <c r="K651" t="n">
        <v>3.038</v>
      </c>
      <c r="L651" t="n">
        <v>19.5</v>
      </c>
      <c r="N651">
        <f>IF(OR(E651="",C651=""),"",E651-C651/42)</f>
        <v/>
      </c>
      <c r="O651">
        <f>IF(OR(E651="",D651=""),"",E651-D651/42)</f>
        <v/>
      </c>
      <c r="P651">
        <f>IF(L651="",M651/100,H651*L651/100)</f>
        <v/>
      </c>
      <c r="Q651">
        <f>H651-C651/42-P651</f>
        <v/>
      </c>
      <c r="R651">
        <f>H651-E651</f>
        <v/>
      </c>
    </row>
    <row r="652">
      <c r="A652" s="3" t="n">
        <v>42905</v>
      </c>
      <c r="B652" s="3" t="n">
        <v>42902</v>
      </c>
      <c r="C652" t="n">
        <v>45.3</v>
      </c>
      <c r="D652" t="n">
        <v>46.18</v>
      </c>
      <c r="E652" t="n">
        <v>1.407</v>
      </c>
      <c r="F652" t="n">
        <v>1.415</v>
      </c>
      <c r="G652" t="n">
        <v>1.587</v>
      </c>
      <c r="H652" t="n">
        <v>2.318</v>
      </c>
      <c r="J652" t="n">
        <v>2.414</v>
      </c>
      <c r="K652" t="n">
        <v>2.996</v>
      </c>
      <c r="L652" t="n">
        <v>19.5</v>
      </c>
      <c r="N652">
        <f>IF(OR(E652="",C652=""),"",E652-C652/42)</f>
        <v/>
      </c>
      <c r="O652">
        <f>IF(OR(E652="",D652=""),"",E652-D652/42)</f>
        <v/>
      </c>
      <c r="P652">
        <f>IF(L652="",M652/100,H652*L652/100)</f>
        <v/>
      </c>
      <c r="Q652">
        <f>H652-C652/42-P652</f>
        <v/>
      </c>
      <c r="R652">
        <f>H652-E652</f>
        <v/>
      </c>
    </row>
    <row r="653">
      <c r="A653" s="3" t="n">
        <v>42912</v>
      </c>
      <c r="B653" s="3" t="n">
        <v>42909</v>
      </c>
      <c r="C653" t="n">
        <v>43.09</v>
      </c>
      <c r="D653" t="n">
        <v>44.63</v>
      </c>
      <c r="E653" t="n">
        <v>1.394</v>
      </c>
      <c r="F653" t="n">
        <v>1.388</v>
      </c>
      <c r="G653" t="n">
        <v>1.565</v>
      </c>
      <c r="H653" t="n">
        <v>2.288</v>
      </c>
      <c r="J653" t="n">
        <v>2.389</v>
      </c>
      <c r="K653" t="n">
        <v>2.953</v>
      </c>
      <c r="L653" t="n">
        <v>19.5</v>
      </c>
      <c r="N653">
        <f>IF(OR(E653="",C653=""),"",E653-C653/42)</f>
        <v/>
      </c>
      <c r="O653">
        <f>IF(OR(E653="",D653=""),"",E653-D653/42)</f>
        <v/>
      </c>
      <c r="P653">
        <f>IF(L653="",M653/100,H653*L653/100)</f>
        <v/>
      </c>
      <c r="Q653">
        <f>H653-C653/42-P653</f>
        <v/>
      </c>
      <c r="R653">
        <f>H653-E653</f>
        <v/>
      </c>
    </row>
    <row r="654">
      <c r="A654" s="3" t="n">
        <v>42919</v>
      </c>
      <c r="B654" s="3" t="n">
        <v>42916</v>
      </c>
      <c r="C654" t="n">
        <v>44.63</v>
      </c>
      <c r="D654" t="n">
        <v>46.16</v>
      </c>
      <c r="E654" t="n">
        <v>1.426</v>
      </c>
      <c r="F654" t="n">
        <v>1.447</v>
      </c>
      <c r="G654" t="n">
        <v>1.649</v>
      </c>
      <c r="H654" t="n">
        <v>2.26</v>
      </c>
      <c r="J654" t="n">
        <v>2.346</v>
      </c>
      <c r="K654" t="n">
        <v>2.946</v>
      </c>
      <c r="L654" t="n">
        <v>20.2</v>
      </c>
      <c r="N654">
        <f>IF(OR(E654="",C654=""),"",E654-C654/42)</f>
        <v/>
      </c>
      <c r="O654">
        <f>IF(OR(E654="",D654=""),"",E654-D654/42)</f>
        <v/>
      </c>
      <c r="P654">
        <f>IF(L654="",M654/100,H654*L654/100)</f>
        <v/>
      </c>
      <c r="Q654">
        <f>H654-C654/42-P654</f>
        <v/>
      </c>
      <c r="R654">
        <f>H654-E654</f>
        <v/>
      </c>
    </row>
    <row r="655">
      <c r="A655" s="3" t="n">
        <v>42926</v>
      </c>
      <c r="B655" s="3" t="n">
        <v>42923</v>
      </c>
      <c r="C655" t="n">
        <v>44.96</v>
      </c>
      <c r="D655" t="n">
        <v>48.17</v>
      </c>
      <c r="E655" t="n">
        <v>1.469</v>
      </c>
      <c r="F655" t="n">
        <v>1.494</v>
      </c>
      <c r="G655" t="n">
        <v>1.688</v>
      </c>
      <c r="H655" t="n">
        <v>2.297</v>
      </c>
      <c r="J655" t="n">
        <v>2.341</v>
      </c>
      <c r="K655" t="n">
        <v>2.949</v>
      </c>
      <c r="L655" t="n">
        <v>20.2</v>
      </c>
      <c r="N655">
        <f>IF(OR(E655="",C655=""),"",E655-C655/42)</f>
        <v/>
      </c>
      <c r="O655">
        <f>IF(OR(E655="",D655=""),"",E655-D655/42)</f>
        <v/>
      </c>
      <c r="P655">
        <f>IF(L655="",M655/100,H655*L655/100)</f>
        <v/>
      </c>
      <c r="Q655">
        <f>H655-C655/42-P655</f>
        <v/>
      </c>
      <c r="R655">
        <f>H655-E655</f>
        <v/>
      </c>
    </row>
    <row r="656">
      <c r="A656" s="3" t="n">
        <v>42933</v>
      </c>
      <c r="B656" s="3" t="n">
        <v>42930</v>
      </c>
      <c r="C656" t="n">
        <v>45.51</v>
      </c>
      <c r="D656" t="n">
        <v>47.1</v>
      </c>
      <c r="E656" t="n">
        <v>1.491</v>
      </c>
      <c r="F656" t="n">
        <v>1.529</v>
      </c>
      <c r="G656" t="n">
        <v>1.62</v>
      </c>
      <c r="H656" t="n">
        <v>2.278</v>
      </c>
      <c r="J656" t="n">
        <v>2.329</v>
      </c>
      <c r="K656" t="n">
        <v>2.934</v>
      </c>
      <c r="L656" t="n">
        <v>20.2</v>
      </c>
      <c r="N656">
        <f>IF(OR(E656="",C656=""),"",E656-C656/42)</f>
        <v/>
      </c>
      <c r="O656">
        <f>IF(OR(E656="",D656=""),"",E656-D656/42)</f>
        <v/>
      </c>
      <c r="P656">
        <f>IF(L656="",M656/100,H656*L656/100)</f>
        <v/>
      </c>
      <c r="Q656">
        <f>H656-C656/42-P656</f>
        <v/>
      </c>
      <c r="R656">
        <f>H656-E656</f>
        <v/>
      </c>
    </row>
    <row r="657">
      <c r="A657" s="3" t="n">
        <v>42940</v>
      </c>
      <c r="B657" s="3" t="n">
        <v>42937</v>
      </c>
      <c r="C657" t="n">
        <v>46.41</v>
      </c>
      <c r="D657" t="n">
        <v>47.99</v>
      </c>
      <c r="E657" t="n">
        <v>1.53</v>
      </c>
      <c r="F657" t="n">
        <v>1.591</v>
      </c>
      <c r="G657" t="n">
        <v>1.638</v>
      </c>
      <c r="H657" t="n">
        <v>2.312</v>
      </c>
      <c r="J657" t="n">
        <v>2.341</v>
      </c>
      <c r="K657" t="n">
        <v>2.941</v>
      </c>
      <c r="L657" t="n">
        <v>20.2</v>
      </c>
      <c r="N657">
        <f>IF(OR(E657="",C657=""),"",E657-C657/42)</f>
        <v/>
      </c>
      <c r="O657">
        <f>IF(OR(E657="",D657=""),"",E657-D657/42)</f>
        <v/>
      </c>
      <c r="P657">
        <f>IF(L657="",M657/100,H657*L657/100)</f>
        <v/>
      </c>
      <c r="Q657">
        <f>H657-C657/42-P657</f>
        <v/>
      </c>
      <c r="R657">
        <f>H657-E657</f>
        <v/>
      </c>
    </row>
    <row r="658">
      <c r="A658" s="3" t="n">
        <v>42947</v>
      </c>
      <c r="B658" s="3" t="n">
        <v>42944</v>
      </c>
      <c r="C658" t="n">
        <v>48.27</v>
      </c>
      <c r="D658" t="n">
        <v>49.95</v>
      </c>
      <c r="E658" t="n">
        <v>1.56</v>
      </c>
      <c r="F658" t="n">
        <v>1.61</v>
      </c>
      <c r="G658" t="n">
        <v>1.712</v>
      </c>
      <c r="H658" t="n">
        <v>2.352</v>
      </c>
      <c r="J658" t="n">
        <v>2.343</v>
      </c>
      <c r="K658" t="n">
        <v>2.981</v>
      </c>
      <c r="L658" t="n">
        <v>20.2</v>
      </c>
      <c r="N658">
        <f>IF(OR(E658="",C658=""),"",E658-C658/42)</f>
        <v/>
      </c>
      <c r="O658">
        <f>IF(OR(E658="",D658=""),"",E658-D658/42)</f>
        <v/>
      </c>
      <c r="P658">
        <f>IF(L658="",M658/100,H658*L658/100)</f>
        <v/>
      </c>
      <c r="Q658">
        <f>H658-C658/42-P658</f>
        <v/>
      </c>
      <c r="R658">
        <f>H658-E658</f>
        <v/>
      </c>
    </row>
    <row r="659">
      <c r="A659" s="3" t="n">
        <v>42954</v>
      </c>
      <c r="B659" s="3" t="n">
        <v>42951</v>
      </c>
      <c r="C659" t="n">
        <v>49.52</v>
      </c>
      <c r="D659" t="n">
        <v>52.04</v>
      </c>
      <c r="E659" t="n">
        <v>1.627</v>
      </c>
      <c r="F659" t="n">
        <v>1.664</v>
      </c>
      <c r="G659" t="n">
        <v>1.736</v>
      </c>
      <c r="H659" t="n">
        <v>2.378</v>
      </c>
      <c r="J659" t="n">
        <v>2.39</v>
      </c>
      <c r="K659" t="n">
        <v>2.989</v>
      </c>
      <c r="L659" t="n">
        <v>19.5</v>
      </c>
      <c r="N659">
        <f>IF(OR(E659="",C659=""),"",E659-C659/42)</f>
        <v/>
      </c>
      <c r="O659">
        <f>IF(OR(E659="",D659=""),"",E659-D659/42)</f>
        <v/>
      </c>
      <c r="P659">
        <f>IF(L659="",M659/100,H659*L659/100)</f>
        <v/>
      </c>
      <c r="Q659">
        <f>H659-C659/42-P659</f>
        <v/>
      </c>
      <c r="R659">
        <f>H659-E659</f>
        <v/>
      </c>
    </row>
    <row r="660">
      <c r="A660" s="3" t="n">
        <v>42961</v>
      </c>
      <c r="B660" s="3" t="n">
        <v>42958</v>
      </c>
      <c r="C660" t="n">
        <v>49.08</v>
      </c>
      <c r="D660" t="n">
        <v>51.96</v>
      </c>
      <c r="E660" t="n">
        <v>1.601</v>
      </c>
      <c r="F660" t="n">
        <v>1.635</v>
      </c>
      <c r="G660" t="n">
        <v>1.72</v>
      </c>
      <c r="H660" t="n">
        <v>2.384</v>
      </c>
      <c r="J660" t="n">
        <v>2.426</v>
      </c>
      <c r="K660" t="n">
        <v>3.014</v>
      </c>
      <c r="L660" t="n">
        <v>19.5</v>
      </c>
      <c r="N660">
        <f>IF(OR(E660="",C660=""),"",E660-C660/42)</f>
        <v/>
      </c>
      <c r="O660">
        <f>IF(OR(E660="",D660=""),"",E660-D660/42)</f>
        <v/>
      </c>
      <c r="P660">
        <f>IF(L660="",M660/100,H660*L660/100)</f>
        <v/>
      </c>
      <c r="Q660">
        <f>H660-C660/42-P660</f>
        <v/>
      </c>
      <c r="R660">
        <f>H660-E660</f>
        <v/>
      </c>
    </row>
    <row r="661">
      <c r="A661" s="3" t="n">
        <v>42968</v>
      </c>
      <c r="B661" s="3" t="n">
        <v>42965</v>
      </c>
      <c r="C661" t="n">
        <v>47.52</v>
      </c>
      <c r="D661" t="n">
        <v>50.58</v>
      </c>
      <c r="E661" t="n">
        <v>1.563</v>
      </c>
      <c r="F661" t="n">
        <v>1.609</v>
      </c>
      <c r="G661" t="n">
        <v>1.707</v>
      </c>
      <c r="H661" t="n">
        <v>2.36</v>
      </c>
      <c r="J661" t="n">
        <v>2.454</v>
      </c>
      <c r="K661" t="n">
        <v>3.028</v>
      </c>
      <c r="L661" t="n">
        <v>19.5</v>
      </c>
      <c r="N661">
        <f>IF(OR(E661="",C661=""),"",E661-C661/42)</f>
        <v/>
      </c>
      <c r="O661">
        <f>IF(OR(E661="",D661=""),"",E661-D661/42)</f>
        <v/>
      </c>
      <c r="P661">
        <f>IF(L661="",M661/100,H661*L661/100)</f>
        <v/>
      </c>
      <c r="Q661">
        <f>H661-C661/42-P661</f>
        <v/>
      </c>
      <c r="R661">
        <f>H661-E661</f>
        <v/>
      </c>
    </row>
    <row r="662">
      <c r="A662" s="3" t="n">
        <v>42975</v>
      </c>
      <c r="B662" s="3" t="n">
        <v>42972</v>
      </c>
      <c r="C662" t="n">
        <v>47.68</v>
      </c>
      <c r="D662" t="n">
        <v>52.03</v>
      </c>
      <c r="E662" t="n">
        <v>1.603</v>
      </c>
      <c r="F662" t="n">
        <v>1.657</v>
      </c>
      <c r="G662" t="n">
        <v>1.782</v>
      </c>
      <c r="H662" t="n">
        <v>2.399</v>
      </c>
      <c r="J662" t="n">
        <v>2.468</v>
      </c>
      <c r="K662" t="n">
        <v>3.035</v>
      </c>
      <c r="L662" t="n">
        <v>19.5</v>
      </c>
      <c r="N662">
        <f>IF(OR(E662="",C662=""),"",E662-C662/42)</f>
        <v/>
      </c>
      <c r="O662">
        <f>IF(OR(E662="",D662=""),"",E662-D662/42)</f>
        <v/>
      </c>
      <c r="P662">
        <f>IF(L662="",M662/100,H662*L662/100)</f>
        <v/>
      </c>
      <c r="Q662">
        <f>H662-C662/42-P662</f>
        <v/>
      </c>
      <c r="R662">
        <f>H662-E662</f>
        <v/>
      </c>
    </row>
    <row r="663">
      <c r="A663" s="3" t="n">
        <v>42982</v>
      </c>
      <c r="B663" s="3" t="n">
        <v>42979</v>
      </c>
      <c r="C663" t="n">
        <v>46.68</v>
      </c>
      <c r="D663" t="n">
        <v>52.25</v>
      </c>
      <c r="E663" t="n">
        <v>1.871</v>
      </c>
      <c r="F663" t="n">
        <v>1.95</v>
      </c>
      <c r="G663" t="n">
        <v>2.119</v>
      </c>
      <c r="H663" t="n">
        <v>2.679</v>
      </c>
      <c r="J663" t="n">
        <v>2.606</v>
      </c>
      <c r="K663" t="n">
        <v>3.164</v>
      </c>
      <c r="L663" t="n">
        <v>17.5</v>
      </c>
      <c r="N663">
        <f>IF(OR(E663="",C663=""),"",E663-C663/42)</f>
        <v/>
      </c>
      <c r="O663">
        <f>IF(OR(E663="",D663=""),"",E663-D663/42)</f>
        <v/>
      </c>
      <c r="P663">
        <f>IF(L663="",M663/100,H663*L663/100)</f>
        <v/>
      </c>
      <c r="Q663">
        <f>H663-C663/42-P663</f>
        <v/>
      </c>
      <c r="R663">
        <f>H663-E663</f>
        <v/>
      </c>
    </row>
    <row r="664">
      <c r="A664" s="3" t="n">
        <v>42989</v>
      </c>
      <c r="B664" s="3" t="n">
        <v>42986</v>
      </c>
      <c r="C664" t="n">
        <v>48.58</v>
      </c>
      <c r="D664" t="n">
        <v>53.88</v>
      </c>
      <c r="E664" t="n">
        <v>1.88</v>
      </c>
      <c r="F664" t="n">
        <v>2.048</v>
      </c>
      <c r="G664" t="n">
        <v>1.939</v>
      </c>
      <c r="H664" t="n">
        <v>2.685</v>
      </c>
      <c r="J664" t="n">
        <v>2.611</v>
      </c>
      <c r="K664" t="n">
        <v>3.186</v>
      </c>
      <c r="L664" t="n">
        <v>17.5</v>
      </c>
      <c r="N664">
        <f>IF(OR(E664="",C664=""),"",E664-C664/42)</f>
        <v/>
      </c>
      <c r="O664">
        <f>IF(OR(E664="",D664=""),"",E664-D664/42)</f>
        <v/>
      </c>
      <c r="P664">
        <f>IF(L664="",M664/100,H664*L664/100)</f>
        <v/>
      </c>
      <c r="Q664">
        <f>H664-C664/42-P664</f>
        <v/>
      </c>
      <c r="R664">
        <f>H664-E664</f>
        <v/>
      </c>
    </row>
    <row r="665">
      <c r="A665" s="3" t="n">
        <v>42996</v>
      </c>
      <c r="B665" s="3" t="n">
        <v>42993</v>
      </c>
      <c r="C665" t="n">
        <v>49.07</v>
      </c>
      <c r="D665" t="n">
        <v>55.54</v>
      </c>
      <c r="E665" t="n">
        <v>1.727</v>
      </c>
      <c r="F665" t="n">
        <v>1.889</v>
      </c>
      <c r="G665" t="n">
        <v>1.832</v>
      </c>
      <c r="H665" t="n">
        <v>2.634</v>
      </c>
      <c r="J665" t="n">
        <v>2.599</v>
      </c>
      <c r="K665" t="n">
        <v>3.163</v>
      </c>
      <c r="L665" t="n">
        <v>17.5</v>
      </c>
      <c r="N665">
        <f>IF(OR(E665="",C665=""),"",E665-C665/42)</f>
        <v/>
      </c>
      <c r="O665">
        <f>IF(OR(E665="",D665=""),"",E665-D665/42)</f>
        <v/>
      </c>
      <c r="P665">
        <f>IF(L665="",M665/100,H665*L665/100)</f>
        <v/>
      </c>
      <c r="Q665">
        <f>H665-C665/42-P665</f>
        <v/>
      </c>
      <c r="R665">
        <f>H665-E665</f>
        <v/>
      </c>
    </row>
    <row r="666">
      <c r="A666" s="3" t="n">
        <v>43003</v>
      </c>
      <c r="B666" s="3" t="n">
        <v>43000</v>
      </c>
      <c r="C666" t="n">
        <v>50.12</v>
      </c>
      <c r="D666" t="n">
        <v>57.03</v>
      </c>
      <c r="E666" t="n">
        <v>1.678</v>
      </c>
      <c r="F666" t="n">
        <v>1.766</v>
      </c>
      <c r="G666" t="n">
        <v>1.728</v>
      </c>
      <c r="H666" t="n">
        <v>2.583</v>
      </c>
      <c r="J666" t="n">
        <v>2.582</v>
      </c>
      <c r="K666" t="n">
        <v>3.143</v>
      </c>
      <c r="L666" t="n">
        <v>17.5</v>
      </c>
      <c r="N666">
        <f>IF(OR(E666="",C666=""),"",E666-C666/42)</f>
        <v/>
      </c>
      <c r="O666">
        <f>IF(OR(E666="",D666=""),"",E666-D666/42)</f>
        <v/>
      </c>
      <c r="P666">
        <f>IF(L666="",M666/100,H666*L666/100)</f>
        <v/>
      </c>
      <c r="Q666">
        <f>H666-C666/42-P666</f>
        <v/>
      </c>
      <c r="R666">
        <f>H666-E666</f>
        <v/>
      </c>
    </row>
    <row r="667">
      <c r="A667" s="3" t="n">
        <v>43010</v>
      </c>
      <c r="B667" s="3" t="n">
        <v>43007</v>
      </c>
      <c r="C667" t="n">
        <v>51.77</v>
      </c>
      <c r="D667" t="n">
        <v>58.75</v>
      </c>
      <c r="E667" t="n">
        <v>1.674</v>
      </c>
      <c r="F667" t="n">
        <v>1.726</v>
      </c>
      <c r="G667" t="n">
        <v>1.759</v>
      </c>
      <c r="H667" t="n">
        <v>2.565</v>
      </c>
      <c r="J667" t="n">
        <v>2.567</v>
      </c>
      <c r="K667" t="n">
        <v>3.111</v>
      </c>
      <c r="L667" t="n">
        <v>18.5</v>
      </c>
      <c r="N667">
        <f>IF(OR(E667="",C667=""),"",E667-C667/42)</f>
        <v/>
      </c>
      <c r="O667">
        <f>IF(OR(E667="",D667=""),"",E667-D667/42)</f>
        <v/>
      </c>
      <c r="P667">
        <f>IF(L667="",M667/100,H667*L667/100)</f>
        <v/>
      </c>
      <c r="Q667">
        <f>H667-C667/42-P667</f>
        <v/>
      </c>
      <c r="R667">
        <f>H667-E667</f>
        <v/>
      </c>
    </row>
    <row r="668">
      <c r="A668" s="3" t="n">
        <v>43017</v>
      </c>
      <c r="B668" s="3" t="n">
        <v>43014</v>
      </c>
      <c r="C668" t="n">
        <v>50.23</v>
      </c>
      <c r="D668" t="n">
        <v>56.08</v>
      </c>
      <c r="E668" t="n">
        <v>1.593</v>
      </c>
      <c r="F668" t="n">
        <v>1.645</v>
      </c>
      <c r="G668" t="n">
        <v>1.685</v>
      </c>
      <c r="H668" t="n">
        <v>2.504</v>
      </c>
      <c r="J668" t="n">
        <v>2.542</v>
      </c>
      <c r="K668" t="n">
        <v>3.083</v>
      </c>
      <c r="L668" t="n">
        <v>18.5</v>
      </c>
      <c r="N668">
        <f>IF(OR(E668="",C668=""),"",E668-C668/42)</f>
        <v/>
      </c>
      <c r="O668">
        <f>IF(OR(E668="",D668=""),"",E668-D668/42)</f>
        <v/>
      </c>
      <c r="P668">
        <f>IF(L668="",M668/100,H668*L668/100)</f>
        <v/>
      </c>
      <c r="Q668">
        <f>H668-C668/42-P668</f>
        <v/>
      </c>
      <c r="R668">
        <f>H668-E668</f>
        <v/>
      </c>
    </row>
    <row r="669">
      <c r="A669" s="3" t="n">
        <v>43024</v>
      </c>
      <c r="B669" s="3" t="n">
        <v>43021</v>
      </c>
      <c r="C669" t="n">
        <v>50.77</v>
      </c>
      <c r="D669" t="n">
        <v>56.21</v>
      </c>
      <c r="E669" t="n">
        <v>1.612</v>
      </c>
      <c r="F669" t="n">
        <v>1.665</v>
      </c>
      <c r="G669" t="n">
        <v>1.677</v>
      </c>
      <c r="H669" t="n">
        <v>2.489</v>
      </c>
      <c r="J669" t="n">
        <v>2.526</v>
      </c>
      <c r="K669" t="n">
        <v>3.077</v>
      </c>
      <c r="L669" t="n">
        <v>18.5</v>
      </c>
      <c r="N669">
        <f>IF(OR(E669="",C669=""),"",E669-C669/42)</f>
        <v/>
      </c>
      <c r="O669">
        <f>IF(OR(E669="",D669=""),"",E669-D669/42)</f>
        <v/>
      </c>
      <c r="P669">
        <f>IF(L669="",M669/100,H669*L669/100)</f>
        <v/>
      </c>
      <c r="Q669">
        <f>H669-C669/42-P669</f>
        <v/>
      </c>
      <c r="R669">
        <f>H669-E669</f>
        <v/>
      </c>
    </row>
    <row r="670">
      <c r="A670" s="3" t="n">
        <v>43031</v>
      </c>
      <c r="B670" s="3" t="n">
        <v>43028</v>
      </c>
      <c r="C670" t="n">
        <v>51.74</v>
      </c>
      <c r="D670" t="n">
        <v>57.78</v>
      </c>
      <c r="E670" t="n">
        <v>1.653</v>
      </c>
      <c r="F670" t="n">
        <v>1.711</v>
      </c>
      <c r="G670" t="n">
        <v>1.799</v>
      </c>
      <c r="H670" t="n">
        <v>2.479</v>
      </c>
      <c r="J670" t="n">
        <v>2.529</v>
      </c>
      <c r="K670" t="n">
        <v>3.064</v>
      </c>
      <c r="L670" t="n">
        <v>18.5</v>
      </c>
      <c r="N670">
        <f>IF(OR(E670="",C670=""),"",E670-C670/42)</f>
        <v/>
      </c>
      <c r="O670">
        <f>IF(OR(E670="",D670=""),"",E670-D670/42)</f>
        <v/>
      </c>
      <c r="P670">
        <f>IF(L670="",M670/100,H670*L670/100)</f>
        <v/>
      </c>
      <c r="Q670">
        <f>H670-C670/42-P670</f>
        <v/>
      </c>
      <c r="R670">
        <f>H670-E670</f>
        <v/>
      </c>
    </row>
    <row r="671">
      <c r="A671" s="3" t="n">
        <v>43038</v>
      </c>
      <c r="B671" s="3" t="n">
        <v>43035</v>
      </c>
      <c r="C671" t="n">
        <v>52.51</v>
      </c>
      <c r="D671" t="n">
        <v>58.58</v>
      </c>
      <c r="E671" t="n">
        <v>1.716</v>
      </c>
      <c r="F671" t="n">
        <v>1.794</v>
      </c>
      <c r="G671" t="n">
        <v>1.84</v>
      </c>
      <c r="H671" t="n">
        <v>2.488</v>
      </c>
      <c r="J671" t="n">
        <v>2.515</v>
      </c>
      <c r="K671" t="n">
        <v>3.066</v>
      </c>
      <c r="L671" t="n">
        <v>18.5</v>
      </c>
      <c r="N671">
        <f>IF(OR(E671="",C671=""),"",E671-C671/42)</f>
        <v/>
      </c>
      <c r="O671">
        <f>IF(OR(E671="",D671=""),"",E671-D671/42)</f>
        <v/>
      </c>
      <c r="P671">
        <f>IF(L671="",M671/100,H671*L671/100)</f>
        <v/>
      </c>
      <c r="Q671">
        <f>H671-C671/42-P671</f>
        <v/>
      </c>
      <c r="R671">
        <f>H671-E671</f>
        <v/>
      </c>
    </row>
    <row r="672">
      <c r="A672" s="3" t="n">
        <v>43045</v>
      </c>
      <c r="B672" s="3" t="n">
        <v>43042</v>
      </c>
      <c r="C672" t="n">
        <v>54.59</v>
      </c>
      <c r="D672" t="n">
        <v>61.04</v>
      </c>
      <c r="E672" t="n">
        <v>1.77</v>
      </c>
      <c r="F672" t="n">
        <v>1.836</v>
      </c>
      <c r="G672" t="n">
        <v>1.904</v>
      </c>
      <c r="H672" t="n">
        <v>2.561</v>
      </c>
      <c r="J672" t="n">
        <v>2.538</v>
      </c>
      <c r="K672" t="n">
        <v>3.243</v>
      </c>
      <c r="L672" t="n">
        <v>18.1</v>
      </c>
      <c r="N672">
        <f>IF(OR(E672="",C672=""),"",E672-C672/42)</f>
        <v/>
      </c>
      <c r="O672">
        <f>IF(OR(E672="",D672=""),"",E672-D672/42)</f>
        <v/>
      </c>
      <c r="P672">
        <f>IF(L672="",M672/100,H672*L672/100)</f>
        <v/>
      </c>
      <c r="Q672">
        <f>H672-C672/42-P672</f>
        <v/>
      </c>
      <c r="R672">
        <f>H672-E672</f>
        <v/>
      </c>
    </row>
    <row r="673">
      <c r="A673" s="3" t="n">
        <v>43052</v>
      </c>
      <c r="B673" s="3" t="n">
        <v>43049</v>
      </c>
      <c r="C673" t="n">
        <v>57.05</v>
      </c>
      <c r="D673" t="n">
        <v>64.29000000000001</v>
      </c>
      <c r="E673" t="n">
        <v>1.832</v>
      </c>
      <c r="F673" t="n">
        <v>1.912</v>
      </c>
      <c r="G673" t="n">
        <v>2.023</v>
      </c>
      <c r="H673" t="n">
        <v>2.592</v>
      </c>
      <c r="J673" t="n">
        <v>2.542</v>
      </c>
      <c r="K673" t="n">
        <v>3.275</v>
      </c>
      <c r="L673" t="n">
        <v>18.1</v>
      </c>
      <c r="N673">
        <f>IF(OR(E673="",C673=""),"",E673-C673/42)</f>
        <v/>
      </c>
      <c r="O673">
        <f>IF(OR(E673="",D673=""),"",E673-D673/42)</f>
        <v/>
      </c>
      <c r="P673">
        <f>IF(L673="",M673/100,H673*L673/100)</f>
        <v/>
      </c>
      <c r="Q673">
        <f>H673-C673/42-P673</f>
        <v/>
      </c>
      <c r="R673">
        <f>H673-E673</f>
        <v/>
      </c>
    </row>
    <row r="674">
      <c r="A674" s="3" t="n">
        <v>43059</v>
      </c>
      <c r="B674" s="3" t="n">
        <v>43056</v>
      </c>
      <c r="C674" t="n">
        <v>55.81</v>
      </c>
      <c r="D674" t="n">
        <v>61.52</v>
      </c>
      <c r="E674" t="n">
        <v>1.718</v>
      </c>
      <c r="F674" t="n">
        <v>1.802</v>
      </c>
      <c r="G674" t="n">
        <v>1.783</v>
      </c>
      <c r="H674" t="n">
        <v>2.568</v>
      </c>
      <c r="J674" t="n">
        <v>2.542</v>
      </c>
      <c r="K674" t="n">
        <v>3.222</v>
      </c>
      <c r="L674" t="n">
        <v>18.1</v>
      </c>
      <c r="N674">
        <f>IF(OR(E674="",C674=""),"",E674-C674/42)</f>
        <v/>
      </c>
      <c r="O674">
        <f>IF(OR(E674="",D674=""),"",E674-D674/42)</f>
        <v/>
      </c>
      <c r="P674">
        <f>IF(L674="",M674/100,H674*L674/100)</f>
        <v/>
      </c>
      <c r="Q674">
        <f>H674-C674/42-P674</f>
        <v/>
      </c>
      <c r="R674">
        <f>H674-E674</f>
        <v/>
      </c>
    </row>
    <row r="675">
      <c r="A675" s="3" t="n">
        <v>43066</v>
      </c>
      <c r="B675" s="3" t="n">
        <v>43063</v>
      </c>
      <c r="C675" t="n">
        <v>57.47</v>
      </c>
      <c r="D675" t="n">
        <v>62.68</v>
      </c>
      <c r="E675" t="n">
        <v>1.722</v>
      </c>
      <c r="F675" t="n">
        <v>1.802</v>
      </c>
      <c r="G675" t="n">
        <v>1.721</v>
      </c>
      <c r="H675" t="n">
        <v>2.533</v>
      </c>
      <c r="J675" t="n">
        <v>2.538</v>
      </c>
      <c r="K675" t="n">
        <v>3.2</v>
      </c>
      <c r="L675" t="n">
        <v>18.1</v>
      </c>
      <c r="N675">
        <f>IF(OR(E675="",C675=""),"",E675-C675/42)</f>
        <v/>
      </c>
      <c r="O675">
        <f>IF(OR(E675="",D675=""),"",E675-D675/42)</f>
        <v/>
      </c>
      <c r="P675">
        <f>IF(L675="",M675/100,H675*L675/100)</f>
        <v/>
      </c>
      <c r="Q675">
        <f>H675-C675/42-P675</f>
        <v/>
      </c>
      <c r="R675">
        <f>H675-E675</f>
        <v/>
      </c>
    </row>
    <row r="676">
      <c r="A676" s="3" t="n">
        <v>43073</v>
      </c>
      <c r="B676" s="3" t="n">
        <v>43070</v>
      </c>
      <c r="C676" t="n">
        <v>57.81</v>
      </c>
      <c r="D676" t="n">
        <v>63.73</v>
      </c>
      <c r="E676" t="n">
        <v>1.73</v>
      </c>
      <c r="F676" t="n">
        <v>1.785</v>
      </c>
      <c r="G676" t="n">
        <v>1.74</v>
      </c>
      <c r="H676" t="n">
        <v>2.5</v>
      </c>
      <c r="J676" t="n">
        <v>2.534</v>
      </c>
      <c r="K676" t="n">
        <v>3.16</v>
      </c>
      <c r="L676" t="n">
        <v>18.7</v>
      </c>
      <c r="N676">
        <f>IF(OR(E676="",C676=""),"",E676-C676/42)</f>
        <v/>
      </c>
      <c r="O676">
        <f>IF(OR(E676="",D676=""),"",E676-D676/42)</f>
        <v/>
      </c>
      <c r="P676">
        <f>IF(L676="",M676/100,H676*L676/100)</f>
        <v/>
      </c>
      <c r="Q676">
        <f>H676-C676/42-P676</f>
        <v/>
      </c>
      <c r="R676">
        <f>H676-E676</f>
        <v/>
      </c>
    </row>
    <row r="677">
      <c r="A677" s="3" t="n">
        <v>43080</v>
      </c>
      <c r="B677" s="3" t="n">
        <v>43077</v>
      </c>
      <c r="C677" t="n">
        <v>56.92</v>
      </c>
      <c r="D677" t="n">
        <v>63.08</v>
      </c>
      <c r="E677" t="n">
        <v>1.685</v>
      </c>
      <c r="F677" t="n">
        <v>1.736</v>
      </c>
      <c r="G677" t="n">
        <v>1.651</v>
      </c>
      <c r="H677" t="n">
        <v>2.485</v>
      </c>
      <c r="J677" t="n">
        <v>2.514</v>
      </c>
      <c r="K677" t="n">
        <v>3.12</v>
      </c>
      <c r="L677" t="n">
        <v>18.7</v>
      </c>
      <c r="N677">
        <f>IF(OR(E677="",C677=""),"",E677-C677/42)</f>
        <v/>
      </c>
      <c r="O677">
        <f>IF(OR(E677="",D677=""),"",E677-D677/42)</f>
        <v/>
      </c>
      <c r="P677">
        <f>IF(L677="",M677/100,H677*L677/100)</f>
        <v/>
      </c>
      <c r="Q677">
        <f>H677-C677/42-P677</f>
        <v/>
      </c>
      <c r="R677">
        <f>H677-E677</f>
        <v/>
      </c>
    </row>
    <row r="678">
      <c r="A678" s="3" t="n">
        <v>43087</v>
      </c>
      <c r="B678" s="3" t="n">
        <v>43084</v>
      </c>
      <c r="C678" t="n">
        <v>57.17</v>
      </c>
      <c r="D678" t="n">
        <v>64.34999999999999</v>
      </c>
      <c r="E678" t="n">
        <v>1.653</v>
      </c>
      <c r="F678" t="n">
        <v>1.717</v>
      </c>
      <c r="G678" t="n">
        <v>1.579</v>
      </c>
      <c r="H678" t="n">
        <v>2.45</v>
      </c>
      <c r="J678" t="n">
        <v>2.476</v>
      </c>
      <c r="K678" t="n">
        <v>3.106</v>
      </c>
      <c r="L678" t="n">
        <v>18.7</v>
      </c>
      <c r="N678">
        <f>IF(OR(E678="",C678=""),"",E678-C678/42)</f>
        <v/>
      </c>
      <c r="O678">
        <f>IF(OR(E678="",D678=""),"",E678-D678/42)</f>
        <v/>
      </c>
      <c r="P678">
        <f>IF(L678="",M678/100,H678*L678/100)</f>
        <v/>
      </c>
      <c r="Q678">
        <f>H678-C678/42-P678</f>
        <v/>
      </c>
      <c r="R678">
        <f>H678-E678</f>
        <v/>
      </c>
    </row>
    <row r="679">
      <c r="A679" s="3" t="n">
        <v>43094</v>
      </c>
      <c r="B679" s="3" t="n">
        <v>43091</v>
      </c>
      <c r="C679" t="n">
        <v>57.87</v>
      </c>
      <c r="D679" t="n">
        <v>64.36</v>
      </c>
      <c r="E679" t="n">
        <v>1.7</v>
      </c>
      <c r="F679" t="n">
        <v>1.753</v>
      </c>
      <c r="G679" t="n">
        <v>1.569</v>
      </c>
      <c r="H679" t="n">
        <v>2.472</v>
      </c>
      <c r="J679" t="n">
        <v>2.45</v>
      </c>
      <c r="K679" t="n">
        <v>3.133</v>
      </c>
      <c r="L679" t="n">
        <v>18.7</v>
      </c>
      <c r="N679">
        <f>IF(OR(E679="",C679=""),"",E679-C679/42)</f>
        <v/>
      </c>
      <c r="O679">
        <f>IF(OR(E679="",D679=""),"",E679-D679/42)</f>
        <v/>
      </c>
      <c r="P679">
        <f>IF(L679="",M679/100,H679*L679/100)</f>
        <v/>
      </c>
      <c r="Q679">
        <f>H679-C679/42-P679</f>
        <v/>
      </c>
      <c r="R679">
        <f>H679-E679</f>
        <v/>
      </c>
    </row>
    <row r="680">
      <c r="A680" s="3" t="n">
        <v>43101</v>
      </c>
      <c r="B680" s="3" t="n">
        <v>43098</v>
      </c>
      <c r="C680" t="n">
        <v>59.88</v>
      </c>
      <c r="D680" t="n">
        <v>66.52</v>
      </c>
      <c r="E680" t="n">
        <v>1.765</v>
      </c>
      <c r="F680" t="n">
        <v>1.819</v>
      </c>
      <c r="G680" t="n">
        <v>1.77</v>
      </c>
      <c r="H680" t="n">
        <v>2.52</v>
      </c>
      <c r="J680" t="n">
        <v>2.437</v>
      </c>
      <c r="K680" t="n">
        <v>3.148</v>
      </c>
      <c r="L680" t="n">
        <v>18.3</v>
      </c>
      <c r="N680">
        <f>IF(OR(E680="",C680=""),"",E680-C680/42)</f>
        <v/>
      </c>
      <c r="O680">
        <f>IF(OR(E680="",D680=""),"",E680-D680/42)</f>
        <v/>
      </c>
      <c r="P680">
        <f>IF(L680="",M680/100,H680*L680/100)</f>
        <v/>
      </c>
      <c r="Q680">
        <f>H680-C680/42-P680</f>
        <v/>
      </c>
      <c r="R680">
        <f>H680-E680</f>
        <v/>
      </c>
    </row>
    <row r="681">
      <c r="A681" s="3" t="n">
        <v>43108</v>
      </c>
      <c r="B681" s="3" t="n">
        <v>43105</v>
      </c>
      <c r="C681" t="n">
        <v>61.36</v>
      </c>
      <c r="D681" t="n">
        <v>67.81</v>
      </c>
      <c r="E681" t="n">
        <v>1.768</v>
      </c>
      <c r="F681" t="n">
        <v>1.818</v>
      </c>
      <c r="G681" t="n">
        <v>1.901</v>
      </c>
      <c r="H681" t="n">
        <v>2.522</v>
      </c>
      <c r="J681" t="n">
        <v>2.441</v>
      </c>
      <c r="K681" t="n">
        <v>3.199</v>
      </c>
      <c r="L681" t="n">
        <v>18.3</v>
      </c>
      <c r="N681">
        <f>IF(OR(E681="",C681=""),"",E681-C681/42)</f>
        <v/>
      </c>
      <c r="O681">
        <f>IF(OR(E681="",D681=""),"",E681-D681/42)</f>
        <v/>
      </c>
      <c r="P681">
        <f>IF(L681="",M681/100,H681*L681/100)</f>
        <v/>
      </c>
      <c r="Q681">
        <f>H681-C681/42-P681</f>
        <v/>
      </c>
      <c r="R681">
        <f>H681-E681</f>
        <v/>
      </c>
    </row>
    <row r="682">
      <c r="A682" s="3" t="n">
        <v>43115</v>
      </c>
      <c r="B682" s="3" t="n">
        <v>43112</v>
      </c>
      <c r="C682" t="n">
        <v>63.26</v>
      </c>
      <c r="D682" t="n">
        <v>69.47</v>
      </c>
      <c r="E682" t="n">
        <v>1.821</v>
      </c>
      <c r="F682" t="n">
        <v>1.86</v>
      </c>
      <c r="G682" t="n">
        <v>1.903</v>
      </c>
      <c r="H682" t="n">
        <v>2.557</v>
      </c>
      <c r="J682" t="n">
        <v>2.455</v>
      </c>
      <c r="K682" t="n">
        <v>3.196</v>
      </c>
      <c r="L682" t="n">
        <v>18.3</v>
      </c>
      <c r="N682">
        <f>IF(OR(E682="",C682=""),"",E682-C682/42)</f>
        <v/>
      </c>
      <c r="O682">
        <f>IF(OR(E682="",D682=""),"",E682-D682/42)</f>
        <v/>
      </c>
      <c r="P682">
        <f>IF(L682="",M682/100,H682*L682/100)</f>
        <v/>
      </c>
      <c r="Q682">
        <f>H682-C682/42-P682</f>
        <v/>
      </c>
      <c r="R682">
        <f>H682-E682</f>
        <v/>
      </c>
    </row>
    <row r="683">
      <c r="A683" s="3" t="n">
        <v>43122</v>
      </c>
      <c r="B683" s="3" t="n">
        <v>43119</v>
      </c>
      <c r="C683" t="n">
        <v>63.77</v>
      </c>
      <c r="D683" t="n">
        <v>69.39</v>
      </c>
      <c r="E683" t="n">
        <v>1.872</v>
      </c>
      <c r="F683" t="n">
        <v>1.901</v>
      </c>
      <c r="G683" t="n">
        <v>1.845</v>
      </c>
      <c r="H683" t="n">
        <v>2.567</v>
      </c>
      <c r="J683" t="n">
        <v>2.472</v>
      </c>
      <c r="K683" t="n">
        <v>3.209</v>
      </c>
      <c r="L683" t="n">
        <v>18.3</v>
      </c>
      <c r="N683">
        <f>IF(OR(E683="",C683=""),"",E683-C683/42)</f>
        <v/>
      </c>
      <c r="O683">
        <f>IF(OR(E683="",D683=""),"",E683-D683/42)</f>
        <v/>
      </c>
      <c r="P683">
        <f>IF(L683="",M683/100,H683*L683/100)</f>
        <v/>
      </c>
      <c r="Q683">
        <f>H683-C683/42-P683</f>
        <v/>
      </c>
      <c r="R683">
        <f>H683-E683</f>
        <v/>
      </c>
    </row>
    <row r="684">
      <c r="A684" s="3" t="n">
        <v>43129</v>
      </c>
      <c r="B684" s="3" t="n">
        <v>43126</v>
      </c>
      <c r="C684" t="n">
        <v>65.14</v>
      </c>
      <c r="D684" t="n">
        <v>70.04000000000001</v>
      </c>
      <c r="E684" t="n">
        <v>1.928</v>
      </c>
      <c r="F684" t="n">
        <v>1.973</v>
      </c>
      <c r="G684" t="n">
        <v>2.038</v>
      </c>
      <c r="H684" t="n">
        <v>2.607</v>
      </c>
      <c r="J684" t="n">
        <v>2.483</v>
      </c>
      <c r="K684" t="n">
        <v>3.296</v>
      </c>
      <c r="L684" t="n">
        <v>18.3</v>
      </c>
      <c r="N684">
        <f>IF(OR(E684="",C684=""),"",E684-C684/42)</f>
        <v/>
      </c>
      <c r="O684">
        <f>IF(OR(E684="",D684=""),"",E684-D684/42)</f>
        <v/>
      </c>
      <c r="P684">
        <f>IF(L684="",M684/100,H684*L684/100)</f>
        <v/>
      </c>
      <c r="Q684">
        <f>H684-C684/42-P684</f>
        <v/>
      </c>
      <c r="R684">
        <f>H684-E684</f>
        <v/>
      </c>
    </row>
    <row r="685">
      <c r="A685" s="3" t="n">
        <v>43136</v>
      </c>
      <c r="B685" s="3" t="n">
        <v>43133</v>
      </c>
      <c r="C685" t="n">
        <v>65.31999999999999</v>
      </c>
      <c r="D685" t="n">
        <v>68</v>
      </c>
      <c r="E685" t="n">
        <v>1.906</v>
      </c>
      <c r="F685" t="n">
        <v>1.958</v>
      </c>
      <c r="G685" t="n">
        <v>2.088</v>
      </c>
      <c r="H685" t="n">
        <v>2.637</v>
      </c>
      <c r="J685" t="n">
        <v>2.496</v>
      </c>
      <c r="K685" t="n">
        <v>3.37</v>
      </c>
      <c r="L685" t="n">
        <v>18.1</v>
      </c>
      <c r="N685">
        <f>IF(OR(E685="",C685=""),"",E685-C685/42)</f>
        <v/>
      </c>
      <c r="O685">
        <f>IF(OR(E685="",D685=""),"",E685-D685/42)</f>
        <v/>
      </c>
      <c r="P685">
        <f>IF(L685="",M685/100,H685*L685/100)</f>
        <v/>
      </c>
      <c r="Q685">
        <f>H685-C685/42-P685</f>
        <v/>
      </c>
      <c r="R685">
        <f>H685-E685</f>
        <v/>
      </c>
    </row>
    <row r="686">
      <c r="A686" s="3" t="n">
        <v>43143</v>
      </c>
      <c r="B686" s="3" t="n">
        <v>43140</v>
      </c>
      <c r="C686" t="n">
        <v>62.01</v>
      </c>
      <c r="D686" t="n">
        <v>65.5</v>
      </c>
      <c r="E686" t="n">
        <v>1.778</v>
      </c>
      <c r="F686" t="n">
        <v>1.826</v>
      </c>
      <c r="G686" t="n">
        <v>1.933</v>
      </c>
      <c r="H686" t="n">
        <v>2.607</v>
      </c>
      <c r="J686" t="n">
        <v>2.51</v>
      </c>
      <c r="K686" t="n">
        <v>3.358</v>
      </c>
      <c r="L686" t="n">
        <v>18.1</v>
      </c>
      <c r="N686">
        <f>IF(OR(E686="",C686=""),"",E686-C686/42)</f>
        <v/>
      </c>
      <c r="O686">
        <f>IF(OR(E686="",D686=""),"",E686-D686/42)</f>
        <v/>
      </c>
      <c r="P686">
        <f>IF(L686="",M686/100,H686*L686/100)</f>
        <v/>
      </c>
      <c r="Q686">
        <f>H686-C686/42-P686</f>
        <v/>
      </c>
      <c r="R686">
        <f>H686-E686</f>
        <v/>
      </c>
    </row>
    <row r="687">
      <c r="A687" s="3" t="n">
        <v>43150</v>
      </c>
      <c r="B687" s="3" t="n">
        <v>43147</v>
      </c>
      <c r="C687" t="n">
        <v>60.56</v>
      </c>
      <c r="D687" t="n">
        <v>62.72</v>
      </c>
      <c r="E687" t="n">
        <v>1.706</v>
      </c>
      <c r="F687" t="n">
        <v>1.759</v>
      </c>
      <c r="G687" t="n">
        <v>1.787</v>
      </c>
      <c r="H687" t="n">
        <v>2.557</v>
      </c>
      <c r="J687" t="n">
        <v>2.486</v>
      </c>
      <c r="K687" t="n">
        <v>3.349</v>
      </c>
      <c r="L687" t="n">
        <v>18.1</v>
      </c>
      <c r="N687">
        <f>IF(OR(E687="",C687=""),"",E687-C687/42)</f>
        <v/>
      </c>
      <c r="O687">
        <f>IF(OR(E687="",D687=""),"",E687-D687/42)</f>
        <v/>
      </c>
      <c r="P687">
        <f>IF(L687="",M687/100,H687*L687/100)</f>
        <v/>
      </c>
      <c r="Q687">
        <f>H687-C687/42-P687</f>
        <v/>
      </c>
      <c r="R687">
        <f>H687-E687</f>
        <v/>
      </c>
    </row>
    <row r="688">
      <c r="A688" s="3" t="n">
        <v>43157</v>
      </c>
      <c r="B688" s="3" t="n">
        <v>43154</v>
      </c>
      <c r="C688" t="n">
        <v>62.47</v>
      </c>
      <c r="D688" t="n">
        <v>65.52</v>
      </c>
      <c r="E688" t="n">
        <v>1.761</v>
      </c>
      <c r="F688" t="n">
        <v>1.805</v>
      </c>
      <c r="G688" t="n">
        <v>1.889</v>
      </c>
      <c r="H688" t="n">
        <v>2.548</v>
      </c>
      <c r="J688" t="n">
        <v>2.454</v>
      </c>
      <c r="K688" t="n">
        <v>3.36</v>
      </c>
      <c r="L688" t="n">
        <v>18.1</v>
      </c>
      <c r="N688">
        <f>IF(OR(E688="",C688=""),"",E688-C688/42)</f>
        <v/>
      </c>
      <c r="O688">
        <f>IF(OR(E688="",D688=""),"",E688-D688/42)</f>
        <v/>
      </c>
      <c r="P688">
        <f>IF(L688="",M688/100,H688*L688/100)</f>
        <v/>
      </c>
      <c r="Q688">
        <f>H688-C688/42-P688</f>
        <v/>
      </c>
      <c r="R688">
        <f>H688-E688</f>
        <v/>
      </c>
    </row>
    <row r="689">
      <c r="A689" s="3" t="n">
        <v>43164</v>
      </c>
      <c r="B689" s="3" t="n">
        <v>43161</v>
      </c>
      <c r="C689" t="n">
        <v>62.07</v>
      </c>
      <c r="D689" t="n">
        <v>66.02</v>
      </c>
      <c r="E689" t="n">
        <v>1.759</v>
      </c>
      <c r="F689" t="n">
        <v>1.84</v>
      </c>
      <c r="G689" t="n">
        <v>1.832</v>
      </c>
      <c r="H689" t="n">
        <v>2.56</v>
      </c>
      <c r="J689" t="n">
        <v>2.437</v>
      </c>
      <c r="K689" t="n">
        <v>3.356</v>
      </c>
      <c r="L689" t="n">
        <v>18</v>
      </c>
      <c r="N689">
        <f>IF(OR(E689="",C689=""),"",E689-C689/42)</f>
        <v/>
      </c>
      <c r="O689">
        <f>IF(OR(E689="",D689=""),"",E689-D689/42)</f>
        <v/>
      </c>
      <c r="P689">
        <f>IF(L689="",M689/100,H689*L689/100)</f>
        <v/>
      </c>
      <c r="Q689">
        <f>H689-C689/42-P689</f>
        <v/>
      </c>
      <c r="R689">
        <f>H689-E689</f>
        <v/>
      </c>
    </row>
    <row r="690">
      <c r="A690" s="3" t="n">
        <v>43171</v>
      </c>
      <c r="B690" s="3" t="n">
        <v>43168</v>
      </c>
      <c r="C690" t="n">
        <v>61.65</v>
      </c>
      <c r="D690" t="n">
        <v>65.12</v>
      </c>
      <c r="E690" t="n">
        <v>1.731</v>
      </c>
      <c r="F690" t="n">
        <v>1.777</v>
      </c>
      <c r="G690" t="n">
        <v>1.993</v>
      </c>
      <c r="H690" t="n">
        <v>2.559</v>
      </c>
      <c r="J690" t="n">
        <v>2.423</v>
      </c>
      <c r="K690" t="n">
        <v>3.392</v>
      </c>
      <c r="L690" t="n">
        <v>18</v>
      </c>
      <c r="N690">
        <f>IF(OR(E690="",C690=""),"",E690-C690/42)</f>
        <v/>
      </c>
      <c r="O690">
        <f>IF(OR(E690="",D690=""),"",E690-D690/42)</f>
        <v/>
      </c>
      <c r="P690">
        <f>IF(L690="",M690/100,H690*L690/100)</f>
        <v/>
      </c>
      <c r="Q690">
        <f>H690-C690/42-P690</f>
        <v/>
      </c>
      <c r="R690">
        <f>H690-E690</f>
        <v/>
      </c>
    </row>
    <row r="691">
      <c r="A691" s="3" t="n">
        <v>43178</v>
      </c>
      <c r="B691" s="3" t="n">
        <v>43175</v>
      </c>
      <c r="C691" t="n">
        <v>61.28</v>
      </c>
      <c r="D691" t="n">
        <v>64.14</v>
      </c>
      <c r="E691" t="n">
        <v>1.771</v>
      </c>
      <c r="F691" t="n">
        <v>1.779</v>
      </c>
      <c r="G691" t="n">
        <v>2.063</v>
      </c>
      <c r="H691" t="n">
        <v>2.598</v>
      </c>
      <c r="J691" t="n">
        <v>2.443</v>
      </c>
      <c r="K691" t="n">
        <v>3.431</v>
      </c>
      <c r="L691" t="n">
        <v>18</v>
      </c>
      <c r="N691">
        <f>IF(OR(E691="",C691=""),"",E691-C691/42)</f>
        <v/>
      </c>
      <c r="O691">
        <f>IF(OR(E691="",D691=""),"",E691-D691/42)</f>
        <v/>
      </c>
      <c r="P691">
        <f>IF(L691="",M691/100,H691*L691/100)</f>
        <v/>
      </c>
      <c r="Q691">
        <f>H691-C691/42-P691</f>
        <v/>
      </c>
      <c r="R691">
        <f>H691-E691</f>
        <v/>
      </c>
    </row>
    <row r="692">
      <c r="A692" s="3" t="n">
        <v>43185</v>
      </c>
      <c r="B692" s="3" t="n">
        <v>43182</v>
      </c>
      <c r="C692" t="n">
        <v>64.11</v>
      </c>
      <c r="D692" t="n">
        <v>67.40000000000001</v>
      </c>
      <c r="E692" t="n">
        <v>1.895</v>
      </c>
      <c r="F692" t="n">
        <v>1.865</v>
      </c>
      <c r="G692" t="n">
        <v>2.163</v>
      </c>
      <c r="H692" t="n">
        <v>2.648</v>
      </c>
      <c r="J692" t="n">
        <v>2.528</v>
      </c>
      <c r="K692" t="n">
        <v>3.487</v>
      </c>
      <c r="L692" t="n">
        <v>18</v>
      </c>
      <c r="N692">
        <f>IF(OR(E692="",C692=""),"",E692-C692/42)</f>
        <v/>
      </c>
      <c r="O692">
        <f>IF(OR(E692="",D692=""),"",E692-D692/42)</f>
        <v/>
      </c>
      <c r="P692">
        <f>IF(L692="",M692/100,H692*L692/100)</f>
        <v/>
      </c>
      <c r="Q692">
        <f>H692-C692/42-P692</f>
        <v/>
      </c>
      <c r="R692">
        <f>H692-E692</f>
        <v/>
      </c>
    </row>
    <row r="693">
      <c r="A693" s="3" t="n">
        <v>43192</v>
      </c>
      <c r="B693" s="3" t="n">
        <v>43189</v>
      </c>
      <c r="C693" t="n">
        <v>64.97</v>
      </c>
      <c r="D693" t="n">
        <v>68.65000000000001</v>
      </c>
      <c r="E693" t="n">
        <v>1.913</v>
      </c>
      <c r="F693" t="n">
        <v>1.912</v>
      </c>
      <c r="G693" t="n">
        <v>2.167</v>
      </c>
      <c r="H693" t="n">
        <v>2.7</v>
      </c>
      <c r="J693" t="n">
        <v>2.599</v>
      </c>
      <c r="K693" t="n">
        <v>3.541</v>
      </c>
      <c r="L693" t="n">
        <v>16.9</v>
      </c>
      <c r="N693">
        <f>IF(OR(E693="",C693=""),"",E693-C693/42)</f>
        <v/>
      </c>
      <c r="O693">
        <f>IF(OR(E693="",D693=""),"",E693-D693/42)</f>
        <v/>
      </c>
      <c r="P693">
        <f>IF(L693="",M693/100,H693*L693/100)</f>
        <v/>
      </c>
      <c r="Q693">
        <f>H693-C693/42-P693</f>
        <v/>
      </c>
      <c r="R693">
        <f>H693-E693</f>
        <v/>
      </c>
    </row>
    <row r="694">
      <c r="A694" s="3" t="n">
        <v>43199</v>
      </c>
      <c r="B694" s="3" t="n">
        <v>43196</v>
      </c>
      <c r="C694" t="n">
        <v>63.07</v>
      </c>
      <c r="D694" t="n">
        <v>67.03</v>
      </c>
      <c r="E694" t="n">
        <v>1.866</v>
      </c>
      <c r="F694" t="n">
        <v>1.883</v>
      </c>
      <c r="G694" t="n">
        <v>2.163</v>
      </c>
      <c r="H694" t="n">
        <v>2.694</v>
      </c>
      <c r="J694" t="n">
        <v>2.639</v>
      </c>
      <c r="K694" t="n">
        <v>3.522</v>
      </c>
      <c r="L694" t="n">
        <v>16.9</v>
      </c>
      <c r="N694">
        <f>IF(OR(E694="",C694=""),"",E694-C694/42)</f>
        <v/>
      </c>
      <c r="O694">
        <f>IF(OR(E694="",D694=""),"",E694-D694/42)</f>
        <v/>
      </c>
      <c r="P694">
        <f>IF(L694="",M694/100,H694*L694/100)</f>
        <v/>
      </c>
      <c r="Q694">
        <f>H694-C694/42-P694</f>
        <v/>
      </c>
      <c r="R694">
        <f>H694-E694</f>
        <v/>
      </c>
    </row>
    <row r="695">
      <c r="A695" s="3" t="n">
        <v>43206</v>
      </c>
      <c r="B695" s="3" t="n">
        <v>43203</v>
      </c>
      <c r="C695" t="n">
        <v>66.02</v>
      </c>
      <c r="D695" t="n">
        <v>71.23999999999999</v>
      </c>
      <c r="E695" t="n">
        <v>1.957</v>
      </c>
      <c r="F695" t="n">
        <v>1.967</v>
      </c>
      <c r="G695" t="n">
        <v>2.206</v>
      </c>
      <c r="H695" t="n">
        <v>2.747</v>
      </c>
      <c r="J695" t="n">
        <v>2.734</v>
      </c>
      <c r="K695" t="n">
        <v>3.553</v>
      </c>
      <c r="L695" t="n">
        <v>16.9</v>
      </c>
      <c r="N695">
        <f>IF(OR(E695="",C695=""),"",E695-C695/42)</f>
        <v/>
      </c>
      <c r="O695">
        <f>IF(OR(E695="",D695=""),"",E695-D695/42)</f>
        <v/>
      </c>
      <c r="P695">
        <f>IF(L695="",M695/100,H695*L695/100)</f>
        <v/>
      </c>
      <c r="Q695">
        <f>H695-C695/42-P695</f>
        <v/>
      </c>
      <c r="R695">
        <f>H695-E695</f>
        <v/>
      </c>
    </row>
    <row r="696">
      <c r="A696" s="3" t="n">
        <v>43213</v>
      </c>
      <c r="B696" s="3" t="n">
        <v>43210</v>
      </c>
      <c r="C696" t="n">
        <v>67.55</v>
      </c>
      <c r="D696" t="n">
        <v>73.39</v>
      </c>
      <c r="E696" t="n">
        <v>1.991</v>
      </c>
      <c r="F696" t="n">
        <v>2.039</v>
      </c>
      <c r="G696" t="n">
        <v>2.21</v>
      </c>
      <c r="H696" t="n">
        <v>2.798</v>
      </c>
      <c r="J696" t="n">
        <v>2.772</v>
      </c>
      <c r="K696" t="n">
        <v>3.567</v>
      </c>
      <c r="L696" t="n">
        <v>16.9</v>
      </c>
      <c r="N696">
        <f>IF(OR(E696="",C696=""),"",E696-C696/42)</f>
        <v/>
      </c>
      <c r="O696">
        <f>IF(OR(E696="",D696=""),"",E696-D696/42)</f>
        <v/>
      </c>
      <c r="P696">
        <f>IF(L696="",M696/100,H696*L696/100)</f>
        <v/>
      </c>
      <c r="Q696">
        <f>H696-C696/42-P696</f>
        <v/>
      </c>
      <c r="R696">
        <f>H696-E696</f>
        <v/>
      </c>
    </row>
    <row r="697">
      <c r="A697" s="3" t="n">
        <v>43220</v>
      </c>
      <c r="B697" s="3" t="n">
        <v>43217</v>
      </c>
      <c r="C697" t="n">
        <v>67.91</v>
      </c>
      <c r="D697" t="n">
        <v>74.98</v>
      </c>
      <c r="E697" t="n">
        <v>2.029</v>
      </c>
      <c r="F697" t="n">
        <v>2.073</v>
      </c>
      <c r="G697" t="n">
        <v>2.252</v>
      </c>
      <c r="H697" t="n">
        <v>2.846</v>
      </c>
      <c r="J697" t="n">
        <v>2.803</v>
      </c>
      <c r="K697" t="n">
        <v>3.609</v>
      </c>
      <c r="L697" t="n">
        <v>16.9</v>
      </c>
      <c r="N697">
        <f>IF(OR(E697="",C697=""),"",E697-C697/42)</f>
        <v/>
      </c>
      <c r="O697">
        <f>IF(OR(E697="",D697=""),"",E697-D697/42)</f>
        <v/>
      </c>
      <c r="P697">
        <f>IF(L697="",M697/100,H697*L697/100)</f>
        <v/>
      </c>
      <c r="Q697">
        <f>H697-C697/42-P697</f>
        <v/>
      </c>
      <c r="R697">
        <f>H697-E697</f>
        <v/>
      </c>
    </row>
    <row r="698">
      <c r="A698" s="3" t="n">
        <v>43227</v>
      </c>
      <c r="B698" s="3" t="n">
        <v>43224</v>
      </c>
      <c r="C698" t="n">
        <v>68.38</v>
      </c>
      <c r="D698" t="n">
        <v>74.42</v>
      </c>
      <c r="E698" t="n">
        <v>2.023</v>
      </c>
      <c r="F698" t="n">
        <v>2.057</v>
      </c>
      <c r="G698" t="n">
        <v>2.283</v>
      </c>
      <c r="H698" t="n">
        <v>2.845</v>
      </c>
      <c r="J698" t="n">
        <v>2.821</v>
      </c>
      <c r="K698" t="n">
        <v>3.632</v>
      </c>
      <c r="L698" t="n">
        <v>16.1</v>
      </c>
      <c r="N698">
        <f>IF(OR(E698="",C698=""),"",E698-C698/42)</f>
        <v/>
      </c>
      <c r="O698">
        <f>IF(OR(E698="",D698=""),"",E698-D698/42)</f>
        <v/>
      </c>
      <c r="P698">
        <f>IF(L698="",M698/100,H698*L698/100)</f>
        <v/>
      </c>
      <c r="Q698">
        <f>H698-C698/42-P698</f>
        <v/>
      </c>
      <c r="R698">
        <f>H698-E698</f>
        <v/>
      </c>
    </row>
    <row r="699">
      <c r="A699" s="3" t="n">
        <v>43234</v>
      </c>
      <c r="B699" s="3" t="n">
        <v>43231</v>
      </c>
      <c r="C699" t="n">
        <v>70.56</v>
      </c>
      <c r="D699" t="n">
        <v>76.68000000000001</v>
      </c>
      <c r="E699" t="n">
        <v>2.072</v>
      </c>
      <c r="F699" t="n">
        <v>2.114</v>
      </c>
      <c r="G699" t="n">
        <v>2.349</v>
      </c>
      <c r="H699" t="n">
        <v>2.873</v>
      </c>
      <c r="J699" t="n">
        <v>2.922</v>
      </c>
      <c r="K699" t="n">
        <v>3.599</v>
      </c>
      <c r="L699" t="n">
        <v>16.1</v>
      </c>
      <c r="N699">
        <f>IF(OR(E699="",C699=""),"",E699-C699/42)</f>
        <v/>
      </c>
      <c r="O699">
        <f>IF(OR(E699="",D699=""),"",E699-D699/42)</f>
        <v/>
      </c>
      <c r="P699">
        <f>IF(L699="",M699/100,H699*L699/100)</f>
        <v/>
      </c>
      <c r="Q699">
        <f>H699-C699/42-P699</f>
        <v/>
      </c>
      <c r="R699">
        <f>H699-E699</f>
        <v/>
      </c>
    </row>
    <row r="700">
      <c r="A700" s="3" t="n">
        <v>43241</v>
      </c>
      <c r="B700" s="3" t="n">
        <v>43238</v>
      </c>
      <c r="C700" t="n">
        <v>71.3</v>
      </c>
      <c r="D700" t="n">
        <v>78.75</v>
      </c>
      <c r="E700" t="n">
        <v>2.135</v>
      </c>
      <c r="F700" t="n">
        <v>2.181</v>
      </c>
      <c r="G700" t="n">
        <v>2.289</v>
      </c>
      <c r="H700" t="n">
        <v>2.923</v>
      </c>
      <c r="J700" t="n">
        <v>2.968</v>
      </c>
      <c r="K700" t="n">
        <v>3.618</v>
      </c>
      <c r="L700" t="n">
        <v>16.1</v>
      </c>
      <c r="N700">
        <f>IF(OR(E700="",C700=""),"",E700-C700/42)</f>
        <v/>
      </c>
      <c r="O700">
        <f>IF(OR(E700="",D700=""),"",E700-D700/42)</f>
        <v/>
      </c>
      <c r="P700">
        <f>IF(L700="",M700/100,H700*L700/100)</f>
        <v/>
      </c>
      <c r="Q700">
        <f>H700-C700/42-P700</f>
        <v/>
      </c>
      <c r="R700">
        <f>H700-E700</f>
        <v/>
      </c>
    </row>
    <row r="701">
      <c r="A701" s="3" t="n">
        <v>43248</v>
      </c>
      <c r="B701" s="3" t="n">
        <v>43245</v>
      </c>
      <c r="C701" t="n">
        <v>70.98</v>
      </c>
      <c r="D701" t="n">
        <v>78.59</v>
      </c>
      <c r="E701" t="n">
        <v>2.142</v>
      </c>
      <c r="F701" t="n">
        <v>2.179</v>
      </c>
      <c r="G701" t="n">
        <v>2.291</v>
      </c>
      <c r="H701" t="n">
        <v>2.962</v>
      </c>
      <c r="J701" t="n">
        <v>2.991</v>
      </c>
      <c r="K701" t="n">
        <v>3.636</v>
      </c>
      <c r="L701" t="n">
        <v>16.1</v>
      </c>
      <c r="N701">
        <f>IF(OR(E701="",C701=""),"",E701-C701/42)</f>
        <v/>
      </c>
      <c r="O701">
        <f>IF(OR(E701="",D701=""),"",E701-D701/42)</f>
        <v/>
      </c>
      <c r="P701">
        <f>IF(L701="",M701/100,H701*L701/100)</f>
        <v/>
      </c>
      <c r="Q701">
        <f>H701-C701/42-P701</f>
        <v/>
      </c>
      <c r="R701">
        <f>H701-E701</f>
        <v/>
      </c>
    </row>
    <row r="702">
      <c r="A702" s="3" t="n">
        <v>43255</v>
      </c>
      <c r="B702" s="3" t="n">
        <v>43252</v>
      </c>
      <c r="C702" t="n">
        <v>66.95999999999999</v>
      </c>
      <c r="D702" t="n">
        <v>75.34999999999999</v>
      </c>
      <c r="E702" t="n">
        <v>2.067</v>
      </c>
      <c r="F702" t="n">
        <v>2.097</v>
      </c>
      <c r="G702" t="n">
        <v>2.257</v>
      </c>
      <c r="H702" t="n">
        <v>2.94</v>
      </c>
      <c r="J702" t="n">
        <v>2.995</v>
      </c>
      <c r="K702" t="n">
        <v>3.632</v>
      </c>
      <c r="L702" t="n">
        <v>16.2</v>
      </c>
      <c r="N702">
        <f>IF(OR(E702="",C702=""),"",E702-C702/42)</f>
        <v/>
      </c>
      <c r="O702">
        <f>IF(OR(E702="",D702=""),"",E702-D702/42)</f>
        <v/>
      </c>
      <c r="P702">
        <f>IF(L702="",M702/100,H702*L702/100)</f>
        <v/>
      </c>
      <c r="Q702">
        <f>H702-C702/42-P702</f>
        <v/>
      </c>
      <c r="R702">
        <f>H702-E702</f>
        <v/>
      </c>
    </row>
    <row r="703">
      <c r="A703" s="3" t="n">
        <v>43262</v>
      </c>
      <c r="B703" s="3" t="n">
        <v>43259</v>
      </c>
      <c r="C703" t="n">
        <v>65.34999999999999</v>
      </c>
      <c r="D703" t="n">
        <v>73.98</v>
      </c>
      <c r="E703" t="n">
        <v>2.017</v>
      </c>
      <c r="F703" t="n">
        <v>2.048</v>
      </c>
      <c r="G703" t="n">
        <v>2.18</v>
      </c>
      <c r="H703" t="n">
        <v>2.911</v>
      </c>
      <c r="J703" t="n">
        <v>2.99</v>
      </c>
      <c r="K703" t="n">
        <v>3.618</v>
      </c>
      <c r="L703" t="n">
        <v>16.2</v>
      </c>
      <c r="N703">
        <f>IF(OR(E703="",C703=""),"",E703-C703/42)</f>
        <v/>
      </c>
      <c r="O703">
        <f>IF(OR(E703="",D703=""),"",E703-D703/42)</f>
        <v/>
      </c>
      <c r="P703">
        <f>IF(L703="",M703/100,H703*L703/100)</f>
        <v/>
      </c>
      <c r="Q703">
        <f>H703-C703/42-P703</f>
        <v/>
      </c>
      <c r="R703">
        <f>H703-E703</f>
        <v/>
      </c>
    </row>
    <row r="704">
      <c r="A704" s="3" t="n">
        <v>43269</v>
      </c>
      <c r="B704" s="3" t="n">
        <v>43266</v>
      </c>
      <c r="C704" t="n">
        <v>66.20999999999999</v>
      </c>
      <c r="D704" t="n">
        <v>74.26000000000001</v>
      </c>
      <c r="E704" t="n">
        <v>1.993</v>
      </c>
      <c r="F704" t="n">
        <v>2.024</v>
      </c>
      <c r="G704" t="n">
        <v>2.128</v>
      </c>
      <c r="H704" t="n">
        <v>2.879</v>
      </c>
      <c r="J704" t="n">
        <v>2.977</v>
      </c>
      <c r="K704" t="n">
        <v>3.591</v>
      </c>
      <c r="L704" t="n">
        <v>16.2</v>
      </c>
      <c r="N704">
        <f>IF(OR(E704="",C704=""),"",E704-C704/42)</f>
        <v/>
      </c>
      <c r="O704">
        <f>IF(OR(E704="",D704=""),"",E704-D704/42)</f>
        <v/>
      </c>
      <c r="P704">
        <f>IF(L704="",M704/100,H704*L704/100)</f>
        <v/>
      </c>
      <c r="Q704">
        <f>H704-C704/42-P704</f>
        <v/>
      </c>
      <c r="R704">
        <f>H704-E704</f>
        <v/>
      </c>
    </row>
    <row r="705">
      <c r="A705" s="3" t="n">
        <v>43276</v>
      </c>
      <c r="B705" s="3" t="n">
        <v>43273</v>
      </c>
      <c r="C705" t="n">
        <v>66.31999999999999</v>
      </c>
      <c r="D705" t="n">
        <v>74.12</v>
      </c>
      <c r="E705" t="n">
        <v>1.958</v>
      </c>
      <c r="F705" t="n">
        <v>1.984</v>
      </c>
      <c r="G705" t="n">
        <v>2.068</v>
      </c>
      <c r="H705" t="n">
        <v>2.833</v>
      </c>
      <c r="J705" t="n">
        <v>2.96</v>
      </c>
      <c r="K705" t="n">
        <v>3.562</v>
      </c>
      <c r="L705" t="n">
        <v>16.2</v>
      </c>
      <c r="N705">
        <f>IF(OR(E705="",C705=""),"",E705-C705/42)</f>
        <v/>
      </c>
      <c r="O705">
        <f>IF(OR(E705="",D705=""),"",E705-D705/42)</f>
        <v/>
      </c>
      <c r="P705">
        <f>IF(L705="",M705/100,H705*L705/100)</f>
        <v/>
      </c>
      <c r="Q705">
        <f>H705-C705/42-P705</f>
        <v/>
      </c>
      <c r="R705">
        <f>H705-E705</f>
        <v/>
      </c>
    </row>
    <row r="706">
      <c r="A706" s="3" t="n">
        <v>43283</v>
      </c>
      <c r="B706" s="3" t="n">
        <v>43280</v>
      </c>
      <c r="C706" t="n">
        <v>74.03</v>
      </c>
      <c r="D706" t="n">
        <v>75.23999999999999</v>
      </c>
      <c r="E706" t="n">
        <v>2.03</v>
      </c>
      <c r="F706" t="n">
        <v>2.053</v>
      </c>
      <c r="G706" t="n">
        <v>2.149</v>
      </c>
      <c r="H706" t="n">
        <v>2.844</v>
      </c>
      <c r="J706" t="n">
        <v>2.968</v>
      </c>
      <c r="K706" t="n">
        <v>3.546</v>
      </c>
      <c r="L706" t="n">
        <v>16.5</v>
      </c>
      <c r="N706">
        <f>IF(OR(E706="",C706=""),"",E706-C706/42)</f>
        <v/>
      </c>
      <c r="O706">
        <f>IF(OR(E706="",D706=""),"",E706-D706/42)</f>
        <v/>
      </c>
      <c r="P706">
        <f>IF(L706="",M706/100,H706*L706/100)</f>
        <v/>
      </c>
      <c r="Q706">
        <f>H706-C706/42-P706</f>
        <v/>
      </c>
      <c r="R706">
        <f>H706-E706</f>
        <v/>
      </c>
    </row>
    <row r="707">
      <c r="A707" s="3" t="n">
        <v>43290</v>
      </c>
      <c r="B707" s="3" t="n">
        <v>43287</v>
      </c>
      <c r="C707" t="n">
        <v>73.73</v>
      </c>
      <c r="D707" t="n">
        <v>76.33</v>
      </c>
      <c r="E707" t="n">
        <v>2.051</v>
      </c>
      <c r="F707" t="n">
        <v>2.088</v>
      </c>
      <c r="G707" t="n">
        <v>2.172</v>
      </c>
      <c r="H707" t="n">
        <v>2.857</v>
      </c>
      <c r="J707" t="n">
        <v>2.966</v>
      </c>
      <c r="K707" t="n">
        <v>3.55</v>
      </c>
      <c r="L707" t="n">
        <v>16.5</v>
      </c>
      <c r="N707">
        <f>IF(OR(E707="",C707=""),"",E707-C707/42)</f>
        <v/>
      </c>
      <c r="O707">
        <f>IF(OR(E707="",D707=""),"",E707-D707/42)</f>
        <v/>
      </c>
      <c r="P707">
        <f>IF(L707="",M707/100,H707*L707/100)</f>
        <v/>
      </c>
      <c r="Q707">
        <f>H707-C707/42-P707</f>
        <v/>
      </c>
      <c r="R707">
        <f>H707-E707</f>
        <v/>
      </c>
    </row>
    <row r="708">
      <c r="A708" s="3" t="n">
        <v>43297</v>
      </c>
      <c r="B708" s="3" t="n">
        <v>43294</v>
      </c>
      <c r="C708" t="n">
        <v>71.95999999999999</v>
      </c>
      <c r="D708" t="n">
        <v>75.29000000000001</v>
      </c>
      <c r="E708" t="n">
        <v>2.054</v>
      </c>
      <c r="F708" t="n">
        <v>2.075</v>
      </c>
      <c r="G708" t="n">
        <v>2.174</v>
      </c>
      <c r="H708" t="n">
        <v>2.865</v>
      </c>
      <c r="J708" t="n">
        <v>2.955</v>
      </c>
      <c r="K708" t="n">
        <v>3.535</v>
      </c>
      <c r="L708" t="n">
        <v>16.5</v>
      </c>
      <c r="N708">
        <f>IF(OR(E708="",C708=""),"",E708-C708/42)</f>
        <v/>
      </c>
      <c r="O708">
        <f>IF(OR(E708="",D708=""),"",E708-D708/42)</f>
        <v/>
      </c>
      <c r="P708">
        <f>IF(L708="",M708/100,H708*L708/100)</f>
        <v/>
      </c>
      <c r="Q708">
        <f>H708-C708/42-P708</f>
        <v/>
      </c>
      <c r="R708">
        <f>H708-E708</f>
        <v/>
      </c>
    </row>
    <row r="709">
      <c r="A709" s="3" t="n">
        <v>43304</v>
      </c>
      <c r="B709" s="3" t="n">
        <v>43301</v>
      </c>
      <c r="C709" t="n">
        <v>68.95</v>
      </c>
      <c r="D709" t="n">
        <v>71.27</v>
      </c>
      <c r="E709" t="n">
        <v>1.98</v>
      </c>
      <c r="F709" t="n">
        <v>2.007</v>
      </c>
      <c r="G709" t="n">
        <v>2.053</v>
      </c>
      <c r="H709" t="n">
        <v>2.831</v>
      </c>
      <c r="J709" t="n">
        <v>2.934</v>
      </c>
      <c r="K709" t="n">
        <v>3.514</v>
      </c>
      <c r="L709" t="n">
        <v>16.5</v>
      </c>
      <c r="N709">
        <f>IF(OR(E709="",C709=""),"",E709-C709/42)</f>
        <v/>
      </c>
      <c r="O709">
        <f>IF(OR(E709="",D709=""),"",E709-D709/42)</f>
        <v/>
      </c>
      <c r="P709">
        <f>IF(L709="",M709/100,H709*L709/100)</f>
        <v/>
      </c>
      <c r="Q709">
        <f>H709-C709/42-P709</f>
        <v/>
      </c>
      <c r="R709">
        <f>H709-E709</f>
        <v/>
      </c>
    </row>
    <row r="710">
      <c r="A710" s="3" t="n">
        <v>43311</v>
      </c>
      <c r="B710" s="3" t="n">
        <v>43308</v>
      </c>
      <c r="C710" t="n">
        <v>70.01000000000001</v>
      </c>
      <c r="D710" t="n">
        <v>74</v>
      </c>
      <c r="E710" t="n">
        <v>2.063</v>
      </c>
      <c r="F710" t="n">
        <v>2.106</v>
      </c>
      <c r="G710" t="n">
        <v>2.15</v>
      </c>
      <c r="H710" t="n">
        <v>2.846</v>
      </c>
      <c r="J710" t="n">
        <v>2.913</v>
      </c>
      <c r="K710" t="n">
        <v>3.505</v>
      </c>
      <c r="L710" t="n">
        <v>16.5</v>
      </c>
      <c r="N710">
        <f>IF(OR(E710="",C710=""),"",E710-C710/42)</f>
        <v/>
      </c>
      <c r="O710">
        <f>IF(OR(E710="",D710=""),"",E710-D710/42)</f>
        <v/>
      </c>
      <c r="P710">
        <f>IF(L710="",M710/100,H710*L710/100)</f>
        <v/>
      </c>
      <c r="Q710">
        <f>H710-C710/42-P710</f>
        <v/>
      </c>
      <c r="R710">
        <f>H710-E710</f>
        <v/>
      </c>
    </row>
    <row r="711">
      <c r="A711" s="3" t="n">
        <v>43318</v>
      </c>
      <c r="B711" s="3" t="n">
        <v>43315</v>
      </c>
      <c r="C711" t="n">
        <v>69.45999999999999</v>
      </c>
      <c r="D711" t="n">
        <v>73.37</v>
      </c>
      <c r="E711" t="n">
        <v>2.061</v>
      </c>
      <c r="F711" t="n">
        <v>2.095</v>
      </c>
      <c r="G711" t="n">
        <v>2.115</v>
      </c>
      <c r="H711" t="n">
        <v>2.852</v>
      </c>
      <c r="J711" t="n">
        <v>2.924</v>
      </c>
      <c r="K711" t="n">
        <v>3.501</v>
      </c>
      <c r="L711" t="n">
        <v>16.6</v>
      </c>
      <c r="N711">
        <f>IF(OR(E711="",C711=""),"",E711-C711/42)</f>
        <v/>
      </c>
      <c r="O711">
        <f>IF(OR(E711="",D711=""),"",E711-D711/42)</f>
        <v/>
      </c>
      <c r="P711">
        <f>IF(L711="",M711/100,H711*L711/100)</f>
        <v/>
      </c>
      <c r="Q711">
        <f>H711-C711/42-P711</f>
        <v/>
      </c>
      <c r="R711">
        <f>H711-E711</f>
        <v/>
      </c>
    </row>
    <row r="712">
      <c r="A712" s="3" t="n">
        <v>43325</v>
      </c>
      <c r="B712" s="3" t="n">
        <v>43322</v>
      </c>
      <c r="C712" t="n">
        <v>67.90000000000001</v>
      </c>
      <c r="D712" t="n">
        <v>71.42</v>
      </c>
      <c r="E712" t="n">
        <v>2.018</v>
      </c>
      <c r="F712" t="n">
        <v>2.068</v>
      </c>
      <c r="G712" t="n">
        <v>2.025</v>
      </c>
      <c r="H712" t="n">
        <v>2.843</v>
      </c>
      <c r="J712" t="n">
        <v>2.944</v>
      </c>
      <c r="K712" t="n">
        <v>3.491</v>
      </c>
      <c r="L712" t="n">
        <v>16.6</v>
      </c>
      <c r="N712">
        <f>IF(OR(E712="",C712=""),"",E712-C712/42)</f>
        <v/>
      </c>
      <c r="O712">
        <f>IF(OR(E712="",D712=""),"",E712-D712/42)</f>
        <v/>
      </c>
      <c r="P712">
        <f>IF(L712="",M712/100,H712*L712/100)</f>
        <v/>
      </c>
      <c r="Q712">
        <f>H712-C712/42-P712</f>
        <v/>
      </c>
      <c r="R712">
        <f>H712-E712</f>
        <v/>
      </c>
    </row>
    <row r="713">
      <c r="A713" s="3" t="n">
        <v>43332</v>
      </c>
      <c r="B713" s="3" t="n">
        <v>43329</v>
      </c>
      <c r="C713" t="n">
        <v>66.15000000000001</v>
      </c>
      <c r="D713" t="n">
        <v>69.81999999999999</v>
      </c>
      <c r="E713" t="n">
        <v>1.989</v>
      </c>
      <c r="F713" t="n">
        <v>2.03</v>
      </c>
      <c r="G713" t="n">
        <v>1.957</v>
      </c>
      <c r="H713" t="n">
        <v>2.821</v>
      </c>
      <c r="J713" t="n">
        <v>2.963</v>
      </c>
      <c r="K713" t="n">
        <v>3.462</v>
      </c>
      <c r="L713" t="n">
        <v>16.6</v>
      </c>
      <c r="N713">
        <f>IF(OR(E713="",C713=""),"",E713-C713/42)</f>
        <v/>
      </c>
      <c r="O713">
        <f>IF(OR(E713="",D713=""),"",E713-D713/42)</f>
        <v/>
      </c>
      <c r="P713">
        <f>IF(L713="",M713/100,H713*L713/100)</f>
        <v/>
      </c>
      <c r="Q713">
        <f>H713-C713/42-P713</f>
        <v/>
      </c>
      <c r="R713">
        <f>H713-E713</f>
        <v/>
      </c>
    </row>
    <row r="714">
      <c r="A714" s="3" t="n">
        <v>43339</v>
      </c>
      <c r="B714" s="3" t="n">
        <v>43336</v>
      </c>
      <c r="C714" t="n">
        <v>68.09999999999999</v>
      </c>
      <c r="D714" t="n">
        <v>72.77</v>
      </c>
      <c r="E714" t="n">
        <v>2.067</v>
      </c>
      <c r="F714" t="n">
        <v>2.077</v>
      </c>
      <c r="G714" t="n">
        <v>2.093</v>
      </c>
      <c r="H714" t="n">
        <v>2.827</v>
      </c>
      <c r="J714" t="n">
        <v>2.994</v>
      </c>
      <c r="K714" t="n">
        <v>3.471</v>
      </c>
      <c r="L714" t="n">
        <v>16.6</v>
      </c>
      <c r="N714">
        <f>IF(OR(E714="",C714=""),"",E714-C714/42)</f>
        <v/>
      </c>
      <c r="O714">
        <f>IF(OR(E714="",D714=""),"",E714-D714/42)</f>
        <v/>
      </c>
      <c r="P714">
        <f>IF(L714="",M714/100,H714*L714/100)</f>
        <v/>
      </c>
      <c r="Q714">
        <f>H714-C714/42-P714</f>
        <v/>
      </c>
      <c r="R714">
        <f>H714-E714</f>
        <v/>
      </c>
    </row>
    <row r="715">
      <c r="A715" s="3" t="n">
        <v>43346</v>
      </c>
      <c r="B715" s="3" t="n">
        <v>43343</v>
      </c>
      <c r="C715" t="n">
        <v>69.66</v>
      </c>
      <c r="D715" t="n">
        <v>76.08</v>
      </c>
      <c r="E715" t="n">
        <v>2.15</v>
      </c>
      <c r="F715" t="n">
        <v>2.13</v>
      </c>
      <c r="G715" t="n">
        <v>2.235</v>
      </c>
      <c r="H715" t="n">
        <v>2.824</v>
      </c>
      <c r="J715" t="n">
        <v>3.007</v>
      </c>
      <c r="K715" t="n">
        <v>3.498</v>
      </c>
      <c r="L715" t="n">
        <v>16.7</v>
      </c>
      <c r="N715">
        <f>IF(OR(E715="",C715=""),"",E715-C715/42)</f>
        <v/>
      </c>
      <c r="O715">
        <f>IF(OR(E715="",D715=""),"",E715-D715/42)</f>
        <v/>
      </c>
      <c r="P715">
        <f>IF(L715="",M715/100,H715*L715/100)</f>
        <v/>
      </c>
      <c r="Q715">
        <f>H715-C715/42-P715</f>
        <v/>
      </c>
      <c r="R715">
        <f>H715-E715</f>
        <v/>
      </c>
    </row>
    <row r="716">
      <c r="A716" s="3" t="n">
        <v>43353</v>
      </c>
      <c r="B716" s="3" t="n">
        <v>43350</v>
      </c>
      <c r="C716" t="n">
        <v>68.51000000000001</v>
      </c>
      <c r="D716" t="n">
        <v>76.64</v>
      </c>
      <c r="E716" t="n">
        <v>2.038</v>
      </c>
      <c r="F716" t="n">
        <v>2.098</v>
      </c>
      <c r="G716" t="n">
        <v>2.19</v>
      </c>
      <c r="H716" t="n">
        <v>2.833</v>
      </c>
      <c r="J716" t="n">
        <v>3.008</v>
      </c>
      <c r="K716" t="n">
        <v>3.513</v>
      </c>
      <c r="L716" t="n">
        <v>16.7</v>
      </c>
      <c r="N716">
        <f>IF(OR(E716="",C716=""),"",E716-C716/42)</f>
        <v/>
      </c>
      <c r="O716">
        <f>IF(OR(E716="",D716=""),"",E716-D716/42)</f>
        <v/>
      </c>
      <c r="P716">
        <f>IF(L716="",M716/100,H716*L716/100)</f>
        <v/>
      </c>
      <c r="Q716">
        <f>H716-C716/42-P716</f>
        <v/>
      </c>
      <c r="R716">
        <f>H716-E716</f>
        <v/>
      </c>
    </row>
    <row r="717">
      <c r="A717" s="3" t="n">
        <v>43360</v>
      </c>
      <c r="B717" s="3" t="n">
        <v>43357</v>
      </c>
      <c r="C717" t="n">
        <v>68.95999999999999</v>
      </c>
      <c r="D717" t="n">
        <v>78.11</v>
      </c>
      <c r="E717" t="n">
        <v>2.009</v>
      </c>
      <c r="F717" t="n">
        <v>2.061</v>
      </c>
      <c r="G717" t="n">
        <v>2.178</v>
      </c>
      <c r="H717" t="n">
        <v>2.841</v>
      </c>
      <c r="J717" t="n">
        <v>3.014</v>
      </c>
      <c r="K717" t="n">
        <v>3.52</v>
      </c>
      <c r="L717" t="n">
        <v>16.7</v>
      </c>
      <c r="N717">
        <f>IF(OR(E717="",C717=""),"",E717-C717/42)</f>
        <v/>
      </c>
      <c r="O717">
        <f>IF(OR(E717="",D717=""),"",E717-D717/42)</f>
        <v/>
      </c>
      <c r="P717">
        <f>IF(L717="",M717/100,H717*L717/100)</f>
        <v/>
      </c>
      <c r="Q717">
        <f>H717-C717/42-P717</f>
        <v/>
      </c>
      <c r="R717">
        <f>H717-E717</f>
        <v/>
      </c>
    </row>
    <row r="718">
      <c r="A718" s="3" t="n">
        <v>43367</v>
      </c>
      <c r="B718" s="3" t="n">
        <v>43364</v>
      </c>
      <c r="C718" t="n">
        <v>70.28</v>
      </c>
      <c r="D718" t="n">
        <v>78.97</v>
      </c>
      <c r="E718" t="n">
        <v>2.019</v>
      </c>
      <c r="F718" t="n">
        <v>2.075</v>
      </c>
      <c r="G718" t="n">
        <v>2.183</v>
      </c>
      <c r="H718" t="n">
        <v>2.844</v>
      </c>
      <c r="J718" t="n">
        <v>3.014</v>
      </c>
      <c r="K718" t="n">
        <v>3.527</v>
      </c>
      <c r="L718" t="n">
        <v>16.7</v>
      </c>
      <c r="N718">
        <f>IF(OR(E718="",C718=""),"",E718-C718/42)</f>
        <v/>
      </c>
      <c r="O718">
        <f>IF(OR(E718="",D718=""),"",E718-D718/42)</f>
        <v/>
      </c>
      <c r="P718">
        <f>IF(L718="",M718/100,H718*L718/100)</f>
        <v/>
      </c>
      <c r="Q718">
        <f>H718-C718/42-P718</f>
        <v/>
      </c>
      <c r="R718">
        <f>H718-E718</f>
        <v/>
      </c>
    </row>
    <row r="719">
      <c r="A719" s="3" t="n">
        <v>43374</v>
      </c>
      <c r="B719" s="3" t="n">
        <v>43371</v>
      </c>
      <c r="C719" t="n">
        <v>72.84</v>
      </c>
      <c r="D719" t="n">
        <v>81.84999999999999</v>
      </c>
      <c r="E719" t="n">
        <v>2.113</v>
      </c>
      <c r="F719" t="n">
        <v>2.138</v>
      </c>
      <c r="G719" t="n">
        <v>2.344</v>
      </c>
      <c r="H719" t="n">
        <v>2.866</v>
      </c>
      <c r="J719" t="n">
        <v>3</v>
      </c>
      <c r="K719" t="n">
        <v>3.624</v>
      </c>
      <c r="L719" t="n">
        <v>16.4</v>
      </c>
      <c r="N719">
        <f>IF(OR(E719="",C719=""),"",E719-C719/42)</f>
        <v/>
      </c>
      <c r="O719">
        <f>IF(OR(E719="",D719=""),"",E719-D719/42)</f>
        <v/>
      </c>
      <c r="P719">
        <f>IF(L719="",M719/100,H719*L719/100)</f>
        <v/>
      </c>
      <c r="Q719">
        <f>H719-C719/42-P719</f>
        <v/>
      </c>
      <c r="R719">
        <f>H719-E719</f>
        <v/>
      </c>
    </row>
    <row r="720">
      <c r="A720" s="3" t="n">
        <v>43381</v>
      </c>
      <c r="B720" s="3" t="n">
        <v>43378</v>
      </c>
      <c r="C720" t="n">
        <v>75.13</v>
      </c>
      <c r="D720" t="n">
        <v>85.44</v>
      </c>
      <c r="E720" t="n">
        <v>2.161</v>
      </c>
      <c r="F720" t="n">
        <v>2.195</v>
      </c>
      <c r="G720" t="n">
        <v>2.429</v>
      </c>
      <c r="H720" t="n">
        <v>2.903</v>
      </c>
      <c r="J720" t="n">
        <v>2.999</v>
      </c>
      <c r="K720" t="n">
        <v>3.707</v>
      </c>
      <c r="L720" t="n">
        <v>16.4</v>
      </c>
      <c r="N720">
        <f>IF(OR(E720="",C720=""),"",E720-C720/42)</f>
        <v/>
      </c>
      <c r="O720">
        <f>IF(OR(E720="",D720=""),"",E720-D720/42)</f>
        <v/>
      </c>
      <c r="P720">
        <f>IF(L720="",M720/100,H720*L720/100)</f>
        <v/>
      </c>
      <c r="Q720">
        <f>H720-C720/42-P720</f>
        <v/>
      </c>
      <c r="R720">
        <f>H720-E720</f>
        <v/>
      </c>
    </row>
    <row r="721">
      <c r="A721" s="3" t="n">
        <v>43388</v>
      </c>
      <c r="B721" s="3" t="n">
        <v>43385</v>
      </c>
      <c r="C721" t="n">
        <v>72.95999999999999</v>
      </c>
      <c r="D721" t="n">
        <v>83.05</v>
      </c>
      <c r="E721" t="n">
        <v>2.041</v>
      </c>
      <c r="F721" t="n">
        <v>2.094</v>
      </c>
      <c r="G721" t="n">
        <v>2.349</v>
      </c>
      <c r="H721" t="n">
        <v>2.879</v>
      </c>
      <c r="J721" t="n">
        <v>2.982</v>
      </c>
      <c r="K721" t="n">
        <v>3.708</v>
      </c>
      <c r="L721" t="n">
        <v>16.4</v>
      </c>
      <c r="N721">
        <f>IF(OR(E721="",C721=""),"",E721-C721/42)</f>
        <v/>
      </c>
      <c r="O721">
        <f>IF(OR(E721="",D721=""),"",E721-D721/42)</f>
        <v/>
      </c>
      <c r="P721">
        <f>IF(L721="",M721/100,H721*L721/100)</f>
        <v/>
      </c>
      <c r="Q721">
        <f>H721-C721/42-P721</f>
        <v/>
      </c>
      <c r="R721">
        <f>H721-E721</f>
        <v/>
      </c>
    </row>
    <row r="722">
      <c r="A722" s="3" t="n">
        <v>43395</v>
      </c>
      <c r="B722" s="3" t="n">
        <v>43392</v>
      </c>
      <c r="C722" t="n">
        <v>70.23999999999999</v>
      </c>
      <c r="D722" t="n">
        <v>80.41</v>
      </c>
      <c r="E722" t="n">
        <v>1.941</v>
      </c>
      <c r="F722" t="n">
        <v>2.008</v>
      </c>
      <c r="G722" t="n">
        <v>2.3</v>
      </c>
      <c r="H722" t="n">
        <v>2.841</v>
      </c>
      <c r="J722" t="n">
        <v>2.963</v>
      </c>
      <c r="K722" t="n">
        <v>3.709</v>
      </c>
      <c r="L722" t="n">
        <v>16.4</v>
      </c>
      <c r="N722">
        <f>IF(OR(E722="",C722=""),"",E722-C722/42)</f>
        <v/>
      </c>
      <c r="O722">
        <f>IF(OR(E722="",D722=""),"",E722-D722/42)</f>
        <v/>
      </c>
      <c r="P722">
        <f>IF(L722="",M722/100,H722*L722/100)</f>
        <v/>
      </c>
      <c r="Q722">
        <f>H722-C722/42-P722</f>
        <v/>
      </c>
      <c r="R722">
        <f>H722-E722</f>
        <v/>
      </c>
    </row>
    <row r="723">
      <c r="A723" s="3" t="n">
        <v>43402</v>
      </c>
      <c r="B723" s="3" t="n">
        <v>43399</v>
      </c>
      <c r="C723" t="n">
        <v>67.43000000000001</v>
      </c>
      <c r="D723" t="n">
        <v>78.23</v>
      </c>
      <c r="E723" t="n">
        <v>1.831</v>
      </c>
      <c r="F723" t="n">
        <v>1.911</v>
      </c>
      <c r="G723" t="n">
        <v>2.131</v>
      </c>
      <c r="H723" t="n">
        <v>2.811</v>
      </c>
      <c r="J723" t="n">
        <v>2.958</v>
      </c>
      <c r="K723" t="n">
        <v>3.683</v>
      </c>
      <c r="L723" t="n">
        <v>16.4</v>
      </c>
      <c r="N723">
        <f>IF(OR(E723="",C723=""),"",E723-C723/42)</f>
        <v/>
      </c>
      <c r="O723">
        <f>IF(OR(E723="",D723=""),"",E723-D723/42)</f>
        <v/>
      </c>
      <c r="P723">
        <f>IF(L723="",M723/100,H723*L723/100)</f>
        <v/>
      </c>
      <c r="Q723">
        <f>H723-C723/42-P723</f>
        <v/>
      </c>
      <c r="R723">
        <f>H723-E723</f>
        <v/>
      </c>
    </row>
    <row r="724">
      <c r="A724" s="3" t="n">
        <v>43409</v>
      </c>
      <c r="B724" s="3" t="n">
        <v>43406</v>
      </c>
      <c r="C724" t="n">
        <v>65.06</v>
      </c>
      <c r="D724" t="n">
        <v>74.09</v>
      </c>
      <c r="E724" t="n">
        <v>1.772</v>
      </c>
      <c r="F724" t="n">
        <v>1.83</v>
      </c>
      <c r="G724" t="n">
        <v>1.886</v>
      </c>
      <c r="H724" t="n">
        <v>2.753</v>
      </c>
      <c r="J724" t="n">
        <v>2.935</v>
      </c>
      <c r="K724" t="n">
        <v>3.644</v>
      </c>
      <c r="L724" t="n">
        <v>17.8</v>
      </c>
      <c r="N724">
        <f>IF(OR(E724="",C724=""),"",E724-C724/42)</f>
        <v/>
      </c>
      <c r="O724">
        <f>IF(OR(E724="",D724=""),"",E724-D724/42)</f>
        <v/>
      </c>
      <c r="P724">
        <f>IF(L724="",M724/100,H724*L724/100)</f>
        <v/>
      </c>
      <c r="Q724">
        <f>H724-C724/42-P724</f>
        <v/>
      </c>
      <c r="R724">
        <f>H724-E724</f>
        <v/>
      </c>
    </row>
    <row r="725">
      <c r="A725" s="3" t="n">
        <v>43416</v>
      </c>
      <c r="B725" s="3" t="n">
        <v>43413</v>
      </c>
      <c r="C725" t="n">
        <v>61.57</v>
      </c>
      <c r="D725" t="n">
        <v>70.34</v>
      </c>
      <c r="E725" t="n">
        <v>1.655</v>
      </c>
      <c r="F725" t="n">
        <v>1.72</v>
      </c>
      <c r="G725" t="n">
        <v>1.815</v>
      </c>
      <c r="H725" t="n">
        <v>2.686</v>
      </c>
      <c r="J725" t="n">
        <v>2.891</v>
      </c>
      <c r="K725" t="n">
        <v>3.582</v>
      </c>
      <c r="L725" t="n">
        <v>17.8</v>
      </c>
      <c r="N725">
        <f>IF(OR(E725="",C725=""),"",E725-C725/42)</f>
        <v/>
      </c>
      <c r="O725">
        <f>IF(OR(E725="",D725=""),"",E725-D725/42)</f>
        <v/>
      </c>
      <c r="P725">
        <f>IF(L725="",M725/100,H725*L725/100)</f>
        <v/>
      </c>
      <c r="Q725">
        <f>H725-C725/42-P725</f>
        <v/>
      </c>
      <c r="R725">
        <f>H725-E725</f>
        <v/>
      </c>
    </row>
    <row r="726">
      <c r="A726" s="3" t="n">
        <v>43423</v>
      </c>
      <c r="B726" s="3" t="n">
        <v>43420</v>
      </c>
      <c r="C726" t="n">
        <v>56.92</v>
      </c>
      <c r="D726" t="n">
        <v>66.20999999999999</v>
      </c>
      <c r="E726" t="n">
        <v>1.533</v>
      </c>
      <c r="F726" t="n">
        <v>1.634</v>
      </c>
      <c r="G726" t="n">
        <v>1.654</v>
      </c>
      <c r="H726" t="n">
        <v>2.611</v>
      </c>
      <c r="J726" t="n">
        <v>2.828</v>
      </c>
      <c r="K726" t="n">
        <v>3.526</v>
      </c>
      <c r="L726" t="n">
        <v>17.8</v>
      </c>
      <c r="N726">
        <f>IF(OR(E726="",C726=""),"",E726-C726/42)</f>
        <v/>
      </c>
      <c r="O726">
        <f>IF(OR(E726="",D726=""),"",E726-D726/42)</f>
        <v/>
      </c>
      <c r="P726">
        <f>IF(L726="",M726/100,H726*L726/100)</f>
        <v/>
      </c>
      <c r="Q726">
        <f>H726-C726/42-P726</f>
        <v/>
      </c>
      <c r="R726">
        <f>H726-E726</f>
        <v/>
      </c>
    </row>
    <row r="727">
      <c r="A727" s="3" t="n">
        <v>43430</v>
      </c>
      <c r="B727" s="3" t="n">
        <v>43427</v>
      </c>
      <c r="C727" t="n">
        <v>54.99</v>
      </c>
      <c r="D727" t="n">
        <v>61.22</v>
      </c>
      <c r="E727" t="n">
        <v>1.503</v>
      </c>
      <c r="F727" t="n">
        <v>1.587</v>
      </c>
      <c r="G727" t="n">
        <v>1.809</v>
      </c>
      <c r="H727" t="n">
        <v>2.539</v>
      </c>
      <c r="J727" t="n">
        <v>2.796</v>
      </c>
      <c r="K727" t="n">
        <v>3.478</v>
      </c>
      <c r="L727" t="n">
        <v>17.8</v>
      </c>
      <c r="N727">
        <f>IF(OR(E727="",C727=""),"",E727-C727/42)</f>
        <v/>
      </c>
      <c r="O727">
        <f>IF(OR(E727="",D727=""),"",E727-D727/42)</f>
        <v/>
      </c>
      <c r="P727">
        <f>IF(L727="",M727/100,H727*L727/100)</f>
        <v/>
      </c>
      <c r="Q727">
        <f>H727-C727/42-P727</f>
        <v/>
      </c>
      <c r="R727">
        <f>H727-E727</f>
        <v/>
      </c>
    </row>
    <row r="728">
      <c r="A728" s="3" t="n">
        <v>43437</v>
      </c>
      <c r="B728" s="3" t="n">
        <v>43434</v>
      </c>
      <c r="C728" t="n">
        <v>51.01</v>
      </c>
      <c r="D728" t="n">
        <v>58.65</v>
      </c>
      <c r="E728" t="n">
        <v>1.424</v>
      </c>
      <c r="F728" t="n">
        <v>1.503</v>
      </c>
      <c r="G728" t="n">
        <v>1.648</v>
      </c>
      <c r="H728" t="n">
        <v>2.451</v>
      </c>
      <c r="J728" t="n">
        <v>2.717</v>
      </c>
      <c r="K728" t="n">
        <v>3.399</v>
      </c>
      <c r="L728" t="n">
        <v>19.9</v>
      </c>
      <c r="N728">
        <f>IF(OR(E728="",C728=""),"",E728-C728/42)</f>
        <v/>
      </c>
      <c r="O728">
        <f>IF(OR(E728="",D728=""),"",E728-D728/42)</f>
        <v/>
      </c>
      <c r="P728">
        <f>IF(L728="",M728/100,H728*L728/100)</f>
        <v/>
      </c>
      <c r="Q728">
        <f>H728-C728/42-P728</f>
        <v/>
      </c>
      <c r="R728">
        <f>H728-E728</f>
        <v/>
      </c>
    </row>
    <row r="729">
      <c r="A729" s="3" t="n">
        <v>43444</v>
      </c>
      <c r="B729" s="3" t="n">
        <v>43441</v>
      </c>
      <c r="C729" t="n">
        <v>52.63</v>
      </c>
      <c r="D729" t="n">
        <v>60.47</v>
      </c>
      <c r="E729" t="n">
        <v>1.441</v>
      </c>
      <c r="F729" t="n">
        <v>1.53</v>
      </c>
      <c r="G729" t="n">
        <v>1.524</v>
      </c>
      <c r="H729" t="n">
        <v>2.421</v>
      </c>
      <c r="J729" t="n">
        <v>2.655</v>
      </c>
      <c r="K729" t="n">
        <v>3.318</v>
      </c>
      <c r="L729" t="n">
        <v>19.9</v>
      </c>
      <c r="N729">
        <f>IF(OR(E729="",C729=""),"",E729-C729/42)</f>
        <v/>
      </c>
      <c r="O729">
        <f>IF(OR(E729="",D729=""),"",E729-D729/42)</f>
        <v/>
      </c>
      <c r="P729">
        <f>IF(L729="",M729/100,H729*L729/100)</f>
        <v/>
      </c>
      <c r="Q729">
        <f>H729-C729/42-P729</f>
        <v/>
      </c>
      <c r="R729">
        <f>H729-E729</f>
        <v/>
      </c>
    </row>
    <row r="730">
      <c r="A730" s="3" t="n">
        <v>43451</v>
      </c>
      <c r="B730" s="3" t="n">
        <v>43448</v>
      </c>
      <c r="C730" t="n">
        <v>51.54</v>
      </c>
      <c r="D730" t="n">
        <v>59.51</v>
      </c>
      <c r="E730" t="n">
        <v>1.416</v>
      </c>
      <c r="F730" t="n">
        <v>1.506</v>
      </c>
      <c r="G730" t="n">
        <v>1.529</v>
      </c>
      <c r="H730" t="n">
        <v>2.369</v>
      </c>
      <c r="J730" t="n">
        <v>2.575</v>
      </c>
      <c r="K730" t="n">
        <v>3.271</v>
      </c>
      <c r="L730" t="n">
        <v>19.9</v>
      </c>
      <c r="N730">
        <f>IF(OR(E730="",C730=""),"",E730-C730/42)</f>
        <v/>
      </c>
      <c r="O730">
        <f>IF(OR(E730="",D730=""),"",E730-D730/42)</f>
        <v/>
      </c>
      <c r="P730">
        <f>IF(L730="",M730/100,H730*L730/100)</f>
        <v/>
      </c>
      <c r="Q730">
        <f>H730-C730/42-P730</f>
        <v/>
      </c>
      <c r="R730">
        <f>H730-E730</f>
        <v/>
      </c>
    </row>
    <row r="731">
      <c r="A731" s="3" t="n">
        <v>43458</v>
      </c>
      <c r="B731" s="3" t="n">
        <v>43455</v>
      </c>
      <c r="C731" t="n">
        <v>46.98</v>
      </c>
      <c r="D731" t="n">
        <v>54.64</v>
      </c>
      <c r="E731" t="n">
        <v>1.311</v>
      </c>
      <c r="F731" t="n">
        <v>1.405</v>
      </c>
      <c r="G731" t="n">
        <v>1.773</v>
      </c>
      <c r="H731" t="n">
        <v>2.321</v>
      </c>
      <c r="J731" t="n">
        <v>2.485</v>
      </c>
      <c r="K731" t="n">
        <v>3.253</v>
      </c>
      <c r="L731" t="n">
        <v>19.9</v>
      </c>
      <c r="N731">
        <f>IF(OR(E731="",C731=""),"",E731-C731/42)</f>
        <v/>
      </c>
      <c r="O731">
        <f>IF(OR(E731="",D731=""),"",E731-D731/42)</f>
        <v/>
      </c>
      <c r="P731">
        <f>IF(L731="",M731/100,H731*L731/100)</f>
        <v/>
      </c>
      <c r="Q731">
        <f>H731-C731/42-P731</f>
        <v/>
      </c>
      <c r="R731">
        <f>H731-E731</f>
        <v/>
      </c>
    </row>
    <row r="732">
      <c r="A732" s="3" t="n">
        <v>43465</v>
      </c>
      <c r="B732" s="3" t="n">
        <v>43462</v>
      </c>
      <c r="C732" t="n">
        <v>45.22</v>
      </c>
      <c r="D732" t="n">
        <v>51.03</v>
      </c>
      <c r="E732" t="n">
        <v>1.277</v>
      </c>
      <c r="F732" t="n">
        <v>1.372</v>
      </c>
      <c r="G732" t="n">
        <v>1.569</v>
      </c>
      <c r="H732" t="n">
        <v>2.266</v>
      </c>
      <c r="J732" t="n">
        <v>2.429</v>
      </c>
      <c r="K732" t="n">
        <v>3.219</v>
      </c>
      <c r="L732" t="n">
        <v>19.9</v>
      </c>
      <c r="N732">
        <f>IF(OR(E732="",C732=""),"",E732-C732/42)</f>
        <v/>
      </c>
      <c r="O732">
        <f>IF(OR(E732="",D732=""),"",E732-D732/42)</f>
        <v/>
      </c>
      <c r="P732">
        <f>IF(L732="",M732/100,H732*L732/100)</f>
        <v/>
      </c>
      <c r="Q732">
        <f>H732-C732/42-P732</f>
        <v/>
      </c>
      <c r="R732">
        <f>H732-E732</f>
        <v/>
      </c>
    </row>
    <row r="733">
      <c r="A733" s="3" t="n">
        <v>43472</v>
      </c>
      <c r="B733" s="3" t="n">
        <v>43469</v>
      </c>
      <c r="C733" t="n">
        <v>47</v>
      </c>
      <c r="D733" t="n">
        <v>54.31</v>
      </c>
      <c r="E733" t="n">
        <v>1.292</v>
      </c>
      <c r="F733" t="n">
        <v>1.389</v>
      </c>
      <c r="G733" t="n">
        <v>1.547</v>
      </c>
      <c r="H733" t="n">
        <v>2.237</v>
      </c>
      <c r="J733" t="n">
        <v>2.373</v>
      </c>
      <c r="K733" t="n">
        <v>3.183</v>
      </c>
      <c r="L733" t="n">
        <v>20.9</v>
      </c>
      <c r="N733">
        <f>IF(OR(E733="",C733=""),"",E733-C733/42)</f>
        <v/>
      </c>
      <c r="O733">
        <f>IF(OR(E733="",D733=""),"",E733-D733/42)</f>
        <v/>
      </c>
      <c r="P733">
        <f>IF(L733="",M733/100,H733*L733/100)</f>
        <v/>
      </c>
      <c r="Q733">
        <f>H733-C733/42-P733</f>
        <v/>
      </c>
      <c r="R733">
        <f>H733-E733</f>
        <v/>
      </c>
    </row>
    <row r="734">
      <c r="A734" s="3" t="n">
        <v>43479</v>
      </c>
      <c r="B734" s="3" t="n">
        <v>43476</v>
      </c>
      <c r="C734" t="n">
        <v>50.78</v>
      </c>
      <c r="D734" t="n">
        <v>58.64</v>
      </c>
      <c r="E734" t="n">
        <v>1.34</v>
      </c>
      <c r="F734" t="n">
        <v>1.442</v>
      </c>
      <c r="G734" t="n">
        <v>1.539</v>
      </c>
      <c r="H734" t="n">
        <v>2.247</v>
      </c>
      <c r="J734" t="n">
        <v>2.306</v>
      </c>
      <c r="K734" t="n">
        <v>3.161</v>
      </c>
      <c r="L734" t="n">
        <v>20.9</v>
      </c>
      <c r="N734">
        <f>IF(OR(E734="",C734=""),"",E734-C734/42)</f>
        <v/>
      </c>
      <c r="O734">
        <f>IF(OR(E734="",D734=""),"",E734-D734/42)</f>
        <v/>
      </c>
      <c r="P734">
        <f>IF(L734="",M734/100,H734*L734/100)</f>
        <v/>
      </c>
      <c r="Q734">
        <f>H734-C734/42-P734</f>
        <v/>
      </c>
      <c r="R734">
        <f>H734-E734</f>
        <v/>
      </c>
    </row>
    <row r="735">
      <c r="A735" s="3" t="n">
        <v>43486</v>
      </c>
      <c r="B735" s="3" t="n">
        <v>43483</v>
      </c>
      <c r="C735" t="n">
        <v>51.92</v>
      </c>
      <c r="D735" t="n">
        <v>59.83</v>
      </c>
      <c r="E735" t="n">
        <v>1.382</v>
      </c>
      <c r="F735" t="n">
        <v>1.448</v>
      </c>
      <c r="G735" t="n">
        <v>1.667</v>
      </c>
      <c r="H735" t="n">
        <v>2.251</v>
      </c>
      <c r="J735" t="n">
        <v>2.272</v>
      </c>
      <c r="K735" t="n">
        <v>3.148</v>
      </c>
      <c r="L735" t="n">
        <v>20.9</v>
      </c>
      <c r="N735">
        <f>IF(OR(E735="",C735=""),"",E735-C735/42)</f>
        <v/>
      </c>
      <c r="O735">
        <f>IF(OR(E735="",D735=""),"",E735-D735/42)</f>
        <v/>
      </c>
      <c r="P735">
        <f>IF(L735="",M735/100,H735*L735/100)</f>
        <v/>
      </c>
      <c r="Q735">
        <f>H735-C735/42-P735</f>
        <v/>
      </c>
      <c r="R735">
        <f>H735-E735</f>
        <v/>
      </c>
    </row>
    <row r="736">
      <c r="A736" s="3" t="n">
        <v>43493</v>
      </c>
      <c r="B736" s="3" t="n">
        <v>43490</v>
      </c>
      <c r="C736" t="n">
        <v>52.88</v>
      </c>
      <c r="D736" t="n">
        <v>61.34</v>
      </c>
      <c r="E736" t="n">
        <v>1.383</v>
      </c>
      <c r="F736" t="n">
        <v>1.429</v>
      </c>
      <c r="G736" t="n">
        <v>1.67</v>
      </c>
      <c r="H736" t="n">
        <v>2.256</v>
      </c>
      <c r="J736" t="n">
        <v>2.231</v>
      </c>
      <c r="K736" t="n">
        <v>3.13</v>
      </c>
      <c r="L736" t="n">
        <v>20.9</v>
      </c>
      <c r="N736">
        <f>IF(OR(E736="",C736=""),"",E736-C736/42)</f>
        <v/>
      </c>
      <c r="O736">
        <f>IF(OR(E736="",D736=""),"",E736-D736/42)</f>
        <v/>
      </c>
      <c r="P736">
        <f>IF(L736="",M736/100,H736*L736/100)</f>
        <v/>
      </c>
      <c r="Q736">
        <f>H736-C736/42-P736</f>
        <v/>
      </c>
      <c r="R736">
        <f>H736-E736</f>
        <v/>
      </c>
    </row>
    <row r="737">
      <c r="A737" s="3" t="n">
        <v>43500</v>
      </c>
      <c r="B737" s="3" t="n">
        <v>43497</v>
      </c>
      <c r="C737" t="n">
        <v>53.63</v>
      </c>
      <c r="D737" t="n">
        <v>61.38</v>
      </c>
      <c r="E737" t="n">
        <v>1.363</v>
      </c>
      <c r="F737" t="n">
        <v>1.413</v>
      </c>
      <c r="G737" t="n">
        <v>1.645</v>
      </c>
      <c r="H737" t="n">
        <v>2.254</v>
      </c>
      <c r="J737" t="n">
        <v>2.175</v>
      </c>
      <c r="K737" t="n">
        <v>3.131</v>
      </c>
      <c r="L737" t="n">
        <v>20.4</v>
      </c>
      <c r="N737">
        <f>IF(OR(E737="",C737=""),"",E737-C737/42)</f>
        <v/>
      </c>
      <c r="O737">
        <f>IF(OR(E737="",D737=""),"",E737-D737/42)</f>
        <v/>
      </c>
      <c r="P737">
        <f>IF(L737="",M737/100,H737*L737/100)</f>
        <v/>
      </c>
      <c r="Q737">
        <f>H737-C737/42-P737</f>
        <v/>
      </c>
      <c r="R737">
        <f>H737-E737</f>
        <v/>
      </c>
    </row>
    <row r="738">
      <c r="A738" s="3" t="n">
        <v>43507</v>
      </c>
      <c r="B738" s="3" t="n">
        <v>43504</v>
      </c>
      <c r="C738" t="n">
        <v>53.53</v>
      </c>
      <c r="D738" t="n">
        <v>61.71</v>
      </c>
      <c r="E738" t="n">
        <v>1.431</v>
      </c>
      <c r="F738" t="n">
        <v>1.474</v>
      </c>
      <c r="G738" t="n">
        <v>1.862</v>
      </c>
      <c r="H738" t="n">
        <v>2.276</v>
      </c>
      <c r="J738" t="n">
        <v>2.166</v>
      </c>
      <c r="K738" t="n">
        <v>3.155</v>
      </c>
      <c r="L738" t="n">
        <v>20.4</v>
      </c>
      <c r="N738">
        <f>IF(OR(E738="",C738=""),"",E738-C738/42)</f>
        <v/>
      </c>
      <c r="O738">
        <f>IF(OR(E738="",D738=""),"",E738-D738/42)</f>
        <v/>
      </c>
      <c r="P738">
        <f>IF(L738="",M738/100,H738*L738/100)</f>
        <v/>
      </c>
      <c r="Q738">
        <f>H738-C738/42-P738</f>
        <v/>
      </c>
      <c r="R738">
        <f>H738-E738</f>
        <v/>
      </c>
    </row>
    <row r="739">
      <c r="A739" s="3" t="n">
        <v>43514</v>
      </c>
      <c r="B739" s="3" t="n">
        <v>43511</v>
      </c>
      <c r="C739" t="n">
        <v>53.88</v>
      </c>
      <c r="D739" t="n">
        <v>63.36</v>
      </c>
      <c r="E739" t="n">
        <v>1.498</v>
      </c>
      <c r="F739" t="n">
        <v>1.53</v>
      </c>
      <c r="G739" t="n">
        <v>1.837</v>
      </c>
      <c r="H739" t="n">
        <v>2.317</v>
      </c>
      <c r="J739" t="n">
        <v>2.182</v>
      </c>
      <c r="K739" t="n">
        <v>3.161</v>
      </c>
      <c r="L739" t="n">
        <v>20.4</v>
      </c>
      <c r="N739">
        <f>IF(OR(E739="",C739=""),"",E739-C739/42)</f>
        <v/>
      </c>
      <c r="O739">
        <f>IF(OR(E739="",D739=""),"",E739-D739/42)</f>
        <v/>
      </c>
      <c r="P739">
        <f>IF(L739="",M739/100,H739*L739/100)</f>
        <v/>
      </c>
      <c r="Q739">
        <f>H739-C739/42-P739</f>
        <v/>
      </c>
      <c r="R739">
        <f>H739-E739</f>
        <v/>
      </c>
    </row>
    <row r="740">
      <c r="A740" s="3" t="n">
        <v>43521</v>
      </c>
      <c r="B740" s="3" t="n">
        <v>43518</v>
      </c>
      <c r="C740" t="n">
        <v>56.74</v>
      </c>
      <c r="D740" t="n">
        <v>66.58</v>
      </c>
      <c r="E740" t="n">
        <v>1.507</v>
      </c>
      <c r="F740" t="n">
        <v>1.648</v>
      </c>
      <c r="G740" t="n">
        <v>1.837</v>
      </c>
      <c r="H740" t="n">
        <v>2.39</v>
      </c>
      <c r="J740" t="n">
        <v>2.193</v>
      </c>
      <c r="K740" t="n">
        <v>3.184</v>
      </c>
      <c r="L740" t="n">
        <v>20.4</v>
      </c>
      <c r="N740">
        <f>IF(OR(E740="",C740=""),"",E740-C740/42)</f>
        <v/>
      </c>
      <c r="O740">
        <f>IF(OR(E740="",D740=""),"",E740-D740/42)</f>
        <v/>
      </c>
      <c r="P740">
        <f>IF(L740="",M740/100,H740*L740/100)</f>
        <v/>
      </c>
      <c r="Q740">
        <f>H740-C740/42-P740</f>
        <v/>
      </c>
      <c r="R740">
        <f>H740-E740</f>
        <v/>
      </c>
    </row>
    <row r="741">
      <c r="A741" s="3" t="n">
        <v>43528</v>
      </c>
      <c r="B741" s="3" t="n">
        <v>43525</v>
      </c>
      <c r="C741" t="n">
        <v>56.12</v>
      </c>
      <c r="D741" t="n">
        <v>64.56</v>
      </c>
      <c r="E741" t="n">
        <v>1.482</v>
      </c>
      <c r="F741" t="n">
        <v>1.683</v>
      </c>
      <c r="G741" t="n">
        <v>1.733</v>
      </c>
      <c r="H741" t="n">
        <v>2.422</v>
      </c>
      <c r="J741" t="n">
        <v>2.212</v>
      </c>
      <c r="K741" t="n">
        <v>3.195</v>
      </c>
      <c r="L741" t="n">
        <v>18.7</v>
      </c>
      <c r="N741">
        <f>IF(OR(E741="",C741=""),"",E741-C741/42)</f>
        <v/>
      </c>
      <c r="O741">
        <f>IF(OR(E741="",D741=""),"",E741-D741/42)</f>
        <v/>
      </c>
      <c r="P741">
        <f>IF(L741="",M741/100,H741*L741/100)</f>
        <v/>
      </c>
      <c r="Q741">
        <f>H741-C741/42-P741</f>
        <v/>
      </c>
      <c r="R741">
        <f>H741-E741</f>
        <v/>
      </c>
    </row>
    <row r="742">
      <c r="A742" s="3" t="n">
        <v>43535</v>
      </c>
      <c r="B742" s="3" t="n">
        <v>43532</v>
      </c>
      <c r="C742" t="n">
        <v>56.35</v>
      </c>
      <c r="D742" t="n">
        <v>64.73</v>
      </c>
      <c r="E742" t="n">
        <v>1.707</v>
      </c>
      <c r="F742" t="n">
        <v>1.707</v>
      </c>
      <c r="G742" t="n">
        <v>1.879</v>
      </c>
      <c r="H742" t="n">
        <v>2.471</v>
      </c>
      <c r="J742" t="n">
        <v>2.253</v>
      </c>
      <c r="K742" t="n">
        <v>3.223</v>
      </c>
      <c r="L742" t="n">
        <v>18.7</v>
      </c>
      <c r="N742">
        <f>IF(OR(E742="",C742=""),"",E742-C742/42)</f>
        <v/>
      </c>
      <c r="O742">
        <f>IF(OR(E742="",D742=""),"",E742-D742/42)</f>
        <v/>
      </c>
      <c r="P742">
        <f>IF(L742="",M742/100,H742*L742/100)</f>
        <v/>
      </c>
      <c r="Q742">
        <f>H742-C742/42-P742</f>
        <v/>
      </c>
      <c r="R742">
        <f>H742-E742</f>
        <v/>
      </c>
    </row>
    <row r="743">
      <c r="A743" s="3" t="n">
        <v>43542</v>
      </c>
      <c r="B743" s="3" t="n">
        <v>43539</v>
      </c>
      <c r="C743" t="n">
        <v>57.81</v>
      </c>
      <c r="D743" t="n">
        <v>65.70999999999999</v>
      </c>
      <c r="E743" t="n">
        <v>1.808</v>
      </c>
      <c r="F743" t="n">
        <v>1.797</v>
      </c>
      <c r="G743" t="n">
        <v>1.941</v>
      </c>
      <c r="H743" t="n">
        <v>2.548</v>
      </c>
      <c r="J743" t="n">
        <v>2.321</v>
      </c>
      <c r="K743" t="n">
        <v>3.264</v>
      </c>
      <c r="L743" t="n">
        <v>18.7</v>
      </c>
      <c r="N743">
        <f>IF(OR(E743="",C743=""),"",E743-C743/42)</f>
        <v/>
      </c>
      <c r="O743">
        <f>IF(OR(E743="",D743=""),"",E743-D743/42)</f>
        <v/>
      </c>
      <c r="P743">
        <f>IF(L743="",M743/100,H743*L743/100)</f>
        <v/>
      </c>
      <c r="Q743">
        <f>H743-C743/42-P743</f>
        <v/>
      </c>
      <c r="R743">
        <f>H743-E743</f>
        <v/>
      </c>
    </row>
    <row r="744">
      <c r="A744" s="3" t="n">
        <v>43549</v>
      </c>
      <c r="B744" s="3" t="n">
        <v>43546</v>
      </c>
      <c r="C744" t="n">
        <v>59.44</v>
      </c>
      <c r="D744" t="n">
        <v>67.34</v>
      </c>
      <c r="E744" t="n">
        <v>1.878</v>
      </c>
      <c r="F744" t="n">
        <v>1.89</v>
      </c>
      <c r="G744" t="n">
        <v>2.054</v>
      </c>
      <c r="H744" t="n">
        <v>2.623</v>
      </c>
      <c r="J744" t="n">
        <v>2.4</v>
      </c>
      <c r="K744" t="n">
        <v>3.389</v>
      </c>
      <c r="L744" t="n">
        <v>18.7</v>
      </c>
      <c r="N744">
        <f>IF(OR(E744="",C744=""),"",E744-C744/42)</f>
        <v/>
      </c>
      <c r="O744">
        <f>IF(OR(E744="",D744=""),"",E744-D744/42)</f>
        <v/>
      </c>
      <c r="P744">
        <f>IF(L744="",M744/100,H744*L744/100)</f>
        <v/>
      </c>
      <c r="Q744">
        <f>H744-C744/42-P744</f>
        <v/>
      </c>
      <c r="R744">
        <f>H744-E744</f>
        <v/>
      </c>
    </row>
    <row r="745">
      <c r="A745" s="3" t="n">
        <v>43556</v>
      </c>
      <c r="B745" s="3" t="n">
        <v>43553</v>
      </c>
      <c r="C745" t="n">
        <v>59.49</v>
      </c>
      <c r="D745" t="n">
        <v>67.25</v>
      </c>
      <c r="E745" t="n">
        <v>1.918</v>
      </c>
      <c r="F745" t="n">
        <v>1.862</v>
      </c>
      <c r="G745" t="n">
        <v>2.179</v>
      </c>
      <c r="H745" t="n">
        <v>2.691</v>
      </c>
      <c r="J745" t="n">
        <v>2.469</v>
      </c>
      <c r="K745" t="n">
        <v>3.529</v>
      </c>
      <c r="L745" t="n">
        <v>16.8</v>
      </c>
      <c r="N745">
        <f>IF(OR(E745="",C745=""),"",E745-C745/42)</f>
        <v/>
      </c>
      <c r="O745">
        <f>IF(OR(E745="",D745=""),"",E745-D745/42)</f>
        <v/>
      </c>
      <c r="P745">
        <f>IF(L745="",M745/100,H745*L745/100)</f>
        <v/>
      </c>
      <c r="Q745">
        <f>H745-C745/42-P745</f>
        <v/>
      </c>
      <c r="R745">
        <f>H745-E745</f>
        <v/>
      </c>
    </row>
    <row r="746">
      <c r="A746" s="3" t="n">
        <v>43563</v>
      </c>
      <c r="B746" s="3" t="n">
        <v>43560</v>
      </c>
      <c r="C746" t="n">
        <v>62.36</v>
      </c>
      <c r="D746" t="n">
        <v>69.54000000000001</v>
      </c>
      <c r="E746" t="n">
        <v>1.928</v>
      </c>
      <c r="F746" t="n">
        <v>1.924</v>
      </c>
      <c r="G746" t="n">
        <v>2.339</v>
      </c>
      <c r="H746" t="n">
        <v>2.745</v>
      </c>
      <c r="J746" t="n">
        <v>2.539</v>
      </c>
      <c r="K746" t="n">
        <v>3.718</v>
      </c>
      <c r="L746" t="n">
        <v>16.8</v>
      </c>
      <c r="N746">
        <f>IF(OR(E746="",C746=""),"",E746-C746/42)</f>
        <v/>
      </c>
      <c r="O746">
        <f>IF(OR(E746="",D746=""),"",E746-D746/42)</f>
        <v/>
      </c>
      <c r="P746">
        <f>IF(L746="",M746/100,H746*L746/100)</f>
        <v/>
      </c>
      <c r="Q746">
        <f>H746-C746/42-P746</f>
        <v/>
      </c>
      <c r="R746">
        <f>H746-E746</f>
        <v/>
      </c>
    </row>
    <row r="747">
      <c r="A747" s="3" t="n">
        <v>43570</v>
      </c>
      <c r="B747" s="3" t="n">
        <v>43567</v>
      </c>
      <c r="C747" t="n">
        <v>64.09999999999999</v>
      </c>
      <c r="D747" t="n">
        <v>71.33</v>
      </c>
      <c r="E747" t="n">
        <v>2.01</v>
      </c>
      <c r="F747" t="n">
        <v>2.04</v>
      </c>
      <c r="G747" t="n">
        <v>2.578</v>
      </c>
      <c r="H747" t="n">
        <v>2.828</v>
      </c>
      <c r="J747" t="n">
        <v>2.64</v>
      </c>
      <c r="K747" t="n">
        <v>3.922</v>
      </c>
      <c r="L747" t="n">
        <v>16.8</v>
      </c>
      <c r="N747">
        <f>IF(OR(E747="",C747=""),"",E747-C747/42)</f>
        <v/>
      </c>
      <c r="O747">
        <f>IF(OR(E747="",D747=""),"",E747-D747/42)</f>
        <v/>
      </c>
      <c r="P747">
        <f>IF(L747="",M747/100,H747*L747/100)</f>
        <v/>
      </c>
      <c r="Q747">
        <f>H747-C747/42-P747</f>
        <v/>
      </c>
      <c r="R747">
        <f>H747-E747</f>
        <v/>
      </c>
    </row>
    <row r="748">
      <c r="A748" s="3" t="n">
        <v>43577</v>
      </c>
      <c r="B748" s="3" t="n">
        <v>43574</v>
      </c>
      <c r="C748" t="n">
        <v>63.8</v>
      </c>
      <c r="D748" t="n">
        <v>70.87</v>
      </c>
      <c r="E748" t="n">
        <v>2</v>
      </c>
      <c r="F748" t="n">
        <v>2.069</v>
      </c>
      <c r="G748" t="n">
        <v>2.564</v>
      </c>
      <c r="H748" t="n">
        <v>2.841</v>
      </c>
      <c r="J748" t="n">
        <v>2.759</v>
      </c>
      <c r="K748" t="n">
        <v>3.948</v>
      </c>
      <c r="L748" t="n">
        <v>16.8</v>
      </c>
      <c r="N748">
        <f>IF(OR(E748="",C748=""),"",E748-C748/42)</f>
        <v/>
      </c>
      <c r="O748">
        <f>IF(OR(E748="",D748=""),"",E748-D748/42)</f>
        <v/>
      </c>
      <c r="P748">
        <f>IF(L748="",M748/100,H748*L748/100)</f>
        <v/>
      </c>
      <c r="Q748">
        <f>H748-C748/42-P748</f>
        <v/>
      </c>
      <c r="R748">
        <f>H748-E748</f>
        <v/>
      </c>
    </row>
    <row r="749">
      <c r="A749" s="3" t="n">
        <v>43584</v>
      </c>
      <c r="B749" s="3" t="n">
        <v>43581</v>
      </c>
      <c r="C749" t="n">
        <v>65.28</v>
      </c>
      <c r="D749" t="n">
        <v>72.93000000000001</v>
      </c>
      <c r="E749" t="n">
        <v>2.071</v>
      </c>
      <c r="F749" t="n">
        <v>2.125</v>
      </c>
      <c r="G749" t="n">
        <v>2.543</v>
      </c>
      <c r="H749" t="n">
        <v>2.887</v>
      </c>
      <c r="J749" t="n">
        <v>2.843</v>
      </c>
      <c r="K749" t="n">
        <v>3.982</v>
      </c>
      <c r="L749" t="n">
        <v>16.8</v>
      </c>
      <c r="N749">
        <f>IF(OR(E749="",C749=""),"",E749-C749/42)</f>
        <v/>
      </c>
      <c r="O749">
        <f>IF(OR(E749="",D749=""),"",E749-D749/42)</f>
        <v/>
      </c>
      <c r="P749">
        <f>IF(L749="",M749/100,H749*L749/100)</f>
        <v/>
      </c>
      <c r="Q749">
        <f>H749-C749/42-P749</f>
        <v/>
      </c>
      <c r="R749">
        <f>H749-E749</f>
        <v/>
      </c>
    </row>
    <row r="750">
      <c r="A750" s="3" t="n">
        <v>43591</v>
      </c>
      <c r="B750" s="3" t="n">
        <v>43588</v>
      </c>
      <c r="C750" t="n">
        <v>62.9</v>
      </c>
      <c r="D750" t="n">
        <v>71.59</v>
      </c>
      <c r="E750" t="n">
        <v>1.999</v>
      </c>
      <c r="F750" t="n">
        <v>2.02</v>
      </c>
      <c r="G750" t="n">
        <v>2.541</v>
      </c>
      <c r="H750" t="n">
        <v>2.897</v>
      </c>
      <c r="J750" t="n">
        <v>2.919</v>
      </c>
      <c r="K750" t="n">
        <v>4.006</v>
      </c>
      <c r="L750" t="n">
        <v>16.5</v>
      </c>
      <c r="N750">
        <f>IF(OR(E750="",C750=""),"",E750-C750/42)</f>
        <v/>
      </c>
      <c r="O750">
        <f>IF(OR(E750="",D750=""),"",E750-D750/42)</f>
        <v/>
      </c>
      <c r="P750">
        <f>IF(L750="",M750/100,H750*L750/100)</f>
        <v/>
      </c>
      <c r="Q750">
        <f>H750-C750/42-P750</f>
        <v/>
      </c>
      <c r="R750">
        <f>H750-E750</f>
        <v/>
      </c>
    </row>
    <row r="751">
      <c r="A751" s="3" t="n">
        <v>43598</v>
      </c>
      <c r="B751" s="3" t="n">
        <v>43595</v>
      </c>
      <c r="C751" t="n">
        <v>61.81</v>
      </c>
      <c r="D751" t="n">
        <v>71.25</v>
      </c>
      <c r="E751" t="n">
        <v>1.878</v>
      </c>
      <c r="F751" t="n">
        <v>1.921</v>
      </c>
      <c r="G751" t="n">
        <v>2.328</v>
      </c>
      <c r="H751" t="n">
        <v>2.866</v>
      </c>
      <c r="J751" t="n">
        <v>2.964</v>
      </c>
      <c r="K751" t="n">
        <v>3.968</v>
      </c>
      <c r="L751" t="n">
        <v>16.5</v>
      </c>
      <c r="N751">
        <f>IF(OR(E751="",C751=""),"",E751-C751/42)</f>
        <v/>
      </c>
      <c r="O751">
        <f>IF(OR(E751="",D751=""),"",E751-D751/42)</f>
        <v/>
      </c>
      <c r="P751">
        <f>IF(L751="",M751/100,H751*L751/100)</f>
        <v/>
      </c>
      <c r="Q751">
        <f>H751-C751/42-P751</f>
        <v/>
      </c>
      <c r="R751">
        <f>H751-E751</f>
        <v/>
      </c>
    </row>
    <row r="752">
      <c r="A752" s="3" t="n">
        <v>43605</v>
      </c>
      <c r="B752" s="3" t="n">
        <v>43602</v>
      </c>
      <c r="C752" t="n">
        <v>62.1</v>
      </c>
      <c r="D752" t="n">
        <v>73.31999999999999</v>
      </c>
      <c r="E752" t="n">
        <v>1.894</v>
      </c>
      <c r="F752" t="n">
        <v>1.956</v>
      </c>
      <c r="G752" t="n">
        <v>2.231</v>
      </c>
      <c r="H752" t="n">
        <v>2.852</v>
      </c>
      <c r="J752" t="n">
        <v>2.982</v>
      </c>
      <c r="K752" t="n">
        <v>3.934</v>
      </c>
      <c r="L752" t="n">
        <v>16.5</v>
      </c>
      <c r="N752">
        <f>IF(OR(E752="",C752=""),"",E752-C752/42)</f>
        <v/>
      </c>
      <c r="O752">
        <f>IF(OR(E752="",D752=""),"",E752-D752/42)</f>
        <v/>
      </c>
      <c r="P752">
        <f>IF(L752="",M752/100,H752*L752/100)</f>
        <v/>
      </c>
      <c r="Q752">
        <f>H752-C752/42-P752</f>
        <v/>
      </c>
      <c r="R752">
        <f>H752-E752</f>
        <v/>
      </c>
    </row>
    <row r="753">
      <c r="A753" s="3" t="n">
        <v>43612</v>
      </c>
      <c r="B753" s="3" t="n">
        <v>43609</v>
      </c>
      <c r="C753" t="n">
        <v>60.72</v>
      </c>
      <c r="D753" t="n">
        <v>70.89</v>
      </c>
      <c r="E753" t="n">
        <v>1.868</v>
      </c>
      <c r="F753" t="n">
        <v>1.911</v>
      </c>
      <c r="G753" t="n">
        <v>2.152</v>
      </c>
      <c r="H753" t="n">
        <v>2.822</v>
      </c>
      <c r="J753" t="n">
        <v>2.979</v>
      </c>
      <c r="K753" t="n">
        <v>3.878</v>
      </c>
      <c r="L753" t="n">
        <v>16.5</v>
      </c>
      <c r="N753">
        <f>IF(OR(E753="",C753=""),"",E753-C753/42)</f>
        <v/>
      </c>
      <c r="O753">
        <f>IF(OR(E753="",D753=""),"",E753-D753/42)</f>
        <v/>
      </c>
      <c r="P753">
        <f>IF(L753="",M753/100,H753*L753/100)</f>
        <v/>
      </c>
      <c r="Q753">
        <f>H753-C753/42-P753</f>
        <v/>
      </c>
      <c r="R753">
        <f>H753-E753</f>
        <v/>
      </c>
    </row>
    <row r="754">
      <c r="A754" s="3" t="n">
        <v>43619</v>
      </c>
      <c r="B754" s="3" t="n">
        <v>43616</v>
      </c>
      <c r="C754" t="n">
        <v>56.93</v>
      </c>
      <c r="D754" t="n">
        <v>69.29000000000001</v>
      </c>
      <c r="E754" t="n">
        <v>1.832</v>
      </c>
      <c r="F754" t="n">
        <v>1.83</v>
      </c>
      <c r="G754" t="n">
        <v>2.075</v>
      </c>
      <c r="H754" t="n">
        <v>2.807</v>
      </c>
      <c r="J754" t="n">
        <v>2.98</v>
      </c>
      <c r="K754" t="n">
        <v>3.83</v>
      </c>
      <c r="L754" t="n">
        <v>17.3</v>
      </c>
      <c r="N754">
        <f>IF(OR(E754="",C754=""),"",E754-C754/42)</f>
        <v/>
      </c>
      <c r="O754">
        <f>IF(OR(E754="",D754=""),"",E754-D754/42)</f>
        <v/>
      </c>
      <c r="P754">
        <f>IF(L754="",M754/100,H754*L754/100)</f>
        <v/>
      </c>
      <c r="Q754">
        <f>H754-C754/42-P754</f>
        <v/>
      </c>
      <c r="R754">
        <f>H754-E754</f>
        <v/>
      </c>
    </row>
    <row r="755">
      <c r="A755" s="3" t="n">
        <v>43626</v>
      </c>
      <c r="B755" s="3" t="n">
        <v>43623</v>
      </c>
      <c r="C755" t="n">
        <v>52.97</v>
      </c>
      <c r="D755" t="n">
        <v>63.15</v>
      </c>
      <c r="E755" t="n">
        <v>1.678</v>
      </c>
      <c r="F755" t="n">
        <v>1.646</v>
      </c>
      <c r="G755" t="n">
        <v>1.879</v>
      </c>
      <c r="H755" t="n">
        <v>2.732</v>
      </c>
      <c r="J755" t="n">
        <v>2.948</v>
      </c>
      <c r="K755" t="n">
        <v>3.745</v>
      </c>
      <c r="L755" t="n">
        <v>17.3</v>
      </c>
      <c r="N755">
        <f>IF(OR(E755="",C755=""),"",E755-C755/42)</f>
        <v/>
      </c>
      <c r="O755">
        <f>IF(OR(E755="",D755=""),"",E755-D755/42)</f>
        <v/>
      </c>
      <c r="P755">
        <f>IF(L755="",M755/100,H755*L755/100)</f>
        <v/>
      </c>
      <c r="Q755">
        <f>H755-C755/42-P755</f>
        <v/>
      </c>
      <c r="R755">
        <f>H755-E755</f>
        <v/>
      </c>
    </row>
    <row r="756">
      <c r="A756" s="3" t="n">
        <v>43633</v>
      </c>
      <c r="B756" s="3" t="n">
        <v>43630</v>
      </c>
      <c r="C756" t="n">
        <v>52.52</v>
      </c>
      <c r="D756" t="n">
        <v>63.19</v>
      </c>
      <c r="E756" t="n">
        <v>1.669</v>
      </c>
      <c r="F756" t="n">
        <v>1.683</v>
      </c>
      <c r="G756" t="n">
        <v>1.841</v>
      </c>
      <c r="H756" t="n">
        <v>2.67</v>
      </c>
      <c r="J756" t="n">
        <v>2.91</v>
      </c>
      <c r="K756" t="n">
        <v>3.678</v>
      </c>
      <c r="L756" t="n">
        <v>17.3</v>
      </c>
      <c r="N756">
        <f>IF(OR(E756="",C756=""),"",E756-C756/42)</f>
        <v/>
      </c>
      <c r="O756">
        <f>IF(OR(E756="",D756=""),"",E756-D756/42)</f>
        <v/>
      </c>
      <c r="P756">
        <f>IF(L756="",M756/100,H756*L756/100)</f>
        <v/>
      </c>
      <c r="Q756">
        <f>H756-C756/42-P756</f>
        <v/>
      </c>
      <c r="R756">
        <f>H756-E756</f>
        <v/>
      </c>
    </row>
    <row r="757">
      <c r="A757" s="3" t="n">
        <v>43640</v>
      </c>
      <c r="B757" s="3" t="n">
        <v>43637</v>
      </c>
      <c r="C757" t="n">
        <v>54.75</v>
      </c>
      <c r="D757" t="n">
        <v>64.04000000000001</v>
      </c>
      <c r="E757" t="n">
        <v>1.699</v>
      </c>
      <c r="F757" t="n">
        <v>1.742</v>
      </c>
      <c r="G757" t="n">
        <v>1.742</v>
      </c>
      <c r="H757" t="n">
        <v>2.654</v>
      </c>
      <c r="J757" t="n">
        <v>2.868</v>
      </c>
      <c r="K757" t="n">
        <v>3.613</v>
      </c>
      <c r="L757" t="n">
        <v>17.3</v>
      </c>
      <c r="N757">
        <f>IF(OR(E757="",C757=""),"",E757-C757/42)</f>
        <v/>
      </c>
      <c r="O757">
        <f>IF(OR(E757="",D757=""),"",E757-D757/42)</f>
        <v/>
      </c>
      <c r="P757">
        <f>IF(L757="",M757/100,H757*L757/100)</f>
        <v/>
      </c>
      <c r="Q757">
        <f>H757-C757/42-P757</f>
        <v/>
      </c>
      <c r="R757">
        <f>H757-E757</f>
        <v/>
      </c>
    </row>
    <row r="758">
      <c r="A758" s="3" t="n">
        <v>43647</v>
      </c>
      <c r="B758" s="3" t="n">
        <v>43644</v>
      </c>
      <c r="C758" t="n">
        <v>58.38</v>
      </c>
      <c r="D758" t="n">
        <v>66.51000000000001</v>
      </c>
      <c r="E758" t="n">
        <v>1.843</v>
      </c>
      <c r="F758" t="n">
        <v>1.89</v>
      </c>
      <c r="G758" t="n">
        <v>1.943</v>
      </c>
      <c r="H758" t="n">
        <v>2.713</v>
      </c>
      <c r="J758" t="n">
        <v>2.823</v>
      </c>
      <c r="K758" t="n">
        <v>3.621</v>
      </c>
      <c r="L758" t="n">
        <v>17.5</v>
      </c>
      <c r="N758">
        <f>IF(OR(E758="",C758=""),"",E758-C758/42)</f>
        <v/>
      </c>
      <c r="O758">
        <f>IF(OR(E758="",D758=""),"",E758-D758/42)</f>
        <v/>
      </c>
      <c r="P758">
        <f>IF(L758="",M758/100,H758*L758/100)</f>
        <v/>
      </c>
      <c r="Q758">
        <f>H758-C758/42-P758</f>
        <v/>
      </c>
      <c r="R758">
        <f>H758-E758</f>
        <v/>
      </c>
    </row>
    <row r="759">
      <c r="A759" s="3" t="n">
        <v>43654</v>
      </c>
      <c r="B759" s="3" t="n">
        <v>43651</v>
      </c>
      <c r="C759" t="n">
        <v>57.32</v>
      </c>
      <c r="D759" t="n">
        <v>63.84</v>
      </c>
      <c r="E759" t="n">
        <v>1.859</v>
      </c>
      <c r="F759" t="n">
        <v>1.908</v>
      </c>
      <c r="G759" t="n">
        <v>1.992</v>
      </c>
      <c r="H759" t="n">
        <v>2.743</v>
      </c>
      <c r="J759" t="n">
        <v>2.796</v>
      </c>
      <c r="K759" t="n">
        <v>3.627</v>
      </c>
      <c r="L759" t="n">
        <v>17.5</v>
      </c>
      <c r="N759">
        <f>IF(OR(E759="",C759=""),"",E759-C759/42)</f>
        <v/>
      </c>
      <c r="O759">
        <f>IF(OR(E759="",D759=""),"",E759-D759/42)</f>
        <v/>
      </c>
      <c r="P759">
        <f>IF(L759="",M759/100,H759*L759/100)</f>
        <v/>
      </c>
      <c r="Q759">
        <f>H759-C759/42-P759</f>
        <v/>
      </c>
      <c r="R759">
        <f>H759-E759</f>
        <v/>
      </c>
    </row>
    <row r="760">
      <c r="A760" s="3" t="n">
        <v>43661</v>
      </c>
      <c r="B760" s="3" t="n">
        <v>43658</v>
      </c>
      <c r="C760" t="n">
        <v>59.02</v>
      </c>
      <c r="D760" t="n">
        <v>65.98</v>
      </c>
      <c r="E760" t="n">
        <v>1.921</v>
      </c>
      <c r="F760" t="n">
        <v>1.951</v>
      </c>
      <c r="G760" t="n">
        <v>1.959</v>
      </c>
      <c r="H760" t="n">
        <v>2.779</v>
      </c>
      <c r="J760" t="n">
        <v>2.771</v>
      </c>
      <c r="K760" t="n">
        <v>3.605</v>
      </c>
      <c r="L760" t="n">
        <v>17.5</v>
      </c>
      <c r="N760">
        <f>IF(OR(E760="",C760=""),"",E760-C760/42)</f>
        <v/>
      </c>
      <c r="O760">
        <f>IF(OR(E760="",D760=""),"",E760-D760/42)</f>
        <v/>
      </c>
      <c r="P760">
        <f>IF(L760="",M760/100,H760*L760/100)</f>
        <v/>
      </c>
      <c r="Q760">
        <f>H760-C760/42-P760</f>
        <v/>
      </c>
      <c r="R760">
        <f>H760-E760</f>
        <v/>
      </c>
    </row>
    <row r="761">
      <c r="A761" s="3" t="n">
        <v>43668</v>
      </c>
      <c r="B761" s="3" t="n">
        <v>43665</v>
      </c>
      <c r="C761" t="n">
        <v>56.74</v>
      </c>
      <c r="D761" t="n">
        <v>63.63</v>
      </c>
      <c r="E761" t="n">
        <v>1.823</v>
      </c>
      <c r="F761" t="n">
        <v>1.862</v>
      </c>
      <c r="G761" t="n">
        <v>1.829</v>
      </c>
      <c r="H761" t="n">
        <v>2.75</v>
      </c>
      <c r="J761" t="n">
        <v>2.735</v>
      </c>
      <c r="K761" t="n">
        <v>3.569</v>
      </c>
      <c r="L761" t="n">
        <v>17.5</v>
      </c>
      <c r="N761">
        <f>IF(OR(E761="",C761=""),"",E761-C761/42)</f>
        <v/>
      </c>
      <c r="O761">
        <f>IF(OR(E761="",D761=""),"",E761-D761/42)</f>
        <v/>
      </c>
      <c r="P761">
        <f>IF(L761="",M761/100,H761*L761/100)</f>
        <v/>
      </c>
      <c r="Q761">
        <f>H761-C761/42-P761</f>
        <v/>
      </c>
      <c r="R761">
        <f>H761-E761</f>
        <v/>
      </c>
    </row>
    <row r="762">
      <c r="A762" s="3" t="n">
        <v>43675</v>
      </c>
      <c r="B762" s="3" t="n">
        <v>43672</v>
      </c>
      <c r="C762" t="n">
        <v>56.05</v>
      </c>
      <c r="D762" t="n">
        <v>62.8</v>
      </c>
      <c r="E762" t="n">
        <v>1.814</v>
      </c>
      <c r="F762" t="n">
        <v>1.848</v>
      </c>
      <c r="G762" t="n">
        <v>1.85</v>
      </c>
      <c r="H762" t="n">
        <v>2.715</v>
      </c>
      <c r="J762" t="n">
        <v>2.708</v>
      </c>
      <c r="K762" t="n">
        <v>3.551</v>
      </c>
      <c r="L762" t="n">
        <v>17.5</v>
      </c>
      <c r="N762">
        <f>IF(OR(E762="",C762=""),"",E762-C762/42)</f>
        <v/>
      </c>
      <c r="O762">
        <f>IF(OR(E762="",D762=""),"",E762-D762/42)</f>
        <v/>
      </c>
      <c r="P762">
        <f>IF(L762="",M762/100,H762*L762/100)</f>
        <v/>
      </c>
      <c r="Q762">
        <f>H762-C762/42-P762</f>
        <v/>
      </c>
      <c r="R762">
        <f>H762-E762</f>
        <v/>
      </c>
    </row>
    <row r="763">
      <c r="A763" s="3" t="n">
        <v>43682</v>
      </c>
      <c r="B763" s="3" t="n">
        <v>43679</v>
      </c>
      <c r="C763" t="n">
        <v>56.55</v>
      </c>
      <c r="D763" t="n">
        <v>62.59</v>
      </c>
      <c r="E763" t="n">
        <v>1.816</v>
      </c>
      <c r="F763" t="n">
        <v>1.836</v>
      </c>
      <c r="G763" t="n">
        <v>1.924</v>
      </c>
      <c r="H763" t="n">
        <v>2.688</v>
      </c>
      <c r="J763" t="n">
        <v>2.699</v>
      </c>
      <c r="K763" t="n">
        <v>3.537</v>
      </c>
      <c r="L763" t="n">
        <v>18.3</v>
      </c>
      <c r="N763">
        <f>IF(OR(E763="",C763=""),"",E763-C763/42)</f>
        <v/>
      </c>
      <c r="O763">
        <f>IF(OR(E763="",D763=""),"",E763-D763/42)</f>
        <v/>
      </c>
      <c r="P763">
        <f>IF(L763="",M763/100,H763*L763/100)</f>
        <v/>
      </c>
      <c r="Q763">
        <f>H763-C763/42-P763</f>
        <v/>
      </c>
      <c r="R763">
        <f>H763-E763</f>
        <v/>
      </c>
    </row>
    <row r="764">
      <c r="A764" s="3" t="n">
        <v>43689</v>
      </c>
      <c r="B764" s="3" t="n">
        <v>43686</v>
      </c>
      <c r="C764" t="n">
        <v>53.28</v>
      </c>
      <c r="D764" t="n">
        <v>57.33</v>
      </c>
      <c r="E764" t="n">
        <v>1.643</v>
      </c>
      <c r="F764" t="n">
        <v>1.688</v>
      </c>
      <c r="G764" t="n">
        <v>1.706</v>
      </c>
      <c r="H764" t="n">
        <v>2.624</v>
      </c>
      <c r="J764" t="n">
        <v>2.688</v>
      </c>
      <c r="K764" t="n">
        <v>3.487</v>
      </c>
      <c r="L764" t="n">
        <v>18.3</v>
      </c>
      <c r="N764">
        <f>IF(OR(E764="",C764=""),"",E764-C764/42)</f>
        <v/>
      </c>
      <c r="O764">
        <f>IF(OR(E764="",D764=""),"",E764-D764/42)</f>
        <v/>
      </c>
      <c r="P764">
        <f>IF(L764="",M764/100,H764*L764/100)</f>
        <v/>
      </c>
      <c r="Q764">
        <f>H764-C764/42-P764</f>
        <v/>
      </c>
      <c r="R764">
        <f>H764-E764</f>
        <v/>
      </c>
    </row>
    <row r="765">
      <c r="A765" s="3" t="n">
        <v>43696</v>
      </c>
      <c r="B765" s="3" t="n">
        <v>43693</v>
      </c>
      <c r="C765" t="n">
        <v>55.31</v>
      </c>
      <c r="D765" t="n">
        <v>58.25</v>
      </c>
      <c r="E765" t="n">
        <v>1.622</v>
      </c>
      <c r="F765" t="n">
        <v>1.682</v>
      </c>
      <c r="G765" t="n">
        <v>1.739</v>
      </c>
      <c r="H765" t="n">
        <v>2.598</v>
      </c>
      <c r="J765" t="n">
        <v>2.671</v>
      </c>
      <c r="K765" t="n">
        <v>3.463</v>
      </c>
      <c r="L765" t="n">
        <v>18.3</v>
      </c>
      <c r="N765">
        <f>IF(OR(E765="",C765=""),"",E765-C765/42)</f>
        <v/>
      </c>
      <c r="O765">
        <f>IF(OR(E765="",D765=""),"",E765-D765/42)</f>
        <v/>
      </c>
      <c r="P765">
        <f>IF(L765="",M765/100,H765*L765/100)</f>
        <v/>
      </c>
      <c r="Q765">
        <f>H765-C765/42-P765</f>
        <v/>
      </c>
      <c r="R765">
        <f>H765-E765</f>
        <v/>
      </c>
    </row>
    <row r="766">
      <c r="A766" s="3" t="n">
        <v>43703</v>
      </c>
      <c r="B766" s="3" t="n">
        <v>43700</v>
      </c>
      <c r="C766" t="n">
        <v>55.5</v>
      </c>
      <c r="D766" t="n">
        <v>59.57</v>
      </c>
      <c r="E766" t="n">
        <v>1.714</v>
      </c>
      <c r="F766" t="n">
        <v>1.695</v>
      </c>
      <c r="G766" t="n">
        <v>1.772</v>
      </c>
      <c r="H766" t="n">
        <v>2.574</v>
      </c>
      <c r="J766" t="n">
        <v>2.65</v>
      </c>
      <c r="K766" t="n">
        <v>3.44</v>
      </c>
      <c r="L766" t="n">
        <v>18.3</v>
      </c>
      <c r="N766">
        <f>IF(OR(E766="",C766=""),"",E766-C766/42)</f>
        <v/>
      </c>
      <c r="O766">
        <f>IF(OR(E766="",D766=""),"",E766-D766/42)</f>
        <v/>
      </c>
      <c r="P766">
        <f>IF(L766="",M766/100,H766*L766/100)</f>
        <v/>
      </c>
      <c r="Q766">
        <f>H766-C766/42-P766</f>
        <v/>
      </c>
      <c r="R766">
        <f>H766-E766</f>
        <v/>
      </c>
    </row>
    <row r="767">
      <c r="A767" s="3" t="n">
        <v>43710</v>
      </c>
      <c r="B767" s="3" t="n">
        <v>43707</v>
      </c>
      <c r="C767" t="n">
        <v>55.21</v>
      </c>
      <c r="D767" t="n">
        <v>59.83</v>
      </c>
      <c r="E767" t="n">
        <v>1.754</v>
      </c>
      <c r="F767" t="n">
        <v>1.679</v>
      </c>
      <c r="G767" t="n">
        <v>2.018</v>
      </c>
      <c r="H767" t="n">
        <v>2.563</v>
      </c>
      <c r="J767" t="n">
        <v>2.628</v>
      </c>
      <c r="K767" t="n">
        <v>3.491</v>
      </c>
      <c r="L767" t="n">
        <v>18.5</v>
      </c>
      <c r="N767">
        <f>IF(OR(E767="",C767=""),"",E767-C767/42)</f>
        <v/>
      </c>
      <c r="O767">
        <f>IF(OR(E767="",D767=""),"",E767-D767/42)</f>
        <v/>
      </c>
      <c r="P767">
        <f>IF(L767="",M767/100,H767*L767/100)</f>
        <v/>
      </c>
      <c r="Q767">
        <f>H767-C767/42-P767</f>
        <v/>
      </c>
      <c r="R767">
        <f>H767-E767</f>
        <v/>
      </c>
    </row>
    <row r="768">
      <c r="A768" s="3" t="n">
        <v>43717</v>
      </c>
      <c r="B768" s="3" t="n">
        <v>43714</v>
      </c>
      <c r="C768" t="n">
        <v>55.73</v>
      </c>
      <c r="D768" t="n">
        <v>60.23</v>
      </c>
      <c r="E768" t="n">
        <v>1.62</v>
      </c>
      <c r="F768" t="n">
        <v>1.641</v>
      </c>
      <c r="G768" t="n">
        <v>2.07</v>
      </c>
      <c r="H768" t="n">
        <v>2.55</v>
      </c>
      <c r="J768" t="n">
        <v>2.633</v>
      </c>
      <c r="K768" t="n">
        <v>3.494</v>
      </c>
      <c r="L768" t="n">
        <v>18.5</v>
      </c>
      <c r="N768">
        <f>IF(OR(E768="",C768=""),"",E768-C768/42)</f>
        <v/>
      </c>
      <c r="O768">
        <f>IF(OR(E768="",D768=""),"",E768-D768/42)</f>
        <v/>
      </c>
      <c r="P768">
        <f>IF(L768="",M768/100,H768*L768/100)</f>
        <v/>
      </c>
      <c r="Q768">
        <f>H768-C768/42-P768</f>
        <v/>
      </c>
      <c r="R768">
        <f>H768-E768</f>
        <v/>
      </c>
    </row>
    <row r="769">
      <c r="A769" s="3" t="n">
        <v>43724</v>
      </c>
      <c r="B769" s="3" t="n">
        <v>43721</v>
      </c>
      <c r="C769" t="n">
        <v>56.16</v>
      </c>
      <c r="D769" t="n">
        <v>62.74</v>
      </c>
      <c r="E769" t="n">
        <v>1.645</v>
      </c>
      <c r="F769" t="n">
        <v>1.704</v>
      </c>
      <c r="G769" t="n">
        <v>1.911</v>
      </c>
      <c r="H769" t="n">
        <v>2.552</v>
      </c>
      <c r="J769" t="n">
        <v>2.654</v>
      </c>
      <c r="K769" t="n">
        <v>3.496</v>
      </c>
      <c r="L769" t="n">
        <v>18.5</v>
      </c>
      <c r="N769">
        <f>IF(OR(E769="",C769=""),"",E769-C769/42)</f>
        <v/>
      </c>
      <c r="O769">
        <f>IF(OR(E769="",D769=""),"",E769-D769/42)</f>
        <v/>
      </c>
      <c r="P769">
        <f>IF(L769="",M769/100,H769*L769/100)</f>
        <v/>
      </c>
      <c r="Q769">
        <f>H769-C769/42-P769</f>
        <v/>
      </c>
      <c r="R769">
        <f>H769-E769</f>
        <v/>
      </c>
    </row>
    <row r="770">
      <c r="A770" s="3" t="n">
        <v>43731</v>
      </c>
      <c r="B770" s="3" t="n">
        <v>43728</v>
      </c>
      <c r="C770" t="n">
        <v>59.33</v>
      </c>
      <c r="D770" t="n">
        <v>65.56</v>
      </c>
      <c r="E770" t="n">
        <v>1.751</v>
      </c>
      <c r="F770" t="n">
        <v>1.808</v>
      </c>
      <c r="G770" t="n">
        <v>2.098</v>
      </c>
      <c r="H770" t="n">
        <v>2.654</v>
      </c>
      <c r="J770" t="n">
        <v>2.698</v>
      </c>
      <c r="K770" t="n">
        <v>3.613</v>
      </c>
      <c r="L770" t="n">
        <v>18.5</v>
      </c>
      <c r="N770">
        <f>IF(OR(E770="",C770=""),"",E770-C770/42)</f>
        <v/>
      </c>
      <c r="O770">
        <f>IF(OR(E770="",D770=""),"",E770-D770/42)</f>
        <v/>
      </c>
      <c r="P770">
        <f>IF(L770="",M770/100,H770*L770/100)</f>
        <v/>
      </c>
      <c r="Q770">
        <f>H770-C770/42-P770</f>
        <v/>
      </c>
      <c r="R770">
        <f>H770-E770</f>
        <v/>
      </c>
    </row>
    <row r="771">
      <c r="A771" s="3" t="n">
        <v>43738</v>
      </c>
      <c r="B771" s="3" t="n">
        <v>43735</v>
      </c>
      <c r="C771" t="n">
        <v>56.9</v>
      </c>
      <c r="D771" t="n">
        <v>63.15</v>
      </c>
      <c r="E771" t="n">
        <v>1.712</v>
      </c>
      <c r="F771" t="n">
        <v>1.754</v>
      </c>
      <c r="G771" t="n">
        <v>2.191</v>
      </c>
      <c r="H771" t="n">
        <v>2.642</v>
      </c>
      <c r="J771" t="n">
        <v>2.709</v>
      </c>
      <c r="K771" t="n">
        <v>3.953</v>
      </c>
      <c r="L771" t="n">
        <v>18.5</v>
      </c>
      <c r="N771">
        <f>IF(OR(E771="",C771=""),"",E771-C771/42)</f>
        <v/>
      </c>
      <c r="O771">
        <f>IF(OR(E771="",D771=""),"",E771-D771/42)</f>
        <v/>
      </c>
      <c r="P771">
        <f>IF(L771="",M771/100,H771*L771/100)</f>
        <v/>
      </c>
      <c r="Q771">
        <f>H771-C771/42-P771</f>
        <v/>
      </c>
      <c r="R771">
        <f>H771-E771</f>
        <v/>
      </c>
    </row>
    <row r="772">
      <c r="A772" s="3" t="n">
        <v>43745</v>
      </c>
      <c r="B772" s="3" t="n">
        <v>43742</v>
      </c>
      <c r="C772" t="n">
        <v>53.12</v>
      </c>
      <c r="D772" t="n">
        <v>59.22</v>
      </c>
      <c r="E772" t="n">
        <v>1.62</v>
      </c>
      <c r="F772" t="n">
        <v>1.68</v>
      </c>
      <c r="G772" t="n">
        <v>2.361</v>
      </c>
      <c r="H772" t="n">
        <v>2.645</v>
      </c>
      <c r="J772" t="n">
        <v>2.712</v>
      </c>
      <c r="K772" t="n">
        <v>4.091</v>
      </c>
      <c r="L772" t="n">
        <v>18.3</v>
      </c>
      <c r="N772">
        <f>IF(OR(E772="",C772=""),"",E772-C772/42)</f>
        <v/>
      </c>
      <c r="O772">
        <f>IF(OR(E772="",D772=""),"",E772-D772/42)</f>
        <v/>
      </c>
      <c r="P772">
        <f>IF(L772="",M772/100,H772*L772/100)</f>
        <v/>
      </c>
      <c r="Q772">
        <f>H772-C772/42-P772</f>
        <v/>
      </c>
      <c r="R772">
        <f>H772-E772</f>
        <v/>
      </c>
    </row>
    <row r="773">
      <c r="A773" s="3" t="n">
        <v>43752</v>
      </c>
      <c r="B773" s="3" t="n">
        <v>43749</v>
      </c>
      <c r="C773" t="n">
        <v>53.27</v>
      </c>
      <c r="D773" t="n">
        <v>59.39</v>
      </c>
      <c r="E773" t="n">
        <v>1.643</v>
      </c>
      <c r="F773" t="n">
        <v>1.709</v>
      </c>
      <c r="G773" t="n">
        <v>2.457</v>
      </c>
      <c r="H773" t="n">
        <v>2.629</v>
      </c>
      <c r="J773" t="n">
        <v>2.706</v>
      </c>
      <c r="K773" t="n">
        <v>4.089</v>
      </c>
      <c r="L773" t="n">
        <v>18.3</v>
      </c>
      <c r="N773">
        <f>IF(OR(E773="",C773=""),"",E773-C773/42)</f>
        <v/>
      </c>
      <c r="O773">
        <f>IF(OR(E773="",D773=""),"",E773-D773/42)</f>
        <v/>
      </c>
      <c r="P773">
        <f>IF(L773="",M773/100,H773*L773/100)</f>
        <v/>
      </c>
      <c r="Q773">
        <f>H773-C773/42-P773</f>
        <v/>
      </c>
      <c r="R773">
        <f>H773-E773</f>
        <v/>
      </c>
    </row>
    <row r="774">
      <c r="A774" s="3" t="n">
        <v>43759</v>
      </c>
      <c r="B774" s="3" t="n">
        <v>43756</v>
      </c>
      <c r="C774" t="n">
        <v>53.49</v>
      </c>
      <c r="D774" t="n">
        <v>59.32</v>
      </c>
      <c r="E774" t="n">
        <v>1.65</v>
      </c>
      <c r="F774" t="n">
        <v>1.74</v>
      </c>
      <c r="G774" t="n">
        <v>2.228</v>
      </c>
      <c r="H774" t="n">
        <v>2.638</v>
      </c>
      <c r="J774" t="n">
        <v>2.728</v>
      </c>
      <c r="K774" t="n">
        <v>4.03</v>
      </c>
      <c r="L774" t="n">
        <v>18.3</v>
      </c>
      <c r="N774">
        <f>IF(OR(E774="",C774=""),"",E774-C774/42)</f>
        <v/>
      </c>
      <c r="O774">
        <f>IF(OR(E774="",D774=""),"",E774-D774/42)</f>
        <v/>
      </c>
      <c r="P774">
        <f>IF(L774="",M774/100,H774*L774/100)</f>
        <v/>
      </c>
      <c r="Q774">
        <f>H774-C774/42-P774</f>
        <v/>
      </c>
      <c r="R774">
        <f>H774-E774</f>
        <v/>
      </c>
    </row>
    <row r="775">
      <c r="A775" s="3" t="n">
        <v>43766</v>
      </c>
      <c r="B775" s="3" t="n">
        <v>43763</v>
      </c>
      <c r="C775" t="n">
        <v>55.2</v>
      </c>
      <c r="D775" t="n">
        <v>60.75</v>
      </c>
      <c r="E775" t="n">
        <v>1.657</v>
      </c>
      <c r="F775" t="n">
        <v>1.752</v>
      </c>
      <c r="G775" t="n">
        <v>1.872</v>
      </c>
      <c r="H775" t="n">
        <v>2.596</v>
      </c>
      <c r="J775" t="n">
        <v>2.737</v>
      </c>
      <c r="K775" t="n">
        <v>3.948</v>
      </c>
      <c r="L775" t="n">
        <v>18.3</v>
      </c>
      <c r="N775">
        <f>IF(OR(E775="",C775=""),"",E775-C775/42)</f>
        <v/>
      </c>
      <c r="O775">
        <f>IF(OR(E775="",D775=""),"",E775-D775/42)</f>
        <v/>
      </c>
      <c r="P775">
        <f>IF(L775="",M775/100,H775*L775/100)</f>
        <v/>
      </c>
      <c r="Q775">
        <f>H775-C775/42-P775</f>
        <v/>
      </c>
      <c r="R775">
        <f>H775-E775</f>
        <v/>
      </c>
    </row>
    <row r="776">
      <c r="A776" s="3" t="n">
        <v>43773</v>
      </c>
      <c r="B776" s="3" t="n">
        <v>43770</v>
      </c>
      <c r="C776" t="n">
        <v>55.17</v>
      </c>
      <c r="D776" t="n">
        <v>60.23</v>
      </c>
      <c r="E776" t="n">
        <v>1.666</v>
      </c>
      <c r="F776" t="n">
        <v>1.76</v>
      </c>
      <c r="G776" t="n">
        <v>2.136</v>
      </c>
      <c r="H776" t="n">
        <v>2.605</v>
      </c>
      <c r="J776" t="n">
        <v>2.791</v>
      </c>
      <c r="K776" t="n">
        <v>3.953</v>
      </c>
      <c r="L776" t="n">
        <v>18.5</v>
      </c>
      <c r="N776">
        <f>IF(OR(E776="",C776=""),"",E776-C776/42)</f>
        <v/>
      </c>
      <c r="O776">
        <f>IF(OR(E776="",D776=""),"",E776-D776/42)</f>
        <v/>
      </c>
      <c r="P776">
        <f>IF(L776="",M776/100,H776*L776/100)</f>
        <v/>
      </c>
      <c r="Q776">
        <f>H776-C776/42-P776</f>
        <v/>
      </c>
      <c r="R776">
        <f>H776-E776</f>
        <v/>
      </c>
    </row>
    <row r="777">
      <c r="A777" s="3" t="n">
        <v>43780</v>
      </c>
      <c r="B777" s="3" t="n">
        <v>43777</v>
      </c>
      <c r="C777" t="n">
        <v>56.69</v>
      </c>
      <c r="D777" t="n">
        <v>62.39</v>
      </c>
      <c r="E777" t="n">
        <v>1.643</v>
      </c>
      <c r="F777" t="n">
        <v>1.755</v>
      </c>
      <c r="G777" t="n">
        <v>2.209</v>
      </c>
      <c r="H777" t="n">
        <v>2.615</v>
      </c>
      <c r="J777" t="n">
        <v>2.819</v>
      </c>
      <c r="K777" t="n">
        <v>3.921</v>
      </c>
      <c r="L777" t="n">
        <v>18.5</v>
      </c>
      <c r="N777">
        <f>IF(OR(E777="",C777=""),"",E777-C777/42)</f>
        <v/>
      </c>
      <c r="O777">
        <f>IF(OR(E777="",D777=""),"",E777-D777/42)</f>
        <v/>
      </c>
      <c r="P777">
        <f>IF(L777="",M777/100,H777*L777/100)</f>
        <v/>
      </c>
      <c r="Q777">
        <f>H777-C777/42-P777</f>
        <v/>
      </c>
      <c r="R777">
        <f>H777-E777</f>
        <v/>
      </c>
    </row>
    <row r="778">
      <c r="A778" s="3" t="n">
        <v>43787</v>
      </c>
      <c r="B778" s="3" t="n">
        <v>43784</v>
      </c>
      <c r="C778" t="n">
        <v>56.85</v>
      </c>
      <c r="D778" t="n">
        <v>62.56</v>
      </c>
      <c r="E778" t="n">
        <v>1.606</v>
      </c>
      <c r="F778" t="n">
        <v>1.708</v>
      </c>
      <c r="G778" t="n">
        <v>1.893</v>
      </c>
      <c r="H778" t="n">
        <v>2.592</v>
      </c>
      <c r="J778" t="n">
        <v>2.835</v>
      </c>
      <c r="K778" t="n">
        <v>3.847</v>
      </c>
      <c r="L778" t="n">
        <v>18.5</v>
      </c>
      <c r="N778">
        <f>IF(OR(E778="",C778=""),"",E778-C778/42)</f>
        <v/>
      </c>
      <c r="O778">
        <f>IF(OR(E778="",D778=""),"",E778-D778/42)</f>
        <v/>
      </c>
      <c r="P778">
        <f>IF(L778="",M778/100,H778*L778/100)</f>
        <v/>
      </c>
      <c r="Q778">
        <f>H778-C778/42-P778</f>
        <v/>
      </c>
      <c r="R778">
        <f>H778-E778</f>
        <v/>
      </c>
    </row>
    <row r="779">
      <c r="A779" s="3" t="n">
        <v>43794</v>
      </c>
      <c r="B779" s="3" t="n">
        <v>43791</v>
      </c>
      <c r="C779" t="n">
        <v>56.9</v>
      </c>
      <c r="D779" t="n">
        <v>63.76</v>
      </c>
      <c r="E779" t="n">
        <v>1.626</v>
      </c>
      <c r="F779" t="n">
        <v>1.707</v>
      </c>
      <c r="G779" t="n">
        <v>1.758</v>
      </c>
      <c r="H779" t="n">
        <v>2.579</v>
      </c>
      <c r="J779" t="n">
        <v>2.825</v>
      </c>
      <c r="K779" t="n">
        <v>3.753</v>
      </c>
      <c r="L779" t="n">
        <v>18.5</v>
      </c>
      <c r="N779">
        <f>IF(OR(E779="",C779=""),"",E779-C779/42)</f>
        <v/>
      </c>
      <c r="O779">
        <f>IF(OR(E779="",D779=""),"",E779-D779/42)</f>
        <v/>
      </c>
      <c r="P779">
        <f>IF(L779="",M779/100,H779*L779/100)</f>
        <v/>
      </c>
      <c r="Q779">
        <f>H779-C779/42-P779</f>
        <v/>
      </c>
      <c r="R779">
        <f>H779-E779</f>
        <v/>
      </c>
    </row>
    <row r="780">
      <c r="A780" s="3" t="n">
        <v>43801</v>
      </c>
      <c r="B780" s="3" t="n">
        <v>43798</v>
      </c>
      <c r="C780" t="n">
        <v>58.07</v>
      </c>
      <c r="D780" t="n">
        <v>64.73999999999999</v>
      </c>
      <c r="E780" t="n">
        <v>1.664</v>
      </c>
      <c r="F780" t="n">
        <v>1.722</v>
      </c>
      <c r="G780" t="n">
        <v>1.728</v>
      </c>
      <c r="H780" t="n">
        <v>2.575</v>
      </c>
      <c r="J780" t="n">
        <v>2.817</v>
      </c>
      <c r="K780" t="n">
        <v>3.674</v>
      </c>
      <c r="L780" t="n">
        <v>18.8</v>
      </c>
      <c r="N780">
        <f>IF(OR(E780="",C780=""),"",E780-C780/42)</f>
        <v/>
      </c>
      <c r="O780">
        <f>IF(OR(E780="",D780=""),"",E780-D780/42)</f>
        <v/>
      </c>
      <c r="P780">
        <f>IF(L780="",M780/100,H780*L780/100)</f>
        <v/>
      </c>
      <c r="Q780">
        <f>H780-C780/42-P780</f>
        <v/>
      </c>
      <c r="R780">
        <f>H780-E780</f>
        <v/>
      </c>
    </row>
    <row r="781">
      <c r="A781" s="3" t="n">
        <v>43808</v>
      </c>
      <c r="B781" s="3" t="n">
        <v>43805</v>
      </c>
      <c r="C781" t="n">
        <v>57.64</v>
      </c>
      <c r="D781" t="n">
        <v>64.70999999999999</v>
      </c>
      <c r="E781" t="n">
        <v>1.564</v>
      </c>
      <c r="F781" t="n">
        <v>1.641</v>
      </c>
      <c r="G781" t="n">
        <v>1.568</v>
      </c>
      <c r="H781" t="n">
        <v>2.561</v>
      </c>
      <c r="J781" t="n">
        <v>2.791</v>
      </c>
      <c r="K781" t="n">
        <v>3.58</v>
      </c>
      <c r="L781" t="n">
        <v>18.8</v>
      </c>
      <c r="N781">
        <f>IF(OR(E781="",C781=""),"",E781-C781/42)</f>
        <v/>
      </c>
      <c r="O781">
        <f>IF(OR(E781="",D781=""),"",E781-D781/42)</f>
        <v/>
      </c>
      <c r="P781">
        <f>IF(L781="",M781/100,H781*L781/100)</f>
        <v/>
      </c>
      <c r="Q781">
        <f>H781-C781/42-P781</f>
        <v/>
      </c>
      <c r="R781">
        <f>H781-E781</f>
        <v/>
      </c>
    </row>
    <row r="782">
      <c r="A782" s="3" t="n">
        <v>43815</v>
      </c>
      <c r="B782" s="3" t="n">
        <v>43812</v>
      </c>
      <c r="C782" t="n">
        <v>59.25</v>
      </c>
      <c r="D782" t="n">
        <v>66.5</v>
      </c>
      <c r="E782" t="n">
        <v>1.598</v>
      </c>
      <c r="F782" t="n">
        <v>1.69</v>
      </c>
      <c r="G782" t="n">
        <v>1.596</v>
      </c>
      <c r="H782" t="n">
        <v>2.536</v>
      </c>
      <c r="J782" t="n">
        <v>2.73</v>
      </c>
      <c r="K782" t="n">
        <v>3.508</v>
      </c>
      <c r="L782" t="n">
        <v>18.8</v>
      </c>
      <c r="N782">
        <f>IF(OR(E782="",C782=""),"",E782-C782/42)</f>
        <v/>
      </c>
      <c r="O782">
        <f>IF(OR(E782="",D782=""),"",E782-D782/42)</f>
        <v/>
      </c>
      <c r="P782">
        <f>IF(L782="",M782/100,H782*L782/100)</f>
        <v/>
      </c>
      <c r="Q782">
        <f>H782-C782/42-P782</f>
        <v/>
      </c>
      <c r="R782">
        <f>H782-E782</f>
        <v/>
      </c>
    </row>
    <row r="783">
      <c r="A783" s="3" t="n">
        <v>43822</v>
      </c>
      <c r="B783" s="3" t="n">
        <v>43819</v>
      </c>
      <c r="C783" t="n">
        <v>60.75</v>
      </c>
      <c r="D783" t="n">
        <v>68.90000000000001</v>
      </c>
      <c r="E783" t="n">
        <v>1.621</v>
      </c>
      <c r="F783" t="n">
        <v>1.733</v>
      </c>
      <c r="G783" t="n">
        <v>1.68</v>
      </c>
      <c r="H783" t="n">
        <v>2.532</v>
      </c>
      <c r="J783" t="n">
        <v>2.69</v>
      </c>
      <c r="K783" t="n">
        <v>3.457</v>
      </c>
      <c r="L783" t="n">
        <v>18.8</v>
      </c>
      <c r="N783">
        <f>IF(OR(E783="",C783=""),"",E783-C783/42)</f>
        <v/>
      </c>
      <c r="O783">
        <f>IF(OR(E783="",D783=""),"",E783-D783/42)</f>
        <v/>
      </c>
      <c r="P783">
        <f>IF(L783="",M783/100,H783*L783/100)</f>
        <v/>
      </c>
      <c r="Q783">
        <f>H783-C783/42-P783</f>
        <v/>
      </c>
      <c r="R783">
        <f>H783-E783</f>
        <v/>
      </c>
    </row>
    <row r="784">
      <c r="A784" s="3" t="n">
        <v>43829</v>
      </c>
      <c r="B784" s="3" t="n">
        <v>43826</v>
      </c>
      <c r="C784" t="n">
        <v>61.29</v>
      </c>
      <c r="D784" t="n">
        <v>68.73</v>
      </c>
      <c r="E784" t="n">
        <v>1.709</v>
      </c>
      <c r="F784" t="n">
        <v>1.773</v>
      </c>
      <c r="G784" t="n">
        <v>1.753</v>
      </c>
      <c r="H784" t="n">
        <v>2.571</v>
      </c>
      <c r="J784" t="n">
        <v>2.663</v>
      </c>
      <c r="K784" t="n">
        <v>3.438</v>
      </c>
      <c r="L784" t="n">
        <v>18.8</v>
      </c>
      <c r="N784">
        <f>IF(OR(E784="",C784=""),"",E784-C784/42)</f>
        <v/>
      </c>
      <c r="O784">
        <f>IF(OR(E784="",D784=""),"",E784-D784/42)</f>
        <v/>
      </c>
      <c r="P784">
        <f>IF(L784="",M784/100,H784*L784/100)</f>
        <v/>
      </c>
      <c r="Q784">
        <f>H784-C784/42-P784</f>
        <v/>
      </c>
      <c r="R784">
        <f>H784-E784</f>
        <v/>
      </c>
    </row>
    <row r="785">
      <c r="A785" s="3" t="n">
        <v>43836</v>
      </c>
      <c r="B785" s="3" t="n">
        <v>43833</v>
      </c>
      <c r="C785" t="n">
        <v>62.09</v>
      </c>
      <c r="D785" t="n">
        <v>68.06999999999999</v>
      </c>
      <c r="E785" t="n">
        <v>1.704</v>
      </c>
      <c r="F785" t="n">
        <v>1.768</v>
      </c>
      <c r="G785" t="n">
        <v>1.766</v>
      </c>
      <c r="H785" t="n">
        <v>2.578</v>
      </c>
      <c r="J785" t="n">
        <v>2.642</v>
      </c>
      <c r="K785" t="n">
        <v>3.428</v>
      </c>
      <c r="L785" t="n">
        <v>18.9</v>
      </c>
      <c r="N785">
        <f>IF(OR(E785="",C785=""),"",E785-C785/42)</f>
        <v/>
      </c>
      <c r="O785">
        <f>IF(OR(E785="",D785=""),"",E785-D785/42)</f>
        <v/>
      </c>
      <c r="P785">
        <f>IF(L785="",M785/100,H785*L785/100)</f>
        <v/>
      </c>
      <c r="Q785">
        <f>H785-C785/42-P785</f>
        <v/>
      </c>
      <c r="R785">
        <f>H785-E785</f>
        <v/>
      </c>
    </row>
    <row r="786">
      <c r="A786" s="3" t="n">
        <v>43843</v>
      </c>
      <c r="B786" s="3" t="n">
        <v>43840</v>
      </c>
      <c r="C786" t="n">
        <v>60.84</v>
      </c>
      <c r="D786" t="n">
        <v>67.93000000000001</v>
      </c>
      <c r="E786" t="n">
        <v>1.659</v>
      </c>
      <c r="F786" t="n">
        <v>1.727</v>
      </c>
      <c r="G786" t="n">
        <v>1.82</v>
      </c>
      <c r="H786" t="n">
        <v>2.57</v>
      </c>
      <c r="J786" t="n">
        <v>2.608</v>
      </c>
      <c r="K786" t="n">
        <v>3.419</v>
      </c>
      <c r="L786" t="n">
        <v>18.9</v>
      </c>
      <c r="N786">
        <f>IF(OR(E786="",C786=""),"",E786-C786/42)</f>
        <v/>
      </c>
      <c r="O786">
        <f>IF(OR(E786="",D786=""),"",E786-D786/42)</f>
        <v/>
      </c>
      <c r="P786">
        <f>IF(L786="",M786/100,H786*L786/100)</f>
        <v/>
      </c>
      <c r="Q786">
        <f>H786-C786/42-P786</f>
        <v/>
      </c>
      <c r="R786">
        <f>H786-E786</f>
        <v/>
      </c>
    </row>
    <row r="787">
      <c r="A787" s="3" t="n">
        <v>43850</v>
      </c>
      <c r="B787" s="3" t="n">
        <v>43847</v>
      </c>
      <c r="C787" t="n">
        <v>58.29</v>
      </c>
      <c r="D787" t="n">
        <v>64.11</v>
      </c>
      <c r="E787" t="n">
        <v>1.62</v>
      </c>
      <c r="F787" t="n">
        <v>1.694</v>
      </c>
      <c r="G787" t="n">
        <v>1.875</v>
      </c>
      <c r="H787" t="n">
        <v>2.537</v>
      </c>
      <c r="J787" t="n">
        <v>2.574</v>
      </c>
      <c r="K787" t="n">
        <v>3.408</v>
      </c>
      <c r="L787" t="n">
        <v>18.9</v>
      </c>
      <c r="N787">
        <f>IF(OR(E787="",C787=""),"",E787-C787/42)</f>
        <v/>
      </c>
      <c r="O787">
        <f>IF(OR(E787="",D787=""),"",E787-D787/42)</f>
        <v/>
      </c>
      <c r="P787">
        <f>IF(L787="",M787/100,H787*L787/100)</f>
        <v/>
      </c>
      <c r="Q787">
        <f>H787-C787/42-P787</f>
        <v/>
      </c>
      <c r="R787">
        <f>H787-E787</f>
        <v/>
      </c>
    </row>
    <row r="788">
      <c r="A788" s="3" t="n">
        <v>43857</v>
      </c>
      <c r="B788" s="3" t="n">
        <v>43854</v>
      </c>
      <c r="C788" t="n">
        <v>56.15</v>
      </c>
      <c r="D788" t="n">
        <v>62.2</v>
      </c>
      <c r="E788" t="n">
        <v>1.538</v>
      </c>
      <c r="F788" t="n">
        <v>1.614</v>
      </c>
      <c r="G788" t="n">
        <v>1.857</v>
      </c>
      <c r="H788" t="n">
        <v>2.506</v>
      </c>
      <c r="J788" t="n">
        <v>2.551</v>
      </c>
      <c r="K788" t="n">
        <v>3.388</v>
      </c>
      <c r="L788" t="n">
        <v>18.9</v>
      </c>
      <c r="N788">
        <f>IF(OR(E788="",C788=""),"",E788-C788/42)</f>
        <v/>
      </c>
      <c r="O788">
        <f>IF(OR(E788="",D788=""),"",E788-D788/42)</f>
        <v/>
      </c>
      <c r="P788">
        <f>IF(L788="",M788/100,H788*L788/100)</f>
        <v/>
      </c>
      <c r="Q788">
        <f>H788-C788/42-P788</f>
        <v/>
      </c>
      <c r="R788">
        <f>H788-E788</f>
        <v/>
      </c>
    </row>
    <row r="789">
      <c r="A789" s="3" t="n">
        <v>43864</v>
      </c>
      <c r="B789" s="3" t="n">
        <v>43861</v>
      </c>
      <c r="C789" t="n">
        <v>52.7</v>
      </c>
      <c r="D789" t="n">
        <v>58.57</v>
      </c>
      <c r="E789" t="n">
        <v>1.474</v>
      </c>
      <c r="F789" t="n">
        <v>1.545</v>
      </c>
      <c r="G789" t="n">
        <v>1.88</v>
      </c>
      <c r="H789" t="n">
        <v>2.455</v>
      </c>
      <c r="J789" t="n">
        <v>2.526</v>
      </c>
      <c r="K789" t="n">
        <v>3.371</v>
      </c>
      <c r="L789" t="n">
        <v>19.7</v>
      </c>
      <c r="N789">
        <f>IF(OR(E789="",C789=""),"",E789-C789/42)</f>
        <v/>
      </c>
      <c r="O789">
        <f>IF(OR(E789="",D789=""),"",E789-D789/42)</f>
        <v/>
      </c>
      <c r="P789">
        <f>IF(L789="",M789/100,H789*L789/100)</f>
        <v/>
      </c>
      <c r="Q789">
        <f>H789-C789/42-P789</f>
        <v/>
      </c>
      <c r="R789">
        <f>H789-E789</f>
        <v/>
      </c>
    </row>
    <row r="790">
      <c r="A790" s="3" t="n">
        <v>43871</v>
      </c>
      <c r="B790" s="3" t="n">
        <v>43868</v>
      </c>
      <c r="C790" t="n">
        <v>50.36</v>
      </c>
      <c r="D790" t="n">
        <v>54.59</v>
      </c>
      <c r="E790" t="n">
        <v>1.444</v>
      </c>
      <c r="F790" t="n">
        <v>1.523</v>
      </c>
      <c r="G790" t="n">
        <v>1.871</v>
      </c>
      <c r="H790" t="n">
        <v>2.419</v>
      </c>
      <c r="J790" t="n">
        <v>2.507</v>
      </c>
      <c r="K790" t="n">
        <v>3.366</v>
      </c>
      <c r="L790" t="n">
        <v>19.7</v>
      </c>
      <c r="N790">
        <f>IF(OR(E790="",C790=""),"",E790-C790/42)</f>
        <v/>
      </c>
      <c r="O790">
        <f>IF(OR(E790="",D790=""),"",E790-D790/42)</f>
        <v/>
      </c>
      <c r="P790">
        <f>IF(L790="",M790/100,H790*L790/100)</f>
        <v/>
      </c>
      <c r="Q790">
        <f>H790-C790/42-P790</f>
        <v/>
      </c>
      <c r="R790">
        <f>H790-E790</f>
        <v/>
      </c>
    </row>
    <row r="791">
      <c r="A791" s="3" t="n">
        <v>43878</v>
      </c>
      <c r="B791" s="3" t="n">
        <v>43875</v>
      </c>
      <c r="C791" t="n">
        <v>50.83</v>
      </c>
      <c r="D791" t="n">
        <v>55.33</v>
      </c>
      <c r="E791" t="n">
        <v>1.489</v>
      </c>
      <c r="F791" t="n">
        <v>1.595</v>
      </c>
      <c r="G791" t="n">
        <v>1.891</v>
      </c>
      <c r="H791" t="n">
        <v>2.428</v>
      </c>
      <c r="J791" t="n">
        <v>2.473</v>
      </c>
      <c r="K791" t="n">
        <v>3.358</v>
      </c>
      <c r="L791" t="n">
        <v>19.7</v>
      </c>
      <c r="N791">
        <f>IF(OR(E791="",C791=""),"",E791-C791/42)</f>
        <v/>
      </c>
      <c r="O791">
        <f>IF(OR(E791="",D791=""),"",E791-D791/42)</f>
        <v/>
      </c>
      <c r="P791">
        <f>IF(L791="",M791/100,H791*L791/100)</f>
        <v/>
      </c>
      <c r="Q791">
        <f>H791-C791/42-P791</f>
        <v/>
      </c>
      <c r="R791">
        <f>H791-E791</f>
        <v/>
      </c>
    </row>
    <row r="792">
      <c r="A792" s="3" t="n">
        <v>43885</v>
      </c>
      <c r="B792" s="3" t="n">
        <v>43882</v>
      </c>
      <c r="C792" t="n">
        <v>53.14</v>
      </c>
      <c r="D792" t="n">
        <v>58.61</v>
      </c>
      <c r="E792" t="n">
        <v>1.504</v>
      </c>
      <c r="F792" t="n">
        <v>1.688</v>
      </c>
      <c r="G792" t="n">
        <v>1.938</v>
      </c>
      <c r="H792" t="n">
        <v>2.466</v>
      </c>
      <c r="J792" t="n">
        <v>2.44</v>
      </c>
      <c r="K792" t="n">
        <v>3.36</v>
      </c>
      <c r="L792" t="n">
        <v>19.7</v>
      </c>
      <c r="N792">
        <f>IF(OR(E792="",C792=""),"",E792-C792/42)</f>
        <v/>
      </c>
      <c r="O792">
        <f>IF(OR(E792="",D792=""),"",E792-D792/42)</f>
        <v/>
      </c>
      <c r="P792">
        <f>IF(L792="",M792/100,H792*L792/100)</f>
        <v/>
      </c>
      <c r="Q792">
        <f>H792-C792/42-P792</f>
        <v/>
      </c>
      <c r="R792">
        <f>H792-E792</f>
        <v/>
      </c>
    </row>
    <row r="793">
      <c r="A793" s="3" t="n">
        <v>43892</v>
      </c>
      <c r="B793" s="3" t="n">
        <v>43889</v>
      </c>
      <c r="C793" t="n">
        <v>48.36</v>
      </c>
      <c r="D793" t="n">
        <v>54.09</v>
      </c>
      <c r="E793" t="n">
        <v>1.385</v>
      </c>
      <c r="F793" t="n">
        <v>1.537</v>
      </c>
      <c r="G793" t="n">
        <v>1.724</v>
      </c>
      <c r="H793" t="n">
        <v>2.423</v>
      </c>
      <c r="J793" t="n">
        <v>2.419</v>
      </c>
      <c r="K793" t="n">
        <v>3.353</v>
      </c>
      <c r="L793" t="n">
        <v>21.6</v>
      </c>
      <c r="N793">
        <f>IF(OR(E793="",C793=""),"",E793-C793/42)</f>
        <v/>
      </c>
      <c r="O793">
        <f>IF(OR(E793="",D793=""),"",E793-D793/42)</f>
        <v/>
      </c>
      <c r="P793">
        <f>IF(L793="",M793/100,H793*L793/100)</f>
        <v/>
      </c>
      <c r="Q793">
        <f>H793-C793/42-P793</f>
        <v/>
      </c>
      <c r="R793">
        <f>H793-E793</f>
        <v/>
      </c>
    </row>
    <row r="794">
      <c r="A794" s="3" t="n">
        <v>43899</v>
      </c>
      <c r="B794" s="3" t="n">
        <v>43896</v>
      </c>
      <c r="C794" t="n">
        <v>45.57</v>
      </c>
      <c r="D794" t="n">
        <v>50.7</v>
      </c>
      <c r="E794" t="n">
        <v>1.451</v>
      </c>
      <c r="F794" t="n">
        <v>1.492</v>
      </c>
      <c r="G794" t="n">
        <v>1.705</v>
      </c>
      <c r="H794" t="n">
        <v>2.375</v>
      </c>
      <c r="J794" t="n">
        <v>2.381</v>
      </c>
      <c r="K794" t="n">
        <v>3.325</v>
      </c>
      <c r="L794" t="n">
        <v>21.6</v>
      </c>
      <c r="N794">
        <f>IF(OR(E794="",C794=""),"",E794-C794/42)</f>
        <v/>
      </c>
      <c r="O794">
        <f>IF(OR(E794="",D794=""),"",E794-D794/42)</f>
        <v/>
      </c>
      <c r="P794">
        <f>IF(L794="",M794/100,H794*L794/100)</f>
        <v/>
      </c>
      <c r="Q794">
        <f>H794-C794/42-P794</f>
        <v/>
      </c>
      <c r="R794">
        <f>H794-E794</f>
        <v/>
      </c>
    </row>
    <row r="795">
      <c r="A795" s="3" t="n">
        <v>43906</v>
      </c>
      <c r="B795" s="3" t="n">
        <v>43903</v>
      </c>
      <c r="C795" t="n">
        <v>32.39</v>
      </c>
      <c r="D795" t="n">
        <v>33.72</v>
      </c>
      <c r="E795" t="n">
        <v>0.997</v>
      </c>
      <c r="F795" t="n">
        <v>1.044</v>
      </c>
      <c r="G795" t="n">
        <v>1.179</v>
      </c>
      <c r="H795" t="n">
        <v>2.248</v>
      </c>
      <c r="J795" t="n">
        <v>2.32</v>
      </c>
      <c r="K795" t="n">
        <v>3.222</v>
      </c>
      <c r="L795" t="n">
        <v>21.6</v>
      </c>
      <c r="N795">
        <f>IF(OR(E795="",C795=""),"",E795-C795/42)</f>
        <v/>
      </c>
      <c r="O795">
        <f>IF(OR(E795="",D795=""),"",E795-D795/42)</f>
        <v/>
      </c>
      <c r="P795">
        <f>IF(L795="",M795/100,H795*L795/100)</f>
        <v/>
      </c>
      <c r="Q795">
        <f>H795-C795/42-P795</f>
        <v/>
      </c>
      <c r="R795">
        <f>H795-E795</f>
        <v/>
      </c>
    </row>
    <row r="796">
      <c r="A796" s="3" t="n">
        <v>43913</v>
      </c>
      <c r="B796" s="3" t="n">
        <v>43910</v>
      </c>
      <c r="C796" t="n">
        <v>24.19</v>
      </c>
      <c r="D796" t="n">
        <v>25.65</v>
      </c>
      <c r="E796" t="n">
        <v>0.642</v>
      </c>
      <c r="F796" t="n">
        <v>0.667</v>
      </c>
      <c r="G796" t="n">
        <v>0.636</v>
      </c>
      <c r="H796" t="n">
        <v>2.12</v>
      </c>
      <c r="J796" t="n">
        <v>2.237</v>
      </c>
      <c r="K796" t="n">
        <v>3.066</v>
      </c>
      <c r="L796" t="n">
        <v>21.6</v>
      </c>
      <c r="N796">
        <f>IF(OR(E796="",C796=""),"",E796-C796/42)</f>
        <v/>
      </c>
      <c r="O796">
        <f>IF(OR(E796="",D796=""),"",E796-D796/42)</f>
        <v/>
      </c>
      <c r="P796">
        <f>IF(L796="",M796/100,H796*L796/100)</f>
        <v/>
      </c>
      <c r="Q796">
        <f>H796-C796/42-P796</f>
        <v/>
      </c>
      <c r="R796">
        <f>H796-E796</f>
        <v/>
      </c>
    </row>
    <row r="797">
      <c r="A797" s="3" t="n">
        <v>43920</v>
      </c>
      <c r="B797" s="3" t="n">
        <v>43917</v>
      </c>
      <c r="C797" t="n">
        <v>19.44</v>
      </c>
      <c r="D797" t="n">
        <v>23.96</v>
      </c>
      <c r="E797" t="n">
        <v>0.418</v>
      </c>
      <c r="F797" t="n">
        <v>0.499</v>
      </c>
      <c r="G797" t="n">
        <v>0.422</v>
      </c>
      <c r="H797" t="n">
        <v>2.005</v>
      </c>
      <c r="J797" t="n">
        <v>2.106</v>
      </c>
      <c r="K797" t="n">
        <v>2.953</v>
      </c>
      <c r="L797" t="n">
        <v>21.6</v>
      </c>
      <c r="N797">
        <f>IF(OR(E797="",C797=""),"",E797-C797/42)</f>
        <v/>
      </c>
      <c r="O797">
        <f>IF(OR(E797="",D797=""),"",E797-D797/42)</f>
        <v/>
      </c>
      <c r="P797">
        <f>IF(L797="",M797/100,H797*L797/100)</f>
        <v/>
      </c>
      <c r="Q797">
        <f>H797-C797/42-P797</f>
        <v/>
      </c>
      <c r="R797">
        <f>H797-E797</f>
        <v/>
      </c>
    </row>
    <row r="798">
      <c r="A798" s="3" t="n">
        <v>43927</v>
      </c>
      <c r="B798" s="3" t="n">
        <v>43924</v>
      </c>
      <c r="C798" t="n">
        <v>21.69</v>
      </c>
      <c r="D798" t="n">
        <v>18.72</v>
      </c>
      <c r="E798" t="n">
        <v>0.497</v>
      </c>
      <c r="F798" t="n">
        <v>0.528</v>
      </c>
      <c r="G798" t="n">
        <v>0.411</v>
      </c>
      <c r="H798" t="n">
        <v>1.924</v>
      </c>
      <c r="J798" t="n">
        <v>2.008</v>
      </c>
      <c r="K798" t="n">
        <v>2.872</v>
      </c>
      <c r="L798" t="n">
        <v>26.2</v>
      </c>
      <c r="N798">
        <f>IF(OR(E798="",C798=""),"",E798-C798/42)</f>
        <v/>
      </c>
      <c r="O798">
        <f>IF(OR(E798="",D798=""),"",E798-D798/42)</f>
        <v/>
      </c>
      <c r="P798">
        <f>IF(L798="",M798/100,H798*L798/100)</f>
        <v/>
      </c>
      <c r="Q798">
        <f>H798-C798/42-P798</f>
        <v/>
      </c>
      <c r="R798">
        <f>H798-E798</f>
        <v/>
      </c>
    </row>
    <row r="799">
      <c r="A799" s="3" t="n">
        <v>43934</v>
      </c>
      <c r="B799" s="3" t="n">
        <v>43931</v>
      </c>
      <c r="C799" t="n">
        <v>24.41</v>
      </c>
      <c r="D799" t="n">
        <v>22.53</v>
      </c>
      <c r="E799" t="n">
        <v>0.553</v>
      </c>
      <c r="F799" t="n">
        <v>0.61</v>
      </c>
      <c r="G799" t="n">
        <v>0.391</v>
      </c>
      <c r="H799" t="n">
        <v>1.853</v>
      </c>
      <c r="J799" t="n">
        <v>1.921</v>
      </c>
      <c r="K799" t="n">
        <v>2.751</v>
      </c>
      <c r="L799" t="n">
        <v>26.2</v>
      </c>
      <c r="N799">
        <f>IF(OR(E799="",C799=""),"",E799-C799/42)</f>
        <v/>
      </c>
      <c r="O799">
        <f>IF(OR(E799="",D799=""),"",E799-D799/42)</f>
        <v/>
      </c>
      <c r="P799">
        <f>IF(L799="",M799/100,H799*L799/100)</f>
        <v/>
      </c>
      <c r="Q799">
        <f>H799-C799/42-P799</f>
        <v/>
      </c>
      <c r="R799">
        <f>H799-E799</f>
        <v/>
      </c>
    </row>
    <row r="800">
      <c r="A800" s="3" t="n">
        <v>43941</v>
      </c>
      <c r="B800" s="3" t="n">
        <v>43938</v>
      </c>
      <c r="C800" t="n">
        <v>20.12</v>
      </c>
      <c r="D800" t="n">
        <v>20</v>
      </c>
      <c r="E800" t="n">
        <v>0.594</v>
      </c>
      <c r="F800" t="n">
        <v>0.609</v>
      </c>
      <c r="G800" t="n">
        <v>0.369</v>
      </c>
      <c r="H800" t="n">
        <v>1.812</v>
      </c>
      <c r="J800" t="n">
        <v>1.866</v>
      </c>
      <c r="K800" t="n">
        <v>2.7</v>
      </c>
      <c r="L800" t="n">
        <v>26.2</v>
      </c>
      <c r="N800">
        <f>IF(OR(E800="",C800=""),"",E800-C800/42)</f>
        <v/>
      </c>
      <c r="O800">
        <f>IF(OR(E800="",D800=""),"",E800-D800/42)</f>
        <v/>
      </c>
      <c r="P800">
        <f>IF(L800="",M800/100,H800*L800/100)</f>
        <v/>
      </c>
      <c r="Q800">
        <f>H800-C800/42-P800</f>
        <v/>
      </c>
      <c r="R800">
        <f>H800-E800</f>
        <v/>
      </c>
    </row>
    <row r="801">
      <c r="A801" s="3" t="n">
        <v>43948</v>
      </c>
      <c r="B801" s="3" t="n">
        <v>43945</v>
      </c>
      <c r="C801" t="n">
        <v>3.32</v>
      </c>
      <c r="D801" t="n">
        <v>14.24</v>
      </c>
      <c r="E801" t="n">
        <v>0.494</v>
      </c>
      <c r="F801" t="n">
        <v>0.5679999999999999</v>
      </c>
      <c r="G801" t="n">
        <v>0.462</v>
      </c>
      <c r="H801" t="n">
        <v>1.773</v>
      </c>
      <c r="J801" t="n">
        <v>1.809</v>
      </c>
      <c r="K801" t="n">
        <v>2.652</v>
      </c>
      <c r="L801" t="n">
        <v>26.2</v>
      </c>
      <c r="N801">
        <f>IF(OR(E801="",C801=""),"",E801-C801/42)</f>
        <v/>
      </c>
      <c r="O801">
        <f>IF(OR(E801="",D801=""),"",E801-D801/42)</f>
        <v/>
      </c>
      <c r="P801">
        <f>IF(L801="",M801/100,H801*L801/100)</f>
        <v/>
      </c>
      <c r="Q801">
        <f>H801-C801/42-P801</f>
        <v/>
      </c>
      <c r="R801">
        <f>H801-E801</f>
        <v/>
      </c>
    </row>
    <row r="802">
      <c r="A802" s="3" t="n">
        <v>43955</v>
      </c>
      <c r="B802" s="3" t="n">
        <v>43952</v>
      </c>
      <c r="C802" t="n">
        <v>15.71</v>
      </c>
      <c r="D802" t="n">
        <v>17.05</v>
      </c>
      <c r="E802" t="n">
        <v>0.572</v>
      </c>
      <c r="F802" t="n">
        <v>0.652</v>
      </c>
      <c r="G802" t="n">
        <v>0.722</v>
      </c>
      <c r="H802" t="n">
        <v>1.789</v>
      </c>
      <c r="J802" t="n">
        <v>1.772</v>
      </c>
      <c r="K802" t="n">
        <v>2.635</v>
      </c>
      <c r="L802" t="n">
        <v>25.8</v>
      </c>
      <c r="N802">
        <f>IF(OR(E802="",C802=""),"",E802-C802/42)</f>
        <v/>
      </c>
      <c r="O802">
        <f>IF(OR(E802="",D802=""),"",E802-D802/42)</f>
        <v/>
      </c>
      <c r="P802">
        <f>IF(L802="",M802/100,H802*L802/100)</f>
        <v/>
      </c>
      <c r="Q802">
        <f>H802-C802/42-P802</f>
        <v/>
      </c>
      <c r="R802">
        <f>H802-E802</f>
        <v/>
      </c>
    </row>
    <row r="803">
      <c r="A803" s="3" t="n">
        <v>43962</v>
      </c>
      <c r="B803" s="3" t="n">
        <v>43959</v>
      </c>
      <c r="C803" t="n">
        <v>23.46</v>
      </c>
      <c r="D803" t="n">
        <v>23.57</v>
      </c>
      <c r="E803" t="n">
        <v>0.772</v>
      </c>
      <c r="F803" t="n">
        <v>0.825</v>
      </c>
      <c r="G803" t="n">
        <v>0.913</v>
      </c>
      <c r="H803" t="n">
        <v>1.851</v>
      </c>
      <c r="J803" t="n">
        <v>1.764</v>
      </c>
      <c r="K803" t="n">
        <v>2.65</v>
      </c>
      <c r="L803" t="n">
        <v>25.8</v>
      </c>
      <c r="N803">
        <f>IF(OR(E803="",C803=""),"",E803-C803/42)</f>
        <v/>
      </c>
      <c r="O803">
        <f>IF(OR(E803="",D803=""),"",E803-D803/42)</f>
        <v/>
      </c>
      <c r="P803">
        <f>IF(L803="",M803/100,H803*L803/100)</f>
        <v/>
      </c>
      <c r="Q803">
        <f>H803-C803/42-P803</f>
        <v/>
      </c>
      <c r="R803">
        <f>H803-E803</f>
        <v/>
      </c>
    </row>
    <row r="804">
      <c r="A804" s="3" t="n">
        <v>43969</v>
      </c>
      <c r="B804" s="3" t="n">
        <v>43966</v>
      </c>
      <c r="C804" t="n">
        <v>26.4</v>
      </c>
      <c r="D804" t="n">
        <v>28.18</v>
      </c>
      <c r="E804" t="n">
        <v>0.803</v>
      </c>
      <c r="F804" t="n">
        <v>0.828</v>
      </c>
      <c r="G804" t="n">
        <v>0.992</v>
      </c>
      <c r="H804" t="n">
        <v>1.878</v>
      </c>
      <c r="J804" t="n">
        <v>1.82</v>
      </c>
      <c r="K804" t="n">
        <v>2.688</v>
      </c>
      <c r="L804" t="n">
        <v>25.8</v>
      </c>
      <c r="N804">
        <f>IF(OR(E804="",C804=""),"",E804-C804/42)</f>
        <v/>
      </c>
      <c r="O804">
        <f>IF(OR(E804="",D804=""),"",E804-D804/42)</f>
        <v/>
      </c>
      <c r="P804">
        <f>IF(L804="",M804/100,H804*L804/100)</f>
        <v/>
      </c>
      <c r="Q804">
        <f>H804-C804/42-P804</f>
        <v/>
      </c>
      <c r="R804">
        <f>H804-E804</f>
        <v/>
      </c>
    </row>
    <row r="805">
      <c r="A805" s="3" t="n">
        <v>43976</v>
      </c>
      <c r="B805" s="3" t="n">
        <v>43973</v>
      </c>
      <c r="C805" t="n">
        <v>33.1</v>
      </c>
      <c r="D805" t="n">
        <v>33.94</v>
      </c>
      <c r="E805" t="n">
        <v>0.91</v>
      </c>
      <c r="F805" t="n">
        <v>0.965</v>
      </c>
      <c r="G805" t="n">
        <v>1.148</v>
      </c>
      <c r="H805" t="n">
        <v>1.96</v>
      </c>
      <c r="J805" t="n">
        <v>1.991</v>
      </c>
      <c r="K805" t="n">
        <v>2.766</v>
      </c>
      <c r="L805" t="n">
        <v>25.8</v>
      </c>
      <c r="N805">
        <f>IF(OR(E805="",C805=""),"",E805-C805/42)</f>
        <v/>
      </c>
      <c r="O805">
        <f>IF(OR(E805="",D805=""),"",E805-D805/42)</f>
        <v/>
      </c>
      <c r="P805">
        <f>IF(L805="",M805/100,H805*L805/100)</f>
        <v/>
      </c>
      <c r="Q805">
        <f>H805-C805/42-P805</f>
        <v/>
      </c>
      <c r="R805">
        <f>H805-E805</f>
        <v/>
      </c>
    </row>
    <row r="806">
      <c r="A806" s="3" t="n">
        <v>43983</v>
      </c>
      <c r="B806" s="3" t="n">
        <v>43980</v>
      </c>
      <c r="C806" t="n">
        <v>34.19</v>
      </c>
      <c r="D806" t="n">
        <v>33.7</v>
      </c>
      <c r="E806" t="n">
        <v>0.889</v>
      </c>
      <c r="F806" t="n">
        <v>0.9379999999999999</v>
      </c>
      <c r="G806" t="n">
        <v>1.15</v>
      </c>
      <c r="H806" t="n">
        <v>1.974</v>
      </c>
      <c r="J806" t="n">
        <v>2.093</v>
      </c>
      <c r="K806" t="n">
        <v>2.798</v>
      </c>
      <c r="L806" t="n">
        <v>23.1</v>
      </c>
      <c r="N806">
        <f>IF(OR(E806="",C806=""),"",E806-C806/42)</f>
        <v/>
      </c>
      <c r="O806">
        <f>IF(OR(E806="",D806=""),"",E806-D806/42)</f>
        <v/>
      </c>
      <c r="P806">
        <f>IF(L806="",M806/100,H806*L806/100)</f>
        <v/>
      </c>
      <c r="Q806">
        <f>H806-C806/42-P806</f>
        <v/>
      </c>
      <c r="R806">
        <f>H806-E806</f>
        <v/>
      </c>
    </row>
    <row r="807">
      <c r="A807" s="3" t="n">
        <v>43990</v>
      </c>
      <c r="B807" s="3" t="n">
        <v>43987</v>
      </c>
      <c r="C807" t="n">
        <v>37.32</v>
      </c>
      <c r="D807" t="n">
        <v>38.37</v>
      </c>
      <c r="E807" t="n">
        <v>1.022</v>
      </c>
      <c r="F807" t="n">
        <v>1.039</v>
      </c>
      <c r="G807" t="n">
        <v>1.25</v>
      </c>
      <c r="H807" t="n">
        <v>2.036</v>
      </c>
      <c r="J807" t="n">
        <v>2.177</v>
      </c>
      <c r="K807" t="n">
        <v>2.855</v>
      </c>
      <c r="L807" t="n">
        <v>23.1</v>
      </c>
      <c r="N807">
        <f>IF(OR(E807="",C807=""),"",E807-C807/42)</f>
        <v/>
      </c>
      <c r="O807">
        <f>IF(OR(E807="",D807=""),"",E807-D807/42)</f>
        <v/>
      </c>
      <c r="P807">
        <f>IF(L807="",M807/100,H807*L807/100)</f>
        <v/>
      </c>
      <c r="Q807">
        <f>H807-C807/42-P807</f>
        <v/>
      </c>
      <c r="R807">
        <f>H807-E807</f>
        <v/>
      </c>
    </row>
    <row r="808">
      <c r="A808" s="3" t="n">
        <v>43997</v>
      </c>
      <c r="B808" s="3" t="n">
        <v>43994</v>
      </c>
      <c r="C808" t="n">
        <v>37.87</v>
      </c>
      <c r="D808" t="n">
        <v>39.52</v>
      </c>
      <c r="E808" t="n">
        <v>1.072</v>
      </c>
      <c r="F808" t="n">
        <v>1.092</v>
      </c>
      <c r="G808" t="n">
        <v>1.288</v>
      </c>
      <c r="H808" t="n">
        <v>2.098</v>
      </c>
      <c r="J808" t="n">
        <v>2.234</v>
      </c>
      <c r="K808" t="n">
        <v>2.891</v>
      </c>
      <c r="L808" t="n">
        <v>23.1</v>
      </c>
      <c r="N808">
        <f>IF(OR(E808="",C808=""),"",E808-C808/42)</f>
        <v/>
      </c>
      <c r="O808">
        <f>IF(OR(E808="",D808=""),"",E808-D808/42)</f>
        <v/>
      </c>
      <c r="P808">
        <f>IF(L808="",M808/100,H808*L808/100)</f>
        <v/>
      </c>
      <c r="Q808">
        <f>H808-C808/42-P808</f>
        <v/>
      </c>
      <c r="R808">
        <f>H808-E808</f>
        <v/>
      </c>
    </row>
    <row r="809">
      <c r="A809" s="3" t="n">
        <v>44004</v>
      </c>
      <c r="B809" s="3" t="n">
        <v>44001</v>
      </c>
      <c r="C809" t="n">
        <v>38.35</v>
      </c>
      <c r="D809" t="n">
        <v>40.95</v>
      </c>
      <c r="E809" t="n">
        <v>1.136</v>
      </c>
      <c r="F809" t="n">
        <v>1.157</v>
      </c>
      <c r="G809" t="n">
        <v>1.362</v>
      </c>
      <c r="H809" t="n">
        <v>2.129</v>
      </c>
      <c r="J809" t="n">
        <v>2.272</v>
      </c>
      <c r="K809" t="n">
        <v>2.939</v>
      </c>
      <c r="L809" t="n">
        <v>23.1</v>
      </c>
      <c r="N809">
        <f>IF(OR(E809="",C809=""),"",E809-C809/42)</f>
        <v/>
      </c>
      <c r="O809">
        <f>IF(OR(E809="",D809=""),"",E809-D809/42)</f>
        <v/>
      </c>
      <c r="P809">
        <f>IF(L809="",M809/100,H809*L809/100)</f>
        <v/>
      </c>
      <c r="Q809">
        <f>H809-C809/42-P809</f>
        <v/>
      </c>
      <c r="R809">
        <f>H809-E809</f>
        <v/>
      </c>
    </row>
    <row r="810">
      <c r="A810" s="3" t="n">
        <v>44011</v>
      </c>
      <c r="B810" s="3" t="n">
        <v>44008</v>
      </c>
      <c r="C810" t="n">
        <v>39.22</v>
      </c>
      <c r="D810" t="n">
        <v>41.69</v>
      </c>
      <c r="E810" t="n">
        <v>1.135</v>
      </c>
      <c r="F810" t="n">
        <v>1.182</v>
      </c>
      <c r="G810" t="n">
        <v>1.323</v>
      </c>
      <c r="H810" t="n">
        <v>2.174</v>
      </c>
      <c r="J810" t="n">
        <v>2.315</v>
      </c>
      <c r="K810" t="n">
        <v>2.963</v>
      </c>
      <c r="L810" t="n">
        <v>23.1</v>
      </c>
      <c r="N810">
        <f>IF(OR(E810="",C810=""),"",E810-C810/42)</f>
        <v/>
      </c>
      <c r="O810">
        <f>IF(OR(E810="",D810=""),"",E810-D810/42)</f>
        <v/>
      </c>
      <c r="P810">
        <f>IF(L810="",M810/100,H810*L810/100)</f>
        <v/>
      </c>
      <c r="Q810">
        <f>H810-C810/42-P810</f>
        <v/>
      </c>
      <c r="R810">
        <f>H810-E810</f>
        <v/>
      </c>
    </row>
    <row r="811">
      <c r="A811" s="3" t="n">
        <v>44018</v>
      </c>
      <c r="B811" s="3" t="n">
        <v>44015</v>
      </c>
      <c r="C811" t="n">
        <v>39.85</v>
      </c>
      <c r="D811" t="n">
        <v>42.3</v>
      </c>
      <c r="E811" t="n">
        <v>1.147</v>
      </c>
      <c r="F811" t="n">
        <v>1.173</v>
      </c>
      <c r="G811" t="n">
        <v>1.269</v>
      </c>
      <c r="H811" t="n">
        <v>2.177</v>
      </c>
      <c r="J811" t="n">
        <v>2.325</v>
      </c>
      <c r="K811" t="n">
        <v>2.981</v>
      </c>
      <c r="L811" t="n">
        <v>22.1</v>
      </c>
      <c r="N811">
        <f>IF(OR(E811="",C811=""),"",E811-C811/42)</f>
        <v/>
      </c>
      <c r="O811">
        <f>IF(OR(E811="",D811=""),"",E811-D811/42)</f>
        <v/>
      </c>
      <c r="P811">
        <f>IF(L811="",M811/100,H811*L811/100)</f>
        <v/>
      </c>
      <c r="Q811">
        <f>H811-C811/42-P811</f>
        <v/>
      </c>
      <c r="R811">
        <f>H811-E811</f>
        <v/>
      </c>
    </row>
    <row r="812">
      <c r="A812" s="3" t="n">
        <v>44025</v>
      </c>
      <c r="B812" s="3" t="n">
        <v>44022</v>
      </c>
      <c r="C812" t="n">
        <v>40.44</v>
      </c>
      <c r="D812" t="n">
        <v>43.06</v>
      </c>
      <c r="E812" t="n">
        <v>1.187</v>
      </c>
      <c r="F812" t="n">
        <v>1.231</v>
      </c>
      <c r="G812" t="n">
        <v>1.359</v>
      </c>
      <c r="H812" t="n">
        <v>2.195</v>
      </c>
      <c r="J812" t="n">
        <v>2.326</v>
      </c>
      <c r="K812" t="n">
        <v>3.022</v>
      </c>
      <c r="L812" t="n">
        <v>22.1</v>
      </c>
      <c r="N812">
        <f>IF(OR(E812="",C812=""),"",E812-C812/42)</f>
        <v/>
      </c>
      <c r="O812">
        <f>IF(OR(E812="",D812=""),"",E812-D812/42)</f>
        <v/>
      </c>
      <c r="P812">
        <f>IF(L812="",M812/100,H812*L812/100)</f>
        <v/>
      </c>
      <c r="Q812">
        <f>H812-C812/42-P812</f>
        <v/>
      </c>
      <c r="R812">
        <f>H812-E812</f>
        <v/>
      </c>
    </row>
    <row r="813">
      <c r="A813" s="3" t="n">
        <v>44032</v>
      </c>
      <c r="B813" s="3" t="n">
        <v>44029</v>
      </c>
      <c r="C813" t="n">
        <v>40.57</v>
      </c>
      <c r="D813" t="n">
        <v>43.4</v>
      </c>
      <c r="E813" t="n">
        <v>1.143</v>
      </c>
      <c r="F813" t="n">
        <v>1.221</v>
      </c>
      <c r="G813" t="n">
        <v>1.31</v>
      </c>
      <c r="H813" t="n">
        <v>2.186</v>
      </c>
      <c r="J813" t="n">
        <v>2.318</v>
      </c>
      <c r="K813" t="n">
        <v>3.031</v>
      </c>
      <c r="L813" t="n">
        <v>22.1</v>
      </c>
      <c r="N813">
        <f>IF(OR(E813="",C813=""),"",E813-C813/42)</f>
        <v/>
      </c>
      <c r="O813">
        <f>IF(OR(E813="",D813=""),"",E813-D813/42)</f>
        <v/>
      </c>
      <c r="P813">
        <f>IF(L813="",M813/100,H813*L813/100)</f>
        <v/>
      </c>
      <c r="Q813">
        <f>H813-C813/42-P813</f>
        <v/>
      </c>
      <c r="R813">
        <f>H813-E813</f>
        <v/>
      </c>
    </row>
    <row r="814">
      <c r="A814" s="3" t="n">
        <v>44039</v>
      </c>
      <c r="B814" s="3" t="n">
        <v>44036</v>
      </c>
      <c r="C814" t="n">
        <v>41.34</v>
      </c>
      <c r="D814" t="n">
        <v>43.57</v>
      </c>
      <c r="E814" t="n">
        <v>1.182</v>
      </c>
      <c r="F814" t="n">
        <v>1.238</v>
      </c>
      <c r="G814" t="n">
        <v>1.309</v>
      </c>
      <c r="H814" t="n">
        <v>2.175</v>
      </c>
      <c r="J814" t="n">
        <v>2.324</v>
      </c>
      <c r="K814" t="n">
        <v>3.049</v>
      </c>
      <c r="L814" t="n">
        <v>22.1</v>
      </c>
      <c r="N814">
        <f>IF(OR(E814="",C814=""),"",E814-C814/42)</f>
        <v/>
      </c>
      <c r="O814">
        <f>IF(OR(E814="",D814=""),"",E814-D814/42)</f>
        <v/>
      </c>
      <c r="P814">
        <f>IF(L814="",M814/100,H814*L814/100)</f>
        <v/>
      </c>
      <c r="Q814">
        <f>H814-C814/42-P814</f>
        <v/>
      </c>
      <c r="R814">
        <f>H814-E814</f>
        <v/>
      </c>
    </row>
    <row r="815">
      <c r="A815" s="3" t="n">
        <v>44046</v>
      </c>
      <c r="B815" s="3" t="n">
        <v>44043</v>
      </c>
      <c r="C815" t="n">
        <v>40.69</v>
      </c>
      <c r="D815" t="n">
        <v>43.22</v>
      </c>
      <c r="E815" t="n">
        <v>1.153</v>
      </c>
      <c r="F815" t="n">
        <v>1.2</v>
      </c>
      <c r="G815" t="n">
        <v>1.355</v>
      </c>
      <c r="H815" t="n">
        <v>2.176</v>
      </c>
      <c r="J815" t="n">
        <v>2.37</v>
      </c>
      <c r="K815" t="n">
        <v>3.058</v>
      </c>
      <c r="L815" t="n">
        <v>22.1</v>
      </c>
      <c r="N815">
        <f>IF(OR(E815="",C815=""),"",E815-C815/42)</f>
        <v/>
      </c>
      <c r="O815">
        <f>IF(OR(E815="",D815=""),"",E815-D815/42)</f>
        <v/>
      </c>
      <c r="P815">
        <f>IF(L815="",M815/100,H815*L815/100)</f>
        <v/>
      </c>
      <c r="Q815">
        <f>H815-C815/42-P815</f>
        <v/>
      </c>
      <c r="R815">
        <f>H815-E815</f>
        <v/>
      </c>
    </row>
    <row r="816">
      <c r="A816" s="3" t="n">
        <v>44053</v>
      </c>
      <c r="B816" s="3" t="n">
        <v>44050</v>
      </c>
      <c r="C816" t="n">
        <v>41.57</v>
      </c>
      <c r="D816" t="n">
        <v>44.36</v>
      </c>
      <c r="E816" t="n">
        <v>1.145</v>
      </c>
      <c r="F816" t="n">
        <v>1.186</v>
      </c>
      <c r="G816" t="n">
        <v>1.329</v>
      </c>
      <c r="H816" t="n">
        <v>2.166</v>
      </c>
      <c r="J816" t="n">
        <v>2.368</v>
      </c>
      <c r="K816" t="n">
        <v>3.054</v>
      </c>
      <c r="L816" t="n">
        <v>22.1</v>
      </c>
      <c r="N816">
        <f>IF(OR(E816="",C816=""),"",E816-C816/42)</f>
        <v/>
      </c>
      <c r="O816">
        <f>IF(OR(E816="",D816=""),"",E816-D816/42)</f>
        <v/>
      </c>
      <c r="P816">
        <f>IF(L816="",M816/100,H816*L816/100)</f>
        <v/>
      </c>
      <c r="Q816">
        <f>H816-C816/42-P816</f>
        <v/>
      </c>
      <c r="R816">
        <f>H816-E816</f>
        <v/>
      </c>
    </row>
    <row r="817">
      <c r="A817" s="3" t="n">
        <v>44060</v>
      </c>
      <c r="B817" s="3" t="n">
        <v>44057</v>
      </c>
      <c r="C817" t="n">
        <v>42.08</v>
      </c>
      <c r="D817" t="n">
        <v>44.54</v>
      </c>
      <c r="E817" t="n">
        <v>1.174</v>
      </c>
      <c r="F817" t="n">
        <v>1.212</v>
      </c>
      <c r="G817" t="n">
        <v>1.351</v>
      </c>
      <c r="H817" t="n">
        <v>2.166</v>
      </c>
      <c r="J817" t="n">
        <v>2.344</v>
      </c>
      <c r="K817" t="n">
        <v>3.067</v>
      </c>
      <c r="L817" t="n">
        <v>22.1</v>
      </c>
      <c r="N817">
        <f>IF(OR(E817="",C817=""),"",E817-C817/42)</f>
        <v/>
      </c>
      <c r="O817">
        <f>IF(OR(E817="",D817=""),"",E817-D817/42)</f>
        <v/>
      </c>
      <c r="P817">
        <f>IF(L817="",M817/100,H817*L817/100)</f>
        <v/>
      </c>
      <c r="Q817">
        <f>H817-C817/42-P817</f>
        <v/>
      </c>
      <c r="R817">
        <f>H817-E817</f>
        <v/>
      </c>
    </row>
    <row r="818">
      <c r="A818" s="3" t="n">
        <v>44067</v>
      </c>
      <c r="B818" s="3" t="n">
        <v>44064</v>
      </c>
      <c r="C818" t="n">
        <v>42.73</v>
      </c>
      <c r="D818" t="n">
        <v>44.79</v>
      </c>
      <c r="E818" t="n">
        <v>1.268</v>
      </c>
      <c r="F818" t="n">
        <v>1.274</v>
      </c>
      <c r="G818" t="n">
        <v>1.47</v>
      </c>
      <c r="H818" t="n">
        <v>2.182</v>
      </c>
      <c r="J818" t="n">
        <v>2.35</v>
      </c>
      <c r="K818" t="n">
        <v>3.092</v>
      </c>
      <c r="L818" t="n">
        <v>22.1</v>
      </c>
      <c r="N818">
        <f>IF(OR(E818="",C818=""),"",E818-C818/42)</f>
        <v/>
      </c>
      <c r="O818">
        <f>IF(OR(E818="",D818=""),"",E818-D818/42)</f>
        <v/>
      </c>
      <c r="P818">
        <f>IF(L818="",M818/100,H818*L818/100)</f>
        <v/>
      </c>
      <c r="Q818">
        <f>H818-C818/42-P818</f>
        <v/>
      </c>
      <c r="R818">
        <f>H818-E818</f>
        <v/>
      </c>
    </row>
    <row r="819">
      <c r="A819" s="3" t="n">
        <v>44074</v>
      </c>
      <c r="B819" s="3" t="n">
        <v>44071</v>
      </c>
      <c r="C819" t="n">
        <v>42.93</v>
      </c>
      <c r="D819" t="n">
        <v>45.26</v>
      </c>
      <c r="E819" t="n">
        <v>1.378</v>
      </c>
      <c r="F819" t="n">
        <v>1.323</v>
      </c>
      <c r="G819" t="n">
        <v>1.511</v>
      </c>
      <c r="H819" t="n">
        <v>2.222</v>
      </c>
      <c r="J819" t="n">
        <v>2.345</v>
      </c>
      <c r="K819" t="n">
        <v>3.1</v>
      </c>
      <c r="L819" t="n">
        <v>22.1</v>
      </c>
      <c r="N819">
        <f>IF(OR(E819="",C819=""),"",E819-C819/42)</f>
        <v/>
      </c>
      <c r="O819">
        <f>IF(OR(E819="",D819=""),"",E819-D819/42)</f>
        <v/>
      </c>
      <c r="P819">
        <f>IF(L819="",M819/100,H819*L819/100)</f>
        <v/>
      </c>
      <c r="Q819">
        <f>H819-C819/42-P819</f>
        <v/>
      </c>
      <c r="R819">
        <f>H819-E819</f>
        <v/>
      </c>
    </row>
    <row r="820">
      <c r="A820" s="3" t="n">
        <v>44081</v>
      </c>
      <c r="B820" s="3" t="n">
        <v>44078</v>
      </c>
      <c r="C820" t="n">
        <v>41.84</v>
      </c>
      <c r="D820" t="n">
        <v>43.06</v>
      </c>
      <c r="E820" t="n">
        <v>1.217</v>
      </c>
      <c r="F820" t="n">
        <v>1.249</v>
      </c>
      <c r="G820" t="n">
        <v>1.411</v>
      </c>
      <c r="H820" t="n">
        <v>2.211</v>
      </c>
      <c r="J820" t="n">
        <v>2.345</v>
      </c>
      <c r="K820" t="n">
        <v>3.106</v>
      </c>
      <c r="L820" t="n">
        <v>22.1</v>
      </c>
      <c r="N820">
        <f>IF(OR(E820="",C820=""),"",E820-C820/42)</f>
        <v/>
      </c>
      <c r="O820">
        <f>IF(OR(E820="",D820=""),"",E820-D820/42)</f>
        <v/>
      </c>
      <c r="P820">
        <f>IF(L820="",M820/100,H820*L820/100)</f>
        <v/>
      </c>
      <c r="Q820">
        <f>H820-C820/42-P820</f>
        <v/>
      </c>
      <c r="R820">
        <f>H820-E820</f>
        <v/>
      </c>
    </row>
    <row r="821">
      <c r="A821" s="3" t="n">
        <v>44088</v>
      </c>
      <c r="B821" s="3" t="n">
        <v>44085</v>
      </c>
      <c r="C821" t="n">
        <v>37.38</v>
      </c>
      <c r="D821" t="n">
        <v>39.45</v>
      </c>
      <c r="E821" t="n">
        <v>1.093</v>
      </c>
      <c r="F821" t="n">
        <v>1.155</v>
      </c>
      <c r="G821" t="n">
        <v>1.251</v>
      </c>
      <c r="H821" t="n">
        <v>2.183</v>
      </c>
      <c r="J821" t="n">
        <v>2.329</v>
      </c>
      <c r="K821" t="n">
        <v>3.102</v>
      </c>
      <c r="L821" t="n">
        <v>22.1</v>
      </c>
      <c r="N821">
        <f>IF(OR(E821="",C821=""),"",E821-C821/42)</f>
        <v/>
      </c>
      <c r="O821">
        <f>IF(OR(E821="",D821=""),"",E821-D821/42)</f>
        <v/>
      </c>
      <c r="P821">
        <f>IF(L821="",M821/100,H821*L821/100)</f>
        <v/>
      </c>
      <c r="Q821">
        <f>H821-C821/42-P821</f>
        <v/>
      </c>
      <c r="R821">
        <f>H821-E821</f>
        <v/>
      </c>
    </row>
    <row r="822">
      <c r="A822" s="3" t="n">
        <v>44095</v>
      </c>
      <c r="B822" s="3" t="n">
        <v>44092</v>
      </c>
      <c r="C822" t="n">
        <v>39.55</v>
      </c>
      <c r="D822" t="n">
        <v>40.77</v>
      </c>
      <c r="E822" t="n">
        <v>1.179</v>
      </c>
      <c r="F822" t="n">
        <v>1.235</v>
      </c>
      <c r="G822" t="n">
        <v>1.279</v>
      </c>
      <c r="H822" t="n">
        <v>2.168</v>
      </c>
      <c r="J822" t="n">
        <v>2.314</v>
      </c>
      <c r="K822" t="n">
        <v>3.086</v>
      </c>
      <c r="L822" t="n">
        <v>22.1</v>
      </c>
      <c r="N822">
        <f>IF(OR(E822="",C822=""),"",E822-C822/42)</f>
        <v/>
      </c>
      <c r="O822">
        <f>IF(OR(E822="",D822=""),"",E822-D822/42)</f>
        <v/>
      </c>
      <c r="P822">
        <f>IF(L822="",M822/100,H822*L822/100)</f>
        <v/>
      </c>
      <c r="Q822">
        <f>H822-C822/42-P822</f>
        <v/>
      </c>
      <c r="R822">
        <f>H822-E822</f>
        <v/>
      </c>
    </row>
    <row r="823">
      <c r="A823" s="3" t="n">
        <v>44102</v>
      </c>
      <c r="B823" s="3" t="n">
        <v>44099</v>
      </c>
      <c r="C823" t="n">
        <v>39.78</v>
      </c>
      <c r="D823" t="n">
        <v>40.89</v>
      </c>
      <c r="E823" t="n">
        <v>1.192</v>
      </c>
      <c r="F823" t="n">
        <v>1.238</v>
      </c>
      <c r="G823" t="n">
        <v>1.261</v>
      </c>
      <c r="H823" t="n">
        <v>2.169</v>
      </c>
      <c r="J823" t="n">
        <v>2.296</v>
      </c>
      <c r="K823" t="n">
        <v>3.069</v>
      </c>
      <c r="L823" t="n">
        <v>22.1</v>
      </c>
      <c r="N823">
        <f>IF(OR(E823="",C823=""),"",E823-C823/42)</f>
        <v/>
      </c>
      <c r="O823">
        <f>IF(OR(E823="",D823=""),"",E823-D823/42)</f>
        <v/>
      </c>
      <c r="P823">
        <f>IF(L823="",M823/100,H823*L823/100)</f>
        <v/>
      </c>
      <c r="Q823">
        <f>H823-C823/42-P823</f>
        <v/>
      </c>
      <c r="R823">
        <f>H823-E823</f>
        <v/>
      </c>
    </row>
    <row r="824">
      <c r="A824" s="3" t="n">
        <v>44109</v>
      </c>
      <c r="B824" s="3" t="n">
        <v>44106</v>
      </c>
      <c r="C824" t="n">
        <v>38.99</v>
      </c>
      <c r="D824" t="n">
        <v>39.99</v>
      </c>
      <c r="E824" t="n">
        <v>1.188</v>
      </c>
      <c r="F824" t="n">
        <v>1.236</v>
      </c>
      <c r="G824" t="n">
        <v>1.29</v>
      </c>
      <c r="H824" t="n">
        <v>2.172</v>
      </c>
      <c r="J824" t="n">
        <v>2.274</v>
      </c>
      <c r="K824" t="n">
        <v>3.061</v>
      </c>
      <c r="L824" t="n">
        <v>22.4</v>
      </c>
      <c r="N824">
        <f>IF(OR(E824="",C824=""),"",E824-C824/42)</f>
        <v/>
      </c>
      <c r="O824">
        <f>IF(OR(E824="",D824=""),"",E824-D824/42)</f>
        <v/>
      </c>
      <c r="P824">
        <f>IF(L824="",M824/100,H824*L824/100)</f>
        <v/>
      </c>
      <c r="Q824">
        <f>H824-C824/42-P824</f>
        <v/>
      </c>
      <c r="R824">
        <f>H824-E824</f>
        <v/>
      </c>
    </row>
    <row r="825">
      <c r="A825" s="3" t="n">
        <v>44116</v>
      </c>
      <c r="B825" s="3" t="n">
        <v>44113</v>
      </c>
      <c r="C825" t="n">
        <v>40.19</v>
      </c>
      <c r="D825" t="n">
        <v>41.06</v>
      </c>
      <c r="E825" t="n">
        <v>1.221</v>
      </c>
      <c r="F825" t="n">
        <v>1.267</v>
      </c>
      <c r="G825" t="n">
        <v>1.311</v>
      </c>
      <c r="H825" t="n">
        <v>2.167</v>
      </c>
      <c r="J825" t="n">
        <v>2.264</v>
      </c>
      <c r="K825" t="n">
        <v>3.049</v>
      </c>
      <c r="L825" t="n">
        <v>22.4</v>
      </c>
      <c r="N825">
        <f>IF(OR(E825="",C825=""),"",E825-C825/42)</f>
        <v/>
      </c>
      <c r="O825">
        <f>IF(OR(E825="",D825=""),"",E825-D825/42)</f>
        <v/>
      </c>
      <c r="P825">
        <f>IF(L825="",M825/100,H825*L825/100)</f>
        <v/>
      </c>
      <c r="Q825">
        <f>H825-C825/42-P825</f>
        <v/>
      </c>
      <c r="R825">
        <f>H825-E825</f>
        <v/>
      </c>
    </row>
    <row r="826">
      <c r="A826" s="3" t="n">
        <v>44123</v>
      </c>
      <c r="B826" s="3" t="n">
        <v>44120</v>
      </c>
      <c r="C826" t="n">
        <v>40.33</v>
      </c>
      <c r="D826" t="n">
        <v>41.32</v>
      </c>
      <c r="E826" t="n">
        <v>1.167</v>
      </c>
      <c r="F826" t="n">
        <v>1.23</v>
      </c>
      <c r="G826" t="n">
        <v>1.233</v>
      </c>
      <c r="H826" t="n">
        <v>2.15</v>
      </c>
      <c r="J826" t="n">
        <v>2.257</v>
      </c>
      <c r="K826" t="n">
        <v>3.047</v>
      </c>
      <c r="L826" t="n">
        <v>22.4</v>
      </c>
      <c r="N826">
        <f>IF(OR(E826="",C826=""),"",E826-C826/42)</f>
        <v/>
      </c>
      <c r="O826">
        <f>IF(OR(E826="",D826=""),"",E826-D826/42)</f>
        <v/>
      </c>
      <c r="P826">
        <f>IF(L826="",M826/100,H826*L826/100)</f>
        <v/>
      </c>
      <c r="Q826">
        <f>H826-C826/42-P826</f>
        <v/>
      </c>
      <c r="R826">
        <f>H826-E826</f>
        <v/>
      </c>
    </row>
    <row r="827">
      <c r="A827" s="3" t="n">
        <v>44130</v>
      </c>
      <c r="B827" s="3" t="n">
        <v>44127</v>
      </c>
      <c r="C827" t="n">
        <v>40.43</v>
      </c>
      <c r="D827" t="n">
        <v>41</v>
      </c>
      <c r="E827" t="n">
        <v>1.132</v>
      </c>
      <c r="F827" t="n">
        <v>1.192</v>
      </c>
      <c r="G827" t="n">
        <v>1.235</v>
      </c>
      <c r="H827" t="n">
        <v>2.143</v>
      </c>
      <c r="J827" t="n">
        <v>2.237</v>
      </c>
      <c r="K827" t="n">
        <v>3.051</v>
      </c>
      <c r="L827" t="n">
        <v>22.4</v>
      </c>
      <c r="N827">
        <f>IF(OR(E827="",C827=""),"",E827-C827/42)</f>
        <v/>
      </c>
      <c r="O827">
        <f>IF(OR(E827="",D827=""),"",E827-D827/42)</f>
        <v/>
      </c>
      <c r="P827">
        <f>IF(L827="",M827/100,H827*L827/100)</f>
        <v/>
      </c>
      <c r="Q827">
        <f>H827-C827/42-P827</f>
        <v/>
      </c>
      <c r="R827">
        <f>H827-E827</f>
        <v/>
      </c>
    </row>
    <row r="828">
      <c r="A828" s="3" t="n">
        <v>44137</v>
      </c>
      <c r="B828" s="3" t="n">
        <v>44134</v>
      </c>
      <c r="C828" t="n">
        <v>37.32</v>
      </c>
      <c r="D828" t="n">
        <v>37.91</v>
      </c>
      <c r="E828" t="n">
        <v>1.055</v>
      </c>
      <c r="F828" t="n">
        <v>1.116</v>
      </c>
      <c r="G828" t="n">
        <v>1.209</v>
      </c>
      <c r="H828" t="n">
        <v>2.112</v>
      </c>
      <c r="J828" t="n">
        <v>2.216</v>
      </c>
      <c r="K828" t="n">
        <v>3.033</v>
      </c>
      <c r="L828" t="n">
        <v>22.9</v>
      </c>
      <c r="N828">
        <f>IF(OR(E828="",C828=""),"",E828-C828/42)</f>
        <v/>
      </c>
      <c r="O828">
        <f>IF(OR(E828="",D828=""),"",E828-D828/42)</f>
        <v/>
      </c>
      <c r="P828">
        <f>IF(L828="",M828/100,H828*L828/100)</f>
        <v/>
      </c>
      <c r="Q828">
        <f>H828-C828/42-P828</f>
        <v/>
      </c>
      <c r="R828">
        <f>H828-E828</f>
        <v/>
      </c>
    </row>
    <row r="829">
      <c r="A829" s="3" t="n">
        <v>44144</v>
      </c>
      <c r="B829" s="3" t="n">
        <v>44141</v>
      </c>
      <c r="C829" t="n">
        <v>37.71</v>
      </c>
      <c r="D829" t="n">
        <v>38.64</v>
      </c>
      <c r="E829" t="n">
        <v>1.053</v>
      </c>
      <c r="F829" t="n">
        <v>1.122</v>
      </c>
      <c r="G829" t="n">
        <v>1.263</v>
      </c>
      <c r="H829" t="n">
        <v>2.096</v>
      </c>
      <c r="J829" t="n">
        <v>2.201</v>
      </c>
      <c r="K829" t="n">
        <v>3.029</v>
      </c>
      <c r="L829" t="n">
        <v>22.9</v>
      </c>
      <c r="N829">
        <f>IF(OR(E829="",C829=""),"",E829-C829/42)</f>
        <v/>
      </c>
      <c r="O829">
        <f>IF(OR(E829="",D829=""),"",E829-D829/42)</f>
        <v/>
      </c>
      <c r="P829">
        <f>IF(L829="",M829/100,H829*L829/100)</f>
        <v/>
      </c>
      <c r="Q829">
        <f>H829-C829/42-P829</f>
        <v/>
      </c>
      <c r="R829">
        <f>H829-E829</f>
        <v/>
      </c>
    </row>
    <row r="830">
      <c r="A830" s="3" t="n">
        <v>44151</v>
      </c>
      <c r="B830" s="3" t="n">
        <v>44148</v>
      </c>
      <c r="C830" t="n">
        <v>40.66</v>
      </c>
      <c r="D830" t="n">
        <v>41.87</v>
      </c>
      <c r="E830" t="n">
        <v>1.124</v>
      </c>
      <c r="F830" t="n">
        <v>1.193</v>
      </c>
      <c r="G830" t="n">
        <v>1.298</v>
      </c>
      <c r="H830" t="n">
        <v>2.111</v>
      </c>
      <c r="J830" t="n">
        <v>2.196</v>
      </c>
      <c r="K830" t="n">
        <v>3.027</v>
      </c>
      <c r="L830" t="n">
        <v>22.9</v>
      </c>
      <c r="N830">
        <f>IF(OR(E830="",C830=""),"",E830-C830/42)</f>
        <v/>
      </c>
      <c r="O830">
        <f>IF(OR(E830="",D830=""),"",E830-D830/42)</f>
        <v/>
      </c>
      <c r="P830">
        <f>IF(L830="",M830/100,H830*L830/100)</f>
        <v/>
      </c>
      <c r="Q830">
        <f>H830-C830/42-P830</f>
        <v/>
      </c>
      <c r="R830">
        <f>H830-E830</f>
        <v/>
      </c>
    </row>
    <row r="831">
      <c r="A831" s="3" t="n">
        <v>44158</v>
      </c>
      <c r="B831" s="3" t="n">
        <v>44155</v>
      </c>
      <c r="C831" t="n">
        <v>41.52</v>
      </c>
      <c r="D831" t="n">
        <v>43.01</v>
      </c>
      <c r="E831" t="n">
        <v>1.134</v>
      </c>
      <c r="F831" t="n">
        <v>1.189</v>
      </c>
      <c r="G831" t="n">
        <v>1.289</v>
      </c>
      <c r="H831" t="n">
        <v>2.102</v>
      </c>
      <c r="J831" t="n">
        <v>2.177</v>
      </c>
      <c r="K831" t="n">
        <v>3.025</v>
      </c>
      <c r="L831" t="n">
        <v>22.9</v>
      </c>
      <c r="N831">
        <f>IF(OR(E831="",C831=""),"",E831-C831/42)</f>
        <v/>
      </c>
      <c r="O831">
        <f>IF(OR(E831="",D831=""),"",E831-D831/42)</f>
        <v/>
      </c>
      <c r="P831">
        <f>IF(L831="",M831/100,H831*L831/100)</f>
        <v/>
      </c>
      <c r="Q831">
        <f>H831-C831/42-P831</f>
        <v/>
      </c>
      <c r="R831">
        <f>H831-E831</f>
        <v/>
      </c>
    </row>
    <row r="832">
      <c r="A832" s="3" t="n">
        <v>44165</v>
      </c>
      <c r="B832" s="3" t="n">
        <v>44162</v>
      </c>
      <c r="C832" t="n">
        <v>44.4</v>
      </c>
      <c r="D832" t="n">
        <v>46.43</v>
      </c>
      <c r="E832" t="n">
        <v>1.223</v>
      </c>
      <c r="F832" t="n">
        <v>1.272</v>
      </c>
      <c r="G832" t="n">
        <v>1.431</v>
      </c>
      <c r="H832" t="n">
        <v>2.12</v>
      </c>
      <c r="J832" t="n">
        <v>2.178</v>
      </c>
      <c r="K832" t="n">
        <v>3.032</v>
      </c>
      <c r="L832" t="n">
        <v>22.9</v>
      </c>
      <c r="N832">
        <f>IF(OR(E832="",C832=""),"",E832-C832/42)</f>
        <v/>
      </c>
      <c r="O832">
        <f>IF(OR(E832="",D832=""),"",E832-D832/42)</f>
        <v/>
      </c>
      <c r="P832">
        <f>IF(L832="",M832/100,H832*L832/100)</f>
        <v/>
      </c>
      <c r="Q832">
        <f>H832-C832/42-P832</f>
        <v/>
      </c>
      <c r="R832">
        <f>H832-E832</f>
        <v/>
      </c>
    </row>
    <row r="833">
      <c r="A833" s="3" t="n">
        <v>44172</v>
      </c>
      <c r="B833" s="3" t="n">
        <v>44169</v>
      </c>
      <c r="C833" t="n">
        <v>45.37</v>
      </c>
      <c r="D833" t="n">
        <v>47.83</v>
      </c>
      <c r="E833" t="n">
        <v>1.216</v>
      </c>
      <c r="F833" t="n">
        <v>1.275</v>
      </c>
      <c r="G833" t="n">
        <v>1.357</v>
      </c>
      <c r="H833" t="n">
        <v>2.156</v>
      </c>
      <c r="J833" t="n">
        <v>2.172</v>
      </c>
      <c r="K833" t="n">
        <v>3.041</v>
      </c>
      <c r="L833" t="n">
        <v>22</v>
      </c>
      <c r="N833">
        <f>IF(OR(E833="",C833=""),"",E833-C833/42)</f>
        <v/>
      </c>
      <c r="O833">
        <f>IF(OR(E833="",D833=""),"",E833-D833/42)</f>
        <v/>
      </c>
      <c r="P833">
        <f>IF(L833="",M833/100,H833*L833/100)</f>
        <v/>
      </c>
      <c r="Q833">
        <f>H833-C833/42-P833</f>
        <v/>
      </c>
      <c r="R833">
        <f>H833-E833</f>
        <v/>
      </c>
    </row>
    <row r="834">
      <c r="A834" s="3" t="n">
        <v>44179</v>
      </c>
      <c r="B834" s="3" t="n">
        <v>44176</v>
      </c>
      <c r="C834" t="n">
        <v>46.04</v>
      </c>
      <c r="D834" t="n">
        <v>49.32</v>
      </c>
      <c r="E834" t="n">
        <v>1.253</v>
      </c>
      <c r="F834" t="n">
        <v>1.314</v>
      </c>
      <c r="G834" t="n">
        <v>1.341</v>
      </c>
      <c r="H834" t="n">
        <v>2.158</v>
      </c>
      <c r="J834" t="n">
        <v>2.167</v>
      </c>
      <c r="K834" t="n">
        <v>3.04</v>
      </c>
      <c r="L834" t="n">
        <v>22</v>
      </c>
      <c r="N834">
        <f>IF(OR(E834="",C834=""),"",E834-C834/42)</f>
        <v/>
      </c>
      <c r="O834">
        <f>IF(OR(E834="",D834=""),"",E834-D834/42)</f>
        <v/>
      </c>
      <c r="P834">
        <f>IF(L834="",M834/100,H834*L834/100)</f>
        <v/>
      </c>
      <c r="Q834">
        <f>H834-C834/42-P834</f>
        <v/>
      </c>
      <c r="R834">
        <f>H834-E834</f>
        <v/>
      </c>
    </row>
    <row r="835">
      <c r="A835" s="3" t="n">
        <v>44186</v>
      </c>
      <c r="B835" s="3" t="n">
        <v>44183</v>
      </c>
      <c r="C835" t="n">
        <v>47.97</v>
      </c>
      <c r="D835" t="n">
        <v>51.05</v>
      </c>
      <c r="E835" t="n">
        <v>1.328</v>
      </c>
      <c r="F835" t="n">
        <v>1.388</v>
      </c>
      <c r="G835" t="n">
        <v>1.418</v>
      </c>
      <c r="H835" t="n">
        <v>2.224</v>
      </c>
      <c r="J835" t="n">
        <v>2.188</v>
      </c>
      <c r="K835" t="n">
        <v>3.06</v>
      </c>
      <c r="L835" t="n">
        <v>22</v>
      </c>
      <c r="N835">
        <f>IF(OR(E835="",C835=""),"",E835-C835/42)</f>
        <v/>
      </c>
      <c r="O835">
        <f>IF(OR(E835="",D835=""),"",E835-D835/42)</f>
        <v/>
      </c>
      <c r="P835">
        <f>IF(L835="",M835/100,H835*L835/100)</f>
        <v/>
      </c>
      <c r="Q835">
        <f>H835-C835/42-P835</f>
        <v/>
      </c>
      <c r="R835">
        <f>H835-E835</f>
        <v/>
      </c>
    </row>
    <row r="836">
      <c r="A836" s="3" t="n">
        <v>44193</v>
      </c>
      <c r="B836" s="3" t="n">
        <v>44190</v>
      </c>
      <c r="C836" t="n">
        <v>47.73</v>
      </c>
      <c r="D836" t="n">
        <v>50.61</v>
      </c>
      <c r="E836" t="n">
        <v>1.332</v>
      </c>
      <c r="F836" t="n">
        <v>1.397</v>
      </c>
      <c r="G836" t="n">
        <v>1.507</v>
      </c>
      <c r="H836" t="n">
        <v>2.243</v>
      </c>
      <c r="J836" t="n">
        <v>2.191</v>
      </c>
      <c r="K836" t="n">
        <v>3.085</v>
      </c>
      <c r="L836" t="n">
        <v>22</v>
      </c>
      <c r="N836">
        <f>IF(OR(E836="",C836=""),"",E836-C836/42)</f>
        <v/>
      </c>
      <c r="O836">
        <f>IF(OR(E836="",D836=""),"",E836-D836/42)</f>
        <v/>
      </c>
      <c r="P836">
        <f>IF(L836="",M836/100,H836*L836/100)</f>
        <v/>
      </c>
      <c r="Q836">
        <f>H836-C836/42-P836</f>
        <v/>
      </c>
      <c r="R836">
        <f>H836-E836</f>
        <v/>
      </c>
    </row>
    <row r="837">
      <c r="A837" s="3" t="n">
        <v>44200</v>
      </c>
      <c r="B837" s="3" t="n">
        <v>44197</v>
      </c>
      <c r="C837" t="n">
        <v>47.98</v>
      </c>
      <c r="D837" t="n">
        <v>50.82</v>
      </c>
      <c r="E837" t="n">
        <v>1.363</v>
      </c>
      <c r="F837" t="n">
        <v>1.422</v>
      </c>
      <c r="G837" t="n">
        <v>1.57</v>
      </c>
      <c r="H837" t="n">
        <v>2.249</v>
      </c>
      <c r="J837" t="n">
        <v>2.188</v>
      </c>
      <c r="K837" t="n">
        <v>3.1</v>
      </c>
      <c r="L837" t="n">
        <v>20.8</v>
      </c>
      <c r="N837">
        <f>IF(OR(E837="",C837=""),"",E837-C837/42)</f>
        <v/>
      </c>
      <c r="O837">
        <f>IF(OR(E837="",D837=""),"",E837-D837/42)</f>
        <v/>
      </c>
      <c r="P837">
        <f>IF(L837="",M837/100,H837*L837/100)</f>
        <v/>
      </c>
      <c r="Q837">
        <f>H837-C837/42-P837</f>
        <v/>
      </c>
      <c r="R837">
        <f>H837-E837</f>
        <v/>
      </c>
    </row>
    <row r="838">
      <c r="A838" s="3" t="n">
        <v>44207</v>
      </c>
      <c r="B838" s="3" t="n">
        <v>44204</v>
      </c>
      <c r="C838" t="n">
        <v>50.09</v>
      </c>
      <c r="D838" t="n">
        <v>53.31</v>
      </c>
      <c r="E838" t="n">
        <v>1.434</v>
      </c>
      <c r="F838" t="n">
        <v>1.496</v>
      </c>
      <c r="G838" t="n">
        <v>1.609</v>
      </c>
      <c r="H838" t="n">
        <v>2.317</v>
      </c>
      <c r="J838" t="n">
        <v>2.212</v>
      </c>
      <c r="K838" t="n">
        <v>3.145</v>
      </c>
      <c r="L838" t="n">
        <v>20.8</v>
      </c>
      <c r="N838">
        <f>IF(OR(E838="",C838=""),"",E838-C838/42)</f>
        <v/>
      </c>
      <c r="O838">
        <f>IF(OR(E838="",D838=""),"",E838-D838/42)</f>
        <v/>
      </c>
      <c r="P838">
        <f>IF(L838="",M838/100,H838*L838/100)</f>
        <v/>
      </c>
      <c r="Q838">
        <f>H838-C838/42-P838</f>
        <v/>
      </c>
      <c r="R838">
        <f>H838-E838</f>
        <v/>
      </c>
    </row>
    <row r="839">
      <c r="A839" s="3" t="n">
        <v>44214</v>
      </c>
      <c r="B839" s="3" t="n">
        <v>44211</v>
      </c>
      <c r="C839" t="n">
        <v>52.75</v>
      </c>
      <c r="D839" t="n">
        <v>55.38</v>
      </c>
      <c r="E839" t="n">
        <v>1.518</v>
      </c>
      <c r="F839" t="n">
        <v>1.573</v>
      </c>
      <c r="G839" t="n">
        <v>1.63</v>
      </c>
      <c r="H839" t="n">
        <v>2.379</v>
      </c>
      <c r="J839" t="n">
        <v>2.241</v>
      </c>
      <c r="K839" t="n">
        <v>3.213</v>
      </c>
      <c r="L839" t="n">
        <v>20.8</v>
      </c>
      <c r="N839">
        <f>IF(OR(E839="",C839=""),"",E839-C839/42)</f>
        <v/>
      </c>
      <c r="O839">
        <f>IF(OR(E839="",D839=""),"",E839-D839/42)</f>
        <v/>
      </c>
      <c r="P839">
        <f>IF(L839="",M839/100,H839*L839/100)</f>
        <v/>
      </c>
      <c r="Q839">
        <f>H839-C839/42-P839</f>
        <v/>
      </c>
      <c r="R839">
        <f>H839-E839</f>
        <v/>
      </c>
    </row>
    <row r="840">
      <c r="A840" s="3" t="n">
        <v>44221</v>
      </c>
      <c r="B840" s="3" t="n">
        <v>44218</v>
      </c>
      <c r="C840" t="n">
        <v>52.82</v>
      </c>
      <c r="D840" t="n">
        <v>55.23</v>
      </c>
      <c r="E840" t="n">
        <v>1.512</v>
      </c>
      <c r="F840" t="n">
        <v>1.581</v>
      </c>
      <c r="G840" t="n">
        <v>1.637</v>
      </c>
      <c r="H840" t="n">
        <v>2.392</v>
      </c>
      <c r="J840" t="n">
        <v>2.263</v>
      </c>
      <c r="K840" t="n">
        <v>3.245</v>
      </c>
      <c r="L840" t="n">
        <v>20.8</v>
      </c>
      <c r="N840">
        <f>IF(OR(E840="",C840=""),"",E840-C840/42)</f>
        <v/>
      </c>
      <c r="O840">
        <f>IF(OR(E840="",D840=""),"",E840-D840/42)</f>
        <v/>
      </c>
      <c r="P840">
        <f>IF(L840="",M840/100,H840*L840/100)</f>
        <v/>
      </c>
      <c r="Q840">
        <f>H840-C840/42-P840</f>
        <v/>
      </c>
      <c r="R840">
        <f>H840-E840</f>
        <v/>
      </c>
    </row>
    <row r="841">
      <c r="A841" s="3" t="n">
        <v>44228</v>
      </c>
      <c r="B841" s="3" t="n">
        <v>44225</v>
      </c>
      <c r="C841" t="n">
        <v>52.52</v>
      </c>
      <c r="D841" t="n">
        <v>55.18</v>
      </c>
      <c r="E841" t="n">
        <v>1.538</v>
      </c>
      <c r="F841" t="n">
        <v>1.606</v>
      </c>
      <c r="G841" t="n">
        <v>1.734</v>
      </c>
      <c r="H841" t="n">
        <v>2.409</v>
      </c>
      <c r="J841" t="n">
        <v>2.284</v>
      </c>
      <c r="K841" t="n">
        <v>3.272</v>
      </c>
      <c r="L841" t="n">
        <v>19.4</v>
      </c>
      <c r="N841">
        <f>IF(OR(E841="",C841=""),"",E841-C841/42)</f>
        <v/>
      </c>
      <c r="O841">
        <f>IF(OR(E841="",D841=""),"",E841-D841/42)</f>
        <v/>
      </c>
      <c r="P841">
        <f>IF(L841="",M841/100,H841*L841/100)</f>
        <v/>
      </c>
      <c r="Q841">
        <f>H841-C841/42-P841</f>
        <v/>
      </c>
      <c r="R841">
        <f>H841-E841</f>
        <v/>
      </c>
    </row>
    <row r="842">
      <c r="A842" s="3" t="n">
        <v>44235</v>
      </c>
      <c r="B842" s="3" t="n">
        <v>44232</v>
      </c>
      <c r="C842" t="n">
        <v>55.39</v>
      </c>
      <c r="D842" t="n">
        <v>58.22</v>
      </c>
      <c r="E842" t="n">
        <v>1.602</v>
      </c>
      <c r="F842" t="n">
        <v>1.665</v>
      </c>
      <c r="G842" t="n">
        <v>1.763</v>
      </c>
      <c r="H842" t="n">
        <v>2.461</v>
      </c>
      <c r="J842" t="n">
        <v>2.329</v>
      </c>
      <c r="K842" t="n">
        <v>3.316</v>
      </c>
      <c r="L842" t="n">
        <v>19.4</v>
      </c>
      <c r="N842">
        <f>IF(OR(E842="",C842=""),"",E842-C842/42)</f>
        <v/>
      </c>
      <c r="O842">
        <f>IF(OR(E842="",D842=""),"",E842-D842/42)</f>
        <v/>
      </c>
      <c r="P842">
        <f>IF(L842="",M842/100,H842*L842/100)</f>
        <v/>
      </c>
      <c r="Q842">
        <f>H842-C842/42-P842</f>
        <v/>
      </c>
      <c r="R842">
        <f>H842-E842</f>
        <v/>
      </c>
    </row>
    <row r="843">
      <c r="A843" s="3" t="n">
        <v>44242</v>
      </c>
      <c r="B843" s="3" t="n">
        <v>44239</v>
      </c>
      <c r="C843" t="n">
        <v>58.54</v>
      </c>
      <c r="D843" t="n">
        <v>61.13</v>
      </c>
      <c r="E843" t="n">
        <v>1.627</v>
      </c>
      <c r="F843" t="n">
        <v>1.685</v>
      </c>
      <c r="G843" t="n">
        <v>1.766</v>
      </c>
      <c r="H843" t="n">
        <v>2.501</v>
      </c>
      <c r="J843" t="n">
        <v>2.39</v>
      </c>
      <c r="K843" t="n">
        <v>3.35</v>
      </c>
      <c r="L843" t="n">
        <v>19.4</v>
      </c>
      <c r="N843">
        <f>IF(OR(E843="",C843=""),"",E843-C843/42)</f>
        <v/>
      </c>
      <c r="O843">
        <f>IF(OR(E843="",D843=""),"",E843-D843/42)</f>
        <v/>
      </c>
      <c r="P843">
        <f>IF(L843="",M843/100,H843*L843/100)</f>
        <v/>
      </c>
      <c r="Q843">
        <f>H843-C843/42-P843</f>
        <v/>
      </c>
      <c r="R843">
        <f>H843-E843</f>
        <v/>
      </c>
    </row>
    <row r="844">
      <c r="A844" s="3" t="n">
        <v>44249</v>
      </c>
      <c r="B844" s="3" t="n">
        <v>44246</v>
      </c>
      <c r="C844" t="n">
        <v>60.17</v>
      </c>
      <c r="D844" t="n">
        <v>63.9</v>
      </c>
      <c r="E844" t="n">
        <v>1.726</v>
      </c>
      <c r="F844" t="n">
        <v>1.807</v>
      </c>
      <c r="G844" t="n">
        <v>1.81</v>
      </c>
      <c r="H844" t="n">
        <v>2.633</v>
      </c>
      <c r="J844" t="n">
        <v>2.439</v>
      </c>
      <c r="K844" t="n">
        <v>3.451</v>
      </c>
      <c r="L844" t="n">
        <v>19.4</v>
      </c>
      <c r="N844">
        <f>IF(OR(E844="",C844=""),"",E844-C844/42)</f>
        <v/>
      </c>
      <c r="O844">
        <f>IF(OR(E844="",D844=""),"",E844-D844/42)</f>
        <v/>
      </c>
      <c r="P844">
        <f>IF(L844="",M844/100,H844*L844/100)</f>
        <v/>
      </c>
      <c r="Q844">
        <f>H844-C844/42-P844</f>
        <v/>
      </c>
      <c r="R844">
        <f>H844-E844</f>
        <v/>
      </c>
    </row>
    <row r="845">
      <c r="A845" s="3" t="n">
        <v>44256</v>
      </c>
      <c r="B845" s="3" t="n">
        <v>44253</v>
      </c>
      <c r="C845" t="n">
        <v>62.3</v>
      </c>
      <c r="D845" t="n">
        <v>65.86</v>
      </c>
      <c r="E845" t="n">
        <v>1.799</v>
      </c>
      <c r="F845" t="n">
        <v>1.897</v>
      </c>
      <c r="G845" t="n">
        <v>1.948</v>
      </c>
      <c r="H845" t="n">
        <v>2.711</v>
      </c>
      <c r="J845" t="n">
        <v>2.566</v>
      </c>
      <c r="K845" t="n">
        <v>3.563</v>
      </c>
      <c r="L845" t="n">
        <v>17.2</v>
      </c>
      <c r="N845">
        <f>IF(OR(E845="",C845=""),"",E845-C845/42)</f>
        <v/>
      </c>
      <c r="O845">
        <f>IF(OR(E845="",D845=""),"",E845-D845/42)</f>
        <v/>
      </c>
      <c r="P845">
        <f>IF(L845="",M845/100,H845*L845/100)</f>
        <v/>
      </c>
      <c r="Q845">
        <f>H845-C845/42-P845</f>
        <v/>
      </c>
      <c r="R845">
        <f>H845-E845</f>
        <v/>
      </c>
    </row>
    <row r="846">
      <c r="A846" s="3" t="n">
        <v>44263</v>
      </c>
      <c r="B846" s="3" t="n">
        <v>44260</v>
      </c>
      <c r="C846" t="n">
        <v>62.29</v>
      </c>
      <c r="D846" t="n">
        <v>65.94</v>
      </c>
      <c r="E846" t="n">
        <v>1.92</v>
      </c>
      <c r="F846" t="n">
        <v>1.94</v>
      </c>
      <c r="G846" t="n">
        <v>2.032</v>
      </c>
      <c r="H846" t="n">
        <v>2.771</v>
      </c>
      <c r="J846" t="n">
        <v>2.708</v>
      </c>
      <c r="K846" t="n">
        <v>3.638</v>
      </c>
      <c r="L846" t="n">
        <v>17.2</v>
      </c>
      <c r="N846">
        <f>IF(OR(E846="",C846=""),"",E846-C846/42)</f>
        <v/>
      </c>
      <c r="O846">
        <f>IF(OR(E846="",D846=""),"",E846-D846/42)</f>
        <v/>
      </c>
      <c r="P846">
        <f>IF(L846="",M846/100,H846*L846/100)</f>
        <v/>
      </c>
      <c r="Q846">
        <f>H846-C846/42-P846</f>
        <v/>
      </c>
      <c r="R846">
        <f>H846-E846</f>
        <v/>
      </c>
    </row>
    <row r="847">
      <c r="A847" s="3" t="n">
        <v>44270</v>
      </c>
      <c r="B847" s="3" t="n">
        <v>44267</v>
      </c>
      <c r="C847" t="n">
        <v>65.02</v>
      </c>
      <c r="D847" t="n">
        <v>68.15000000000001</v>
      </c>
      <c r="E847" t="n">
        <v>2.021</v>
      </c>
      <c r="F847" t="n">
        <v>2.081</v>
      </c>
      <c r="G847" t="n">
        <v>2.127</v>
      </c>
      <c r="H847" t="n">
        <v>2.853</v>
      </c>
      <c r="J847" t="n">
        <v>2.839</v>
      </c>
      <c r="K847" t="n">
        <v>3.731</v>
      </c>
      <c r="L847" t="n">
        <v>17.2</v>
      </c>
      <c r="N847">
        <f>IF(OR(E847="",C847=""),"",E847-C847/42)</f>
        <v/>
      </c>
      <c r="O847">
        <f>IF(OR(E847="",D847=""),"",E847-D847/42)</f>
        <v/>
      </c>
      <c r="P847">
        <f>IF(L847="",M847/100,H847*L847/100)</f>
        <v/>
      </c>
      <c r="Q847">
        <f>H847-C847/42-P847</f>
        <v/>
      </c>
      <c r="R847">
        <f>H847-E847</f>
        <v/>
      </c>
    </row>
    <row r="848">
      <c r="A848" s="3" t="n">
        <v>44277</v>
      </c>
      <c r="B848" s="3" t="n">
        <v>44274</v>
      </c>
      <c r="C848" t="n">
        <v>63.22</v>
      </c>
      <c r="D848" t="n">
        <v>66.11</v>
      </c>
      <c r="E848" t="n">
        <v>1.967</v>
      </c>
      <c r="F848" t="n">
        <v>2.04</v>
      </c>
      <c r="G848" t="n">
        <v>2.097</v>
      </c>
      <c r="H848" t="n">
        <v>2.865</v>
      </c>
      <c r="J848" t="n">
        <v>2.938</v>
      </c>
      <c r="K848" t="n">
        <v>3.76</v>
      </c>
      <c r="L848" t="n">
        <v>17.2</v>
      </c>
      <c r="N848">
        <f>IF(OR(E848="",C848=""),"",E848-C848/42)</f>
        <v/>
      </c>
      <c r="O848">
        <f>IF(OR(E848="",D848=""),"",E848-D848/42)</f>
        <v/>
      </c>
      <c r="P848">
        <f>IF(L848="",M848/100,H848*L848/100)</f>
        <v/>
      </c>
      <c r="Q848">
        <f>H848-C848/42-P848</f>
        <v/>
      </c>
      <c r="R848">
        <f>H848-E848</f>
        <v/>
      </c>
    </row>
    <row r="849">
      <c r="A849" s="3" t="n">
        <v>44284</v>
      </c>
      <c r="B849" s="3" t="n">
        <v>44281</v>
      </c>
      <c r="C849" t="n">
        <v>59.95</v>
      </c>
      <c r="D849" t="n">
        <v>62.51</v>
      </c>
      <c r="E849" t="n">
        <v>1.88</v>
      </c>
      <c r="F849" t="n">
        <v>1.908</v>
      </c>
      <c r="G849" t="n">
        <v>2.013</v>
      </c>
      <c r="H849" t="n">
        <v>2.852</v>
      </c>
      <c r="J849" t="n">
        <v>2.95</v>
      </c>
      <c r="K849" t="n">
        <v>3.77</v>
      </c>
      <c r="L849" t="n">
        <v>17.2</v>
      </c>
      <c r="N849">
        <f>IF(OR(E849="",C849=""),"",E849-C849/42)</f>
        <v/>
      </c>
      <c r="O849">
        <f>IF(OR(E849="",D849=""),"",E849-D849/42)</f>
        <v/>
      </c>
      <c r="P849">
        <f>IF(L849="",M849/100,H849*L849/100)</f>
        <v/>
      </c>
      <c r="Q849">
        <f>H849-C849/42-P849</f>
        <v/>
      </c>
      <c r="R849">
        <f>H849-E849</f>
        <v/>
      </c>
    </row>
    <row r="850">
      <c r="A850" s="3" t="n">
        <v>44291</v>
      </c>
      <c r="B850" s="3" t="n">
        <v>44288</v>
      </c>
      <c r="C850" t="n">
        <v>60.66</v>
      </c>
      <c r="D850" t="n">
        <v>63.68</v>
      </c>
      <c r="E850" t="n">
        <v>1.937</v>
      </c>
      <c r="F850" t="n">
        <v>1.959</v>
      </c>
      <c r="G850" t="n">
        <v>2.069</v>
      </c>
      <c r="H850" t="n">
        <v>2.857</v>
      </c>
      <c r="J850" t="n">
        <v>2.95</v>
      </c>
      <c r="K850" t="n">
        <v>3.787</v>
      </c>
      <c r="L850" t="n">
        <v>17</v>
      </c>
      <c r="N850">
        <f>IF(OR(E850="",C850=""),"",E850-C850/42)</f>
        <v/>
      </c>
      <c r="O850">
        <f>IF(OR(E850="",D850=""),"",E850-D850/42)</f>
        <v/>
      </c>
      <c r="P850">
        <f>IF(L850="",M850/100,H850*L850/100)</f>
        <v/>
      </c>
      <c r="Q850">
        <f>H850-C850/42-P850</f>
        <v/>
      </c>
      <c r="R850">
        <f>H850-E850</f>
        <v/>
      </c>
    </row>
    <row r="851">
      <c r="A851" s="3" t="n">
        <v>44298</v>
      </c>
      <c r="B851" s="3" t="n">
        <v>44295</v>
      </c>
      <c r="C851" t="n">
        <v>59.35</v>
      </c>
      <c r="D851" t="n">
        <v>61.83</v>
      </c>
      <c r="E851" t="n">
        <v>1.923</v>
      </c>
      <c r="F851" t="n">
        <v>1.945</v>
      </c>
      <c r="G851" t="n">
        <v>2.03</v>
      </c>
      <c r="H851" t="n">
        <v>2.849</v>
      </c>
      <c r="J851" t="n">
        <v>2.952</v>
      </c>
      <c r="K851" t="n">
        <v>3.803</v>
      </c>
      <c r="L851" t="n">
        <v>17</v>
      </c>
      <c r="N851">
        <f>IF(OR(E851="",C851=""),"",E851-C851/42)</f>
        <v/>
      </c>
      <c r="O851">
        <f>IF(OR(E851="",D851=""),"",E851-D851/42)</f>
        <v/>
      </c>
      <c r="P851">
        <f>IF(L851="",M851/100,H851*L851/100)</f>
        <v/>
      </c>
      <c r="Q851">
        <f>H851-C851/42-P851</f>
        <v/>
      </c>
      <c r="R851">
        <f>H851-E851</f>
        <v/>
      </c>
    </row>
    <row r="852">
      <c r="A852" s="3" t="n">
        <v>44305</v>
      </c>
      <c r="B852" s="3" t="n">
        <v>44302</v>
      </c>
      <c r="C852" t="n">
        <v>61.93</v>
      </c>
      <c r="D852" t="n">
        <v>64.69</v>
      </c>
      <c r="E852" t="n">
        <v>1.969</v>
      </c>
      <c r="F852" t="n">
        <v>2.003</v>
      </c>
      <c r="G852" t="n">
        <v>2.093</v>
      </c>
      <c r="H852" t="n">
        <v>2.855</v>
      </c>
      <c r="J852" t="n">
        <v>2.973</v>
      </c>
      <c r="K852" t="n">
        <v>3.835</v>
      </c>
      <c r="L852" t="n">
        <v>17</v>
      </c>
      <c r="N852">
        <f>IF(OR(E852="",C852=""),"",E852-C852/42)</f>
        <v/>
      </c>
      <c r="O852">
        <f>IF(OR(E852="",D852=""),"",E852-D852/42)</f>
        <v/>
      </c>
      <c r="P852">
        <f>IF(L852="",M852/100,H852*L852/100)</f>
        <v/>
      </c>
      <c r="Q852">
        <f>H852-C852/42-P852</f>
        <v/>
      </c>
      <c r="R852">
        <f>H852-E852</f>
        <v/>
      </c>
    </row>
    <row r="853">
      <c r="A853" s="3" t="n">
        <v>44312</v>
      </c>
      <c r="B853" s="3" t="n">
        <v>44309</v>
      </c>
      <c r="C853" t="n">
        <v>62.18</v>
      </c>
      <c r="D853" t="n">
        <v>65.34</v>
      </c>
      <c r="E853" t="n">
        <v>1.947</v>
      </c>
      <c r="F853" t="n">
        <v>1.979</v>
      </c>
      <c r="G853" t="n">
        <v>2.104</v>
      </c>
      <c r="H853" t="n">
        <v>2.872</v>
      </c>
      <c r="J853" t="n">
        <v>2.993</v>
      </c>
      <c r="K853" t="n">
        <v>3.862</v>
      </c>
      <c r="L853" t="n">
        <v>17</v>
      </c>
      <c r="N853">
        <f>IF(OR(E853="",C853=""),"",E853-C853/42)</f>
        <v/>
      </c>
      <c r="O853">
        <f>IF(OR(E853="",D853=""),"",E853-D853/42)</f>
        <v/>
      </c>
      <c r="P853">
        <f>IF(L853="",M853/100,H853*L853/100)</f>
        <v/>
      </c>
      <c r="Q853">
        <f>H853-C853/42-P853</f>
        <v/>
      </c>
      <c r="R853">
        <f>H853-E853</f>
        <v/>
      </c>
    </row>
    <row r="854">
      <c r="A854" s="3" t="n">
        <v>44319</v>
      </c>
      <c r="B854" s="3" t="n">
        <v>44316</v>
      </c>
      <c r="C854" t="n">
        <v>63.47</v>
      </c>
      <c r="D854" t="n">
        <v>66.95999999999999</v>
      </c>
      <c r="E854" t="n">
        <v>1.993</v>
      </c>
      <c r="F854" t="n">
        <v>2.023</v>
      </c>
      <c r="G854" t="n">
        <v>2.17</v>
      </c>
      <c r="H854" t="n">
        <v>2.89</v>
      </c>
      <c r="J854" t="n">
        <v>3.018</v>
      </c>
      <c r="K854" t="n">
        <v>3.906</v>
      </c>
      <c r="L854" t="n">
        <v>16.2</v>
      </c>
      <c r="N854">
        <f>IF(OR(E854="",C854=""),"",E854-C854/42)</f>
        <v/>
      </c>
      <c r="O854">
        <f>IF(OR(E854="",D854=""),"",E854-D854/42)</f>
        <v/>
      </c>
      <c r="P854">
        <f>IF(L854="",M854/100,H854*L854/100)</f>
        <v/>
      </c>
      <c r="Q854">
        <f>H854-C854/42-P854</f>
        <v/>
      </c>
      <c r="R854">
        <f>H854-E854</f>
        <v/>
      </c>
    </row>
    <row r="855">
      <c r="A855" s="3" t="n">
        <v>44326</v>
      </c>
      <c r="B855" s="3" t="n">
        <v>44323</v>
      </c>
      <c r="C855" t="n">
        <v>65.09999999999999</v>
      </c>
      <c r="D855" t="n">
        <v>68.98999999999999</v>
      </c>
      <c r="E855" t="n">
        <v>2.048</v>
      </c>
      <c r="F855" t="n">
        <v>2.12</v>
      </c>
      <c r="G855" t="n">
        <v>2.253</v>
      </c>
      <c r="H855" t="n">
        <v>2.961</v>
      </c>
      <c r="J855" t="n">
        <v>3.062</v>
      </c>
      <c r="K855" t="n">
        <v>3.952</v>
      </c>
      <c r="L855" t="n">
        <v>16.2</v>
      </c>
      <c r="N855">
        <f>IF(OR(E855="",C855=""),"",E855-C855/42)</f>
        <v/>
      </c>
      <c r="O855">
        <f>IF(OR(E855="",D855=""),"",E855-D855/42)</f>
        <v/>
      </c>
      <c r="P855">
        <f>IF(L855="",M855/100,H855*L855/100)</f>
        <v/>
      </c>
      <c r="Q855">
        <f>H855-C855/42-P855</f>
        <v/>
      </c>
      <c r="R855">
        <f>H855-E855</f>
        <v/>
      </c>
    </row>
    <row r="856">
      <c r="A856" s="3" t="n">
        <v>44333</v>
      </c>
      <c r="B856" s="3" t="n">
        <v>44330</v>
      </c>
      <c r="C856" t="n">
        <v>65.06999999999999</v>
      </c>
      <c r="D856" t="n">
        <v>68.73</v>
      </c>
      <c r="E856" t="n">
        <v>2.053</v>
      </c>
      <c r="F856" t="n">
        <v>2.135</v>
      </c>
      <c r="G856" t="n">
        <v>2.221</v>
      </c>
      <c r="H856" t="n">
        <v>3.028</v>
      </c>
      <c r="J856" t="n">
        <v>3.129</v>
      </c>
      <c r="K856" t="n">
        <v>3.981</v>
      </c>
      <c r="L856" t="n">
        <v>16.2</v>
      </c>
      <c r="N856">
        <f>IF(OR(E856="",C856=""),"",E856-C856/42)</f>
        <v/>
      </c>
      <c r="O856">
        <f>IF(OR(E856="",D856=""),"",E856-D856/42)</f>
        <v/>
      </c>
      <c r="P856">
        <f>IF(L856="",M856/100,H856*L856/100)</f>
        <v/>
      </c>
      <c r="Q856">
        <f>H856-C856/42-P856</f>
        <v/>
      </c>
      <c r="R856">
        <f>H856-E856</f>
        <v/>
      </c>
    </row>
    <row r="857">
      <c r="A857" s="3" t="n">
        <v>44340</v>
      </c>
      <c r="B857" s="3" t="n">
        <v>44337</v>
      </c>
      <c r="C857" t="n">
        <v>64.11</v>
      </c>
      <c r="D857" t="n">
        <v>67.48</v>
      </c>
      <c r="E857" t="n">
        <v>2.018</v>
      </c>
      <c r="F857" t="n">
        <v>2.105</v>
      </c>
      <c r="G857" t="n">
        <v>2.206</v>
      </c>
      <c r="H857" t="n">
        <v>3.02</v>
      </c>
      <c r="J857" t="n">
        <v>3.145</v>
      </c>
      <c r="K857" t="n">
        <v>4.014</v>
      </c>
      <c r="L857" t="n">
        <v>16.2</v>
      </c>
      <c r="N857">
        <f>IF(OR(E857="",C857=""),"",E857-C857/42)</f>
        <v/>
      </c>
      <c r="O857">
        <f>IF(OR(E857="",D857=""),"",E857-D857/42)</f>
        <v/>
      </c>
      <c r="P857">
        <f>IF(L857="",M857/100,H857*L857/100)</f>
        <v/>
      </c>
      <c r="Q857">
        <f>H857-C857/42-P857</f>
        <v/>
      </c>
      <c r="R857">
        <f>H857-E857</f>
        <v/>
      </c>
    </row>
    <row r="858">
      <c r="A858" s="3" t="n">
        <v>44347</v>
      </c>
      <c r="B858" s="3" t="n">
        <v>44344</v>
      </c>
      <c r="C858" t="n">
        <v>66.40000000000001</v>
      </c>
      <c r="D858" t="n">
        <v>69.02</v>
      </c>
      <c r="E858" t="n">
        <v>2.032</v>
      </c>
      <c r="F858" t="n">
        <v>2.106</v>
      </c>
      <c r="G858" t="n">
        <v>2.277</v>
      </c>
      <c r="H858" t="n">
        <v>3.027</v>
      </c>
      <c r="J858" t="n">
        <v>3.157</v>
      </c>
      <c r="K858" t="n">
        <v>4.057</v>
      </c>
      <c r="L858" t="n">
        <v>16.2</v>
      </c>
      <c r="N858">
        <f>IF(OR(E858="",C858=""),"",E858-C858/42)</f>
        <v/>
      </c>
      <c r="O858">
        <f>IF(OR(E858="",D858=""),"",E858-D858/42)</f>
        <v/>
      </c>
      <c r="P858">
        <f>IF(L858="",M858/100,H858*L858/100)</f>
        <v/>
      </c>
      <c r="Q858">
        <f>H858-C858/42-P858</f>
        <v/>
      </c>
      <c r="R858">
        <f>H858-E858</f>
        <v/>
      </c>
    </row>
    <row r="859">
      <c r="A859" s="3" t="n">
        <v>44354</v>
      </c>
      <c r="B859" s="3" t="n">
        <v>44351</v>
      </c>
      <c r="C859" t="n">
        <v>68.73999999999999</v>
      </c>
      <c r="D859" t="n">
        <v>70.66</v>
      </c>
      <c r="E859" t="n">
        <v>2.092</v>
      </c>
      <c r="F859" t="n">
        <v>2.156</v>
      </c>
      <c r="G859" t="n">
        <v>2.352</v>
      </c>
      <c r="H859" t="n">
        <v>3.035</v>
      </c>
      <c r="J859" t="n">
        <v>3.193</v>
      </c>
      <c r="K859" t="n">
        <v>4.078</v>
      </c>
      <c r="L859" t="n">
        <v>15.8</v>
      </c>
      <c r="N859">
        <f>IF(OR(E859="",C859=""),"",E859-C859/42)</f>
        <v/>
      </c>
      <c r="O859">
        <f>IF(OR(E859="",D859=""),"",E859-D859/42)</f>
        <v/>
      </c>
      <c r="P859">
        <f>IF(L859="",M859/100,H859*L859/100)</f>
        <v/>
      </c>
      <c r="Q859">
        <f>H859-C859/42-P859</f>
        <v/>
      </c>
      <c r="R859">
        <f>H859-E859</f>
        <v/>
      </c>
    </row>
    <row r="860">
      <c r="A860" s="3" t="n">
        <v>44361</v>
      </c>
      <c r="B860" s="3" t="n">
        <v>44358</v>
      </c>
      <c r="C860" t="n">
        <v>70.11</v>
      </c>
      <c r="D860" t="n">
        <v>71.45999999999999</v>
      </c>
      <c r="E860" t="n">
        <v>2.114</v>
      </c>
      <c r="F860" t="n">
        <v>2.162</v>
      </c>
      <c r="G860" t="n">
        <v>2.285</v>
      </c>
      <c r="H860" t="n">
        <v>3.069</v>
      </c>
      <c r="J860" t="n">
        <v>3.216</v>
      </c>
      <c r="K860" t="n">
        <v>4.086</v>
      </c>
      <c r="L860" t="n">
        <v>15.8</v>
      </c>
      <c r="N860">
        <f>IF(OR(E860="",C860=""),"",E860-C860/42)</f>
        <v/>
      </c>
      <c r="O860">
        <f>IF(OR(E860="",D860=""),"",E860-D860/42)</f>
        <v/>
      </c>
      <c r="P860">
        <f>IF(L860="",M860/100,H860*L860/100)</f>
        <v/>
      </c>
      <c r="Q860">
        <f>H860-C860/42-P860</f>
        <v/>
      </c>
      <c r="R860">
        <f>H860-E860</f>
        <v/>
      </c>
    </row>
    <row r="861">
      <c r="A861" s="3" t="n">
        <v>44368</v>
      </c>
      <c r="B861" s="3" t="n">
        <v>44365</v>
      </c>
      <c r="C861" t="n">
        <v>71.55</v>
      </c>
      <c r="D861" t="n">
        <v>73.11</v>
      </c>
      <c r="E861" t="n">
        <v>2.075</v>
      </c>
      <c r="F861" t="n">
        <v>2.121</v>
      </c>
      <c r="G861" t="n">
        <v>2.247</v>
      </c>
      <c r="H861" t="n">
        <v>3.06</v>
      </c>
      <c r="J861" t="n">
        <v>3.268</v>
      </c>
      <c r="K861" t="n">
        <v>4.087</v>
      </c>
      <c r="L861" t="n">
        <v>15.8</v>
      </c>
      <c r="N861">
        <f>IF(OR(E861="",C861=""),"",E861-C861/42)</f>
        <v/>
      </c>
      <c r="O861">
        <f>IF(OR(E861="",D861=""),"",E861-D861/42)</f>
        <v/>
      </c>
      <c r="P861">
        <f>IF(L861="",M861/100,H861*L861/100)</f>
        <v/>
      </c>
      <c r="Q861">
        <f>H861-C861/42-P861</f>
        <v/>
      </c>
      <c r="R861">
        <f>H861-E861</f>
        <v/>
      </c>
    </row>
    <row r="862">
      <c r="A862" s="3" t="n">
        <v>44375</v>
      </c>
      <c r="B862" s="3" t="n">
        <v>44372</v>
      </c>
      <c r="C862" t="n">
        <v>73.48</v>
      </c>
      <c r="D862" t="n">
        <v>75.41</v>
      </c>
      <c r="E862" t="n">
        <v>2.161</v>
      </c>
      <c r="F862" t="n">
        <v>2.208</v>
      </c>
      <c r="G862" t="n">
        <v>2.346</v>
      </c>
      <c r="H862" t="n">
        <v>3.091</v>
      </c>
      <c r="J862" t="n">
        <v>3.356</v>
      </c>
      <c r="K862" t="n">
        <v>4.126</v>
      </c>
      <c r="L862" t="n">
        <v>15.8</v>
      </c>
      <c r="N862">
        <f>IF(OR(E862="",C862=""),"",E862-C862/42)</f>
        <v/>
      </c>
      <c r="O862">
        <f>IF(OR(E862="",D862=""),"",E862-D862/42)</f>
        <v/>
      </c>
      <c r="P862">
        <f>IF(L862="",M862/100,H862*L862/100)</f>
        <v/>
      </c>
      <c r="Q862">
        <f>H862-C862/42-P862</f>
        <v/>
      </c>
      <c r="R862">
        <f>H862-E862</f>
        <v/>
      </c>
    </row>
    <row r="863">
      <c r="A863" s="3" t="n">
        <v>44382</v>
      </c>
      <c r="B863" s="3" t="n">
        <v>44379</v>
      </c>
      <c r="C863" t="n">
        <v>74.06999999999999</v>
      </c>
      <c r="D863" t="n">
        <v>76.26000000000001</v>
      </c>
      <c r="E863" t="n">
        <v>2.185</v>
      </c>
      <c r="F863" t="n">
        <v>2.221</v>
      </c>
      <c r="G863" t="n">
        <v>2.362</v>
      </c>
      <c r="H863" t="n">
        <v>3.122</v>
      </c>
      <c r="J863" t="n">
        <v>3.434</v>
      </c>
      <c r="K863" t="n">
        <v>4.141</v>
      </c>
      <c r="L863" t="n">
        <v>15.6</v>
      </c>
      <c r="N863">
        <f>IF(OR(E863="",C863=""),"",E863-C863/42)</f>
        <v/>
      </c>
      <c r="O863">
        <f>IF(OR(E863="",D863=""),"",E863-D863/42)</f>
        <v/>
      </c>
      <c r="P863">
        <f>IF(L863="",M863/100,H863*L863/100)</f>
        <v/>
      </c>
      <c r="Q863">
        <f>H863-C863/42-P863</f>
        <v/>
      </c>
      <c r="R863">
        <f>H863-E863</f>
        <v/>
      </c>
    </row>
    <row r="864">
      <c r="A864" s="3" t="n">
        <v>44389</v>
      </c>
      <c r="B864" s="3" t="n">
        <v>44386</v>
      </c>
      <c r="C864" t="n">
        <v>73.34999999999999</v>
      </c>
      <c r="D864" t="n">
        <v>76.13</v>
      </c>
      <c r="E864" t="n">
        <v>2.195</v>
      </c>
      <c r="F864" t="n">
        <v>2.22</v>
      </c>
      <c r="G864" t="n">
        <v>2.328</v>
      </c>
      <c r="H864" t="n">
        <v>3.133</v>
      </c>
      <c r="J864" t="n">
        <v>3.486</v>
      </c>
      <c r="K864" t="n">
        <v>4.165</v>
      </c>
      <c r="L864" t="n">
        <v>15.6</v>
      </c>
      <c r="N864">
        <f>IF(OR(E864="",C864=""),"",E864-C864/42)</f>
        <v/>
      </c>
      <c r="O864">
        <f>IF(OR(E864="",D864=""),"",E864-D864/42)</f>
        <v/>
      </c>
      <c r="P864">
        <f>IF(L864="",M864/100,H864*L864/100)</f>
        <v/>
      </c>
      <c r="Q864">
        <f>H864-C864/42-P864</f>
        <v/>
      </c>
      <c r="R864">
        <f>H864-E864</f>
        <v/>
      </c>
    </row>
    <row r="865">
      <c r="A865" s="3" t="n">
        <v>44396</v>
      </c>
      <c r="B865" s="3" t="n">
        <v>44393</v>
      </c>
      <c r="C865" t="n">
        <v>73.19</v>
      </c>
      <c r="D865" t="n">
        <v>75.8</v>
      </c>
      <c r="E865" t="n">
        <v>2.214</v>
      </c>
      <c r="F865" t="n">
        <v>2.268</v>
      </c>
      <c r="G865" t="n">
        <v>2.339</v>
      </c>
      <c r="H865" t="n">
        <v>3.153</v>
      </c>
      <c r="J865" t="n">
        <v>3.559</v>
      </c>
      <c r="K865" t="n">
        <v>4.179</v>
      </c>
      <c r="L865" t="n">
        <v>15.6</v>
      </c>
      <c r="N865">
        <f>IF(OR(E865="",C865=""),"",E865-C865/42)</f>
        <v/>
      </c>
      <c r="O865">
        <f>IF(OR(E865="",D865=""),"",E865-D865/42)</f>
        <v/>
      </c>
      <c r="P865">
        <f>IF(L865="",M865/100,H865*L865/100)</f>
        <v/>
      </c>
      <c r="Q865">
        <f>H865-C865/42-P865</f>
        <v/>
      </c>
      <c r="R865">
        <f>H865-E865</f>
        <v/>
      </c>
    </row>
    <row r="866">
      <c r="A866" s="3" t="n">
        <v>44403</v>
      </c>
      <c r="B866" s="3" t="n">
        <v>44400</v>
      </c>
      <c r="C866" t="n">
        <v>69.68000000000001</v>
      </c>
      <c r="D866" t="n">
        <v>72.2</v>
      </c>
      <c r="E866" t="n">
        <v>2.135</v>
      </c>
      <c r="F866" t="n">
        <v>2.204</v>
      </c>
      <c r="G866" t="n">
        <v>2.299</v>
      </c>
      <c r="H866" t="n">
        <v>3.136</v>
      </c>
      <c r="J866" t="n">
        <v>3.598</v>
      </c>
      <c r="K866" t="n">
        <v>4.174</v>
      </c>
      <c r="L866" t="n">
        <v>15.6</v>
      </c>
      <c r="N866">
        <f>IF(OR(E866="",C866=""),"",E866-C866/42)</f>
        <v/>
      </c>
      <c r="O866">
        <f>IF(OR(E866="",D866=""),"",E866-D866/42)</f>
        <v/>
      </c>
      <c r="P866">
        <f>IF(L866="",M866/100,H866*L866/100)</f>
        <v/>
      </c>
      <c r="Q866">
        <f>H866-C866/42-P866</f>
        <v/>
      </c>
      <c r="R866">
        <f>H866-E866</f>
        <v/>
      </c>
    </row>
    <row r="867">
      <c r="A867" s="3" t="n">
        <v>44410</v>
      </c>
      <c r="B867" s="3" t="n">
        <v>44407</v>
      </c>
      <c r="C867" t="n">
        <v>72.75</v>
      </c>
      <c r="D867" t="n">
        <v>75.75</v>
      </c>
      <c r="E867" t="n">
        <v>2.268</v>
      </c>
      <c r="F867" t="n">
        <v>2.33</v>
      </c>
      <c r="G867" t="n">
        <v>2.462</v>
      </c>
      <c r="H867" t="n">
        <v>3.159</v>
      </c>
      <c r="J867" t="n">
        <v>3.64</v>
      </c>
      <c r="K867" t="n">
        <v>4.213</v>
      </c>
      <c r="L867" t="n">
        <v>15.5</v>
      </c>
      <c r="N867">
        <f>IF(OR(E867="",C867=""),"",E867-C867/42)</f>
        <v/>
      </c>
      <c r="O867">
        <f>IF(OR(E867="",D867=""),"",E867-D867/42)</f>
        <v/>
      </c>
      <c r="P867">
        <f>IF(L867="",M867/100,H867*L867/100)</f>
        <v/>
      </c>
      <c r="Q867">
        <f>H867-C867/42-P867</f>
        <v/>
      </c>
      <c r="R867">
        <f>H867-E867</f>
        <v/>
      </c>
    </row>
    <row r="868">
      <c r="A868" s="3" t="n">
        <v>44417</v>
      </c>
      <c r="B868" s="3" t="n">
        <v>44414</v>
      </c>
      <c r="C868" t="n">
        <v>69.5</v>
      </c>
      <c r="D868" t="n">
        <v>72.26000000000001</v>
      </c>
      <c r="E868" t="n">
        <v>2.216</v>
      </c>
      <c r="F868" t="n">
        <v>2.282</v>
      </c>
      <c r="G868" t="n">
        <v>2.374</v>
      </c>
      <c r="H868" t="n">
        <v>3.172</v>
      </c>
      <c r="J868" t="n">
        <v>3.672</v>
      </c>
      <c r="K868" t="n">
        <v>4.234</v>
      </c>
      <c r="L868" t="n">
        <v>15.5</v>
      </c>
      <c r="N868">
        <f>IF(OR(E868="",C868=""),"",E868-C868/42)</f>
        <v/>
      </c>
      <c r="O868">
        <f>IF(OR(E868="",D868=""),"",E868-D868/42)</f>
        <v/>
      </c>
      <c r="P868">
        <f>IF(L868="",M868/100,H868*L868/100)</f>
        <v/>
      </c>
      <c r="Q868">
        <f>H868-C868/42-P868</f>
        <v/>
      </c>
      <c r="R868">
        <f>H868-E868</f>
        <v/>
      </c>
    </row>
    <row r="869">
      <c r="A869" s="3" t="n">
        <v>44424</v>
      </c>
      <c r="B869" s="3" t="n">
        <v>44421</v>
      </c>
      <c r="C869" t="n">
        <v>68.33</v>
      </c>
      <c r="D869" t="n">
        <v>71.09</v>
      </c>
      <c r="E869" t="n">
        <v>2.221</v>
      </c>
      <c r="F869" t="n">
        <v>2.284</v>
      </c>
      <c r="G869" t="n">
        <v>2.344</v>
      </c>
      <c r="H869" t="n">
        <v>3.174</v>
      </c>
      <c r="J869" t="n">
        <v>3.673</v>
      </c>
      <c r="K869" t="n">
        <v>4.256</v>
      </c>
      <c r="L869" t="n">
        <v>15.5</v>
      </c>
      <c r="N869">
        <f>IF(OR(E869="",C869=""),"",E869-C869/42)</f>
        <v/>
      </c>
      <c r="O869">
        <f>IF(OR(E869="",D869=""),"",E869-D869/42)</f>
        <v/>
      </c>
      <c r="P869">
        <f>IF(L869="",M869/100,H869*L869/100)</f>
        <v/>
      </c>
      <c r="Q869">
        <f>H869-C869/42-P869</f>
        <v/>
      </c>
      <c r="R869">
        <f>H869-E869</f>
        <v/>
      </c>
    </row>
    <row r="870">
      <c r="A870" s="3" t="n">
        <v>44431</v>
      </c>
      <c r="B870" s="3" t="n">
        <v>44428</v>
      </c>
      <c r="C870" t="n">
        <v>65.05</v>
      </c>
      <c r="D870" t="n">
        <v>68.08</v>
      </c>
      <c r="E870" t="n">
        <v>2.063</v>
      </c>
      <c r="F870" t="n">
        <v>2.122</v>
      </c>
      <c r="G870" t="n">
        <v>2.187</v>
      </c>
      <c r="H870" t="n">
        <v>3.145</v>
      </c>
      <c r="J870" t="n">
        <v>3.664</v>
      </c>
      <c r="K870" t="n">
        <v>4.232</v>
      </c>
      <c r="L870" t="n">
        <v>15.5</v>
      </c>
      <c r="N870">
        <f>IF(OR(E870="",C870=""),"",E870-C870/42)</f>
        <v/>
      </c>
      <c r="O870">
        <f>IF(OR(E870="",D870=""),"",E870-D870/42)</f>
        <v/>
      </c>
      <c r="P870">
        <f>IF(L870="",M870/100,H870*L870/100)</f>
        <v/>
      </c>
      <c r="Q870">
        <f>H870-C870/42-P870</f>
        <v/>
      </c>
      <c r="R870">
        <f>H870-E870</f>
        <v/>
      </c>
    </row>
    <row r="871">
      <c r="A871" s="3" t="n">
        <v>44438</v>
      </c>
      <c r="B871" s="3" t="n">
        <v>44435</v>
      </c>
      <c r="C871" t="n">
        <v>67.59</v>
      </c>
      <c r="D871" t="n">
        <v>71.02</v>
      </c>
      <c r="E871" t="n">
        <v>2.294</v>
      </c>
      <c r="F871" t="n">
        <v>2.225</v>
      </c>
      <c r="G871" t="n">
        <v>2.386</v>
      </c>
      <c r="H871" t="n">
        <v>3.139</v>
      </c>
      <c r="J871" t="n">
        <v>3.649</v>
      </c>
      <c r="K871" t="n">
        <v>4.226</v>
      </c>
      <c r="L871" t="n">
        <v>15.5</v>
      </c>
      <c r="N871">
        <f>IF(OR(E871="",C871=""),"",E871-C871/42)</f>
        <v/>
      </c>
      <c r="O871">
        <f>IF(OR(E871="",D871=""),"",E871-D871/42)</f>
        <v/>
      </c>
      <c r="P871">
        <f>IF(L871="",M871/100,H871*L871/100)</f>
        <v/>
      </c>
      <c r="Q871">
        <f>H871-C871/42-P871</f>
        <v/>
      </c>
      <c r="R871">
        <f>H871-E871</f>
        <v/>
      </c>
    </row>
    <row r="872">
      <c r="A872" s="3" t="n">
        <v>44445</v>
      </c>
      <c r="B872" s="3" t="n">
        <v>44442</v>
      </c>
      <c r="C872" t="n">
        <v>69.15000000000001</v>
      </c>
      <c r="D872" t="n">
        <v>73.02</v>
      </c>
      <c r="E872" t="n">
        <v>2.278</v>
      </c>
      <c r="F872" t="n">
        <v>2.319</v>
      </c>
      <c r="G872" t="n">
        <v>2.363</v>
      </c>
      <c r="H872" t="n">
        <v>3.176</v>
      </c>
      <c r="J872" t="n">
        <v>3.648</v>
      </c>
      <c r="K872" t="n">
        <v>4.227</v>
      </c>
      <c r="L872" t="n">
        <v>15.4</v>
      </c>
      <c r="N872">
        <f>IF(OR(E872="",C872=""),"",E872-C872/42)</f>
        <v/>
      </c>
      <c r="O872">
        <f>IF(OR(E872="",D872=""),"",E872-D872/42)</f>
        <v/>
      </c>
      <c r="P872">
        <f>IF(L872="",M872/100,H872*L872/100)</f>
        <v/>
      </c>
      <c r="Q872">
        <f>H872-C872/42-P872</f>
        <v/>
      </c>
      <c r="R872">
        <f>H872-E872</f>
        <v/>
      </c>
    </row>
    <row r="873">
      <c r="A873" s="3" t="n">
        <v>44452</v>
      </c>
      <c r="B873" s="3" t="n">
        <v>44449</v>
      </c>
      <c r="C873" t="n">
        <v>68.98</v>
      </c>
      <c r="D873" t="n">
        <v>72.01000000000001</v>
      </c>
      <c r="E873" t="n">
        <v>2.187</v>
      </c>
      <c r="F873" t="n">
        <v>2.287</v>
      </c>
      <c r="G873" t="n">
        <v>2.216</v>
      </c>
      <c r="H873" t="n">
        <v>3.165</v>
      </c>
      <c r="J873" t="n">
        <v>3.625</v>
      </c>
      <c r="K873" t="n">
        <v>4.225</v>
      </c>
      <c r="L873" t="n">
        <v>15.4</v>
      </c>
      <c r="N873">
        <f>IF(OR(E873="",C873=""),"",E873-C873/42)</f>
        <v/>
      </c>
      <c r="O873">
        <f>IF(OR(E873="",D873=""),"",E873-D873/42)</f>
        <v/>
      </c>
      <c r="P873">
        <f>IF(L873="",M873/100,H873*L873/100)</f>
        <v/>
      </c>
      <c r="Q873">
        <f>H873-C873/42-P873</f>
        <v/>
      </c>
      <c r="R873">
        <f>H873-E873</f>
        <v/>
      </c>
    </row>
    <row r="874">
      <c r="A874" s="3" t="n">
        <v>44459</v>
      </c>
      <c r="B874" s="3" t="n">
        <v>44456</v>
      </c>
      <c r="C874" t="n">
        <v>71.69</v>
      </c>
      <c r="D874" t="n">
        <v>74.13</v>
      </c>
      <c r="E874" t="n">
        <v>2.217</v>
      </c>
      <c r="F874" t="n">
        <v>2.303</v>
      </c>
      <c r="G874" t="n">
        <v>2.169</v>
      </c>
      <c r="H874" t="n">
        <v>3.184</v>
      </c>
      <c r="J874" t="n">
        <v>3.599</v>
      </c>
      <c r="K874" t="n">
        <v>4.217</v>
      </c>
      <c r="L874" t="n">
        <v>15.4</v>
      </c>
      <c r="N874">
        <f>IF(OR(E874="",C874=""),"",E874-C874/42)</f>
        <v/>
      </c>
      <c r="O874">
        <f>IF(OR(E874="",D874=""),"",E874-D874/42)</f>
        <v/>
      </c>
      <c r="P874">
        <f>IF(L874="",M874/100,H874*L874/100)</f>
        <v/>
      </c>
      <c r="Q874">
        <f>H874-C874/42-P874</f>
        <v/>
      </c>
      <c r="R874">
        <f>H874-E874</f>
        <v/>
      </c>
    </row>
    <row r="875">
      <c r="A875" s="3" t="n">
        <v>44466</v>
      </c>
      <c r="B875" s="3" t="n">
        <v>44463</v>
      </c>
      <c r="C875" t="n">
        <v>72.18000000000001</v>
      </c>
      <c r="D875" t="n">
        <v>75.31999999999999</v>
      </c>
      <c r="E875" t="n">
        <v>2.146</v>
      </c>
      <c r="F875" t="n">
        <v>2.238</v>
      </c>
      <c r="G875" t="n">
        <v>2.241</v>
      </c>
      <c r="H875" t="n">
        <v>3.175</v>
      </c>
      <c r="J875" t="n">
        <v>3.578</v>
      </c>
      <c r="K875" t="n">
        <v>4.217</v>
      </c>
      <c r="L875" t="n">
        <v>15.4</v>
      </c>
      <c r="N875">
        <f>IF(OR(E875="",C875=""),"",E875-C875/42)</f>
        <v/>
      </c>
      <c r="O875">
        <f>IF(OR(E875="",D875=""),"",E875-D875/42)</f>
        <v/>
      </c>
      <c r="P875">
        <f>IF(L875="",M875/100,H875*L875/100)</f>
        <v/>
      </c>
      <c r="Q875">
        <f>H875-C875/42-P875</f>
        <v/>
      </c>
      <c r="R875">
        <f>H875-E875</f>
        <v/>
      </c>
    </row>
    <row r="876">
      <c r="A876" s="3" t="n">
        <v>44473</v>
      </c>
      <c r="B876" s="3" t="n">
        <v>44470</v>
      </c>
      <c r="C876" t="n">
        <v>75.45</v>
      </c>
      <c r="D876" t="n">
        <v>78.44</v>
      </c>
      <c r="E876" t="n">
        <v>2.249</v>
      </c>
      <c r="F876" t="n">
        <v>2.294</v>
      </c>
      <c r="G876" t="n">
        <v>2.37</v>
      </c>
      <c r="H876" t="n">
        <v>3.19</v>
      </c>
      <c r="J876" t="n">
        <v>3.568</v>
      </c>
      <c r="K876" t="n">
        <v>4.241</v>
      </c>
      <c r="L876" t="n">
        <v>14.9</v>
      </c>
      <c r="N876">
        <f>IF(OR(E876="",C876=""),"",E876-C876/42)</f>
        <v/>
      </c>
      <c r="O876">
        <f>IF(OR(E876="",D876=""),"",E876-D876/42)</f>
        <v/>
      </c>
      <c r="P876">
        <f>IF(L876="",M876/100,H876*L876/100)</f>
        <v/>
      </c>
      <c r="Q876">
        <f>H876-C876/42-P876</f>
        <v/>
      </c>
      <c r="R876">
        <f>H876-E876</f>
        <v/>
      </c>
    </row>
    <row r="877">
      <c r="A877" s="3" t="n">
        <v>44480</v>
      </c>
      <c r="B877" s="3" t="n">
        <v>44477</v>
      </c>
      <c r="C877" t="n">
        <v>78.5</v>
      </c>
      <c r="D877" t="n">
        <v>82.01000000000001</v>
      </c>
      <c r="E877" t="n">
        <v>2.347</v>
      </c>
      <c r="F877" t="n">
        <v>2.414</v>
      </c>
      <c r="G877" t="n">
        <v>2.414</v>
      </c>
      <c r="H877" t="n">
        <v>3.267</v>
      </c>
      <c r="J877" t="n">
        <v>3.562</v>
      </c>
      <c r="K877" t="n">
        <v>4.268</v>
      </c>
      <c r="L877" t="n">
        <v>14.9</v>
      </c>
      <c r="N877">
        <f>IF(OR(E877="",C877=""),"",E877-C877/42)</f>
        <v/>
      </c>
      <c r="O877">
        <f>IF(OR(E877="",D877=""),"",E877-D877/42)</f>
        <v/>
      </c>
      <c r="P877">
        <f>IF(L877="",M877/100,H877*L877/100)</f>
        <v/>
      </c>
      <c r="Q877">
        <f>H877-C877/42-P877</f>
        <v/>
      </c>
      <c r="R877">
        <f>H877-E877</f>
        <v/>
      </c>
    </row>
    <row r="878">
      <c r="A878" s="3" t="n">
        <v>44487</v>
      </c>
      <c r="B878" s="3" t="n">
        <v>44484</v>
      </c>
      <c r="C878" t="n">
        <v>81.18000000000001</v>
      </c>
      <c r="D878" t="n">
        <v>83.87</v>
      </c>
      <c r="E878" t="n">
        <v>2.417</v>
      </c>
      <c r="F878" t="n">
        <v>2.502</v>
      </c>
      <c r="G878" t="n">
        <v>2.499</v>
      </c>
      <c r="H878" t="n">
        <v>3.322</v>
      </c>
      <c r="J878" t="n">
        <v>3.566</v>
      </c>
      <c r="K878" t="n">
        <v>4.339</v>
      </c>
      <c r="L878" t="n">
        <v>14.9</v>
      </c>
      <c r="N878">
        <f>IF(OR(E878="",C878=""),"",E878-C878/42)</f>
        <v/>
      </c>
      <c r="O878">
        <f>IF(OR(E878="",D878=""),"",E878-D878/42)</f>
        <v/>
      </c>
      <c r="P878">
        <f>IF(L878="",M878/100,H878*L878/100)</f>
        <v/>
      </c>
      <c r="Q878">
        <f>H878-C878/42-P878</f>
        <v/>
      </c>
      <c r="R878">
        <f>H878-E878</f>
        <v/>
      </c>
    </row>
    <row r="879">
      <c r="A879" s="3" t="n">
        <v>44494</v>
      </c>
      <c r="B879" s="3" t="n">
        <v>44491</v>
      </c>
      <c r="C879" t="n">
        <v>83.48</v>
      </c>
      <c r="D879" t="n">
        <v>84.98</v>
      </c>
      <c r="E879" t="n">
        <v>2.476</v>
      </c>
      <c r="F879" t="n">
        <v>2.567</v>
      </c>
      <c r="G879" t="n">
        <v>2.628</v>
      </c>
      <c r="H879" t="n">
        <v>3.383</v>
      </c>
      <c r="J879" t="n">
        <v>3.559</v>
      </c>
      <c r="K879" t="n">
        <v>4.393</v>
      </c>
      <c r="L879" t="n">
        <v>14.9</v>
      </c>
      <c r="N879">
        <f>IF(OR(E879="",C879=""),"",E879-C879/42)</f>
        <v/>
      </c>
      <c r="O879">
        <f>IF(OR(E879="",D879=""),"",E879-D879/42)</f>
        <v/>
      </c>
      <c r="P879">
        <f>IF(L879="",M879/100,H879*L879/100)</f>
        <v/>
      </c>
      <c r="Q879">
        <f>H879-C879/42-P879</f>
        <v/>
      </c>
      <c r="R879">
        <f>H879-E879</f>
        <v/>
      </c>
    </row>
    <row r="880">
      <c r="A880" s="3" t="n">
        <v>44501</v>
      </c>
      <c r="B880" s="3" t="n">
        <v>44498</v>
      </c>
      <c r="C880" t="n">
        <v>83.84</v>
      </c>
      <c r="D880" t="n">
        <v>84.12</v>
      </c>
      <c r="E880" t="n">
        <v>2.497</v>
      </c>
      <c r="F880" t="n">
        <v>2.549</v>
      </c>
      <c r="G880" t="n">
        <v>2.628</v>
      </c>
      <c r="H880" t="n">
        <v>3.39</v>
      </c>
      <c r="J880" t="n">
        <v>3.557</v>
      </c>
      <c r="K880" t="n">
        <v>4.439</v>
      </c>
      <c r="L880" t="n">
        <v>14.4</v>
      </c>
      <c r="N880">
        <f>IF(OR(E880="",C880=""),"",E880-C880/42)</f>
        <v/>
      </c>
      <c r="O880">
        <f>IF(OR(E880="",D880=""),"",E880-D880/42)</f>
        <v/>
      </c>
      <c r="P880">
        <f>IF(L880="",M880/100,H880*L880/100)</f>
        <v/>
      </c>
      <c r="Q880">
        <f>H880-C880/42-P880</f>
        <v/>
      </c>
      <c r="R880">
        <f>H880-E880</f>
        <v/>
      </c>
    </row>
    <row r="881">
      <c r="A881" s="3" t="n">
        <v>44508</v>
      </c>
      <c r="B881" s="3" t="n">
        <v>44505</v>
      </c>
      <c r="C881" t="n">
        <v>81.79000000000001</v>
      </c>
      <c r="D881" t="n">
        <v>82.52</v>
      </c>
      <c r="E881" t="n">
        <v>2.377</v>
      </c>
      <c r="F881" t="n">
        <v>2.495</v>
      </c>
      <c r="G881" t="n">
        <v>2.523</v>
      </c>
      <c r="H881" t="n">
        <v>3.41</v>
      </c>
      <c r="J881" t="n">
        <v>3.551</v>
      </c>
      <c r="K881" t="n">
        <v>4.473</v>
      </c>
      <c r="L881" t="n">
        <v>14.4</v>
      </c>
      <c r="N881">
        <f>IF(OR(E881="",C881=""),"",E881-C881/42)</f>
        <v/>
      </c>
      <c r="O881">
        <f>IF(OR(E881="",D881=""),"",E881-D881/42)</f>
        <v/>
      </c>
      <c r="P881">
        <f>IF(L881="",M881/100,H881*L881/100)</f>
        <v/>
      </c>
      <c r="Q881">
        <f>H881-C881/42-P881</f>
        <v/>
      </c>
      <c r="R881">
        <f>H881-E881</f>
        <v/>
      </c>
    </row>
    <row r="882">
      <c r="A882" s="3" t="n">
        <v>44515</v>
      </c>
      <c r="B882" s="3" t="n">
        <v>44512</v>
      </c>
      <c r="C882" t="n">
        <v>81.93000000000001</v>
      </c>
      <c r="D882" t="n">
        <v>83.39</v>
      </c>
      <c r="E882" t="n">
        <v>2.308</v>
      </c>
      <c r="F882" t="n">
        <v>2.43</v>
      </c>
      <c r="G882" t="n">
        <v>2.576</v>
      </c>
      <c r="H882" t="n">
        <v>3.399</v>
      </c>
      <c r="J882" t="n">
        <v>3.543</v>
      </c>
      <c r="K882" t="n">
        <v>4.532</v>
      </c>
      <c r="L882" t="n">
        <v>14.4</v>
      </c>
      <c r="N882">
        <f>IF(OR(E882="",C882=""),"",E882-C882/42)</f>
        <v/>
      </c>
      <c r="O882">
        <f>IF(OR(E882="",D882=""),"",E882-D882/42)</f>
        <v/>
      </c>
      <c r="P882">
        <f>IF(L882="",M882/100,H882*L882/100)</f>
        <v/>
      </c>
      <c r="Q882">
        <f>H882-C882/42-P882</f>
        <v/>
      </c>
      <c r="R882">
        <f>H882-E882</f>
        <v/>
      </c>
    </row>
    <row r="883">
      <c r="A883" s="3" t="n">
        <v>44522</v>
      </c>
      <c r="B883" s="3" t="n">
        <v>44519</v>
      </c>
      <c r="C883" t="n">
        <v>78.98999999999999</v>
      </c>
      <c r="D883" t="n">
        <v>81.63</v>
      </c>
      <c r="E883" t="n">
        <v>2.257</v>
      </c>
      <c r="F883" t="n">
        <v>2.378</v>
      </c>
      <c r="G883" t="n">
        <v>2.608</v>
      </c>
      <c r="H883" t="n">
        <v>3.395</v>
      </c>
      <c r="J883" t="n">
        <v>3.524</v>
      </c>
      <c r="K883" t="n">
        <v>4.551</v>
      </c>
      <c r="L883" t="n">
        <v>14.4</v>
      </c>
      <c r="N883">
        <f>IF(OR(E883="",C883=""),"",E883-C883/42)</f>
        <v/>
      </c>
      <c r="O883">
        <f>IF(OR(E883="",D883=""),"",E883-D883/42)</f>
        <v/>
      </c>
      <c r="P883">
        <f>IF(L883="",M883/100,H883*L883/100)</f>
        <v/>
      </c>
      <c r="Q883">
        <f>H883-C883/42-P883</f>
        <v/>
      </c>
      <c r="R883">
        <f>H883-E883</f>
        <v/>
      </c>
    </row>
    <row r="884">
      <c r="A884" s="3" t="n">
        <v>44529</v>
      </c>
      <c r="B884" s="3" t="n">
        <v>44526</v>
      </c>
      <c r="C884" t="n">
        <v>77.79000000000001</v>
      </c>
      <c r="D884" t="n">
        <v>80.23999999999999</v>
      </c>
      <c r="E884" t="n">
        <v>2.261</v>
      </c>
      <c r="F884" t="n">
        <v>2.376</v>
      </c>
      <c r="G884" t="n">
        <v>2.562</v>
      </c>
      <c r="H884" t="n">
        <v>3.38</v>
      </c>
      <c r="J884" t="n">
        <v>3.501</v>
      </c>
      <c r="K884" t="n">
        <v>4.554</v>
      </c>
      <c r="L884" t="n">
        <v>14.4</v>
      </c>
      <c r="N884">
        <f>IF(OR(E884="",C884=""),"",E884-C884/42)</f>
        <v/>
      </c>
      <c r="O884">
        <f>IF(OR(E884="",D884=""),"",E884-D884/42)</f>
        <v/>
      </c>
      <c r="P884">
        <f>IF(L884="",M884/100,H884*L884/100)</f>
        <v/>
      </c>
      <c r="Q884">
        <f>H884-C884/42-P884</f>
        <v/>
      </c>
      <c r="R884">
        <f>H884-E884</f>
        <v/>
      </c>
    </row>
    <row r="885">
      <c r="A885" s="3" t="n">
        <v>44536</v>
      </c>
      <c r="B885" s="3" t="n">
        <v>44533</v>
      </c>
      <c r="C885" t="n">
        <v>66.89</v>
      </c>
      <c r="D885" t="n">
        <v>71</v>
      </c>
      <c r="E885" t="n">
        <v>2.01</v>
      </c>
      <c r="F885" t="n">
        <v>2.051</v>
      </c>
      <c r="G885" t="n">
        <v>2.179</v>
      </c>
      <c r="H885" t="n">
        <v>3.341</v>
      </c>
      <c r="J885" t="n">
        <v>3.468</v>
      </c>
      <c r="K885" t="n">
        <v>4.53</v>
      </c>
      <c r="L885" t="n">
        <v>14.8</v>
      </c>
      <c r="N885">
        <f>IF(OR(E885="",C885=""),"",E885-C885/42)</f>
        <v/>
      </c>
      <c r="O885">
        <f>IF(OR(E885="",D885=""),"",E885-D885/42)</f>
        <v/>
      </c>
      <c r="P885">
        <f>IF(L885="",M885/100,H885*L885/100)</f>
        <v/>
      </c>
      <c r="Q885">
        <f>H885-C885/42-P885</f>
        <v/>
      </c>
      <c r="R885">
        <f>H885-E885</f>
        <v/>
      </c>
    </row>
    <row r="886">
      <c r="A886" s="3" t="n">
        <v>44543</v>
      </c>
      <c r="B886" s="3" t="n">
        <v>44540</v>
      </c>
      <c r="C886" t="n">
        <v>71.31</v>
      </c>
      <c r="D886" t="n">
        <v>74.79000000000001</v>
      </c>
      <c r="E886" t="n">
        <v>2.122</v>
      </c>
      <c r="F886" t="n">
        <v>2.196</v>
      </c>
      <c r="G886" t="n">
        <v>2.303</v>
      </c>
      <c r="H886" t="n">
        <v>3.315</v>
      </c>
      <c r="J886" t="n">
        <v>3.433</v>
      </c>
      <c r="K886" t="n">
        <v>4.513</v>
      </c>
      <c r="L886" t="n">
        <v>14.8</v>
      </c>
      <c r="N886">
        <f>IF(OR(E886="",C886=""),"",E886-C886/42)</f>
        <v/>
      </c>
      <c r="O886">
        <f>IF(OR(E886="",D886=""),"",E886-D886/42)</f>
        <v/>
      </c>
      <c r="P886">
        <f>IF(L886="",M886/100,H886*L886/100)</f>
        <v/>
      </c>
      <c r="Q886">
        <f>H886-C886/42-P886</f>
        <v/>
      </c>
      <c r="R886">
        <f>H886-E886</f>
        <v/>
      </c>
    </row>
    <row r="887">
      <c r="A887" s="3" t="n">
        <v>44550</v>
      </c>
      <c r="B887" s="3" t="n">
        <v>44547</v>
      </c>
      <c r="C887" t="n">
        <v>71.18000000000001</v>
      </c>
      <c r="D887" t="n">
        <v>73.76000000000001</v>
      </c>
      <c r="E887" t="n">
        <v>2.104</v>
      </c>
      <c r="F887" t="n">
        <v>2.211</v>
      </c>
      <c r="G887" t="n">
        <v>2.284</v>
      </c>
      <c r="H887" t="n">
        <v>3.295</v>
      </c>
      <c r="J887" t="n">
        <v>3.409</v>
      </c>
      <c r="K887" t="n">
        <v>4.503</v>
      </c>
      <c r="L887" t="n">
        <v>14.8</v>
      </c>
      <c r="N887">
        <f>IF(OR(E887="",C887=""),"",E887-C887/42)</f>
        <v/>
      </c>
      <c r="O887">
        <f>IF(OR(E887="",D887=""),"",E887-D887/42)</f>
        <v/>
      </c>
      <c r="P887">
        <f>IF(L887="",M887/100,H887*L887/100)</f>
        <v/>
      </c>
      <c r="Q887">
        <f>H887-C887/42-P887</f>
        <v/>
      </c>
      <c r="R887">
        <f>H887-E887</f>
        <v/>
      </c>
    </row>
    <row r="888">
      <c r="A888" s="3" t="n">
        <v>44557</v>
      </c>
      <c r="B888" s="3" t="n">
        <v>44554</v>
      </c>
      <c r="C888" t="n">
        <v>71.63</v>
      </c>
      <c r="D888" t="n">
        <v>73.91</v>
      </c>
      <c r="E888" t="n">
        <v>2.141</v>
      </c>
      <c r="F888" t="n">
        <v>2.209</v>
      </c>
      <c r="G888" t="n">
        <v>2.294</v>
      </c>
      <c r="H888" t="n">
        <v>3.275</v>
      </c>
      <c r="J888" t="n">
        <v>3.388</v>
      </c>
      <c r="K888" t="n">
        <v>4.485</v>
      </c>
      <c r="L888" t="n">
        <v>14.8</v>
      </c>
      <c r="N888">
        <f>IF(OR(E888="",C888=""),"",E888-C888/42)</f>
        <v/>
      </c>
      <c r="O888">
        <f>IF(OR(E888="",D888=""),"",E888-D888/42)</f>
        <v/>
      </c>
      <c r="P888">
        <f>IF(L888="",M888/100,H888*L888/100)</f>
        <v/>
      </c>
      <c r="Q888">
        <f>H888-C888/42-P888</f>
        <v/>
      </c>
      <c r="R888">
        <f>H888-E888</f>
        <v/>
      </c>
    </row>
    <row r="889">
      <c r="A889" s="3" t="n">
        <v>44564</v>
      </c>
      <c r="B889" s="3" t="n">
        <v>44561</v>
      </c>
      <c r="C889" t="n">
        <v>76.05</v>
      </c>
      <c r="D889" t="n">
        <v>78.16</v>
      </c>
      <c r="E889" t="n">
        <v>2.242</v>
      </c>
      <c r="F889" t="n">
        <v>2.298</v>
      </c>
      <c r="G889" t="n">
        <v>2.463</v>
      </c>
      <c r="H889" t="n">
        <v>3.281</v>
      </c>
      <c r="J889" t="n">
        <v>3.365</v>
      </c>
      <c r="K889" t="n">
        <v>4.501</v>
      </c>
      <c r="L889" t="n">
        <v>14.9</v>
      </c>
      <c r="N889">
        <f>IF(OR(E889="",C889=""),"",E889-C889/42)</f>
        <v/>
      </c>
      <c r="O889">
        <f>IF(OR(E889="",D889=""),"",E889-D889/42)</f>
        <v/>
      </c>
      <c r="P889">
        <f>IF(L889="",M889/100,H889*L889/100)</f>
        <v/>
      </c>
      <c r="Q889">
        <f>H889-C889/42-P889</f>
        <v/>
      </c>
      <c r="R889">
        <f>H889-E889</f>
        <v/>
      </c>
    </row>
    <row r="890">
      <c r="A890" s="3" t="n">
        <v>44571</v>
      </c>
      <c r="B890" s="3" t="n">
        <v>44568</v>
      </c>
      <c r="C890" t="n">
        <v>77.86</v>
      </c>
      <c r="D890" t="n">
        <v>80.5</v>
      </c>
      <c r="E890" t="n">
        <v>2.28</v>
      </c>
      <c r="F890" t="n">
        <v>2.324</v>
      </c>
      <c r="G890" t="n">
        <v>2.484</v>
      </c>
      <c r="H890" t="n">
        <v>3.295</v>
      </c>
      <c r="J890" t="n">
        <v>3.347</v>
      </c>
      <c r="K890" t="n">
        <v>4.503</v>
      </c>
      <c r="L890" t="n">
        <v>14.9</v>
      </c>
      <c r="N890">
        <f>IF(OR(E890="",C890=""),"",E890-C890/42)</f>
        <v/>
      </c>
      <c r="O890">
        <f>IF(OR(E890="",D890=""),"",E890-D890/42)</f>
        <v/>
      </c>
      <c r="P890">
        <f>IF(L890="",M890/100,H890*L890/100)</f>
        <v/>
      </c>
      <c r="Q890">
        <f>H890-C890/42-P890</f>
        <v/>
      </c>
      <c r="R890">
        <f>H890-E890</f>
        <v/>
      </c>
    </row>
    <row r="891">
      <c r="A891" s="3" t="n">
        <v>44578</v>
      </c>
      <c r="B891" s="3" t="n">
        <v>44575</v>
      </c>
      <c r="C891" t="n">
        <v>81.52</v>
      </c>
      <c r="D891" t="n">
        <v>85.06999999999999</v>
      </c>
      <c r="E891" t="n">
        <v>2.365</v>
      </c>
      <c r="F891" t="n">
        <v>2.411</v>
      </c>
      <c r="G891" t="n">
        <v>2.541</v>
      </c>
      <c r="H891" t="n">
        <v>3.306</v>
      </c>
      <c r="J891" t="n">
        <v>3.332</v>
      </c>
      <c r="K891" t="n">
        <v>4.497</v>
      </c>
      <c r="L891" t="n">
        <v>14.9</v>
      </c>
      <c r="N891">
        <f>IF(OR(E891="",C891=""),"",E891-C891/42)</f>
        <v/>
      </c>
      <c r="O891">
        <f>IF(OR(E891="",D891=""),"",E891-D891/42)</f>
        <v/>
      </c>
      <c r="P891">
        <f>IF(L891="",M891/100,H891*L891/100)</f>
        <v/>
      </c>
      <c r="Q891">
        <f>H891-C891/42-P891</f>
        <v/>
      </c>
      <c r="R891">
        <f>H891-E891</f>
        <v/>
      </c>
    </row>
    <row r="892">
      <c r="A892" s="3" t="n">
        <v>44585</v>
      </c>
      <c r="B892" s="3" t="n">
        <v>44582</v>
      </c>
      <c r="C892" t="n">
        <v>85.93000000000001</v>
      </c>
      <c r="D892" t="n">
        <v>89.16</v>
      </c>
      <c r="E892" t="n">
        <v>2.44</v>
      </c>
      <c r="F892" t="n">
        <v>2.49</v>
      </c>
      <c r="G892" t="n">
        <v>2.455</v>
      </c>
      <c r="H892" t="n">
        <v>3.323</v>
      </c>
      <c r="J892" t="n">
        <v>3.329</v>
      </c>
      <c r="K892" t="n">
        <v>4.486</v>
      </c>
      <c r="L892" t="n">
        <v>14.9</v>
      </c>
      <c r="N892">
        <f>IF(OR(E892="",C892=""),"",E892-C892/42)</f>
        <v/>
      </c>
      <c r="O892">
        <f>IF(OR(E892="",D892=""),"",E892-D892/42)</f>
        <v/>
      </c>
      <c r="P892">
        <f>IF(L892="",M892/100,H892*L892/100)</f>
        <v/>
      </c>
      <c r="Q892">
        <f>H892-C892/42-P892</f>
        <v/>
      </c>
      <c r="R892">
        <f>H892-E892</f>
        <v/>
      </c>
    </row>
    <row r="893">
      <c r="A893" s="3" t="n">
        <v>44592</v>
      </c>
      <c r="B893" s="3" t="n">
        <v>44589</v>
      </c>
      <c r="C893" t="n">
        <v>86.94</v>
      </c>
      <c r="D893" t="n">
        <v>90.12</v>
      </c>
      <c r="E893" t="n">
        <v>2.495</v>
      </c>
      <c r="F893" t="n">
        <v>2.549</v>
      </c>
      <c r="G893" t="n">
        <v>2.654</v>
      </c>
      <c r="H893" t="n">
        <v>3.368</v>
      </c>
      <c r="J893" t="n">
        <v>3.331</v>
      </c>
      <c r="K893" t="n">
        <v>4.488</v>
      </c>
      <c r="L893" t="n">
        <v>14.9</v>
      </c>
      <c r="N893">
        <f>IF(OR(E893="",C893=""),"",E893-C893/42)</f>
        <v/>
      </c>
      <c r="O893">
        <f>IF(OR(E893="",D893=""),"",E893-D893/42)</f>
        <v/>
      </c>
      <c r="P893">
        <f>IF(L893="",M893/100,H893*L893/100)</f>
        <v/>
      </c>
      <c r="Q893">
        <f>H893-C893/42-P893</f>
        <v/>
      </c>
      <c r="R893">
        <f>H893-E893</f>
        <v/>
      </c>
    </row>
    <row r="894">
      <c r="A894" s="3" t="n">
        <v>44599</v>
      </c>
      <c r="B894" s="3" t="n">
        <v>44596</v>
      </c>
      <c r="C894" t="n">
        <v>89.59999999999999</v>
      </c>
      <c r="D894" t="n">
        <v>92.77</v>
      </c>
      <c r="E894" t="n">
        <v>2.605</v>
      </c>
      <c r="F894" t="n">
        <v>2.665</v>
      </c>
      <c r="G894" t="n">
        <v>2.772</v>
      </c>
      <c r="H894" t="n">
        <v>3.444</v>
      </c>
      <c r="J894" t="n">
        <v>3.331</v>
      </c>
      <c r="K894" t="n">
        <v>4.507</v>
      </c>
      <c r="L894" t="n">
        <v>14.1</v>
      </c>
      <c r="N894">
        <f>IF(OR(E894="",C894=""),"",E894-C894/42)</f>
        <v/>
      </c>
      <c r="O894">
        <f>IF(OR(E894="",D894=""),"",E894-D894/42)</f>
        <v/>
      </c>
      <c r="P894">
        <f>IF(L894="",M894/100,H894*L894/100)</f>
        <v/>
      </c>
      <c r="Q894">
        <f>H894-C894/42-P894</f>
        <v/>
      </c>
      <c r="R894">
        <f>H894-E894</f>
        <v/>
      </c>
    </row>
    <row r="895">
      <c r="A895" s="3" t="n">
        <v>44606</v>
      </c>
      <c r="B895" s="3" t="n">
        <v>44603</v>
      </c>
      <c r="C895" t="n">
        <v>90.61</v>
      </c>
      <c r="D895" t="n">
        <v>96.43000000000001</v>
      </c>
      <c r="E895" t="n">
        <v>2.678</v>
      </c>
      <c r="F895" t="n">
        <v>2.742</v>
      </c>
      <c r="G895" t="n">
        <v>2.753</v>
      </c>
      <c r="H895" t="n">
        <v>3.487</v>
      </c>
      <c r="J895" t="n">
        <v>3.329</v>
      </c>
      <c r="K895" t="n">
        <v>4.524</v>
      </c>
      <c r="L895" t="n">
        <v>14.1</v>
      </c>
      <c r="N895">
        <f>IF(OR(E895="",C895=""),"",E895-C895/42)</f>
        <v/>
      </c>
      <c r="O895">
        <f>IF(OR(E895="",D895=""),"",E895-D895/42)</f>
        <v/>
      </c>
      <c r="P895">
        <f>IF(L895="",M895/100,H895*L895/100)</f>
        <v/>
      </c>
      <c r="Q895">
        <f>H895-C895/42-P895</f>
        <v/>
      </c>
      <c r="R895">
        <f>H895-E895</f>
        <v/>
      </c>
    </row>
    <row r="896">
      <c r="A896" s="3" t="n">
        <v>44613</v>
      </c>
      <c r="B896" s="3" t="n">
        <v>44610</v>
      </c>
      <c r="C896" t="n">
        <v>92.89</v>
      </c>
      <c r="D896" t="n">
        <v>97.8</v>
      </c>
      <c r="E896" t="n">
        <v>2.672</v>
      </c>
      <c r="F896" t="n">
        <v>2.733</v>
      </c>
      <c r="G896" t="n">
        <v>2.782</v>
      </c>
      <c r="H896" t="n">
        <v>3.53</v>
      </c>
      <c r="J896" t="n">
        <v>3.344</v>
      </c>
      <c r="K896" t="n">
        <v>4.57</v>
      </c>
      <c r="L896" t="n">
        <v>14.1</v>
      </c>
      <c r="N896">
        <f>IF(OR(E896="",C896=""),"",E896-C896/42)</f>
        <v/>
      </c>
      <c r="O896">
        <f>IF(OR(E896="",D896=""),"",E896-D896/42)</f>
        <v/>
      </c>
      <c r="P896">
        <f>IF(L896="",M896/100,H896*L896/100)</f>
        <v/>
      </c>
      <c r="Q896">
        <f>H896-C896/42-P896</f>
        <v/>
      </c>
      <c r="R896">
        <f>H896-E896</f>
        <v/>
      </c>
    </row>
    <row r="897">
      <c r="A897" s="3" t="n">
        <v>44620</v>
      </c>
      <c r="B897" s="3" t="n">
        <v>44617</v>
      </c>
      <c r="C897" t="n">
        <v>92.18000000000001</v>
      </c>
      <c r="D897" t="n">
        <v>99.36</v>
      </c>
      <c r="E897" t="n">
        <v>2.624</v>
      </c>
      <c r="F897" t="n">
        <v>2.781</v>
      </c>
      <c r="G897" t="n">
        <v>2.929</v>
      </c>
      <c r="H897" t="n">
        <v>3.608</v>
      </c>
      <c r="J897" t="n">
        <v>3.372</v>
      </c>
      <c r="K897" t="n">
        <v>4.671</v>
      </c>
      <c r="L897" t="n">
        <v>14.1</v>
      </c>
      <c r="N897">
        <f>IF(OR(E897="",C897=""),"",E897-C897/42)</f>
        <v/>
      </c>
      <c r="O897">
        <f>IF(OR(E897="",D897=""),"",E897-D897/42)</f>
        <v/>
      </c>
      <c r="P897">
        <f>IF(L897="",M897/100,H897*L897/100)</f>
        <v/>
      </c>
      <c r="Q897">
        <f>H897-C897/42-P897</f>
        <v/>
      </c>
      <c r="R897">
        <f>H897-E897</f>
        <v/>
      </c>
    </row>
    <row r="898">
      <c r="A898" s="3" t="n">
        <v>44627</v>
      </c>
      <c r="B898" s="3" t="n">
        <v>44624</v>
      </c>
      <c r="C898" t="n">
        <v>106.8</v>
      </c>
      <c r="D898" t="n">
        <v>114.43</v>
      </c>
      <c r="E898" t="n">
        <v>3.058</v>
      </c>
      <c r="F898" t="n">
        <v>3.168</v>
      </c>
      <c r="G898" t="n">
        <v>3.358</v>
      </c>
      <c r="H898" t="n">
        <v>4.102</v>
      </c>
      <c r="J898" t="n">
        <v>3.825</v>
      </c>
      <c r="K898" t="n">
        <v>5.187</v>
      </c>
      <c r="L898" t="n">
        <v>11.7</v>
      </c>
      <c r="N898">
        <f>IF(OR(E898="",C898=""),"",E898-C898/42)</f>
        <v/>
      </c>
      <c r="O898">
        <f>IF(OR(E898="",D898=""),"",E898-D898/42)</f>
        <v/>
      </c>
      <c r="P898">
        <f>IF(L898="",M898/100,H898*L898/100)</f>
        <v/>
      </c>
      <c r="Q898">
        <f>H898-C898/42-P898</f>
        <v/>
      </c>
      <c r="R898">
        <f>H898-E898</f>
        <v/>
      </c>
    </row>
    <row r="899">
      <c r="A899" s="3" t="n">
        <v>44634</v>
      </c>
      <c r="B899" s="3" t="n">
        <v>44631</v>
      </c>
      <c r="C899" t="n">
        <v>113.39</v>
      </c>
      <c r="D899" t="n">
        <v>122.29</v>
      </c>
      <c r="E899" t="n">
        <v>3.284</v>
      </c>
      <c r="F899" t="n">
        <v>3.307</v>
      </c>
      <c r="G899" t="n">
        <v>3.795</v>
      </c>
      <c r="H899" t="n">
        <v>4.315</v>
      </c>
      <c r="J899" t="n">
        <v>4.137</v>
      </c>
      <c r="K899" t="n">
        <v>5.587</v>
      </c>
      <c r="L899" t="n">
        <v>11.7</v>
      </c>
      <c r="N899">
        <f>IF(OR(E899="",C899=""),"",E899-C899/42)</f>
        <v/>
      </c>
      <c r="O899">
        <f>IF(OR(E899="",D899=""),"",E899-D899/42)</f>
        <v/>
      </c>
      <c r="P899">
        <f>IF(L899="",M899/100,H899*L899/100)</f>
        <v/>
      </c>
      <c r="Q899">
        <f>H899-C899/42-P899</f>
        <v/>
      </c>
      <c r="R899">
        <f>H899-E899</f>
        <v/>
      </c>
    </row>
    <row r="900">
      <c r="A900" s="3" t="n">
        <v>44641</v>
      </c>
      <c r="B900" s="3" t="n">
        <v>44638</v>
      </c>
      <c r="C900" t="n">
        <v>100.43</v>
      </c>
      <c r="D900" t="n">
        <v>109.59</v>
      </c>
      <c r="E900" t="n">
        <v>3.034</v>
      </c>
      <c r="F900" t="n">
        <v>3</v>
      </c>
      <c r="G900" t="n">
        <v>3.942</v>
      </c>
      <c r="H900" t="n">
        <v>4.239</v>
      </c>
      <c r="J900" t="n">
        <v>4.11</v>
      </c>
      <c r="K900" t="n">
        <v>5.71</v>
      </c>
      <c r="L900" t="n">
        <v>11.7</v>
      </c>
      <c r="N900">
        <f>IF(OR(E900="",C900=""),"",E900-C900/42)</f>
        <v/>
      </c>
      <c r="O900">
        <f>IF(OR(E900="",D900=""),"",E900-D900/42)</f>
        <v/>
      </c>
      <c r="P900">
        <f>IF(L900="",M900/100,H900*L900/100)</f>
        <v/>
      </c>
      <c r="Q900">
        <f>H900-C900/42-P900</f>
        <v/>
      </c>
      <c r="R900">
        <f>H900-E900</f>
        <v/>
      </c>
    </row>
    <row r="901">
      <c r="A901" s="3" t="n">
        <v>44648</v>
      </c>
      <c r="B901" s="3" t="n">
        <v>44645</v>
      </c>
      <c r="C901" t="n">
        <v>113.69</v>
      </c>
      <c r="D901" t="n">
        <v>123.6</v>
      </c>
      <c r="E901" t="n">
        <v>3.322</v>
      </c>
      <c r="F901" t="n">
        <v>3.274</v>
      </c>
      <c r="G901" t="n">
        <v>4.081</v>
      </c>
      <c r="H901" t="n">
        <v>4.231</v>
      </c>
      <c r="J901" t="n">
        <v>4.167</v>
      </c>
      <c r="K901" t="n">
        <v>5.764</v>
      </c>
      <c r="L901" t="n">
        <v>11.7</v>
      </c>
      <c r="N901">
        <f>IF(OR(E901="",C901=""),"",E901-C901/42)</f>
        <v/>
      </c>
      <c r="O901">
        <f>IF(OR(E901="",D901=""),"",E901-D901/42)</f>
        <v/>
      </c>
      <c r="P901">
        <f>IF(L901="",M901/100,H901*L901/100)</f>
        <v/>
      </c>
      <c r="Q901">
        <f>H901-C901/42-P901</f>
        <v/>
      </c>
      <c r="R901">
        <f>H901-E901</f>
        <v/>
      </c>
    </row>
    <row r="902">
      <c r="A902" s="3" t="n">
        <v>44655</v>
      </c>
      <c r="B902" s="3" t="n">
        <v>44652</v>
      </c>
      <c r="C902" t="n">
        <v>103.89</v>
      </c>
      <c r="D902" t="n">
        <v>111.26</v>
      </c>
      <c r="E902" t="n">
        <v>3.139</v>
      </c>
      <c r="F902" t="n">
        <v>3.075</v>
      </c>
      <c r="G902" t="n">
        <v>3.509</v>
      </c>
      <c r="H902" t="n">
        <v>4.17</v>
      </c>
      <c r="J902" t="n">
        <v>4.144</v>
      </c>
      <c r="K902" t="n">
        <v>5.714</v>
      </c>
      <c r="L902" t="n">
        <v>12</v>
      </c>
      <c r="N902">
        <f>IF(OR(E902="",C902=""),"",E902-C902/42)</f>
        <v/>
      </c>
      <c r="O902">
        <f>IF(OR(E902="",D902=""),"",E902-D902/42)</f>
        <v/>
      </c>
      <c r="P902">
        <f>IF(L902="",M902/100,H902*L902/100)</f>
        <v/>
      </c>
      <c r="Q902">
        <f>H902-C902/42-P902</f>
        <v/>
      </c>
      <c r="R902">
        <f>H902-E902</f>
        <v/>
      </c>
    </row>
    <row r="903">
      <c r="A903" s="3" t="n">
        <v>44662</v>
      </c>
      <c r="B903" s="3" t="n">
        <v>44659</v>
      </c>
      <c r="C903" t="n">
        <v>99.20999999999999</v>
      </c>
      <c r="D903" t="n">
        <v>103.33</v>
      </c>
      <c r="E903" t="n">
        <v>3.059</v>
      </c>
      <c r="F903" t="n">
        <v>3.105</v>
      </c>
      <c r="G903" t="n">
        <v>3.286</v>
      </c>
      <c r="H903" t="n">
        <v>4.091</v>
      </c>
      <c r="J903" t="n">
        <v>4.144</v>
      </c>
      <c r="K903" t="n">
        <v>5.619</v>
      </c>
      <c r="L903" t="n">
        <v>12</v>
      </c>
      <c r="N903">
        <f>IF(OR(E903="",C903=""),"",E903-C903/42)</f>
        <v/>
      </c>
      <c r="O903">
        <f>IF(OR(E903="",D903=""),"",E903-D903/42)</f>
        <v/>
      </c>
      <c r="P903">
        <f>IF(L903="",M903/100,H903*L903/100)</f>
        <v/>
      </c>
      <c r="Q903">
        <f>H903-C903/42-P903</f>
        <v/>
      </c>
      <c r="R903">
        <f>H903-E903</f>
        <v/>
      </c>
    </row>
    <row r="904">
      <c r="A904" s="3" t="n">
        <v>44669</v>
      </c>
      <c r="B904" s="3" t="n">
        <v>44666</v>
      </c>
      <c r="C904" t="n">
        <v>101.46</v>
      </c>
      <c r="D904" t="n">
        <v>105.42</v>
      </c>
      <c r="E904" t="n">
        <v>3.131</v>
      </c>
      <c r="F904" t="n">
        <v>3.186</v>
      </c>
      <c r="G904" t="n">
        <v>3.302</v>
      </c>
      <c r="H904" t="n">
        <v>4.066</v>
      </c>
      <c r="J904" t="n">
        <v>4.148</v>
      </c>
      <c r="K904" t="n">
        <v>5.545</v>
      </c>
      <c r="L904" t="n">
        <v>12</v>
      </c>
      <c r="N904">
        <f>IF(OR(E904="",C904=""),"",E904-C904/42)</f>
        <v/>
      </c>
      <c r="O904">
        <f>IF(OR(E904="",D904=""),"",E904-D904/42)</f>
        <v/>
      </c>
      <c r="P904">
        <f>IF(L904="",M904/100,H904*L904/100)</f>
        <v/>
      </c>
      <c r="Q904">
        <f>H904-C904/42-P904</f>
        <v/>
      </c>
      <c r="R904">
        <f>H904-E904</f>
        <v/>
      </c>
    </row>
    <row r="905">
      <c r="A905" s="3" t="n">
        <v>44676</v>
      </c>
      <c r="B905" s="3" t="n">
        <v>44673</v>
      </c>
      <c r="C905" t="n">
        <v>104.02</v>
      </c>
      <c r="D905" t="n">
        <v>105.72</v>
      </c>
      <c r="E905" t="n">
        <v>3.208</v>
      </c>
      <c r="F905" t="n">
        <v>3.121</v>
      </c>
      <c r="G905" t="n">
        <v>3.411</v>
      </c>
      <c r="H905" t="n">
        <v>4.107</v>
      </c>
      <c r="J905" t="n">
        <v>4.188</v>
      </c>
      <c r="K905" t="n">
        <v>5.514</v>
      </c>
      <c r="L905" t="n">
        <v>12</v>
      </c>
      <c r="N905">
        <f>IF(OR(E905="",C905=""),"",E905-C905/42)</f>
        <v/>
      </c>
      <c r="O905">
        <f>IF(OR(E905="",D905=""),"",E905-D905/42)</f>
        <v/>
      </c>
      <c r="P905">
        <f>IF(L905="",M905/100,H905*L905/100)</f>
        <v/>
      </c>
      <c r="Q905">
        <f>H905-C905/42-P905</f>
        <v/>
      </c>
      <c r="R905">
        <f>H905-E905</f>
        <v/>
      </c>
    </row>
    <row r="906">
      <c r="A906" s="3" t="n">
        <v>44683</v>
      </c>
      <c r="B906" s="3" t="n">
        <v>44680</v>
      </c>
      <c r="C906" t="n">
        <v>102.85</v>
      </c>
      <c r="D906" t="n">
        <v>103.92</v>
      </c>
      <c r="E906" t="n">
        <v>3.331</v>
      </c>
      <c r="F906" t="n">
        <v>3.382</v>
      </c>
      <c r="G906" t="n">
        <v>3.618</v>
      </c>
      <c r="H906" t="n">
        <v>4.182</v>
      </c>
      <c r="J906" t="n">
        <v>4.188</v>
      </c>
      <c r="K906" t="n">
        <v>5.526</v>
      </c>
      <c r="L906" t="n">
        <v>11.1</v>
      </c>
      <c r="N906">
        <f>IF(OR(E906="",C906=""),"",E906-C906/42)</f>
        <v/>
      </c>
      <c r="O906">
        <f>IF(OR(E906="",D906=""),"",E906-D906/42)</f>
        <v/>
      </c>
      <c r="P906">
        <f>IF(L906="",M906/100,H906*L906/100)</f>
        <v/>
      </c>
      <c r="Q906">
        <f>H906-C906/42-P906</f>
        <v/>
      </c>
      <c r="R906">
        <f>H906-E906</f>
        <v/>
      </c>
    </row>
    <row r="907">
      <c r="A907" s="3" t="n">
        <v>44690</v>
      </c>
      <c r="B907" s="3" t="n">
        <v>44687</v>
      </c>
      <c r="C907" t="n">
        <v>106.69</v>
      </c>
      <c r="D907" t="n">
        <v>110.36</v>
      </c>
      <c r="E907" t="n">
        <v>3.569</v>
      </c>
      <c r="F907" t="n">
        <v>3.653</v>
      </c>
      <c r="G907" t="n">
        <v>3.896</v>
      </c>
      <c r="H907" t="n">
        <v>4.328</v>
      </c>
      <c r="J907" t="n">
        <v>4.231</v>
      </c>
      <c r="K907" t="n">
        <v>5.654</v>
      </c>
      <c r="L907" t="n">
        <v>11.1</v>
      </c>
      <c r="N907">
        <f>IF(OR(E907="",C907=""),"",E907-C907/42)</f>
        <v/>
      </c>
      <c r="O907">
        <f>IF(OR(E907="",D907=""),"",E907-D907/42)</f>
        <v/>
      </c>
      <c r="P907">
        <f>IF(L907="",M907/100,H907*L907/100)</f>
        <v/>
      </c>
      <c r="Q907">
        <f>H907-C907/42-P907</f>
        <v/>
      </c>
      <c r="R907">
        <f>H907-E907</f>
        <v/>
      </c>
    </row>
    <row r="908">
      <c r="A908" s="3" t="n">
        <v>44697</v>
      </c>
      <c r="B908" s="3" t="n">
        <v>44694</v>
      </c>
      <c r="C908" t="n">
        <v>105</v>
      </c>
      <c r="D908" t="n">
        <v>107.43</v>
      </c>
      <c r="E908" t="n">
        <v>3.771</v>
      </c>
      <c r="F908" t="n">
        <v>3.745</v>
      </c>
      <c r="G908" t="n">
        <v>3.996</v>
      </c>
      <c r="H908" t="n">
        <v>4.491</v>
      </c>
      <c r="J908" t="n">
        <v>4.283</v>
      </c>
      <c r="K908" t="n">
        <v>5.793</v>
      </c>
      <c r="L908" t="n">
        <v>11.1</v>
      </c>
      <c r="N908">
        <f>IF(OR(E908="",C908=""),"",E908-C908/42)</f>
        <v/>
      </c>
      <c r="O908">
        <f>IF(OR(E908="",D908=""),"",E908-D908/42)</f>
        <v/>
      </c>
      <c r="P908">
        <f>IF(L908="",M908/100,H908*L908/100)</f>
        <v/>
      </c>
      <c r="Q908">
        <f>H908-C908/42-P908</f>
        <v/>
      </c>
      <c r="R908">
        <f>H908-E908</f>
        <v/>
      </c>
    </row>
    <row r="909">
      <c r="A909" s="3" t="n">
        <v>44704</v>
      </c>
      <c r="B909" s="3" t="n">
        <v>44701</v>
      </c>
      <c r="C909" t="n">
        <v>112.18</v>
      </c>
      <c r="D909" t="n">
        <v>112.93</v>
      </c>
      <c r="E909" t="n">
        <v>3.772</v>
      </c>
      <c r="F909" t="n">
        <v>3.931</v>
      </c>
      <c r="G909" t="n">
        <v>4.099</v>
      </c>
      <c r="H909" t="n">
        <v>4.593</v>
      </c>
      <c r="J909" t="n">
        <v>4.33</v>
      </c>
      <c r="K909" t="n">
        <v>5.904</v>
      </c>
      <c r="L909" t="n">
        <v>11.1</v>
      </c>
      <c r="N909">
        <f>IF(OR(E909="",C909=""),"",E909-C909/42)</f>
        <v/>
      </c>
      <c r="O909">
        <f>IF(OR(E909="",D909=""),"",E909-D909/42)</f>
        <v/>
      </c>
      <c r="P909">
        <f>IF(L909="",M909/100,H909*L909/100)</f>
        <v/>
      </c>
      <c r="Q909">
        <f>H909-C909/42-P909</f>
        <v/>
      </c>
      <c r="R909">
        <f>H909-E909</f>
        <v/>
      </c>
    </row>
    <row r="910">
      <c r="A910" s="3" t="n">
        <v>44711</v>
      </c>
      <c r="B910" s="3" t="n">
        <v>44708</v>
      </c>
      <c r="C910" t="n">
        <v>113.38</v>
      </c>
      <c r="D910" t="n">
        <v>117.66</v>
      </c>
      <c r="E910" t="n">
        <v>3.848</v>
      </c>
      <c r="F910" t="n">
        <v>3.927</v>
      </c>
      <c r="G910" t="n">
        <v>4.086</v>
      </c>
      <c r="H910" t="n">
        <v>4.624</v>
      </c>
      <c r="J910" t="n">
        <v>4.448</v>
      </c>
      <c r="K910" t="n">
        <v>5.993</v>
      </c>
      <c r="L910" t="n">
        <v>11.1</v>
      </c>
      <c r="N910">
        <f>IF(OR(E910="",C910=""),"",E910-C910/42)</f>
        <v/>
      </c>
      <c r="O910">
        <f>IF(OR(E910="",D910=""),"",E910-D910/42)</f>
        <v/>
      </c>
      <c r="P910">
        <f>IF(L910="",M910/100,H910*L910/100)</f>
        <v/>
      </c>
      <c r="Q910">
        <f>H910-C910/42-P910</f>
        <v/>
      </c>
      <c r="R910">
        <f>H910-E910</f>
        <v/>
      </c>
    </row>
    <row r="911">
      <c r="A911" s="3" t="n">
        <v>44718</v>
      </c>
      <c r="B911" s="3" t="n">
        <v>44715</v>
      </c>
      <c r="C911" t="n">
        <v>116.37</v>
      </c>
      <c r="D911" t="n">
        <v>124.11</v>
      </c>
      <c r="E911" t="n">
        <v>4.138</v>
      </c>
      <c r="F911" t="n">
        <v>4.336</v>
      </c>
      <c r="G911" t="n">
        <v>4.493</v>
      </c>
      <c r="H911" t="n">
        <v>4.876</v>
      </c>
      <c r="J911" t="n">
        <v>4.711</v>
      </c>
      <c r="K911" t="n">
        <v>6.178</v>
      </c>
      <c r="L911" t="n">
        <v>10</v>
      </c>
      <c r="N911">
        <f>IF(OR(E911="",C911=""),"",E911-C911/42)</f>
        <v/>
      </c>
      <c r="O911">
        <f>IF(OR(E911="",D911=""),"",E911-D911/42)</f>
        <v/>
      </c>
      <c r="P911">
        <f>IF(L911="",M911/100,H911*L911/100)</f>
        <v/>
      </c>
      <c r="Q911">
        <f>H911-C911/42-P911</f>
        <v/>
      </c>
      <c r="R911">
        <f>H911-E911</f>
        <v/>
      </c>
    </row>
    <row r="912">
      <c r="A912" s="3" t="n">
        <v>44725</v>
      </c>
      <c r="B912" s="3" t="n">
        <v>44722</v>
      </c>
      <c r="C912" t="n">
        <v>120.43</v>
      </c>
      <c r="D912" t="n">
        <v>127.4</v>
      </c>
      <c r="E912" t="n">
        <v>4.253</v>
      </c>
      <c r="F912" t="n">
        <v>4.328</v>
      </c>
      <c r="G912" t="n">
        <v>4.551</v>
      </c>
      <c r="H912" t="n">
        <v>5.006</v>
      </c>
      <c r="J912" t="n">
        <v>4.921</v>
      </c>
      <c r="K912" t="n">
        <v>6.271</v>
      </c>
      <c r="L912" t="n">
        <v>10</v>
      </c>
      <c r="N912">
        <f>IF(OR(E912="",C912=""),"",E912-C912/42)</f>
        <v/>
      </c>
      <c r="O912">
        <f>IF(OR(E912="",D912=""),"",E912-D912/42)</f>
        <v/>
      </c>
      <c r="P912">
        <f>IF(L912="",M912/100,H912*L912/100)</f>
        <v/>
      </c>
      <c r="Q912">
        <f>H912-C912/42-P912</f>
        <v/>
      </c>
      <c r="R912">
        <f>H912-E912</f>
        <v/>
      </c>
    </row>
    <row r="913">
      <c r="A913" s="3" t="n">
        <v>44732</v>
      </c>
      <c r="B913" s="3" t="n">
        <v>44729</v>
      </c>
      <c r="C913" t="n">
        <v>116.46</v>
      </c>
      <c r="D913" t="n">
        <v>125.08</v>
      </c>
      <c r="E913" t="n">
        <v>3.983</v>
      </c>
      <c r="F913" t="n">
        <v>3.984</v>
      </c>
      <c r="G913" t="n">
        <v>4.199</v>
      </c>
      <c r="H913" t="n">
        <v>4.962</v>
      </c>
      <c r="J913" t="n">
        <v>4.991</v>
      </c>
      <c r="K913" t="n">
        <v>6.216</v>
      </c>
      <c r="L913" t="n">
        <v>10</v>
      </c>
      <c r="N913">
        <f>IF(OR(E913="",C913=""),"",E913-C913/42)</f>
        <v/>
      </c>
      <c r="O913">
        <f>IF(OR(E913="",D913=""),"",E913-D913/42)</f>
        <v/>
      </c>
      <c r="P913">
        <f>IF(L913="",M913/100,H913*L913/100)</f>
        <v/>
      </c>
      <c r="Q913">
        <f>H913-C913/42-P913</f>
        <v/>
      </c>
      <c r="R913">
        <f>H913-E913</f>
        <v/>
      </c>
    </row>
    <row r="914">
      <c r="A914" s="3" t="n">
        <v>44739</v>
      </c>
      <c r="B914" s="3" t="n">
        <v>44736</v>
      </c>
      <c r="C914" t="n">
        <v>107.88</v>
      </c>
      <c r="D914" t="n">
        <v>116.83</v>
      </c>
      <c r="E914" t="n">
        <v>3.892</v>
      </c>
      <c r="F914" t="n">
        <v>3.886</v>
      </c>
      <c r="G914" t="n">
        <v>4.076</v>
      </c>
      <c r="H914" t="n">
        <v>4.872</v>
      </c>
      <c r="J914" t="n">
        <v>4.984</v>
      </c>
      <c r="K914" t="n">
        <v>6.138</v>
      </c>
      <c r="L914" t="n">
        <v>10</v>
      </c>
      <c r="N914">
        <f>IF(OR(E914="",C914=""),"",E914-C914/42)</f>
        <v/>
      </c>
      <c r="O914">
        <f>IF(OR(E914="",D914=""),"",E914-D914/42)</f>
        <v/>
      </c>
      <c r="P914">
        <f>IF(L914="",M914/100,H914*L914/100)</f>
        <v/>
      </c>
      <c r="Q914">
        <f>H914-C914/42-P914</f>
        <v/>
      </c>
      <c r="R914">
        <f>H914-E914</f>
        <v/>
      </c>
    </row>
    <row r="915">
      <c r="A915" s="3" t="n">
        <v>44746</v>
      </c>
      <c r="B915" s="3" t="n">
        <v>44743</v>
      </c>
      <c r="C915" t="n">
        <v>110.96</v>
      </c>
      <c r="D915" t="n">
        <v>120.34</v>
      </c>
      <c r="E915" t="n">
        <v>3.899</v>
      </c>
      <c r="F915" t="n">
        <v>3.838</v>
      </c>
      <c r="G915" t="n">
        <v>3.974</v>
      </c>
      <c r="H915" t="n">
        <v>4.771</v>
      </c>
      <c r="J915" t="n">
        <v>5.001</v>
      </c>
      <c r="K915" t="n">
        <v>6.042</v>
      </c>
      <c r="L915" t="n">
        <v>11</v>
      </c>
      <c r="N915">
        <f>IF(OR(E915="",C915=""),"",E915-C915/42)</f>
        <v/>
      </c>
      <c r="O915">
        <f>IF(OR(E915="",D915=""),"",E915-D915/42)</f>
        <v/>
      </c>
      <c r="P915">
        <f>IF(L915="",M915/100,H915*L915/100)</f>
        <v/>
      </c>
      <c r="Q915">
        <f>H915-C915/42-P915</f>
        <v/>
      </c>
      <c r="R915">
        <f>H915-E915</f>
        <v/>
      </c>
    </row>
    <row r="916">
      <c r="A916" s="3" t="n">
        <v>44753</v>
      </c>
      <c r="B916" s="3" t="n">
        <v>44750</v>
      </c>
      <c r="C916" t="n">
        <v>103.32</v>
      </c>
      <c r="D916" t="n">
        <v>113.64</v>
      </c>
      <c r="E916" t="n">
        <v>3.426</v>
      </c>
      <c r="F916" t="n">
        <v>3.532</v>
      </c>
      <c r="G916" t="n">
        <v>3.346</v>
      </c>
      <c r="H916" t="n">
        <v>4.646</v>
      </c>
      <c r="J916" t="n">
        <v>4.947</v>
      </c>
      <c r="K916" t="n">
        <v>5.903</v>
      </c>
      <c r="L916" t="n">
        <v>11</v>
      </c>
      <c r="N916">
        <f>IF(OR(E916="",C916=""),"",E916-C916/42)</f>
        <v/>
      </c>
      <c r="O916">
        <f>IF(OR(E916="",D916=""),"",E916-D916/42)</f>
        <v/>
      </c>
      <c r="P916">
        <f>IF(L916="",M916/100,H916*L916/100)</f>
        <v/>
      </c>
      <c r="Q916">
        <f>H916-C916/42-P916</f>
        <v/>
      </c>
      <c r="R916">
        <f>H916-E916</f>
        <v/>
      </c>
    </row>
    <row r="917">
      <c r="A917" s="3" t="n">
        <v>44760</v>
      </c>
      <c r="B917" s="3" t="n">
        <v>44757</v>
      </c>
      <c r="C917" t="n">
        <v>99.92</v>
      </c>
      <c r="D917" t="n">
        <v>109.8</v>
      </c>
      <c r="E917" t="n">
        <v>3.23</v>
      </c>
      <c r="F917" t="n">
        <v>3.473</v>
      </c>
      <c r="G917" t="n">
        <v>3.281</v>
      </c>
      <c r="H917" t="n">
        <v>4.49</v>
      </c>
      <c r="J917" t="n">
        <v>4.85</v>
      </c>
      <c r="K917" t="n">
        <v>5.708</v>
      </c>
      <c r="L917" t="n">
        <v>11</v>
      </c>
      <c r="N917">
        <f>IF(OR(E917="",C917=""),"",E917-C917/42)</f>
        <v/>
      </c>
      <c r="O917">
        <f>IF(OR(E917="",D917=""),"",E917-D917/42)</f>
        <v/>
      </c>
      <c r="P917">
        <f>IF(L917="",M917/100,H917*L917/100)</f>
        <v/>
      </c>
      <c r="Q917">
        <f>H917-C917/42-P917</f>
        <v/>
      </c>
      <c r="R917">
        <f>H917-E917</f>
        <v/>
      </c>
    </row>
    <row r="918">
      <c r="A918" s="3" t="n">
        <v>44767</v>
      </c>
      <c r="B918" s="3" t="n">
        <v>44764</v>
      </c>
      <c r="C918" t="n">
        <v>102.24</v>
      </c>
      <c r="D918" t="n">
        <v>113.53</v>
      </c>
      <c r="E918" t="n">
        <v>3.097</v>
      </c>
      <c r="F918" t="n">
        <v>3.406</v>
      </c>
      <c r="G918" t="n">
        <v>3.264</v>
      </c>
      <c r="H918" t="n">
        <v>4.33</v>
      </c>
      <c r="J918" t="n">
        <v>4.656</v>
      </c>
      <c r="K918" t="n">
        <v>5.573</v>
      </c>
      <c r="L918" t="n">
        <v>11</v>
      </c>
      <c r="N918">
        <f>IF(OR(E918="",C918=""),"",E918-C918/42)</f>
        <v/>
      </c>
      <c r="O918">
        <f>IF(OR(E918="",D918=""),"",E918-D918/42)</f>
        <v/>
      </c>
      <c r="P918">
        <f>IF(L918="",M918/100,H918*L918/100)</f>
        <v/>
      </c>
      <c r="Q918">
        <f>H918-C918/42-P918</f>
        <v/>
      </c>
      <c r="R918">
        <f>H918-E918</f>
        <v/>
      </c>
    </row>
    <row r="919">
      <c r="A919" s="3" t="n">
        <v>44774</v>
      </c>
      <c r="B919" s="3" t="n">
        <v>44771</v>
      </c>
      <c r="C919" t="n">
        <v>99.59999999999999</v>
      </c>
      <c r="D919" t="n">
        <v>109.28</v>
      </c>
      <c r="E919" t="n">
        <v>3.303</v>
      </c>
      <c r="F919" t="n">
        <v>3.469</v>
      </c>
      <c r="G919" t="n">
        <v>3.32</v>
      </c>
      <c r="H919" t="n">
        <v>4.192</v>
      </c>
      <c r="J919" t="n">
        <v>4.511</v>
      </c>
      <c r="K919" t="n">
        <v>5.472</v>
      </c>
      <c r="L919" t="n">
        <v>12.6</v>
      </c>
      <c r="N919">
        <f>IF(OR(E919="",C919=""),"",E919-C919/42)</f>
        <v/>
      </c>
      <c r="O919">
        <f>IF(OR(E919="",D919=""),"",E919-D919/42)</f>
        <v/>
      </c>
      <c r="P919">
        <f>IF(L919="",M919/100,H919*L919/100)</f>
        <v/>
      </c>
      <c r="Q919">
        <f>H919-C919/42-P919</f>
        <v/>
      </c>
      <c r="R919">
        <f>H919-E919</f>
        <v/>
      </c>
    </row>
    <row r="920">
      <c r="A920" s="3" t="n">
        <v>44781</v>
      </c>
      <c r="B920" s="3" t="n">
        <v>44778</v>
      </c>
      <c r="C920" t="n">
        <v>94.01000000000001</v>
      </c>
      <c r="D920" t="n">
        <v>102.54</v>
      </c>
      <c r="E920" t="n">
        <v>2.758</v>
      </c>
      <c r="F920" t="n">
        <v>3.2</v>
      </c>
      <c r="G920" t="n">
        <v>3.071</v>
      </c>
      <c r="H920" t="n">
        <v>4.038</v>
      </c>
      <c r="J920" t="n">
        <v>4.353</v>
      </c>
      <c r="K920" t="n">
        <v>5.298</v>
      </c>
      <c r="L920" t="n">
        <v>12.6</v>
      </c>
      <c r="N920">
        <f>IF(OR(E920="",C920=""),"",E920-C920/42)</f>
        <v/>
      </c>
      <c r="O920">
        <f>IF(OR(E920="",D920=""),"",E920-D920/42)</f>
        <v/>
      </c>
      <c r="P920">
        <f>IF(L920="",M920/100,H920*L920/100)</f>
        <v/>
      </c>
      <c r="Q920">
        <f>H920-C920/42-P920</f>
        <v/>
      </c>
      <c r="R920">
        <f>H920-E920</f>
        <v/>
      </c>
    </row>
    <row r="921">
      <c r="A921" s="3" t="n">
        <v>44788</v>
      </c>
      <c r="B921" s="3" t="n">
        <v>44785</v>
      </c>
      <c r="C921" t="n">
        <v>94.65000000000001</v>
      </c>
      <c r="D921" t="n">
        <v>104.64</v>
      </c>
      <c r="E921" t="n">
        <v>2.806</v>
      </c>
      <c r="F921" t="n">
        <v>3.165</v>
      </c>
      <c r="G921" t="n">
        <v>3.181</v>
      </c>
      <c r="H921" t="n">
        <v>3.938</v>
      </c>
      <c r="J921" t="n">
        <v>4.213</v>
      </c>
      <c r="K921" t="n">
        <v>5.218</v>
      </c>
      <c r="L921" t="n">
        <v>12.6</v>
      </c>
      <c r="N921">
        <f>IF(OR(E921="",C921=""),"",E921-C921/42)</f>
        <v/>
      </c>
      <c r="O921">
        <f>IF(OR(E921="",D921=""),"",E921-D921/42)</f>
        <v/>
      </c>
      <c r="P921">
        <f>IF(L921="",M921/100,H921*L921/100)</f>
        <v/>
      </c>
      <c r="Q921">
        <f>H921-C921/42-P921</f>
        <v/>
      </c>
      <c r="R921">
        <f>H921-E921</f>
        <v/>
      </c>
    </row>
    <row r="922">
      <c r="A922" s="3" t="n">
        <v>44795</v>
      </c>
      <c r="B922" s="3" t="n">
        <v>44792</v>
      </c>
      <c r="C922" t="n">
        <v>91.81</v>
      </c>
      <c r="D922" t="n">
        <v>96.73</v>
      </c>
      <c r="E922" t="n">
        <v>2.761</v>
      </c>
      <c r="F922" t="n">
        <v>3.025</v>
      </c>
      <c r="G922" t="n">
        <v>3.19</v>
      </c>
      <c r="H922" t="n">
        <v>3.88</v>
      </c>
      <c r="J922" t="n">
        <v>4.152</v>
      </c>
      <c r="K922" t="n">
        <v>5.146</v>
      </c>
      <c r="L922" t="n">
        <v>12.6</v>
      </c>
      <c r="N922">
        <f>IF(OR(E922="",C922=""),"",E922-C922/42)</f>
        <v/>
      </c>
      <c r="O922">
        <f>IF(OR(E922="",D922=""),"",E922-D922/42)</f>
        <v/>
      </c>
      <c r="P922">
        <f>IF(L922="",M922/100,H922*L922/100)</f>
        <v/>
      </c>
      <c r="Q922">
        <f>H922-C922/42-P922</f>
        <v/>
      </c>
      <c r="R922">
        <f>H922-E922</f>
        <v/>
      </c>
    </row>
    <row r="923">
      <c r="A923" s="3" t="n">
        <v>44802</v>
      </c>
      <c r="B923" s="3" t="n">
        <v>44799</v>
      </c>
      <c r="C923" t="n">
        <v>94.47</v>
      </c>
      <c r="D923" t="n">
        <v>98.87</v>
      </c>
      <c r="E923" t="n">
        <v>2.839</v>
      </c>
      <c r="F923" t="n">
        <v>2.888</v>
      </c>
      <c r="G923" t="n">
        <v>3.084</v>
      </c>
      <c r="H923" t="n">
        <v>3.827</v>
      </c>
      <c r="J923" t="n">
        <v>4.02</v>
      </c>
      <c r="K923" t="n">
        <v>5.061</v>
      </c>
      <c r="L923" t="n">
        <v>12.6</v>
      </c>
      <c r="N923">
        <f>IF(OR(E923="",C923=""),"",E923-C923/42)</f>
        <v/>
      </c>
      <c r="O923">
        <f>IF(OR(E923="",D923=""),"",E923-D923/42)</f>
        <v/>
      </c>
      <c r="P923">
        <f>IF(L923="",M923/100,H923*L923/100)</f>
        <v/>
      </c>
      <c r="Q923">
        <f>H923-C923/42-P923</f>
        <v/>
      </c>
      <c r="R923">
        <f>H923-E923</f>
        <v/>
      </c>
    </row>
    <row r="924">
      <c r="A924" s="3" t="n">
        <v>44809</v>
      </c>
      <c r="B924" s="3" t="n">
        <v>44806</v>
      </c>
      <c r="C924" t="n">
        <v>90.79000000000001</v>
      </c>
      <c r="D924" t="n">
        <v>95.31</v>
      </c>
      <c r="E924" t="n">
        <v>2.685</v>
      </c>
      <c r="F924" t="n">
        <v>2.681</v>
      </c>
      <c r="G924" t="n">
        <v>3.147</v>
      </c>
      <c r="H924" t="n">
        <v>3.746</v>
      </c>
      <c r="J924" t="n">
        <v>3.94</v>
      </c>
      <c r="K924" t="n">
        <v>5.053</v>
      </c>
      <c r="L924" t="n">
        <v>13.5</v>
      </c>
      <c r="N924">
        <f>IF(OR(E924="",C924=""),"",E924-C924/42)</f>
        <v/>
      </c>
      <c r="O924">
        <f>IF(OR(E924="",D924=""),"",E924-D924/42)</f>
        <v/>
      </c>
      <c r="P924">
        <f>IF(L924="",M924/100,H924*L924/100)</f>
        <v/>
      </c>
      <c r="Q924">
        <f>H924-C924/42-P924</f>
        <v/>
      </c>
      <c r="R924">
        <f>H924-E924</f>
        <v/>
      </c>
    </row>
    <row r="925">
      <c r="A925" s="3" t="n">
        <v>44816</v>
      </c>
      <c r="B925" s="3" t="n">
        <v>44813</v>
      </c>
      <c r="C925" t="n">
        <v>85.29000000000001</v>
      </c>
      <c r="D925" t="n">
        <v>90.43000000000001</v>
      </c>
      <c r="E925" t="n">
        <v>2.486</v>
      </c>
      <c r="F925" t="n">
        <v>2.604</v>
      </c>
      <c r="G925" t="n">
        <v>3.554</v>
      </c>
      <c r="H925" t="n">
        <v>3.69</v>
      </c>
      <c r="J925" t="n">
        <v>3.889</v>
      </c>
      <c r="K925" t="n">
        <v>5.182</v>
      </c>
      <c r="L925" t="n">
        <v>13.5</v>
      </c>
      <c r="N925">
        <f>IF(OR(E925="",C925=""),"",E925-C925/42)</f>
        <v/>
      </c>
      <c r="O925">
        <f>IF(OR(E925="",D925=""),"",E925-D925/42)</f>
        <v/>
      </c>
      <c r="P925">
        <f>IF(L925="",M925/100,H925*L925/100)</f>
        <v/>
      </c>
      <c r="Q925">
        <f>H925-C925/42-P925</f>
        <v/>
      </c>
      <c r="R925">
        <f>H925-E925</f>
        <v/>
      </c>
    </row>
    <row r="926">
      <c r="A926" s="3" t="n">
        <v>44823</v>
      </c>
      <c r="B926" s="3" t="n">
        <v>44820</v>
      </c>
      <c r="C926" t="n">
        <v>87.23999999999999</v>
      </c>
      <c r="D926" t="n">
        <v>91.41</v>
      </c>
      <c r="E926" t="n">
        <v>2.558</v>
      </c>
      <c r="F926" t="n">
        <v>2.703</v>
      </c>
      <c r="G926" t="n">
        <v>3.466</v>
      </c>
      <c r="H926" t="n">
        <v>3.654</v>
      </c>
      <c r="J926" t="n">
        <v>3.877</v>
      </c>
      <c r="K926" t="n">
        <v>5.239</v>
      </c>
      <c r="L926" t="n">
        <v>13.5</v>
      </c>
      <c r="N926">
        <f>IF(OR(E926="",C926=""),"",E926-C926/42)</f>
        <v/>
      </c>
      <c r="O926">
        <f>IF(OR(E926="",D926=""),"",E926-D926/42)</f>
        <v/>
      </c>
      <c r="P926">
        <f>IF(L926="",M926/100,H926*L926/100)</f>
        <v/>
      </c>
      <c r="Q926">
        <f>H926-C926/42-P926</f>
        <v/>
      </c>
      <c r="R926">
        <f>H926-E926</f>
        <v/>
      </c>
    </row>
    <row r="927">
      <c r="A927" s="3" t="n">
        <v>44830</v>
      </c>
      <c r="B927" s="3" t="n">
        <v>44827</v>
      </c>
      <c r="C927" t="n">
        <v>83.45999999999999</v>
      </c>
      <c r="D927" t="n">
        <v>88.54000000000001</v>
      </c>
      <c r="E927" t="n">
        <v>2.6</v>
      </c>
      <c r="F927" t="n">
        <v>2.609</v>
      </c>
      <c r="G927" t="n">
        <v>3.909</v>
      </c>
      <c r="H927" t="n">
        <v>3.711</v>
      </c>
      <c r="J927" t="n">
        <v>3.919</v>
      </c>
      <c r="K927" t="n">
        <v>5.615</v>
      </c>
      <c r="L927" t="n">
        <v>13.5</v>
      </c>
      <c r="N927">
        <f>IF(OR(E927="",C927=""),"",E927-C927/42)</f>
        <v/>
      </c>
      <c r="O927">
        <f>IF(OR(E927="",D927=""),"",E927-D927/42)</f>
        <v/>
      </c>
      <c r="P927">
        <f>IF(L927="",M927/100,H927*L927/100)</f>
        <v/>
      </c>
      <c r="Q927">
        <f>H927-C927/42-P927</f>
        <v/>
      </c>
      <c r="R927">
        <f>H927-E927</f>
        <v/>
      </c>
    </row>
    <row r="928">
      <c r="A928" s="3" t="n">
        <v>44837</v>
      </c>
      <c r="B928" s="3" t="n">
        <v>44834</v>
      </c>
      <c r="C928" t="n">
        <v>80.08</v>
      </c>
      <c r="D928" t="n">
        <v>87.28</v>
      </c>
      <c r="E928" t="n">
        <v>2.677</v>
      </c>
      <c r="F928" t="n">
        <v>2.667</v>
      </c>
      <c r="G928" t="n">
        <v>4.787</v>
      </c>
      <c r="H928" t="n">
        <v>3.782</v>
      </c>
      <c r="J928" t="n">
        <v>3.874</v>
      </c>
      <c r="K928" t="n">
        <v>6.213</v>
      </c>
      <c r="L928" t="n">
        <v>13.1</v>
      </c>
      <c r="N928">
        <f>IF(OR(E928="",C928=""),"",E928-C928/42)</f>
        <v/>
      </c>
      <c r="O928">
        <f>IF(OR(E928="",D928=""),"",E928-D928/42)</f>
        <v/>
      </c>
      <c r="P928">
        <f>IF(L928="",M928/100,H928*L928/100)</f>
        <v/>
      </c>
      <c r="Q928">
        <f>H928-C928/42-P928</f>
        <v/>
      </c>
      <c r="R928">
        <f>H928-E928</f>
        <v/>
      </c>
    </row>
    <row r="929">
      <c r="A929" s="3" t="n">
        <v>44844</v>
      </c>
      <c r="B929" s="3" t="n">
        <v>44841</v>
      </c>
      <c r="C929" t="n">
        <v>88.22</v>
      </c>
      <c r="D929" t="n">
        <v>94.66</v>
      </c>
      <c r="E929" t="n">
        <v>2.889</v>
      </c>
      <c r="F929" t="n">
        <v>2.978</v>
      </c>
      <c r="G929" t="n">
        <v>4.456</v>
      </c>
      <c r="H929" t="n">
        <v>3.912</v>
      </c>
      <c r="J929" t="n">
        <v>3.947</v>
      </c>
      <c r="K929" t="n">
        <v>6.156</v>
      </c>
      <c r="L929" t="n">
        <v>13.1</v>
      </c>
      <c r="N929">
        <f>IF(OR(E929="",C929=""),"",E929-C929/42)</f>
        <v/>
      </c>
      <c r="O929">
        <f>IF(OR(E929="",D929=""),"",E929-D929/42)</f>
        <v/>
      </c>
      <c r="P929">
        <f>IF(L929="",M929/100,H929*L929/100)</f>
        <v/>
      </c>
      <c r="Q929">
        <f>H929-C929/42-P929</f>
        <v/>
      </c>
      <c r="R929">
        <f>H929-E929</f>
        <v/>
      </c>
    </row>
    <row r="930">
      <c r="A930" s="3" t="n">
        <v>44851</v>
      </c>
      <c r="B930" s="3" t="n">
        <v>44848</v>
      </c>
      <c r="C930" t="n">
        <v>88.97</v>
      </c>
      <c r="D930" t="n">
        <v>94.62</v>
      </c>
      <c r="E930" t="n">
        <v>2.789</v>
      </c>
      <c r="F930" t="n">
        <v>2.931</v>
      </c>
      <c r="G930" t="n">
        <v>2.908</v>
      </c>
      <c r="H930" t="n">
        <v>3.871</v>
      </c>
      <c r="J930" t="n">
        <v>3.917</v>
      </c>
      <c r="K930" t="n">
        <v>5.847</v>
      </c>
      <c r="L930" t="n">
        <v>13.1</v>
      </c>
      <c r="N930">
        <f>IF(OR(E930="",C930=""),"",E930-C930/42)</f>
        <v/>
      </c>
      <c r="O930">
        <f>IF(OR(E930="",D930=""),"",E930-D930/42)</f>
        <v/>
      </c>
      <c r="P930">
        <f>IF(L930="",M930/100,H930*L930/100)</f>
        <v/>
      </c>
      <c r="Q930">
        <f>H930-C930/42-P930</f>
        <v/>
      </c>
      <c r="R930">
        <f>H930-E930</f>
        <v/>
      </c>
    </row>
    <row r="931">
      <c r="A931" s="3" t="n">
        <v>44858</v>
      </c>
      <c r="B931" s="3" t="n">
        <v>44855</v>
      </c>
      <c r="C931" t="n">
        <v>85.36</v>
      </c>
      <c r="D931" t="n">
        <v>91.04000000000001</v>
      </c>
      <c r="E931" t="n">
        <v>2.697</v>
      </c>
      <c r="F931" t="n">
        <v>2.92</v>
      </c>
      <c r="G931" t="n">
        <v>2.624</v>
      </c>
      <c r="H931" t="n">
        <v>3.769</v>
      </c>
      <c r="J931" t="n">
        <v>3.845</v>
      </c>
      <c r="K931" t="n">
        <v>5.5</v>
      </c>
      <c r="L931" t="n">
        <v>13.1</v>
      </c>
      <c r="N931">
        <f>IF(OR(E931="",C931=""),"",E931-C931/42)</f>
        <v/>
      </c>
      <c r="O931">
        <f>IF(OR(E931="",D931=""),"",E931-D931/42)</f>
        <v/>
      </c>
      <c r="P931">
        <f>IF(L931="",M931/100,H931*L931/100)</f>
        <v/>
      </c>
      <c r="Q931">
        <f>H931-C931/42-P931</f>
        <v/>
      </c>
      <c r="R931">
        <f>H931-E931</f>
        <v/>
      </c>
    </row>
    <row r="932">
      <c r="A932" s="3" t="n">
        <v>44865</v>
      </c>
      <c r="B932" s="3" t="n">
        <v>44862</v>
      </c>
      <c r="C932" t="n">
        <v>87.87</v>
      </c>
      <c r="D932" t="n">
        <v>93.01000000000001</v>
      </c>
      <c r="E932" t="n">
        <v>2.962</v>
      </c>
      <c r="F932" t="n">
        <v>3.184</v>
      </c>
      <c r="G932" t="n">
        <v>2.91</v>
      </c>
      <c r="H932" t="n">
        <v>3.742</v>
      </c>
      <c r="J932" t="n">
        <v>3.789</v>
      </c>
      <c r="K932" t="n">
        <v>5.311</v>
      </c>
      <c r="L932" t="n">
        <v>13.1</v>
      </c>
      <c r="N932">
        <f>IF(OR(E932="",C932=""),"",E932-C932/42)</f>
        <v/>
      </c>
      <c r="O932">
        <f>IF(OR(E932="",D932=""),"",E932-D932/42)</f>
        <v/>
      </c>
      <c r="P932">
        <f>IF(L932="",M932/100,H932*L932/100)</f>
        <v/>
      </c>
      <c r="Q932">
        <f>H932-C932/42-P932</f>
        <v/>
      </c>
      <c r="R932">
        <f>H932-E932</f>
        <v/>
      </c>
    </row>
    <row r="933">
      <c r="A933" s="3" t="n">
        <v>44872</v>
      </c>
      <c r="B933" s="3" t="n">
        <v>44869</v>
      </c>
      <c r="C933" t="n">
        <v>89.14</v>
      </c>
      <c r="D933" t="n">
        <v>95.86</v>
      </c>
      <c r="E933" t="n">
        <v>2.739</v>
      </c>
      <c r="F933" t="n">
        <v>3.126</v>
      </c>
      <c r="G933" t="n">
        <v>3.147</v>
      </c>
      <c r="H933" t="n">
        <v>3.796</v>
      </c>
      <c r="J933" t="n">
        <v>3.76</v>
      </c>
      <c r="K933" t="n">
        <v>5.228</v>
      </c>
      <c r="L933" t="n">
        <v>13.6</v>
      </c>
      <c r="N933">
        <f>IF(OR(E933="",C933=""),"",E933-C933/42)</f>
        <v/>
      </c>
      <c r="O933">
        <f>IF(OR(E933="",D933=""),"",E933-D933/42)</f>
        <v/>
      </c>
      <c r="P933">
        <f>IF(L933="",M933/100,H933*L933/100)</f>
        <v/>
      </c>
      <c r="Q933">
        <f>H933-C933/42-P933</f>
        <v/>
      </c>
      <c r="R933">
        <f>H933-E933</f>
        <v/>
      </c>
    </row>
    <row r="934">
      <c r="A934" s="3" t="n">
        <v>44879</v>
      </c>
      <c r="B934" s="3" t="n">
        <v>44876</v>
      </c>
      <c r="C934" t="n">
        <v>88.41</v>
      </c>
      <c r="D934" t="n">
        <v>96.08</v>
      </c>
      <c r="E934" t="n">
        <v>2.595</v>
      </c>
      <c r="F934" t="n">
        <v>3.088</v>
      </c>
      <c r="G934" t="n">
        <v>3.523</v>
      </c>
      <c r="H934" t="n">
        <v>3.762</v>
      </c>
      <c r="J934" t="n">
        <v>3.713</v>
      </c>
      <c r="K934" t="n">
        <v>5.21</v>
      </c>
      <c r="L934" t="n">
        <v>13.6</v>
      </c>
      <c r="N934">
        <f>IF(OR(E934="",C934=""),"",E934-C934/42)</f>
        <v/>
      </c>
      <c r="O934">
        <f>IF(OR(E934="",D934=""),"",E934-D934/42)</f>
        <v/>
      </c>
      <c r="P934">
        <f>IF(L934="",M934/100,H934*L934/100)</f>
        <v/>
      </c>
      <c r="Q934">
        <f>H934-C934/42-P934</f>
        <v/>
      </c>
      <c r="R934">
        <f>H934-E934</f>
        <v/>
      </c>
    </row>
    <row r="935">
      <c r="A935" s="3" t="n">
        <v>44886</v>
      </c>
      <c r="B935" s="3" t="n">
        <v>44883</v>
      </c>
      <c r="C935" t="n">
        <v>84.02</v>
      </c>
      <c r="D935" t="n">
        <v>92.09</v>
      </c>
      <c r="E935" t="n">
        <v>2.372</v>
      </c>
      <c r="F935" t="n">
        <v>2.812</v>
      </c>
      <c r="G935" t="n">
        <v>2.898</v>
      </c>
      <c r="H935" t="n">
        <v>3.648</v>
      </c>
      <c r="J935" t="n">
        <v>3.636</v>
      </c>
      <c r="K935" t="n">
        <v>5.034</v>
      </c>
      <c r="L935" t="n">
        <v>13.6</v>
      </c>
      <c r="N935">
        <f>IF(OR(E935="",C935=""),"",E935-C935/42)</f>
        <v/>
      </c>
      <c r="O935">
        <f>IF(OR(E935="",D935=""),"",E935-D935/42)</f>
        <v/>
      </c>
      <c r="P935">
        <f>IF(L935="",M935/100,H935*L935/100)</f>
        <v/>
      </c>
      <c r="Q935">
        <f>H935-C935/42-P935</f>
        <v/>
      </c>
      <c r="R935">
        <f>H935-E935</f>
        <v/>
      </c>
    </row>
    <row r="936">
      <c r="A936" s="3" t="n">
        <v>44893</v>
      </c>
      <c r="B936" s="3" t="n">
        <v>44890</v>
      </c>
      <c r="C936" t="n">
        <v>78.73999999999999</v>
      </c>
      <c r="D936" t="n">
        <v>86.40000000000001</v>
      </c>
      <c r="E936" t="n">
        <v>2.374</v>
      </c>
      <c r="F936" t="n">
        <v>2.662</v>
      </c>
      <c r="G936" t="n">
        <v>2.312</v>
      </c>
      <c r="H936" t="n">
        <v>3.534</v>
      </c>
      <c r="J936" t="n">
        <v>3.539</v>
      </c>
      <c r="K936" t="n">
        <v>4.813</v>
      </c>
      <c r="L936" t="n">
        <v>13.6</v>
      </c>
      <c r="N936">
        <f>IF(OR(E936="",C936=""),"",E936-C936/42)</f>
        <v/>
      </c>
      <c r="O936">
        <f>IF(OR(E936="",D936=""),"",E936-D936/42)</f>
        <v/>
      </c>
      <c r="P936">
        <f>IF(L936="",M936/100,H936*L936/100)</f>
        <v/>
      </c>
      <c r="Q936">
        <f>H936-C936/42-P936</f>
        <v/>
      </c>
      <c r="R936">
        <f>H936-E936</f>
        <v/>
      </c>
    </row>
    <row r="937">
      <c r="A937" s="3" t="n">
        <v>44900</v>
      </c>
      <c r="B937" s="3" t="n">
        <v>44897</v>
      </c>
      <c r="C937" t="n">
        <v>79.29000000000001</v>
      </c>
      <c r="D937" t="n">
        <v>85.03</v>
      </c>
      <c r="E937" t="n">
        <v>2.175</v>
      </c>
      <c r="F937" t="n">
        <v>2.517</v>
      </c>
      <c r="G937" t="n">
        <v>2.154</v>
      </c>
      <c r="H937" t="n">
        <v>3.39</v>
      </c>
      <c r="J937" t="n">
        <v>3.404</v>
      </c>
      <c r="K937" t="n">
        <v>4.564</v>
      </c>
      <c r="L937" t="n">
        <v>15.6</v>
      </c>
      <c r="N937">
        <f>IF(OR(E937="",C937=""),"",E937-C937/42)</f>
        <v/>
      </c>
      <c r="O937">
        <f>IF(OR(E937="",D937=""),"",E937-D937/42)</f>
        <v/>
      </c>
      <c r="P937">
        <f>IF(L937="",M937/100,H937*L937/100)</f>
        <v/>
      </c>
      <c r="Q937">
        <f>H937-C937/42-P937</f>
        <v/>
      </c>
      <c r="R937">
        <f>H937-E937</f>
        <v/>
      </c>
    </row>
    <row r="938">
      <c r="A938" s="3" t="n">
        <v>44907</v>
      </c>
      <c r="B938" s="3" t="n">
        <v>44904</v>
      </c>
      <c r="C938" t="n">
        <v>73.06</v>
      </c>
      <c r="D938" t="n">
        <v>78.56</v>
      </c>
      <c r="E938" t="n">
        <v>2.001</v>
      </c>
      <c r="F938" t="n">
        <v>2.298</v>
      </c>
      <c r="G938" t="n">
        <v>1.986</v>
      </c>
      <c r="H938" t="n">
        <v>3.239</v>
      </c>
      <c r="J938" t="n">
        <v>3.227</v>
      </c>
      <c r="K938" t="n">
        <v>4.352</v>
      </c>
      <c r="L938" t="n">
        <v>15.6</v>
      </c>
      <c r="N938">
        <f>IF(OR(E938="",C938=""),"",E938-C938/42)</f>
        <v/>
      </c>
      <c r="O938">
        <f>IF(OR(E938="",D938=""),"",E938-D938/42)</f>
        <v/>
      </c>
      <c r="P938">
        <f>IF(L938="",M938/100,H938*L938/100)</f>
        <v/>
      </c>
      <c r="Q938">
        <f>H938-C938/42-P938</f>
        <v/>
      </c>
      <c r="R938">
        <f>H938-E938</f>
        <v/>
      </c>
    </row>
    <row r="939">
      <c r="A939" s="3" t="n">
        <v>44914</v>
      </c>
      <c r="B939" s="3" t="n">
        <v>44911</v>
      </c>
      <c r="C939" t="n">
        <v>75.12</v>
      </c>
      <c r="D939" t="n">
        <v>80.8</v>
      </c>
      <c r="E939" t="n">
        <v>2.053</v>
      </c>
      <c r="F939" t="n">
        <v>2.262</v>
      </c>
      <c r="G939" t="n">
        <v>2.14</v>
      </c>
      <c r="H939" t="n">
        <v>3.12</v>
      </c>
      <c r="J939" t="n">
        <v>3.086</v>
      </c>
      <c r="K939" t="n">
        <v>4.198</v>
      </c>
      <c r="L939" t="n">
        <v>15.6</v>
      </c>
      <c r="N939">
        <f>IF(OR(E939="",C939=""),"",E939-C939/42)</f>
        <v/>
      </c>
      <c r="O939">
        <f>IF(OR(E939="",D939=""),"",E939-D939/42)</f>
        <v/>
      </c>
      <c r="P939">
        <f>IF(L939="",M939/100,H939*L939/100)</f>
        <v/>
      </c>
      <c r="Q939">
        <f>H939-C939/42-P939</f>
        <v/>
      </c>
      <c r="R939">
        <f>H939-E939</f>
        <v/>
      </c>
    </row>
    <row r="940">
      <c r="A940" s="3" t="n">
        <v>44921</v>
      </c>
      <c r="B940" s="3" t="n">
        <v>44918</v>
      </c>
      <c r="C940" t="n">
        <v>77.28</v>
      </c>
      <c r="D940" t="n">
        <v>80.68000000000001</v>
      </c>
      <c r="E940" t="n">
        <v>2.191</v>
      </c>
      <c r="F940" t="n">
        <v>2.355</v>
      </c>
      <c r="G940" t="n">
        <v>2.373</v>
      </c>
      <c r="H940" t="n">
        <v>3.091</v>
      </c>
      <c r="J940" t="n">
        <v>3.002</v>
      </c>
      <c r="K940" t="n">
        <v>4.155</v>
      </c>
      <c r="L940" t="n">
        <v>15.6</v>
      </c>
      <c r="N940">
        <f>IF(OR(E940="",C940=""),"",E940-C940/42)</f>
        <v/>
      </c>
      <c r="O940">
        <f>IF(OR(E940="",D940=""),"",E940-D940/42)</f>
        <v/>
      </c>
      <c r="P940">
        <f>IF(L940="",M940/100,H940*L940/100)</f>
        <v/>
      </c>
      <c r="Q940">
        <f>H940-C940/42-P940</f>
        <v/>
      </c>
      <c r="R940">
        <f>H940-E940</f>
        <v/>
      </c>
    </row>
    <row r="941">
      <c r="A941" s="3" t="n">
        <v>44928</v>
      </c>
      <c r="B941" s="3" t="n">
        <v>44925</v>
      </c>
      <c r="C941" t="n">
        <v>79.23</v>
      </c>
      <c r="D941" t="n">
        <v>81.83</v>
      </c>
      <c r="E941" t="n">
        <v>2.432</v>
      </c>
      <c r="F941" t="n">
        <v>2.502</v>
      </c>
      <c r="G941" t="n">
        <v>2.608</v>
      </c>
      <c r="H941" t="n">
        <v>3.223</v>
      </c>
      <c r="J941" t="n">
        <v>3.043</v>
      </c>
      <c r="K941" t="n">
        <v>4.216</v>
      </c>
      <c r="L941" t="n">
        <v>15</v>
      </c>
      <c r="N941">
        <f>IF(OR(E941="",C941=""),"",E941-C941/42)</f>
        <v/>
      </c>
      <c r="O941">
        <f>IF(OR(E941="",D941=""),"",E941-D941/42)</f>
        <v/>
      </c>
      <c r="P941">
        <f>IF(L941="",M941/100,H941*L941/100)</f>
        <v/>
      </c>
      <c r="Q941">
        <f>H941-C941/42-P941</f>
        <v/>
      </c>
      <c r="R941">
        <f>H941-E941</f>
        <v/>
      </c>
    </row>
    <row r="942">
      <c r="A942" s="3" t="n">
        <v>44935</v>
      </c>
      <c r="B942" s="3" t="n">
        <v>44932</v>
      </c>
      <c r="C942" t="n">
        <v>74.27</v>
      </c>
      <c r="D942" t="n">
        <v>77.2</v>
      </c>
      <c r="E942" t="n">
        <v>2.333</v>
      </c>
      <c r="F942" t="n">
        <v>2.413</v>
      </c>
      <c r="G942" t="n">
        <v>2.429</v>
      </c>
      <c r="H942" t="n">
        <v>3.259</v>
      </c>
      <c r="J942" t="n">
        <v>3.122</v>
      </c>
      <c r="K942" t="n">
        <v>4.228</v>
      </c>
      <c r="L942" t="n">
        <v>15</v>
      </c>
      <c r="N942">
        <f>IF(OR(E942="",C942=""),"",E942-C942/42)</f>
        <v/>
      </c>
      <c r="O942">
        <f>IF(OR(E942="",D942=""),"",E942-D942/42)</f>
        <v/>
      </c>
      <c r="P942">
        <f>IF(L942="",M942/100,H942*L942/100)</f>
        <v/>
      </c>
      <c r="Q942">
        <f>H942-C942/42-P942</f>
        <v/>
      </c>
      <c r="R942">
        <f>H942-E942</f>
        <v/>
      </c>
    </row>
    <row r="943">
      <c r="A943" s="3" t="n">
        <v>44942</v>
      </c>
      <c r="B943" s="3" t="n">
        <v>44939</v>
      </c>
      <c r="C943" t="n">
        <v>77.09999999999999</v>
      </c>
      <c r="D943" t="n">
        <v>80.61</v>
      </c>
      <c r="E943" t="n">
        <v>2.436</v>
      </c>
      <c r="F943" t="n">
        <v>2.515</v>
      </c>
      <c r="G943" t="n">
        <v>2.448</v>
      </c>
      <c r="H943" t="n">
        <v>3.31</v>
      </c>
      <c r="J943" t="n">
        <v>3.292</v>
      </c>
      <c r="K943" t="n">
        <v>4.248</v>
      </c>
      <c r="L943" t="n">
        <v>15</v>
      </c>
      <c r="N943">
        <f>IF(OR(E943="",C943=""),"",E943-C943/42)</f>
        <v/>
      </c>
      <c r="O943">
        <f>IF(OR(E943="",D943=""),"",E943-D943/42)</f>
        <v/>
      </c>
      <c r="P943">
        <f>IF(L943="",M943/100,H943*L943/100)</f>
        <v/>
      </c>
      <c r="Q943">
        <f>H943-C943/42-P943</f>
        <v/>
      </c>
      <c r="R943">
        <f>H943-E943</f>
        <v/>
      </c>
    </row>
    <row r="944">
      <c r="A944" s="3" t="n">
        <v>44949</v>
      </c>
      <c r="B944" s="3" t="n">
        <v>44946</v>
      </c>
      <c r="C944" t="n">
        <v>80.34</v>
      </c>
      <c r="D944" t="n">
        <v>84.56999999999999</v>
      </c>
      <c r="E944" t="n">
        <v>2.651</v>
      </c>
      <c r="F944" t="n">
        <v>2.683</v>
      </c>
      <c r="G944" t="n">
        <v>2.59</v>
      </c>
      <c r="H944" t="n">
        <v>3.415</v>
      </c>
      <c r="J944" t="n">
        <v>3.434</v>
      </c>
      <c r="K944" t="n">
        <v>4.276</v>
      </c>
      <c r="L944" t="n">
        <v>15</v>
      </c>
      <c r="N944">
        <f>IF(OR(E944="",C944=""),"",E944-C944/42)</f>
        <v/>
      </c>
      <c r="O944">
        <f>IF(OR(E944="",D944=""),"",E944-D944/42)</f>
        <v/>
      </c>
      <c r="P944">
        <f>IF(L944="",M944/100,H944*L944/100)</f>
        <v/>
      </c>
      <c r="Q944">
        <f>H944-C944/42-P944</f>
        <v/>
      </c>
      <c r="R944">
        <f>H944-E944</f>
        <v/>
      </c>
    </row>
    <row r="945">
      <c r="A945" s="3" t="n">
        <v>44956</v>
      </c>
      <c r="B945" s="3" t="n">
        <v>44953</v>
      </c>
      <c r="C945" t="n">
        <v>80.33</v>
      </c>
      <c r="D945" t="n">
        <v>85.90000000000001</v>
      </c>
      <c r="E945" t="n">
        <v>2.685</v>
      </c>
      <c r="F945" t="n">
        <v>2.726</v>
      </c>
      <c r="G945" t="n">
        <v>2.658</v>
      </c>
      <c r="H945" t="n">
        <v>3.489</v>
      </c>
      <c r="J945" t="n">
        <v>3.544</v>
      </c>
      <c r="K945" t="n">
        <v>4.358</v>
      </c>
      <c r="L945" t="n">
        <v>15</v>
      </c>
      <c r="N945">
        <f>IF(OR(E945="",C945=""),"",E945-C945/42)</f>
        <v/>
      </c>
      <c r="O945">
        <f>IF(OR(E945="",D945=""),"",E945-D945/42)</f>
        <v/>
      </c>
      <c r="P945">
        <f>IF(L945="",M945/100,H945*L945/100)</f>
        <v/>
      </c>
      <c r="Q945">
        <f>H945-C945/42-P945</f>
        <v/>
      </c>
      <c r="R945">
        <f>H945-E945</f>
        <v/>
      </c>
    </row>
    <row r="946">
      <c r="A946" s="3" t="n">
        <v>44963</v>
      </c>
      <c r="B946" s="3" t="n">
        <v>44960</v>
      </c>
      <c r="C946" t="n">
        <v>76.51000000000001</v>
      </c>
      <c r="D946" t="n">
        <v>81.87</v>
      </c>
      <c r="E946" t="n">
        <v>2.503</v>
      </c>
      <c r="F946" t="n">
        <v>2.568</v>
      </c>
      <c r="G946" t="n">
        <v>2.836</v>
      </c>
      <c r="H946" t="n">
        <v>3.444</v>
      </c>
      <c r="J946" t="n">
        <v>3.694</v>
      </c>
      <c r="K946" t="n">
        <v>4.414</v>
      </c>
      <c r="L946" t="n">
        <v>14.8</v>
      </c>
      <c r="N946">
        <f>IF(OR(E946="",C946=""),"",E946-C946/42)</f>
        <v/>
      </c>
      <c r="O946">
        <f>IF(OR(E946="",D946=""),"",E946-D946/42)</f>
        <v/>
      </c>
      <c r="P946">
        <f>IF(L946="",M946/100,H946*L946/100)</f>
        <v/>
      </c>
      <c r="Q946">
        <f>H946-C946/42-P946</f>
        <v/>
      </c>
      <c r="R946">
        <f>H946-E946</f>
        <v/>
      </c>
    </row>
    <row r="947">
      <c r="A947" s="3" t="n">
        <v>44970</v>
      </c>
      <c r="B947" s="3" t="n">
        <v>44967</v>
      </c>
      <c r="C947" t="n">
        <v>77.51000000000001</v>
      </c>
      <c r="D947" t="n">
        <v>83.3</v>
      </c>
      <c r="E947" t="n">
        <v>2.502</v>
      </c>
      <c r="F947" t="n">
        <v>2.586</v>
      </c>
      <c r="G947" t="n">
        <v>2.848</v>
      </c>
      <c r="H947" t="n">
        <v>3.39</v>
      </c>
      <c r="J947" t="n">
        <v>3.765</v>
      </c>
      <c r="K947" t="n">
        <v>4.428</v>
      </c>
      <c r="L947" t="n">
        <v>14.8</v>
      </c>
      <c r="N947">
        <f>IF(OR(E947="",C947=""),"",E947-C947/42)</f>
        <v/>
      </c>
      <c r="O947">
        <f>IF(OR(E947="",D947=""),"",E947-D947/42)</f>
        <v/>
      </c>
      <c r="P947">
        <f>IF(L947="",M947/100,H947*L947/100)</f>
        <v/>
      </c>
      <c r="Q947">
        <f>H947-C947/42-P947</f>
        <v/>
      </c>
      <c r="R947">
        <f>H947-E947</f>
        <v/>
      </c>
    </row>
    <row r="948">
      <c r="A948" s="3" t="n">
        <v>44977</v>
      </c>
      <c r="B948" s="3" t="n">
        <v>44974</v>
      </c>
      <c r="C948" t="n">
        <v>78.51000000000001</v>
      </c>
      <c r="D948" t="n">
        <v>84.17</v>
      </c>
      <c r="E948" t="n">
        <v>2.502</v>
      </c>
      <c r="F948" t="n">
        <v>2.578</v>
      </c>
      <c r="G948" t="n">
        <v>2.986</v>
      </c>
      <c r="H948" t="n">
        <v>3.379</v>
      </c>
      <c r="J948" t="n">
        <v>3.826</v>
      </c>
      <c r="K948" t="n">
        <v>4.518</v>
      </c>
      <c r="L948" t="n">
        <v>14.8</v>
      </c>
      <c r="N948">
        <f>IF(OR(E948="",C948=""),"",E948-C948/42)</f>
        <v/>
      </c>
      <c r="O948">
        <f>IF(OR(E948="",D948=""),"",E948-D948/42)</f>
        <v/>
      </c>
      <c r="P948">
        <f>IF(L948="",M948/100,H948*L948/100)</f>
        <v/>
      </c>
      <c r="Q948">
        <f>H948-C948/42-P948</f>
        <v/>
      </c>
      <c r="R948">
        <f>H948-E948</f>
        <v/>
      </c>
    </row>
    <row r="949">
      <c r="A949" s="3" t="n">
        <v>44984</v>
      </c>
      <c r="B949" s="3" t="n">
        <v>44981</v>
      </c>
      <c r="C949" t="n">
        <v>75.42</v>
      </c>
      <c r="D949" t="n">
        <v>81.77</v>
      </c>
      <c r="E949" t="n">
        <v>2.275</v>
      </c>
      <c r="F949" t="n">
        <v>2.445</v>
      </c>
      <c r="G949" t="n">
        <v>2.902</v>
      </c>
      <c r="H949" t="n">
        <v>3.342</v>
      </c>
      <c r="J949" t="n">
        <v>3.782</v>
      </c>
      <c r="K949" t="n">
        <v>4.586</v>
      </c>
      <c r="L949" t="n">
        <v>14.8</v>
      </c>
      <c r="N949">
        <f>IF(OR(E949="",C949=""),"",E949-C949/42)</f>
        <v/>
      </c>
      <c r="O949">
        <f>IF(OR(E949="",D949=""),"",E949-D949/42)</f>
        <v/>
      </c>
      <c r="P949">
        <f>IF(L949="",M949/100,H949*L949/100)</f>
        <v/>
      </c>
      <c r="Q949">
        <f>H949-C949/42-P949</f>
        <v/>
      </c>
      <c r="R949">
        <f>H949-E949</f>
        <v/>
      </c>
    </row>
    <row r="950">
      <c r="A950" s="3" t="n">
        <v>44991</v>
      </c>
      <c r="B950" s="3" t="n">
        <v>44988</v>
      </c>
      <c r="C950" t="n">
        <v>77.54000000000001</v>
      </c>
      <c r="D950" t="n">
        <v>83.59999999999999</v>
      </c>
      <c r="E950" t="n">
        <v>2.381</v>
      </c>
      <c r="F950" t="n">
        <v>2.552</v>
      </c>
      <c r="G950" t="n">
        <v>3.109</v>
      </c>
      <c r="H950" t="n">
        <v>3.389</v>
      </c>
      <c r="J950" t="n">
        <v>3.742</v>
      </c>
      <c r="K950" t="n">
        <v>4.704</v>
      </c>
      <c r="L950" t="n">
        <v>14.7</v>
      </c>
      <c r="N950">
        <f>IF(OR(E950="",C950=""),"",E950-C950/42)</f>
        <v/>
      </c>
      <c r="O950">
        <f>IF(OR(E950="",D950=""),"",E950-D950/42)</f>
        <v/>
      </c>
      <c r="P950">
        <f>IF(L950="",M950/100,H950*L950/100)</f>
        <v/>
      </c>
      <c r="Q950">
        <f>H950-C950/42-P950</f>
        <v/>
      </c>
      <c r="R950">
        <f>H950-E950</f>
        <v/>
      </c>
    </row>
    <row r="951">
      <c r="A951" s="3" t="n">
        <v>44998</v>
      </c>
      <c r="B951" s="3" t="n">
        <v>44995</v>
      </c>
      <c r="C951" t="n">
        <v>77.31</v>
      </c>
      <c r="D951" t="n">
        <v>82.86</v>
      </c>
      <c r="E951" t="n">
        <v>2.55</v>
      </c>
      <c r="F951" t="n">
        <v>2.534</v>
      </c>
      <c r="G951" t="n">
        <v>2.916</v>
      </c>
      <c r="H951" t="n">
        <v>3.456</v>
      </c>
      <c r="J951" t="n">
        <v>3.73</v>
      </c>
      <c r="K951" t="n">
        <v>4.732</v>
      </c>
      <c r="L951" t="n">
        <v>14.7</v>
      </c>
      <c r="N951">
        <f>IF(OR(E951="",C951=""),"",E951-C951/42)</f>
        <v/>
      </c>
      <c r="O951">
        <f>IF(OR(E951="",D951=""),"",E951-D951/42)</f>
        <v/>
      </c>
      <c r="P951">
        <f>IF(L951="",M951/100,H951*L951/100)</f>
        <v/>
      </c>
      <c r="Q951">
        <f>H951-C951/42-P951</f>
        <v/>
      </c>
      <c r="R951">
        <f>H951-E951</f>
        <v/>
      </c>
    </row>
    <row r="952">
      <c r="A952" s="3" t="n">
        <v>45005</v>
      </c>
      <c r="B952" s="3" t="n">
        <v>45002</v>
      </c>
      <c r="C952" t="n">
        <v>69.59999999999999</v>
      </c>
      <c r="D952" t="n">
        <v>74.98</v>
      </c>
      <c r="E952" t="n">
        <v>2.473</v>
      </c>
      <c r="F952" t="n">
        <v>2.382</v>
      </c>
      <c r="G952" t="n">
        <v>2.56</v>
      </c>
      <c r="H952" t="n">
        <v>3.422</v>
      </c>
      <c r="J952" t="n">
        <v>3.631</v>
      </c>
      <c r="K952" t="n">
        <v>4.656</v>
      </c>
      <c r="L952" t="n">
        <v>14.7</v>
      </c>
      <c r="N952">
        <f>IF(OR(E952="",C952=""),"",E952-C952/42)</f>
        <v/>
      </c>
      <c r="O952">
        <f>IF(OR(E952="",D952=""),"",E952-D952/42)</f>
        <v/>
      </c>
      <c r="P952">
        <f>IF(L952="",M952/100,H952*L952/100)</f>
        <v/>
      </c>
      <c r="Q952">
        <f>H952-C952/42-P952</f>
        <v/>
      </c>
      <c r="R952">
        <f>H952-E952</f>
        <v/>
      </c>
    </row>
    <row r="953">
      <c r="A953" s="3" t="n">
        <v>45012</v>
      </c>
      <c r="B953" s="3" t="n">
        <v>45009</v>
      </c>
      <c r="C953" t="n">
        <v>69.33</v>
      </c>
      <c r="D953" t="n">
        <v>74.23999999999999</v>
      </c>
      <c r="E953" t="n">
        <v>2.523</v>
      </c>
      <c r="F953" t="n">
        <v>2.492</v>
      </c>
      <c r="G953" t="n">
        <v>2.529</v>
      </c>
      <c r="H953" t="n">
        <v>3.421</v>
      </c>
      <c r="J953" t="n">
        <v>3.537</v>
      </c>
      <c r="K953" t="n">
        <v>4.634</v>
      </c>
      <c r="L953" t="n">
        <v>14.7</v>
      </c>
      <c r="N953">
        <f>IF(OR(E953="",C953=""),"",E953-C953/42)</f>
        <v/>
      </c>
      <c r="O953">
        <f>IF(OR(E953="",D953=""),"",E953-D953/42)</f>
        <v/>
      </c>
      <c r="P953">
        <f>IF(L953="",M953/100,H953*L953/100)</f>
        <v/>
      </c>
      <c r="Q953">
        <f>H953-C953/42-P953</f>
        <v/>
      </c>
      <c r="R953">
        <f>H953-E953</f>
        <v/>
      </c>
    </row>
    <row r="954">
      <c r="A954" s="3" t="n">
        <v>45019</v>
      </c>
      <c r="B954" s="3" t="n">
        <v>45016</v>
      </c>
      <c r="C954" t="n">
        <v>73.79000000000001</v>
      </c>
      <c r="D954" t="n">
        <v>78</v>
      </c>
      <c r="E954" t="n">
        <v>2.62</v>
      </c>
      <c r="F954" t="n">
        <v>2.595</v>
      </c>
      <c r="G954" t="n">
        <v>2.783</v>
      </c>
      <c r="H954" t="n">
        <v>3.497</v>
      </c>
      <c r="J954" t="n">
        <v>3.465</v>
      </c>
      <c r="K954" t="n">
        <v>4.625</v>
      </c>
      <c r="L954" t="n">
        <v>14</v>
      </c>
      <c r="N954">
        <f>IF(OR(E954="",C954=""),"",E954-C954/42)</f>
        <v/>
      </c>
      <c r="O954">
        <f>IF(OR(E954="",D954=""),"",E954-D954/42)</f>
        <v/>
      </c>
      <c r="P954">
        <f>IF(L954="",M954/100,H954*L954/100)</f>
        <v/>
      </c>
      <c r="Q954">
        <f>H954-C954/42-P954</f>
        <v/>
      </c>
      <c r="R954">
        <f>H954-E954</f>
        <v/>
      </c>
    </row>
    <row r="955">
      <c r="A955" s="3" t="n">
        <v>45026</v>
      </c>
      <c r="B955" s="3" t="n">
        <v>45023</v>
      </c>
      <c r="C955" t="n">
        <v>80.62</v>
      </c>
      <c r="D955" t="n">
        <v>85.98999999999999</v>
      </c>
      <c r="E955" t="n">
        <v>2.718</v>
      </c>
      <c r="F955" t="n">
        <v>2.825</v>
      </c>
      <c r="G955" t="n">
        <v>2.905</v>
      </c>
      <c r="H955" t="n">
        <v>3.596</v>
      </c>
      <c r="J955" t="n">
        <v>3.438</v>
      </c>
      <c r="K955" t="n">
        <v>4.682</v>
      </c>
      <c r="L955" t="n">
        <v>14</v>
      </c>
      <c r="N955">
        <f>IF(OR(E955="",C955=""),"",E955-C955/42)</f>
        <v/>
      </c>
      <c r="O955">
        <f>IF(OR(E955="",D955=""),"",E955-D955/42)</f>
        <v/>
      </c>
      <c r="P955">
        <f>IF(L955="",M955/100,H955*L955/100)</f>
        <v/>
      </c>
      <c r="Q955">
        <f>H955-C955/42-P955</f>
        <v/>
      </c>
      <c r="R955">
        <f>H955-E955</f>
        <v/>
      </c>
    </row>
    <row r="956">
      <c r="A956" s="3" t="n">
        <v>45033</v>
      </c>
      <c r="B956" s="3" t="n">
        <v>45030</v>
      </c>
      <c r="C956" t="n">
        <v>81.87</v>
      </c>
      <c r="D956" t="n">
        <v>87.36</v>
      </c>
      <c r="E956" t="n">
        <v>2.774</v>
      </c>
      <c r="F956" t="n">
        <v>2.907</v>
      </c>
      <c r="G956" t="n">
        <v>2.938</v>
      </c>
      <c r="H956" t="n">
        <v>3.663</v>
      </c>
      <c r="J956" t="n">
        <v>3.524</v>
      </c>
      <c r="K956" t="n">
        <v>4.725</v>
      </c>
      <c r="L956" t="n">
        <v>14</v>
      </c>
      <c r="N956">
        <f>IF(OR(E956="",C956=""),"",E956-C956/42)</f>
        <v/>
      </c>
      <c r="O956">
        <f>IF(OR(E956="",D956=""),"",E956-D956/42)</f>
        <v/>
      </c>
      <c r="P956">
        <f>IF(L956="",M956/100,H956*L956/100)</f>
        <v/>
      </c>
      <c r="Q956">
        <f>H956-C956/42-P956</f>
        <v/>
      </c>
      <c r="R956">
        <f>H956-E956</f>
        <v/>
      </c>
    </row>
    <row r="957">
      <c r="A957" s="3" t="n">
        <v>45040</v>
      </c>
      <c r="B957" s="3" t="n">
        <v>45037</v>
      </c>
      <c r="C957" t="n">
        <v>79.22</v>
      </c>
      <c r="D957" t="n">
        <v>84.62</v>
      </c>
      <c r="E957" t="n">
        <v>2.554</v>
      </c>
      <c r="F957" t="n">
        <v>2.712</v>
      </c>
      <c r="G957" t="n">
        <v>2.681</v>
      </c>
      <c r="H957" t="n">
        <v>3.656</v>
      </c>
      <c r="J957" t="n">
        <v>3.547</v>
      </c>
      <c r="K957" t="n">
        <v>4.694</v>
      </c>
      <c r="L957" t="n">
        <v>14</v>
      </c>
      <c r="N957">
        <f>IF(OR(E957="",C957=""),"",E957-C957/42)</f>
        <v/>
      </c>
      <c r="O957">
        <f>IF(OR(E957="",D957=""),"",E957-D957/42)</f>
        <v/>
      </c>
      <c r="P957">
        <f>IF(L957="",M957/100,H957*L957/100)</f>
        <v/>
      </c>
      <c r="Q957">
        <f>H957-C957/42-P957</f>
        <v/>
      </c>
      <c r="R957">
        <f>H957-E957</f>
        <v/>
      </c>
    </row>
    <row r="958">
      <c r="A958" s="3" t="n">
        <v>45047</v>
      </c>
      <c r="B958" s="3" t="n">
        <v>45044</v>
      </c>
      <c r="C958" t="n">
        <v>76.31</v>
      </c>
      <c r="D958" t="n">
        <v>81.40000000000001</v>
      </c>
      <c r="E958" t="n">
        <v>2.438</v>
      </c>
      <c r="F958" t="n">
        <v>2.629</v>
      </c>
      <c r="G958" t="n">
        <v>2.695</v>
      </c>
      <c r="H958" t="n">
        <v>3.6</v>
      </c>
      <c r="J958" t="n">
        <v>3.534</v>
      </c>
      <c r="K958" t="n">
        <v>4.661</v>
      </c>
      <c r="L958" t="n">
        <v>14.2</v>
      </c>
      <c r="N958">
        <f>IF(OR(E958="",C958=""),"",E958-C958/42)</f>
        <v/>
      </c>
      <c r="O958">
        <f>IF(OR(E958="",D958=""),"",E958-D958/42)</f>
        <v/>
      </c>
      <c r="P958">
        <f>IF(L958="",M958/100,H958*L958/100)</f>
        <v/>
      </c>
      <c r="Q958">
        <f>H958-C958/42-P958</f>
        <v/>
      </c>
      <c r="R958">
        <f>H958-E958</f>
        <v/>
      </c>
    </row>
    <row r="959">
      <c r="A959" s="3" t="n">
        <v>45054</v>
      </c>
      <c r="B959" s="3" t="n">
        <v>45051</v>
      </c>
      <c r="C959" t="n">
        <v>71.16</v>
      </c>
      <c r="D959" t="n">
        <v>74.62</v>
      </c>
      <c r="E959" t="n">
        <v>2.322</v>
      </c>
      <c r="F959" t="n">
        <v>2.477</v>
      </c>
      <c r="G959" t="n">
        <v>2.529</v>
      </c>
      <c r="H959" t="n">
        <v>3.533</v>
      </c>
      <c r="J959" t="n">
        <v>3.538</v>
      </c>
      <c r="K959" t="n">
        <v>4.638</v>
      </c>
      <c r="L959" t="n">
        <v>14.2</v>
      </c>
      <c r="N959">
        <f>IF(OR(E959="",C959=""),"",E959-C959/42)</f>
        <v/>
      </c>
      <c r="O959">
        <f>IF(OR(E959="",D959=""),"",E959-D959/42)</f>
        <v/>
      </c>
      <c r="P959">
        <f>IF(L959="",M959/100,H959*L959/100)</f>
        <v/>
      </c>
      <c r="Q959">
        <f>H959-C959/42-P959</f>
        <v/>
      </c>
      <c r="R959">
        <f>H959-E959</f>
        <v/>
      </c>
    </row>
    <row r="960">
      <c r="A960" s="3" t="n">
        <v>45061</v>
      </c>
      <c r="B960" s="3" t="n">
        <v>45058</v>
      </c>
      <c r="C960" t="n">
        <v>72.03</v>
      </c>
      <c r="D960" t="n">
        <v>76.08</v>
      </c>
      <c r="E960" t="n">
        <v>2.402</v>
      </c>
      <c r="F960" t="n">
        <v>2.529</v>
      </c>
      <c r="G960" t="n">
        <v>2.569</v>
      </c>
      <c r="H960" t="n">
        <v>3.536</v>
      </c>
      <c r="J960" t="n">
        <v>3.518</v>
      </c>
      <c r="K960" t="n">
        <v>4.615</v>
      </c>
      <c r="L960" t="n">
        <v>14.2</v>
      </c>
      <c r="N960">
        <f>IF(OR(E960="",C960=""),"",E960-C960/42)</f>
        <v/>
      </c>
      <c r="O960">
        <f>IF(OR(E960="",D960=""),"",E960-D960/42)</f>
        <v/>
      </c>
      <c r="P960">
        <f>IF(L960="",M960/100,H960*L960/100)</f>
        <v/>
      </c>
      <c r="Q960">
        <f>H960-C960/42-P960</f>
        <v/>
      </c>
      <c r="R960">
        <f>H960-E960</f>
        <v/>
      </c>
    </row>
    <row r="961">
      <c r="A961" s="3" t="n">
        <v>45068</v>
      </c>
      <c r="B961" s="3" t="n">
        <v>45065</v>
      </c>
      <c r="C961" t="n">
        <v>71.62</v>
      </c>
      <c r="D961" t="n">
        <v>75.75</v>
      </c>
      <c r="E961" t="n">
        <v>2.438</v>
      </c>
      <c r="F961" t="n">
        <v>2.57</v>
      </c>
      <c r="G961" t="n">
        <v>2.685</v>
      </c>
      <c r="H961" t="n">
        <v>3.534</v>
      </c>
      <c r="J961" t="n">
        <v>3.579</v>
      </c>
      <c r="K961" t="n">
        <v>4.609</v>
      </c>
      <c r="L961" t="n">
        <v>14.2</v>
      </c>
      <c r="N961">
        <f>IF(OR(E961="",C961=""),"",E961-C961/42)</f>
        <v/>
      </c>
      <c r="O961">
        <f>IF(OR(E961="",D961=""),"",E961-D961/42)</f>
        <v/>
      </c>
      <c r="P961">
        <f>IF(L961="",M961/100,H961*L961/100)</f>
        <v/>
      </c>
      <c r="Q961">
        <f>H961-C961/42-P961</f>
        <v/>
      </c>
      <c r="R961">
        <f>H961-E961</f>
        <v/>
      </c>
    </row>
    <row r="962">
      <c r="A962" s="3" t="n">
        <v>45075</v>
      </c>
      <c r="B962" s="3" t="n">
        <v>45072</v>
      </c>
      <c r="C962" t="n">
        <v>72.62</v>
      </c>
      <c r="D962" t="n">
        <v>76.48</v>
      </c>
      <c r="E962" t="n">
        <v>2.602</v>
      </c>
      <c r="F962" t="n">
        <v>2.705</v>
      </c>
      <c r="G962" t="n">
        <v>2.858</v>
      </c>
      <c r="H962" t="n">
        <v>3.571</v>
      </c>
      <c r="J962" t="n">
        <v>3.622</v>
      </c>
      <c r="K962" t="n">
        <v>4.643</v>
      </c>
      <c r="L962" t="n">
        <v>14.2</v>
      </c>
      <c r="N962">
        <f>IF(OR(E962="",C962=""),"",E962-C962/42)</f>
        <v/>
      </c>
      <c r="O962">
        <f>IF(OR(E962="",D962=""),"",E962-D962/42)</f>
        <v/>
      </c>
      <c r="P962">
        <f>IF(L962="",M962/100,H962*L962/100)</f>
        <v/>
      </c>
      <c r="Q962">
        <f>H962-C962/42-P962</f>
        <v/>
      </c>
      <c r="R962">
        <f>H962-E962</f>
        <v/>
      </c>
    </row>
    <row r="963">
      <c r="A963" s="3" t="n">
        <v>45082</v>
      </c>
      <c r="B963" s="3" t="n">
        <v>45079</v>
      </c>
      <c r="C963" t="n">
        <v>69.84999999999999</v>
      </c>
      <c r="D963" t="n">
        <v>73.89</v>
      </c>
      <c r="E963" t="n">
        <v>2.445</v>
      </c>
      <c r="F963" t="n">
        <v>2.634</v>
      </c>
      <c r="G963" t="n">
        <v>2.743</v>
      </c>
      <c r="H963" t="n">
        <v>3.541</v>
      </c>
      <c r="J963" t="n">
        <v>3.654</v>
      </c>
      <c r="K963" t="n">
        <v>4.648</v>
      </c>
      <c r="L963" t="n">
        <v>14.1</v>
      </c>
      <c r="N963">
        <f>IF(OR(E963="",C963=""),"",E963-C963/42)</f>
        <v/>
      </c>
      <c r="O963">
        <f>IF(OR(E963="",D963=""),"",E963-D963/42)</f>
        <v/>
      </c>
      <c r="P963">
        <f>IF(L963="",M963/100,H963*L963/100)</f>
        <v/>
      </c>
      <c r="Q963">
        <f>H963-C963/42-P963</f>
        <v/>
      </c>
      <c r="R963">
        <f>H963-E963</f>
        <v/>
      </c>
    </row>
    <row r="964">
      <c r="A964" s="3" t="n">
        <v>45089</v>
      </c>
      <c r="B964" s="3" t="n">
        <v>45086</v>
      </c>
      <c r="C964" t="n">
        <v>71.56</v>
      </c>
      <c r="D964" t="n">
        <v>76.06</v>
      </c>
      <c r="E964" t="n">
        <v>2.495</v>
      </c>
      <c r="F964" t="n">
        <v>2.774</v>
      </c>
      <c r="G964" t="n">
        <v>2.906</v>
      </c>
      <c r="H964" t="n">
        <v>3.595</v>
      </c>
      <c r="J964" t="n">
        <v>3.707</v>
      </c>
      <c r="K964" t="n">
        <v>4.709</v>
      </c>
      <c r="L964" t="n">
        <v>14.1</v>
      </c>
      <c r="N964">
        <f>IF(OR(E964="",C964=""),"",E964-C964/42)</f>
        <v/>
      </c>
      <c r="O964">
        <f>IF(OR(E964="",D964=""),"",E964-D964/42)</f>
        <v/>
      </c>
      <c r="P964">
        <f>IF(L964="",M964/100,H964*L964/100)</f>
        <v/>
      </c>
      <c r="Q964">
        <f>H964-C964/42-P964</f>
        <v/>
      </c>
      <c r="R964">
        <f>H964-E964</f>
        <v/>
      </c>
    </row>
    <row r="965">
      <c r="A965" s="3" t="n">
        <v>45096</v>
      </c>
      <c r="B965" s="3" t="n">
        <v>45093</v>
      </c>
      <c r="C965" t="n">
        <v>69.42</v>
      </c>
      <c r="D965" t="n">
        <v>74.39</v>
      </c>
      <c r="E965" t="n">
        <v>2.454</v>
      </c>
      <c r="F965" t="n">
        <v>2.701</v>
      </c>
      <c r="G965" t="n">
        <v>2.798</v>
      </c>
      <c r="H965" t="n">
        <v>3.577</v>
      </c>
      <c r="J965" t="n">
        <v>3.721</v>
      </c>
      <c r="K965" t="n">
        <v>4.689</v>
      </c>
      <c r="L965" t="n">
        <v>14.1</v>
      </c>
      <c r="N965">
        <f>IF(OR(E965="",C965=""),"",E965-C965/42)</f>
        <v/>
      </c>
      <c r="O965">
        <f>IF(OR(E965="",D965=""),"",E965-D965/42)</f>
        <v/>
      </c>
      <c r="P965">
        <f>IF(L965="",M965/100,H965*L965/100)</f>
        <v/>
      </c>
      <c r="Q965">
        <f>H965-C965/42-P965</f>
        <v/>
      </c>
      <c r="R965">
        <f>H965-E965</f>
        <v/>
      </c>
    </row>
    <row r="966">
      <c r="A966" s="3" t="n">
        <v>45103</v>
      </c>
      <c r="B966" s="3" t="n">
        <v>45100</v>
      </c>
      <c r="C966" t="n">
        <v>70.41</v>
      </c>
      <c r="D966" t="n">
        <v>75.26000000000001</v>
      </c>
      <c r="E966" t="n">
        <v>2.408</v>
      </c>
      <c r="F966" t="n">
        <v>2.568</v>
      </c>
      <c r="G966" t="n">
        <v>2.698</v>
      </c>
      <c r="H966" t="n">
        <v>3.571</v>
      </c>
      <c r="J966" t="n">
        <v>3.734</v>
      </c>
      <c r="K966" t="n">
        <v>4.649</v>
      </c>
      <c r="L966" t="n">
        <v>14.1</v>
      </c>
      <c r="N966">
        <f>IF(OR(E966="",C966=""),"",E966-C966/42)</f>
        <v/>
      </c>
      <c r="O966">
        <f>IF(OR(E966="",D966=""),"",E966-D966/42)</f>
        <v/>
      </c>
      <c r="P966">
        <f>IF(L966="",M966/100,H966*L966/100)</f>
        <v/>
      </c>
      <c r="Q966">
        <f>H966-C966/42-P966</f>
        <v/>
      </c>
      <c r="R966">
        <f>H966-E966</f>
        <v/>
      </c>
    </row>
    <row r="967">
      <c r="A967" s="3" t="n">
        <v>45110</v>
      </c>
      <c r="B967" s="3" t="n">
        <v>45107</v>
      </c>
      <c r="C967" t="n">
        <v>69.36</v>
      </c>
      <c r="D967" t="n">
        <v>73.55</v>
      </c>
      <c r="E967" t="n">
        <v>2.364</v>
      </c>
      <c r="F967" t="n">
        <v>2.56</v>
      </c>
      <c r="G967" t="n">
        <v>2.828</v>
      </c>
      <c r="H967" t="n">
        <v>3.527</v>
      </c>
      <c r="J967" t="n">
        <v>3.79</v>
      </c>
      <c r="K967" t="n">
        <v>4.651</v>
      </c>
      <c r="L967" t="n">
        <v>14.1</v>
      </c>
      <c r="N967">
        <f>IF(OR(E967="",C967=""),"",E967-C967/42)</f>
        <v/>
      </c>
      <c r="O967">
        <f>IF(OR(E967="",D967=""),"",E967-D967/42)</f>
        <v/>
      </c>
      <c r="P967">
        <f>IF(L967="",M967/100,H967*L967/100)</f>
        <v/>
      </c>
      <c r="Q967">
        <f>H967-C967/42-P967</f>
        <v/>
      </c>
      <c r="R967">
        <f>H967-E967</f>
        <v/>
      </c>
    </row>
    <row r="968">
      <c r="A968" s="3" t="n">
        <v>45117</v>
      </c>
      <c r="B968" s="3" t="n">
        <v>45114</v>
      </c>
      <c r="C968" t="n">
        <v>71.79000000000001</v>
      </c>
      <c r="D968" t="n">
        <v>76.59999999999999</v>
      </c>
      <c r="E968" t="n">
        <v>2.435</v>
      </c>
      <c r="F968" t="n">
        <v>2.551</v>
      </c>
      <c r="G968" t="n">
        <v>2.884</v>
      </c>
      <c r="H968" t="n">
        <v>3.546</v>
      </c>
      <c r="J968" t="n">
        <v>3.748</v>
      </c>
      <c r="K968" t="n">
        <v>4.675</v>
      </c>
      <c r="L968" t="n">
        <v>14.1</v>
      </c>
      <c r="N968">
        <f>IF(OR(E968="",C968=""),"",E968-C968/42)</f>
        <v/>
      </c>
      <c r="O968">
        <f>IF(OR(E968="",D968=""),"",E968-D968/42)</f>
        <v/>
      </c>
      <c r="P968">
        <f>IF(L968="",M968/100,H968*L968/100)</f>
        <v/>
      </c>
      <c r="Q968">
        <f>H968-C968/42-P968</f>
        <v/>
      </c>
      <c r="R968">
        <f>H968-E968</f>
        <v/>
      </c>
    </row>
    <row r="969">
      <c r="A969" s="3" t="n">
        <v>45124</v>
      </c>
      <c r="B969" s="3" t="n">
        <v>45121</v>
      </c>
      <c r="C969" t="n">
        <v>75.2</v>
      </c>
      <c r="D969" t="n">
        <v>79.79000000000001</v>
      </c>
      <c r="E969" t="n">
        <v>2.566</v>
      </c>
      <c r="F969" t="n">
        <v>2.649</v>
      </c>
      <c r="G969" t="n">
        <v>2.912</v>
      </c>
      <c r="H969" t="n">
        <v>3.559</v>
      </c>
      <c r="J969" t="n">
        <v>3.765</v>
      </c>
      <c r="K969" t="n">
        <v>4.721</v>
      </c>
      <c r="L969" t="n">
        <v>14.1</v>
      </c>
      <c r="N969">
        <f>IF(OR(E969="",C969=""),"",E969-C969/42)</f>
        <v/>
      </c>
      <c r="O969">
        <f>IF(OR(E969="",D969=""),"",E969-D969/42)</f>
        <v/>
      </c>
      <c r="P969">
        <f>IF(L969="",M969/100,H969*L969/100)</f>
        <v/>
      </c>
      <c r="Q969">
        <f>H969-C969/42-P969</f>
        <v/>
      </c>
      <c r="R969">
        <f>H969-E969</f>
        <v/>
      </c>
    </row>
    <row r="970">
      <c r="A970" s="3" t="n">
        <v>45131</v>
      </c>
      <c r="B970" s="3" t="n">
        <v>45128</v>
      </c>
      <c r="C970" t="n">
        <v>75.61</v>
      </c>
      <c r="D970" t="n">
        <v>79.48</v>
      </c>
      <c r="E970" t="n">
        <v>2.672</v>
      </c>
      <c r="F970" t="n">
        <v>2.677</v>
      </c>
      <c r="G970" t="n">
        <v>2.878</v>
      </c>
      <c r="H970" t="n">
        <v>3.596</v>
      </c>
      <c r="J970" t="n">
        <v>3.755</v>
      </c>
      <c r="K970" t="n">
        <v>4.709</v>
      </c>
      <c r="L970" t="n">
        <v>14.1</v>
      </c>
      <c r="N970">
        <f>IF(OR(E970="",C970=""),"",E970-C970/42)</f>
        <v/>
      </c>
      <c r="O970">
        <f>IF(OR(E970="",D970=""),"",E970-D970/42)</f>
        <v/>
      </c>
      <c r="P970">
        <f>IF(L970="",M970/100,H970*L970/100)</f>
        <v/>
      </c>
      <c r="Q970">
        <f>H970-C970/42-P970</f>
        <v/>
      </c>
      <c r="R970">
        <f>H970-E970</f>
        <v/>
      </c>
    </row>
    <row r="971">
      <c r="A971" s="3" t="n">
        <v>45138</v>
      </c>
      <c r="B971" s="3" t="n">
        <v>45135</v>
      </c>
      <c r="C971" t="n">
        <v>79.68000000000001</v>
      </c>
      <c r="D971" t="n">
        <v>83.55</v>
      </c>
      <c r="E971" t="n">
        <v>2.921</v>
      </c>
      <c r="F971" t="n">
        <v>2.856</v>
      </c>
      <c r="G971" t="n">
        <v>3.143</v>
      </c>
      <c r="H971" t="n">
        <v>3.757</v>
      </c>
      <c r="J971" t="n">
        <v>3.873</v>
      </c>
      <c r="K971" t="n">
        <v>4.828</v>
      </c>
      <c r="L971" t="n">
        <v>14.1</v>
      </c>
      <c r="N971">
        <f>IF(OR(E971="",C971=""),"",E971-C971/42)</f>
        <v/>
      </c>
      <c r="O971">
        <f>IF(OR(E971="",D971=""),"",E971-D971/42)</f>
        <v/>
      </c>
      <c r="P971">
        <f>IF(L971="",M971/100,H971*L971/100)</f>
        <v/>
      </c>
      <c r="Q971">
        <f>H971-C971/42-P971</f>
        <v/>
      </c>
      <c r="R971">
        <f>H971-E971</f>
        <v/>
      </c>
    </row>
    <row r="972">
      <c r="A972" s="3" t="n">
        <v>45145</v>
      </c>
      <c r="B972" s="3" t="n">
        <v>45142</v>
      </c>
      <c r="C972" t="n">
        <v>81.40000000000001</v>
      </c>
      <c r="D972" t="n">
        <v>85.63</v>
      </c>
      <c r="E972" t="n">
        <v>2.854</v>
      </c>
      <c r="F972" t="n">
        <v>2.838</v>
      </c>
      <c r="G972" t="n">
        <v>3.126</v>
      </c>
      <c r="H972" t="n">
        <v>3.828</v>
      </c>
      <c r="J972" t="n">
        <v>3.944</v>
      </c>
      <c r="K972" t="n">
        <v>4.901</v>
      </c>
      <c r="L972" t="n">
        <v>13.2</v>
      </c>
      <c r="N972">
        <f>IF(OR(E972="",C972=""),"",E972-C972/42)</f>
        <v/>
      </c>
      <c r="O972">
        <f>IF(OR(E972="",D972=""),"",E972-D972/42)</f>
        <v/>
      </c>
      <c r="P972">
        <f>IF(L972="",M972/100,H972*L972/100)</f>
        <v/>
      </c>
      <c r="Q972">
        <f>H972-C972/42-P972</f>
        <v/>
      </c>
      <c r="R972">
        <f>H972-E972</f>
        <v/>
      </c>
    </row>
    <row r="973">
      <c r="A973" s="3" t="n">
        <v>45152</v>
      </c>
      <c r="B973" s="3" t="n">
        <v>45149</v>
      </c>
      <c r="C973" t="n">
        <v>83.04000000000001</v>
      </c>
      <c r="D973" t="n">
        <v>87.83</v>
      </c>
      <c r="E973" t="n">
        <v>2.931</v>
      </c>
      <c r="F973" t="n">
        <v>2.931</v>
      </c>
      <c r="G973" t="n">
        <v>3.195</v>
      </c>
      <c r="H973" t="n">
        <v>3.85</v>
      </c>
      <c r="J973" t="n">
        <v>3.954</v>
      </c>
      <c r="K973" t="n">
        <v>4.981</v>
      </c>
      <c r="L973" t="n">
        <v>13.2</v>
      </c>
      <c r="N973">
        <f>IF(OR(E973="",C973=""),"",E973-C973/42)</f>
        <v/>
      </c>
      <c r="O973">
        <f>IF(OR(E973="",D973=""),"",E973-D973/42)</f>
        <v/>
      </c>
      <c r="P973">
        <f>IF(L973="",M973/100,H973*L973/100)</f>
        <v/>
      </c>
      <c r="Q973">
        <f>H973-C973/42-P973</f>
        <v/>
      </c>
      <c r="R973">
        <f>H973-E973</f>
        <v/>
      </c>
    </row>
    <row r="974">
      <c r="A974" s="3" t="n">
        <v>45159</v>
      </c>
      <c r="B974" s="3" t="n">
        <v>45156</v>
      </c>
      <c r="C974" t="n">
        <v>80.93000000000001</v>
      </c>
      <c r="D974" t="n">
        <v>85.87</v>
      </c>
      <c r="E974" t="n">
        <v>2.904</v>
      </c>
      <c r="F974" t="n">
        <v>2.901</v>
      </c>
      <c r="G974" t="n">
        <v>3.237</v>
      </c>
      <c r="H974" t="n">
        <v>3.868</v>
      </c>
      <c r="J974" t="n">
        <v>4.039</v>
      </c>
      <c r="K974" t="n">
        <v>5.102</v>
      </c>
      <c r="L974" t="n">
        <v>13.2</v>
      </c>
      <c r="N974">
        <f>IF(OR(E974="",C974=""),"",E974-C974/42)</f>
        <v/>
      </c>
      <c r="O974">
        <f>IF(OR(E974="",D974=""),"",E974-D974/42)</f>
        <v/>
      </c>
      <c r="P974">
        <f>IF(L974="",M974/100,H974*L974/100)</f>
        <v/>
      </c>
      <c r="Q974">
        <f>H974-C974/42-P974</f>
        <v/>
      </c>
      <c r="R974">
        <f>H974-E974</f>
        <v/>
      </c>
    </row>
    <row r="975">
      <c r="A975" s="3" t="n">
        <v>45166</v>
      </c>
      <c r="B975" s="3" t="n">
        <v>45163</v>
      </c>
      <c r="C975" t="n">
        <v>79.97</v>
      </c>
      <c r="D975" t="n">
        <v>84.70999999999999</v>
      </c>
      <c r="E975" t="n">
        <v>2.974</v>
      </c>
      <c r="F975" t="n">
        <v>2.852</v>
      </c>
      <c r="G975" t="n">
        <v>3.388</v>
      </c>
      <c r="H975" t="n">
        <v>3.813</v>
      </c>
      <c r="J975" t="n">
        <v>3.975</v>
      </c>
      <c r="K975" t="n">
        <v>5.106</v>
      </c>
      <c r="L975" t="n">
        <v>13.2</v>
      </c>
      <c r="N975">
        <f>IF(OR(E975="",C975=""),"",E975-C975/42)</f>
        <v/>
      </c>
      <c r="O975">
        <f>IF(OR(E975="",D975=""),"",E975-D975/42)</f>
        <v/>
      </c>
      <c r="P975">
        <f>IF(L975="",M975/100,H975*L975/100)</f>
        <v/>
      </c>
      <c r="Q975">
        <f>H975-C975/42-P975</f>
        <v/>
      </c>
      <c r="R975">
        <f>H975-E975</f>
        <v/>
      </c>
    </row>
    <row r="976">
      <c r="A976" s="3" t="n">
        <v>45173</v>
      </c>
      <c r="B976" s="3" t="n">
        <v>45170</v>
      </c>
      <c r="C976" t="n">
        <v>82.5</v>
      </c>
      <c r="D976" t="n">
        <v>87.56999999999999</v>
      </c>
      <c r="E976" t="n">
        <v>2.834</v>
      </c>
      <c r="F976" t="n">
        <v>2.806</v>
      </c>
      <c r="G976" t="n">
        <v>3.441</v>
      </c>
      <c r="H976" t="n">
        <v>3.807</v>
      </c>
      <c r="J976" t="n">
        <v>3.999</v>
      </c>
      <c r="K976" t="n">
        <v>5.146</v>
      </c>
      <c r="L976" t="n">
        <v>13.2</v>
      </c>
      <c r="N976">
        <f>IF(OR(E976="",C976=""),"",E976-C976/42)</f>
        <v/>
      </c>
      <c r="O976">
        <f>IF(OR(E976="",D976=""),"",E976-D976/42)</f>
        <v/>
      </c>
      <c r="P976">
        <f>IF(L976="",M976/100,H976*L976/100)</f>
        <v/>
      </c>
      <c r="Q976">
        <f>H976-C976/42-P976</f>
        <v/>
      </c>
      <c r="R976">
        <f>H976-E976</f>
        <v/>
      </c>
    </row>
    <row r="977">
      <c r="A977" s="3" t="n">
        <v>45180</v>
      </c>
      <c r="B977" s="3" t="n">
        <v>45177</v>
      </c>
      <c r="C977" t="n">
        <v>87.17</v>
      </c>
      <c r="D977" t="n">
        <v>91.29000000000001</v>
      </c>
      <c r="E977" t="n">
        <v>2.803</v>
      </c>
      <c r="F977" t="n">
        <v>2.884</v>
      </c>
      <c r="G977" t="n">
        <v>3.424</v>
      </c>
      <c r="H977" t="n">
        <v>3.822</v>
      </c>
      <c r="J977" t="n">
        <v>4.013</v>
      </c>
      <c r="K977" t="n">
        <v>5.254</v>
      </c>
      <c r="L977" t="n">
        <v>13.2</v>
      </c>
      <c r="N977">
        <f>IF(OR(E977="",C977=""),"",E977-C977/42)</f>
        <v/>
      </c>
      <c r="O977">
        <f>IF(OR(E977="",D977=""),"",E977-D977/42)</f>
        <v/>
      </c>
      <c r="P977">
        <f>IF(L977="",M977/100,H977*L977/100)</f>
        <v/>
      </c>
      <c r="Q977">
        <f>H977-C977/42-P977</f>
        <v/>
      </c>
      <c r="R977">
        <f>H977-E977</f>
        <v/>
      </c>
    </row>
    <row r="978">
      <c r="A978" s="3" t="n">
        <v>45187</v>
      </c>
      <c r="B978" s="3" t="n">
        <v>45184</v>
      </c>
      <c r="C978" t="n">
        <v>89.14</v>
      </c>
      <c r="D978" t="n">
        <v>93.87</v>
      </c>
      <c r="E978" t="n">
        <v>2.909</v>
      </c>
      <c r="F978" t="n">
        <v>3.013</v>
      </c>
      <c r="G978" t="n">
        <v>3.773</v>
      </c>
      <c r="H978" t="n">
        <v>3.878</v>
      </c>
      <c r="J978" t="n">
        <v>4.071</v>
      </c>
      <c r="K978" t="n">
        <v>5.549</v>
      </c>
      <c r="L978" t="n">
        <v>13.2</v>
      </c>
      <c r="N978">
        <f>IF(OR(E978="",C978=""),"",E978-C978/42)</f>
        <v/>
      </c>
      <c r="O978">
        <f>IF(OR(E978="",D978=""),"",E978-D978/42)</f>
        <v/>
      </c>
      <c r="P978">
        <f>IF(L978="",M978/100,H978*L978/100)</f>
        <v/>
      </c>
      <c r="Q978">
        <f>H978-C978/42-P978</f>
        <v/>
      </c>
      <c r="R978">
        <f>H978-E978</f>
        <v/>
      </c>
    </row>
    <row r="979">
      <c r="A979" s="3" t="n">
        <v>45194</v>
      </c>
      <c r="B979" s="3" t="n">
        <v>45191</v>
      </c>
      <c r="C979" t="n">
        <v>90.28</v>
      </c>
      <c r="D979" t="n">
        <v>94.86</v>
      </c>
      <c r="E979" t="n">
        <v>2.837</v>
      </c>
      <c r="F979" t="n">
        <v>2.898</v>
      </c>
      <c r="G979" t="n">
        <v>3.905</v>
      </c>
      <c r="H979" t="n">
        <v>3.837</v>
      </c>
      <c r="J979" t="n">
        <v>3.996</v>
      </c>
      <c r="K979" t="n">
        <v>5.699</v>
      </c>
      <c r="L979" t="n">
        <v>13.2</v>
      </c>
      <c r="N979">
        <f>IF(OR(E979="",C979=""),"",E979-C979/42)</f>
        <v/>
      </c>
      <c r="O979">
        <f>IF(OR(E979="",D979=""),"",E979-D979/42)</f>
        <v/>
      </c>
      <c r="P979">
        <f>IF(L979="",M979/100,H979*L979/100)</f>
        <v/>
      </c>
      <c r="Q979">
        <f>H979-C979/42-P979</f>
        <v/>
      </c>
      <c r="R979">
        <f>H979-E979</f>
        <v/>
      </c>
    </row>
    <row r="980">
      <c r="A980" s="3" t="n">
        <v>45201</v>
      </c>
      <c r="B980" s="3" t="n">
        <v>45198</v>
      </c>
      <c r="C980" t="n">
        <v>91.44</v>
      </c>
      <c r="D980" t="n">
        <v>95.61</v>
      </c>
      <c r="E980" t="n">
        <v>2.75</v>
      </c>
      <c r="F980" t="n">
        <v>2.826</v>
      </c>
      <c r="G980" t="n">
        <v>4.026</v>
      </c>
      <c r="H980" t="n">
        <v>3.798</v>
      </c>
      <c r="J980" t="n">
        <v>3.92</v>
      </c>
      <c r="K980" t="n">
        <v>5.901</v>
      </c>
      <c r="L980" t="n">
        <v>14</v>
      </c>
      <c r="N980">
        <f>IF(OR(E980="",C980=""),"",E980-C980/42)</f>
        <v/>
      </c>
      <c r="O980">
        <f>IF(OR(E980="",D980=""),"",E980-D980/42)</f>
        <v/>
      </c>
      <c r="P980">
        <f>IF(L980="",M980/100,H980*L980/100)</f>
        <v/>
      </c>
      <c r="Q980">
        <f>H980-C980/42-P980</f>
        <v/>
      </c>
      <c r="R980">
        <f>H980-E980</f>
        <v/>
      </c>
    </row>
    <row r="981">
      <c r="A981" s="3" t="n">
        <v>45208</v>
      </c>
      <c r="B981" s="3" t="n">
        <v>45205</v>
      </c>
      <c r="C981" t="n">
        <v>85.5</v>
      </c>
      <c r="D981" t="n">
        <v>90.33</v>
      </c>
      <c r="E981" t="n">
        <v>2.409</v>
      </c>
      <c r="F981" t="n">
        <v>2.536</v>
      </c>
      <c r="G981" t="n">
        <v>2.803</v>
      </c>
      <c r="H981" t="n">
        <v>3.684</v>
      </c>
      <c r="J981" t="n">
        <v>3.82</v>
      </c>
      <c r="K981" t="n">
        <v>5.604</v>
      </c>
      <c r="L981" t="n">
        <v>14</v>
      </c>
      <c r="N981">
        <f>IF(OR(E981="",C981=""),"",E981-C981/42)</f>
        <v/>
      </c>
      <c r="O981">
        <f>IF(OR(E981="",D981=""),"",E981-D981/42)</f>
        <v/>
      </c>
      <c r="P981">
        <f>IF(L981="",M981/100,H981*L981/100)</f>
        <v/>
      </c>
      <c r="Q981">
        <f>H981-C981/42-P981</f>
        <v/>
      </c>
      <c r="R981">
        <f>H981-E981</f>
        <v/>
      </c>
    </row>
    <row r="982">
      <c r="A982" s="3" t="n">
        <v>45215</v>
      </c>
      <c r="B982" s="3" t="n">
        <v>45212</v>
      </c>
      <c r="C982" t="n">
        <v>85.03</v>
      </c>
      <c r="D982" t="n">
        <v>90.48</v>
      </c>
      <c r="E982" t="n">
        <v>2.283</v>
      </c>
      <c r="F982" t="n">
        <v>2.527</v>
      </c>
      <c r="G982" t="n">
        <v>2.635</v>
      </c>
      <c r="H982" t="n">
        <v>3.576</v>
      </c>
      <c r="J982" t="n">
        <v>3.705</v>
      </c>
      <c r="K982" t="n">
        <v>5.399</v>
      </c>
      <c r="L982" t="n">
        <v>14</v>
      </c>
      <c r="N982">
        <f>IF(OR(E982="",C982=""),"",E982-C982/42)</f>
        <v/>
      </c>
      <c r="O982">
        <f>IF(OR(E982="",D982=""),"",E982-D982/42)</f>
        <v/>
      </c>
      <c r="P982">
        <f>IF(L982="",M982/100,H982*L982/100)</f>
        <v/>
      </c>
      <c r="Q982">
        <f>H982-C982/42-P982</f>
        <v/>
      </c>
      <c r="R982">
        <f>H982-E982</f>
        <v/>
      </c>
    </row>
    <row r="983">
      <c r="A983" s="3" t="n">
        <v>45222</v>
      </c>
      <c r="B983" s="3" t="n">
        <v>45219</v>
      </c>
      <c r="C983" t="n">
        <v>88.03</v>
      </c>
      <c r="D983" t="n">
        <v>92.47</v>
      </c>
      <c r="E983" t="n">
        <v>2.354</v>
      </c>
      <c r="F983" t="n">
        <v>2.58</v>
      </c>
      <c r="G983" t="n">
        <v>2.637</v>
      </c>
      <c r="H983" t="n">
        <v>3.533</v>
      </c>
      <c r="J983" t="n">
        <v>3.691</v>
      </c>
      <c r="K983" t="n">
        <v>5.223</v>
      </c>
      <c r="L983" t="n">
        <v>14</v>
      </c>
      <c r="N983">
        <f>IF(OR(E983="",C983=""),"",E983-C983/42)</f>
        <v/>
      </c>
      <c r="O983">
        <f>IF(OR(E983="",D983=""),"",E983-D983/42)</f>
        <v/>
      </c>
      <c r="P983">
        <f>IF(L983="",M983/100,H983*L983/100)</f>
        <v/>
      </c>
      <c r="Q983">
        <f>H983-C983/42-P983</f>
        <v/>
      </c>
      <c r="R983">
        <f>H983-E983</f>
        <v/>
      </c>
    </row>
    <row r="984">
      <c r="A984" s="3" t="n">
        <v>45229</v>
      </c>
      <c r="B984" s="3" t="n">
        <v>45226</v>
      </c>
      <c r="C984" t="n">
        <v>85.2</v>
      </c>
      <c r="D984" t="n">
        <v>89.84</v>
      </c>
      <c r="E984" t="n">
        <v>2.24</v>
      </c>
      <c r="F984" t="n">
        <v>2.467</v>
      </c>
      <c r="G984" t="n">
        <v>2.519</v>
      </c>
      <c r="H984" t="n">
        <v>3.473</v>
      </c>
      <c r="J984" t="n">
        <v>3.579</v>
      </c>
      <c r="K984" t="n">
        <v>5.066</v>
      </c>
      <c r="L984" t="n">
        <v>14</v>
      </c>
      <c r="N984">
        <f>IF(OR(E984="",C984=""),"",E984-C984/42)</f>
        <v/>
      </c>
      <c r="O984">
        <f>IF(OR(E984="",D984=""),"",E984-D984/42)</f>
        <v/>
      </c>
      <c r="P984">
        <f>IF(L984="",M984/100,H984*L984/100)</f>
        <v/>
      </c>
      <c r="Q984">
        <f>H984-C984/42-P984</f>
        <v/>
      </c>
      <c r="R984">
        <f>H984-E984</f>
        <v/>
      </c>
    </row>
    <row r="985">
      <c r="A985" s="3" t="n">
        <v>45236</v>
      </c>
      <c r="B985" s="3" t="n">
        <v>45233</v>
      </c>
      <c r="C985" t="n">
        <v>81.98999999999999</v>
      </c>
      <c r="D985" t="n">
        <v>88.20999999999999</v>
      </c>
      <c r="E985" t="n">
        <v>2.128</v>
      </c>
      <c r="F985" t="n">
        <v>2.296</v>
      </c>
      <c r="G985" t="n">
        <v>2.484</v>
      </c>
      <c r="H985" t="n">
        <v>3.396</v>
      </c>
      <c r="J985" t="n">
        <v>3.456</v>
      </c>
      <c r="K985" t="n">
        <v>4.944</v>
      </c>
      <c r="L985" t="n">
        <v>15.3</v>
      </c>
      <c r="N985">
        <f>IF(OR(E985="",C985=""),"",E985-C985/42)</f>
        <v/>
      </c>
      <c r="O985">
        <f>IF(OR(E985="",D985=""),"",E985-D985/42)</f>
        <v/>
      </c>
      <c r="P985">
        <f>IF(L985="",M985/100,H985*L985/100)</f>
        <v/>
      </c>
      <c r="Q985">
        <f>H985-C985/42-P985</f>
        <v/>
      </c>
      <c r="R985">
        <f>H985-E985</f>
        <v/>
      </c>
    </row>
    <row r="986">
      <c r="A986" s="3" t="n">
        <v>45243</v>
      </c>
      <c r="B986" s="3" t="n">
        <v>45240</v>
      </c>
      <c r="C986" t="n">
        <v>77.92</v>
      </c>
      <c r="D986" t="n">
        <v>83.52</v>
      </c>
      <c r="E986" t="n">
        <v>2.088</v>
      </c>
      <c r="F986" t="n">
        <v>2.303</v>
      </c>
      <c r="G986" t="n">
        <v>2.591</v>
      </c>
      <c r="H986" t="n">
        <v>3.349</v>
      </c>
      <c r="J986" t="n">
        <v>3.338</v>
      </c>
      <c r="K986" t="n">
        <v>4.87</v>
      </c>
      <c r="L986" t="n">
        <v>15.3</v>
      </c>
      <c r="N986">
        <f>IF(OR(E986="",C986=""),"",E986-C986/42)</f>
        <v/>
      </c>
      <c r="O986">
        <f>IF(OR(E986="",D986=""),"",E986-D986/42)</f>
        <v/>
      </c>
      <c r="P986">
        <f>IF(L986="",M986/100,H986*L986/100)</f>
        <v/>
      </c>
      <c r="Q986">
        <f>H986-C986/42-P986</f>
        <v/>
      </c>
      <c r="R986">
        <f>H986-E986</f>
        <v/>
      </c>
    </row>
    <row r="987">
      <c r="A987" s="3" t="n">
        <v>45250</v>
      </c>
      <c r="B987" s="3" t="n">
        <v>45247</v>
      </c>
      <c r="C987" t="n">
        <v>76.98</v>
      </c>
      <c r="D987" t="n">
        <v>81.93000000000001</v>
      </c>
      <c r="E987" t="n">
        <v>2.053</v>
      </c>
      <c r="F987" t="n">
        <v>2.307</v>
      </c>
      <c r="G987" t="n">
        <v>2.629</v>
      </c>
      <c r="H987" t="n">
        <v>3.289</v>
      </c>
      <c r="J987" t="n">
        <v>3.197</v>
      </c>
      <c r="K987" t="n">
        <v>4.769</v>
      </c>
      <c r="L987" t="n">
        <v>15.3</v>
      </c>
      <c r="N987">
        <f>IF(OR(E987="",C987=""),"",E987-C987/42)</f>
        <v/>
      </c>
      <c r="O987">
        <f>IF(OR(E987="",D987=""),"",E987-D987/42)</f>
        <v/>
      </c>
      <c r="P987">
        <f>IF(L987="",M987/100,H987*L987/100)</f>
        <v/>
      </c>
      <c r="Q987">
        <f>H987-C987/42-P987</f>
        <v/>
      </c>
      <c r="R987">
        <f>H987-E987</f>
        <v/>
      </c>
    </row>
    <row r="988">
      <c r="A988" s="3" t="n">
        <v>45257</v>
      </c>
      <c r="B988" s="3" t="n">
        <v>45254</v>
      </c>
      <c r="C988" t="n">
        <v>77.02</v>
      </c>
      <c r="D988" t="n">
        <v>81.62</v>
      </c>
      <c r="E988" t="n">
        <v>2.093</v>
      </c>
      <c r="F988" t="n">
        <v>2.381</v>
      </c>
      <c r="G988" t="n">
        <v>2.41</v>
      </c>
      <c r="H988" t="n">
        <v>3.238</v>
      </c>
      <c r="J988" t="n">
        <v>3.106</v>
      </c>
      <c r="K988" t="n">
        <v>4.719</v>
      </c>
      <c r="L988" t="n">
        <v>15.3</v>
      </c>
      <c r="N988">
        <f>IF(OR(E988="",C988=""),"",E988-C988/42)</f>
        <v/>
      </c>
      <c r="O988">
        <f>IF(OR(E988="",D988=""),"",E988-D988/42)</f>
        <v/>
      </c>
      <c r="P988">
        <f>IF(L988="",M988/100,H988*L988/100)</f>
        <v/>
      </c>
      <c r="Q988">
        <f>H988-C988/42-P988</f>
        <v/>
      </c>
      <c r="R988">
        <f>H988-E988</f>
        <v/>
      </c>
    </row>
    <row r="989">
      <c r="A989" s="3" t="n">
        <v>45264</v>
      </c>
      <c r="B989" s="3" t="n">
        <v>45261</v>
      </c>
      <c r="C989" t="n">
        <v>75.48999999999999</v>
      </c>
      <c r="D989" t="n">
        <v>80.91</v>
      </c>
      <c r="E989" t="n">
        <v>2.106</v>
      </c>
      <c r="F989" t="n">
        <v>2.313</v>
      </c>
      <c r="G989" t="n">
        <v>2.441</v>
      </c>
      <c r="H989" t="n">
        <v>3.231</v>
      </c>
      <c r="J989" t="n">
        <v>3.015</v>
      </c>
      <c r="K989" t="n">
        <v>4.596</v>
      </c>
      <c r="L989" t="n">
        <v>16.2</v>
      </c>
      <c r="N989">
        <f>IF(OR(E989="",C989=""),"",E989-C989/42)</f>
        <v/>
      </c>
      <c r="O989">
        <f>IF(OR(E989="",D989=""),"",E989-D989/42)</f>
        <v/>
      </c>
      <c r="P989">
        <f>IF(L989="",M989/100,H989*L989/100)</f>
        <v/>
      </c>
      <c r="Q989">
        <f>H989-C989/42-P989</f>
        <v/>
      </c>
      <c r="R989">
        <f>H989-E989</f>
        <v/>
      </c>
    </row>
    <row r="990">
      <c r="A990" s="3" t="n">
        <v>45271</v>
      </c>
      <c r="B990" s="3" t="n">
        <v>45268</v>
      </c>
      <c r="C990" t="n">
        <v>70.70999999999999</v>
      </c>
      <c r="D990" t="n">
        <v>75.98</v>
      </c>
      <c r="E990" t="n">
        <v>1.922</v>
      </c>
      <c r="F990" t="n">
        <v>2.242</v>
      </c>
      <c r="G990" t="n">
        <v>2.359</v>
      </c>
      <c r="H990" t="n">
        <v>3.136</v>
      </c>
      <c r="J990" t="n">
        <v>2.899</v>
      </c>
      <c r="K990" t="n">
        <v>4.457</v>
      </c>
      <c r="L990" t="n">
        <v>16.2</v>
      </c>
      <c r="N990">
        <f>IF(OR(E990="",C990=""),"",E990-C990/42)</f>
        <v/>
      </c>
      <c r="O990">
        <f>IF(OR(E990="",D990=""),"",E990-D990/42)</f>
        <v/>
      </c>
      <c r="P990">
        <f>IF(L990="",M990/100,H990*L990/100)</f>
        <v/>
      </c>
      <c r="Q990">
        <f>H990-C990/42-P990</f>
        <v/>
      </c>
      <c r="R990">
        <f>H990-E990</f>
        <v/>
      </c>
    </row>
    <row r="991">
      <c r="A991" s="3" t="n">
        <v>45278</v>
      </c>
      <c r="B991" s="3" t="n">
        <v>45275</v>
      </c>
      <c r="C991" t="n">
        <v>70.11</v>
      </c>
      <c r="D991" t="n">
        <v>75.58</v>
      </c>
      <c r="E991" t="n">
        <v>1.901</v>
      </c>
      <c r="F991" t="n">
        <v>2.218</v>
      </c>
      <c r="G991" t="n">
        <v>2.198</v>
      </c>
      <c r="H991" t="n">
        <v>3.053</v>
      </c>
      <c r="J991" t="n">
        <v>2.808</v>
      </c>
      <c r="K991" t="n">
        <v>4.359</v>
      </c>
      <c r="L991" t="n">
        <v>16.2</v>
      </c>
      <c r="N991">
        <f>IF(OR(E991="",C991=""),"",E991-C991/42)</f>
        <v/>
      </c>
      <c r="O991">
        <f>IF(OR(E991="",D991=""),"",E991-D991/42)</f>
        <v/>
      </c>
      <c r="P991">
        <f>IF(L991="",M991/100,H991*L991/100)</f>
        <v/>
      </c>
      <c r="Q991">
        <f>H991-C991/42-P991</f>
        <v/>
      </c>
      <c r="R991">
        <f>H991-E991</f>
        <v/>
      </c>
    </row>
    <row r="992">
      <c r="A992" s="3" t="n">
        <v>45285</v>
      </c>
      <c r="B992" s="3" t="n">
        <v>45282</v>
      </c>
      <c r="C992" t="n">
        <v>73.23</v>
      </c>
      <c r="D992" t="n">
        <v>80.15000000000001</v>
      </c>
      <c r="E992" t="n">
        <v>2.132</v>
      </c>
      <c r="F992" t="n">
        <v>2.245</v>
      </c>
      <c r="G992" t="n">
        <v>2.237</v>
      </c>
      <c r="H992" t="n">
        <v>3.116</v>
      </c>
      <c r="J992" t="n">
        <v>2.861</v>
      </c>
      <c r="K992" t="n">
        <v>4.371</v>
      </c>
      <c r="L992" t="n">
        <v>16.2</v>
      </c>
      <c r="N992">
        <f>IF(OR(E992="",C992=""),"",E992-C992/42)</f>
        <v/>
      </c>
      <c r="O992">
        <f>IF(OR(E992="",D992=""),"",E992-D992/42)</f>
        <v/>
      </c>
      <c r="P992">
        <f>IF(L992="",M992/100,H992*L992/100)</f>
        <v/>
      </c>
      <c r="Q992">
        <f>H992-C992/42-P992</f>
        <v/>
      </c>
      <c r="R992">
        <f>H992-E992</f>
        <v/>
      </c>
    </row>
    <row r="993">
      <c r="A993" s="3" t="n">
        <v>45292</v>
      </c>
      <c r="B993" s="3" t="n">
        <v>45289</v>
      </c>
      <c r="C993" t="n">
        <v>73.52</v>
      </c>
      <c r="D993" t="n">
        <v>79.23</v>
      </c>
      <c r="E993" t="n">
        <v>2.146</v>
      </c>
      <c r="F993" t="n">
        <v>2.193</v>
      </c>
      <c r="G993" t="n">
        <v>2.523</v>
      </c>
      <c r="H993" t="n">
        <v>3.089</v>
      </c>
      <c r="J993" t="n">
        <v>2.786</v>
      </c>
      <c r="K993" t="n">
        <v>4.479</v>
      </c>
      <c r="L993" t="n">
        <v>16.5</v>
      </c>
      <c r="N993">
        <f>IF(OR(E993="",C993=""),"",E993-C993/42)</f>
        <v/>
      </c>
      <c r="O993">
        <f>IF(OR(E993="",D993=""),"",E993-D993/42)</f>
        <v/>
      </c>
      <c r="P993">
        <f>IF(L993="",M993/100,H993*L993/100)</f>
        <v/>
      </c>
      <c r="Q993">
        <f>H993-C993/42-P993</f>
        <v/>
      </c>
      <c r="R993">
        <f>H993-E993</f>
        <v/>
      </c>
    </row>
    <row r="994">
      <c r="A994" s="3" t="n">
        <v>45299</v>
      </c>
      <c r="B994" s="3" t="n">
        <v>45296</v>
      </c>
      <c r="C994" t="n">
        <v>72.48999999999999</v>
      </c>
      <c r="D994" t="n">
        <v>76.88</v>
      </c>
      <c r="E994" t="n">
        <v>2.088</v>
      </c>
      <c r="F994" t="n">
        <v>2.216</v>
      </c>
      <c r="G994" t="n">
        <v>2.398</v>
      </c>
      <c r="H994" t="n">
        <v>3.073</v>
      </c>
      <c r="J994" t="n">
        <v>2.765</v>
      </c>
      <c r="K994" t="n">
        <v>4.459</v>
      </c>
      <c r="L994" t="n">
        <v>16.5</v>
      </c>
      <c r="N994">
        <f>IF(OR(E994="",C994=""),"",E994-C994/42)</f>
        <v/>
      </c>
      <c r="O994">
        <f>IF(OR(E994="",D994=""),"",E994-D994/42)</f>
        <v/>
      </c>
      <c r="P994">
        <f>IF(L994="",M994/100,H994*L994/100)</f>
        <v/>
      </c>
      <c r="Q994">
        <f>H994-C994/42-P994</f>
        <v/>
      </c>
      <c r="R994">
        <f>H994-E994</f>
        <v/>
      </c>
    </row>
    <row r="995">
      <c r="A995" s="3" t="n">
        <v>45306</v>
      </c>
      <c r="B995" s="3" t="n">
        <v>45303</v>
      </c>
      <c r="C995" t="n">
        <v>72.03</v>
      </c>
      <c r="D995" t="n">
        <v>78.40000000000001</v>
      </c>
      <c r="E995" t="n">
        <v>2.07</v>
      </c>
      <c r="F995" t="n">
        <v>2.169</v>
      </c>
      <c r="G995" t="n">
        <v>2.086</v>
      </c>
      <c r="H995" t="n">
        <v>3.058</v>
      </c>
      <c r="J995" t="n">
        <v>2.733</v>
      </c>
      <c r="K995" t="n">
        <v>4.339</v>
      </c>
      <c r="L995" t="n">
        <v>16.5</v>
      </c>
      <c r="N995">
        <f>IF(OR(E995="",C995=""),"",E995-C995/42)</f>
        <v/>
      </c>
      <c r="O995">
        <f>IF(OR(E995="",D995=""),"",E995-D995/42)</f>
        <v/>
      </c>
      <c r="P995">
        <f>IF(L995="",M995/100,H995*L995/100)</f>
        <v/>
      </c>
      <c r="Q995">
        <f>H995-C995/42-P995</f>
        <v/>
      </c>
      <c r="R995">
        <f>H995-E995</f>
        <v/>
      </c>
    </row>
    <row r="996">
      <c r="A996" s="3" t="n">
        <v>45313</v>
      </c>
      <c r="B996" s="3" t="n">
        <v>45310</v>
      </c>
      <c r="C996" t="n">
        <v>73.36</v>
      </c>
      <c r="D996" t="n">
        <v>80.11</v>
      </c>
      <c r="E996" t="n">
        <v>2.141</v>
      </c>
      <c r="F996" t="n">
        <v>2.219</v>
      </c>
      <c r="G996" t="n">
        <v>2.133</v>
      </c>
      <c r="H996" t="n">
        <v>3.062</v>
      </c>
      <c r="J996" t="n">
        <v>2.671</v>
      </c>
      <c r="K996" t="n">
        <v>4.273</v>
      </c>
      <c r="L996" t="n">
        <v>16.5</v>
      </c>
      <c r="N996">
        <f>IF(OR(E996="",C996=""),"",E996-C996/42)</f>
        <v/>
      </c>
      <c r="O996">
        <f>IF(OR(E996="",D996=""),"",E996-D996/42)</f>
        <v/>
      </c>
      <c r="P996">
        <f>IF(L996="",M996/100,H996*L996/100)</f>
        <v/>
      </c>
      <c r="Q996">
        <f>H996-C996/42-P996</f>
        <v/>
      </c>
      <c r="R996">
        <f>H996-E996</f>
        <v/>
      </c>
    </row>
    <row r="997">
      <c r="A997" s="3" t="n">
        <v>45320</v>
      </c>
      <c r="B997" s="3" t="n">
        <v>45317</v>
      </c>
      <c r="C997" t="n">
        <v>76.36</v>
      </c>
      <c r="D997" t="n">
        <v>82.31</v>
      </c>
      <c r="E997" t="n">
        <v>2.205</v>
      </c>
      <c r="F997" t="n">
        <v>2.321</v>
      </c>
      <c r="G997" t="n">
        <v>2.26</v>
      </c>
      <c r="H997" t="n">
        <v>3.095</v>
      </c>
      <c r="J997" t="n">
        <v>2.732</v>
      </c>
      <c r="K997" t="n">
        <v>4.294</v>
      </c>
      <c r="L997" t="n">
        <v>16.5</v>
      </c>
      <c r="N997">
        <f>IF(OR(E997="",C997=""),"",E997-C997/42)</f>
        <v/>
      </c>
      <c r="O997">
        <f>IF(OR(E997="",D997=""),"",E997-D997/42)</f>
        <v/>
      </c>
      <c r="P997">
        <f>IF(L997="",M997/100,H997*L997/100)</f>
        <v/>
      </c>
      <c r="Q997">
        <f>H997-C997/42-P997</f>
        <v/>
      </c>
      <c r="R997">
        <f>H997-E997</f>
        <v/>
      </c>
    </row>
    <row r="998">
      <c r="A998" s="3" t="n">
        <v>45327</v>
      </c>
      <c r="B998" s="3" t="n">
        <v>45324</v>
      </c>
      <c r="C998" t="n">
        <v>75.78</v>
      </c>
      <c r="D998" t="n">
        <v>82.56999999999999</v>
      </c>
      <c r="E998" t="n">
        <v>2.225</v>
      </c>
      <c r="F998" t="n">
        <v>2.264</v>
      </c>
      <c r="G998" t="n">
        <v>2.578</v>
      </c>
      <c r="H998" t="n">
        <v>3.136</v>
      </c>
      <c r="J998" t="n">
        <v>2.746</v>
      </c>
      <c r="K998" t="n">
        <v>4.366</v>
      </c>
      <c r="L998" t="n">
        <v>15.8</v>
      </c>
      <c r="N998">
        <f>IF(OR(E998="",C998=""),"",E998-C998/42)</f>
        <v/>
      </c>
      <c r="O998">
        <f>IF(OR(E998="",D998=""),"",E998-D998/42)</f>
        <v/>
      </c>
      <c r="P998">
        <f>IF(L998="",M998/100,H998*L998/100)</f>
        <v/>
      </c>
      <c r="Q998">
        <f>H998-C998/42-P998</f>
        <v/>
      </c>
      <c r="R998">
        <f>H998-E998</f>
        <v/>
      </c>
    </row>
    <row r="999">
      <c r="A999" s="3" t="n">
        <v>45334</v>
      </c>
      <c r="B999" s="3" t="n">
        <v>45331</v>
      </c>
      <c r="C999" t="n">
        <v>75.05</v>
      </c>
      <c r="D999" t="n">
        <v>81.51000000000001</v>
      </c>
      <c r="E999" t="n">
        <v>2.289</v>
      </c>
      <c r="F999" t="n">
        <v>2.303</v>
      </c>
      <c r="G999" t="n">
        <v>2.596</v>
      </c>
      <c r="H999" t="n">
        <v>3.192</v>
      </c>
      <c r="J999" t="n">
        <v>2.791</v>
      </c>
      <c r="K999" t="n">
        <v>4.422</v>
      </c>
      <c r="L999" t="n">
        <v>15.8</v>
      </c>
      <c r="N999">
        <f>IF(OR(E999="",C999=""),"",E999-C999/42)</f>
        <v/>
      </c>
      <c r="O999">
        <f>IF(OR(E999="",D999=""),"",E999-D999/42)</f>
        <v/>
      </c>
      <c r="P999">
        <f>IF(L999="",M999/100,H999*L999/100)</f>
        <v/>
      </c>
      <c r="Q999">
        <f>H999-C999/42-P999</f>
        <v/>
      </c>
      <c r="R999">
        <f>H999-E999</f>
        <v/>
      </c>
    </row>
    <row r="1000">
      <c r="A1000" s="3" t="n">
        <v>45341</v>
      </c>
      <c r="B1000" s="3" t="n">
        <v>45338</v>
      </c>
      <c r="C1000" t="n">
        <v>78.17</v>
      </c>
      <c r="D1000" t="n">
        <v>84.44</v>
      </c>
      <c r="E1000" t="n">
        <v>2.366</v>
      </c>
      <c r="F1000" t="n">
        <v>2.36</v>
      </c>
      <c r="G1000" t="n">
        <v>2.647</v>
      </c>
      <c r="H1000" t="n">
        <v>3.269</v>
      </c>
      <c r="J1000" t="n">
        <v>2.922</v>
      </c>
      <c r="K1000" t="n">
        <v>4.467</v>
      </c>
      <c r="L1000" t="n">
        <v>15.8</v>
      </c>
      <c r="N1000">
        <f>IF(OR(E1000="",C1000=""),"",E1000-C1000/42)</f>
        <v/>
      </c>
      <c r="O1000">
        <f>IF(OR(E1000="",D1000=""),"",E1000-D1000/42)</f>
        <v/>
      </c>
      <c r="P1000">
        <f>IF(L1000="",M1000/100,H1000*L1000/100)</f>
        <v/>
      </c>
      <c r="Q1000">
        <f>H1000-C1000/42-P1000</f>
        <v/>
      </c>
      <c r="R1000">
        <f>H1000-E1000</f>
        <v/>
      </c>
    </row>
    <row r="1001">
      <c r="A1001" s="3" t="n">
        <v>45348</v>
      </c>
      <c r="B1001" s="3" t="n">
        <v>45345</v>
      </c>
      <c r="C1001" t="n">
        <v>78.70999999999999</v>
      </c>
      <c r="D1001" t="n">
        <v>85.02</v>
      </c>
      <c r="E1001" t="n">
        <v>2.335</v>
      </c>
      <c r="F1001" t="n">
        <v>2.339</v>
      </c>
      <c r="G1001" t="n">
        <v>2.51</v>
      </c>
      <c r="H1001" t="n">
        <v>3.249</v>
      </c>
      <c r="J1001" t="n">
        <v>2.982</v>
      </c>
      <c r="K1001" t="n">
        <v>4.44</v>
      </c>
      <c r="L1001" t="n">
        <v>15.8</v>
      </c>
      <c r="N1001">
        <f>IF(OR(E1001="",C1001=""),"",E1001-C1001/42)</f>
        <v/>
      </c>
      <c r="O1001">
        <f>IF(OR(E1001="",D1001=""),"",E1001-D1001/42)</f>
        <v/>
      </c>
      <c r="P1001">
        <f>IF(L1001="",M1001/100,H1001*L1001/100)</f>
        <v/>
      </c>
      <c r="Q1001">
        <f>H1001-C1001/42-P1001</f>
        <v/>
      </c>
      <c r="R1001">
        <f>H1001-E1001</f>
        <v/>
      </c>
    </row>
    <row r="1002">
      <c r="A1002" s="3" t="n">
        <v>45355</v>
      </c>
      <c r="B1002" s="3" t="n">
        <v>45352</v>
      </c>
      <c r="C1002" t="n">
        <v>79.58</v>
      </c>
      <c r="D1002" t="n">
        <v>84.26000000000001</v>
      </c>
      <c r="E1002" t="n">
        <v>2.401</v>
      </c>
      <c r="F1002" t="n">
        <v>2.375</v>
      </c>
      <c r="G1002" t="n">
        <v>2.533</v>
      </c>
      <c r="H1002" t="n">
        <v>3.35</v>
      </c>
      <c r="J1002" t="n">
        <v>3.014</v>
      </c>
      <c r="K1002" t="n">
        <v>4.651</v>
      </c>
      <c r="L1002" t="n">
        <v>14.8</v>
      </c>
      <c r="N1002">
        <f>IF(OR(E1002="",C1002=""),"",E1002-C1002/42)</f>
        <v/>
      </c>
      <c r="O1002">
        <f>IF(OR(E1002="",D1002=""),"",E1002-D1002/42)</f>
        <v/>
      </c>
      <c r="P1002">
        <f>IF(L1002="",M1002/100,H1002*L1002/100)</f>
        <v/>
      </c>
      <c r="Q1002">
        <f>H1002-C1002/42-P1002</f>
        <v/>
      </c>
      <c r="R1002">
        <f>H1002-E1002</f>
        <v/>
      </c>
    </row>
    <row r="1003">
      <c r="A1003" s="3" t="n">
        <v>45362</v>
      </c>
      <c r="B1003" s="3" t="n">
        <v>45359</v>
      </c>
      <c r="C1003" t="n">
        <v>79.53</v>
      </c>
      <c r="D1003" t="n">
        <v>85.63</v>
      </c>
      <c r="E1003" t="n">
        <v>2.413</v>
      </c>
      <c r="F1003" t="n">
        <v>2.364</v>
      </c>
      <c r="G1003" t="n">
        <v>2.735</v>
      </c>
      <c r="H1003" t="n">
        <v>3.376</v>
      </c>
      <c r="J1003" t="n">
        <v>3.077</v>
      </c>
      <c r="K1003" t="n">
        <v>4.693</v>
      </c>
      <c r="L1003" t="n">
        <v>14.8</v>
      </c>
      <c r="N1003">
        <f>IF(OR(E1003="",C1003=""),"",E1003-C1003/42)</f>
        <v/>
      </c>
      <c r="O1003">
        <f>IF(OR(E1003="",D1003=""),"",E1003-D1003/42)</f>
        <v/>
      </c>
      <c r="P1003">
        <f>IF(L1003="",M1003/100,H1003*L1003/100)</f>
        <v/>
      </c>
      <c r="Q1003">
        <f>H1003-C1003/42-P1003</f>
        <v/>
      </c>
      <c r="R1003">
        <f>H1003-E1003</f>
        <v/>
      </c>
    </row>
    <row r="1004">
      <c r="A1004" s="3" t="n">
        <v>45369</v>
      </c>
      <c r="B1004" s="3" t="n">
        <v>45366</v>
      </c>
      <c r="C1004" t="n">
        <v>80.43000000000001</v>
      </c>
      <c r="D1004" t="n">
        <v>84.52</v>
      </c>
      <c r="E1004" t="n">
        <v>2.595</v>
      </c>
      <c r="F1004" t="n">
        <v>2.478</v>
      </c>
      <c r="G1004" t="n">
        <v>2.858</v>
      </c>
      <c r="H1004" t="n">
        <v>3.453</v>
      </c>
      <c r="J1004" t="n">
        <v>3.166</v>
      </c>
      <c r="K1004" t="n">
        <v>4.734</v>
      </c>
      <c r="L1004" t="n">
        <v>14.8</v>
      </c>
      <c r="N1004">
        <f>IF(OR(E1004="",C1004=""),"",E1004-C1004/42)</f>
        <v/>
      </c>
      <c r="O1004">
        <f>IF(OR(E1004="",D1004=""),"",E1004-D1004/42)</f>
        <v/>
      </c>
      <c r="P1004">
        <f>IF(L1004="",M1004/100,H1004*L1004/100)</f>
        <v/>
      </c>
      <c r="Q1004">
        <f>H1004-C1004/42-P1004</f>
        <v/>
      </c>
      <c r="R1004">
        <f>H1004-E1004</f>
        <v/>
      </c>
    </row>
    <row r="1005">
      <c r="A1005" s="3" t="n">
        <v>45376</v>
      </c>
      <c r="B1005" s="3" t="n">
        <v>45373</v>
      </c>
      <c r="C1005" t="n">
        <v>82.79000000000001</v>
      </c>
      <c r="D1005" t="n">
        <v>85.88</v>
      </c>
      <c r="E1005" t="n">
        <v>2.632</v>
      </c>
      <c r="F1005" t="n">
        <v>2.572</v>
      </c>
      <c r="G1005" t="n">
        <v>3.004</v>
      </c>
      <c r="H1005" t="n">
        <v>3.523</v>
      </c>
      <c r="J1005" t="n">
        <v>3.292</v>
      </c>
      <c r="K1005" t="n">
        <v>4.801</v>
      </c>
      <c r="L1005" t="n">
        <v>14.8</v>
      </c>
      <c r="N1005">
        <f>IF(OR(E1005="",C1005=""),"",E1005-C1005/42)</f>
        <v/>
      </c>
      <c r="O1005">
        <f>IF(OR(E1005="",D1005=""),"",E1005-D1005/42)</f>
        <v/>
      </c>
      <c r="P1005">
        <f>IF(L1005="",M1005/100,H1005*L1005/100)</f>
        <v/>
      </c>
      <c r="Q1005">
        <f>H1005-C1005/42-P1005</f>
        <v/>
      </c>
      <c r="R1005">
        <f>H1005-E1005</f>
        <v/>
      </c>
    </row>
    <row r="1006">
      <c r="A1006" s="3" t="n">
        <v>45383</v>
      </c>
      <c r="B1006" s="3" t="n">
        <v>45380</v>
      </c>
      <c r="C1006" t="n">
        <v>82.73</v>
      </c>
      <c r="D1006" t="n">
        <v>85.8</v>
      </c>
      <c r="E1006" t="n">
        <v>2.552</v>
      </c>
      <c r="F1006" t="n">
        <v>2.53</v>
      </c>
      <c r="G1006" t="n">
        <v>3.108</v>
      </c>
      <c r="H1006" t="n">
        <v>3.517</v>
      </c>
      <c r="J1006" t="n">
        <v>3.351</v>
      </c>
      <c r="K1006" t="n">
        <v>4.904</v>
      </c>
      <c r="L1006" t="n">
        <v>14.1</v>
      </c>
      <c r="N1006">
        <f>IF(OR(E1006="",C1006=""),"",E1006-C1006/42)</f>
        <v/>
      </c>
      <c r="O1006">
        <f>IF(OR(E1006="",D1006=""),"",E1006-D1006/42)</f>
        <v/>
      </c>
      <c r="P1006">
        <f>IF(L1006="",M1006/100,H1006*L1006/100)</f>
        <v/>
      </c>
      <c r="Q1006">
        <f>H1006-C1006/42-P1006</f>
        <v/>
      </c>
      <c r="R1006">
        <f>H1006-E1006</f>
        <v/>
      </c>
    </row>
    <row r="1007">
      <c r="A1007" s="3" t="n">
        <v>45390</v>
      </c>
      <c r="B1007" s="3" t="n">
        <v>45387</v>
      </c>
      <c r="C1007" t="n">
        <v>86.34999999999999</v>
      </c>
      <c r="D1007" t="n">
        <v>90.34</v>
      </c>
      <c r="E1007" t="n">
        <v>2.6</v>
      </c>
      <c r="F1007" t="n">
        <v>2.747</v>
      </c>
      <c r="G1007" t="n">
        <v>3.286</v>
      </c>
      <c r="H1007" t="n">
        <v>3.591</v>
      </c>
      <c r="J1007" t="n">
        <v>3.38</v>
      </c>
      <c r="K1007" t="n">
        <v>5.142</v>
      </c>
      <c r="L1007" t="n">
        <v>14.1</v>
      </c>
      <c r="N1007">
        <f>IF(OR(E1007="",C1007=""),"",E1007-C1007/42)</f>
        <v/>
      </c>
      <c r="O1007">
        <f>IF(OR(E1007="",D1007=""),"",E1007-D1007/42)</f>
        <v/>
      </c>
      <c r="P1007">
        <f>IF(L1007="",M1007/100,H1007*L1007/100)</f>
        <v/>
      </c>
      <c r="Q1007">
        <f>H1007-C1007/42-P1007</f>
        <v/>
      </c>
      <c r="R1007">
        <f>H1007-E1007</f>
        <v/>
      </c>
    </row>
    <row r="1008">
      <c r="A1008" s="3" t="n">
        <v>45397</v>
      </c>
      <c r="B1008" s="3" t="n">
        <v>45394</v>
      </c>
      <c r="C1008" t="n">
        <v>86.5</v>
      </c>
      <c r="D1008" t="n">
        <v>92.01000000000001</v>
      </c>
      <c r="E1008" t="n">
        <v>2.633</v>
      </c>
      <c r="F1008" t="n">
        <v>2.753</v>
      </c>
      <c r="G1008" t="n">
        <v>3.243</v>
      </c>
      <c r="H1008" t="n">
        <v>3.628</v>
      </c>
      <c r="J1008" t="n">
        <v>3.428</v>
      </c>
      <c r="K1008" t="n">
        <v>5.271</v>
      </c>
      <c r="L1008" t="n">
        <v>14.1</v>
      </c>
      <c r="N1008">
        <f>IF(OR(E1008="",C1008=""),"",E1008-C1008/42)</f>
        <v/>
      </c>
      <c r="O1008">
        <f>IF(OR(E1008="",D1008=""),"",E1008-D1008/42)</f>
        <v/>
      </c>
      <c r="P1008">
        <f>IF(L1008="",M1008/100,H1008*L1008/100)</f>
        <v/>
      </c>
      <c r="Q1008">
        <f>H1008-C1008/42-P1008</f>
        <v/>
      </c>
      <c r="R1008">
        <f>H1008-E1008</f>
        <v/>
      </c>
    </row>
    <row r="1009">
      <c r="A1009" s="3" t="n">
        <v>45404</v>
      </c>
      <c r="B1009" s="3" t="n">
        <v>45401</v>
      </c>
      <c r="C1009" t="n">
        <v>84.65000000000001</v>
      </c>
      <c r="D1009" t="n">
        <v>89.59</v>
      </c>
      <c r="E1009" t="n">
        <v>2.588</v>
      </c>
      <c r="F1009" t="n">
        <v>2.726</v>
      </c>
      <c r="G1009" t="n">
        <v>3.178</v>
      </c>
      <c r="H1009" t="n">
        <v>3.668</v>
      </c>
      <c r="J1009" t="n">
        <v>3.456</v>
      </c>
      <c r="K1009" t="n">
        <v>5.237</v>
      </c>
      <c r="L1009" t="n">
        <v>14.1</v>
      </c>
      <c r="N1009">
        <f>IF(OR(E1009="",C1009=""),"",E1009-C1009/42)</f>
        <v/>
      </c>
      <c r="O1009">
        <f>IF(OR(E1009="",D1009=""),"",E1009-D1009/42)</f>
        <v/>
      </c>
      <c r="P1009">
        <f>IF(L1009="",M1009/100,H1009*L1009/100)</f>
        <v/>
      </c>
      <c r="Q1009">
        <f>H1009-C1009/42-P1009</f>
        <v/>
      </c>
      <c r="R1009">
        <f>H1009-E1009</f>
        <v/>
      </c>
    </row>
    <row r="1010">
      <c r="A1010" s="3" t="n">
        <v>45411</v>
      </c>
      <c r="B1010" s="3" t="n">
        <v>45408</v>
      </c>
      <c r="C1010" t="n">
        <v>84.48</v>
      </c>
      <c r="D1010" t="n">
        <v>88.53</v>
      </c>
      <c r="E1010" t="n">
        <v>2.573</v>
      </c>
      <c r="F1010" t="n">
        <v>2.766</v>
      </c>
      <c r="G1010" t="n">
        <v>3.107</v>
      </c>
      <c r="H1010" t="n">
        <v>3.653</v>
      </c>
      <c r="J1010" t="n">
        <v>3.426</v>
      </c>
      <c r="K1010" t="n">
        <v>5.172</v>
      </c>
      <c r="L1010" t="n">
        <v>14.1</v>
      </c>
      <c r="N1010">
        <f>IF(OR(E1010="",C1010=""),"",E1010-C1010/42)</f>
        <v/>
      </c>
      <c r="O1010">
        <f>IF(OR(E1010="",D1010=""),"",E1010-D1010/42)</f>
        <v/>
      </c>
      <c r="P1010">
        <f>IF(L1010="",M1010/100,H1010*L1010/100)</f>
        <v/>
      </c>
      <c r="Q1010">
        <f>H1010-C1010/42-P1010</f>
        <v/>
      </c>
      <c r="R1010">
        <f>H1010-E1010</f>
        <v/>
      </c>
    </row>
    <row r="1011">
      <c r="A1011" s="3" t="n">
        <v>45418</v>
      </c>
      <c r="B1011" s="3" t="n">
        <v>45415</v>
      </c>
      <c r="C1011" t="n">
        <v>81.73999999999999</v>
      </c>
      <c r="D1011" t="n">
        <v>85.73</v>
      </c>
      <c r="E1011" t="n">
        <v>2.485</v>
      </c>
      <c r="F1011" t="n">
        <v>2.672</v>
      </c>
      <c r="G1011" t="n">
        <v>2.96</v>
      </c>
      <c r="H1011" t="n">
        <v>3.643</v>
      </c>
      <c r="J1011" t="n">
        <v>3.463</v>
      </c>
      <c r="K1011" t="n">
        <v>5.116</v>
      </c>
      <c r="L1011" t="n">
        <v>14.1</v>
      </c>
      <c r="N1011">
        <f>IF(OR(E1011="",C1011=""),"",E1011-C1011/42)</f>
        <v/>
      </c>
      <c r="O1011">
        <f>IF(OR(E1011="",D1011=""),"",E1011-D1011/42)</f>
        <v/>
      </c>
      <c r="P1011">
        <f>IF(L1011="",M1011/100,H1011*L1011/100)</f>
        <v/>
      </c>
      <c r="Q1011">
        <f>H1011-C1011/42-P1011</f>
        <v/>
      </c>
      <c r="R1011">
        <f>H1011-E1011</f>
        <v/>
      </c>
    </row>
    <row r="1012">
      <c r="A1012" s="3" t="n">
        <v>45425</v>
      </c>
      <c r="B1012" s="3" t="n">
        <v>45422</v>
      </c>
      <c r="C1012" t="n">
        <v>80.26000000000001</v>
      </c>
      <c r="D1012" t="n">
        <v>82.95</v>
      </c>
      <c r="E1012" t="n">
        <v>2.405</v>
      </c>
      <c r="F1012" t="n">
        <v>2.55</v>
      </c>
      <c r="G1012" t="n">
        <v>2.799</v>
      </c>
      <c r="H1012" t="n">
        <v>3.608</v>
      </c>
      <c r="J1012" t="n">
        <v>3.401</v>
      </c>
      <c r="K1012" t="n">
        <v>5.046</v>
      </c>
      <c r="L1012" t="n">
        <v>14.1</v>
      </c>
      <c r="N1012">
        <f>IF(OR(E1012="",C1012=""),"",E1012-C1012/42)</f>
        <v/>
      </c>
      <c r="O1012">
        <f>IF(OR(E1012="",D1012=""),"",E1012-D1012/42)</f>
        <v/>
      </c>
      <c r="P1012">
        <f>IF(L1012="",M1012/100,H1012*L1012/100)</f>
        <v/>
      </c>
      <c r="Q1012">
        <f>H1012-C1012/42-P1012</f>
        <v/>
      </c>
      <c r="R1012">
        <f>H1012-E1012</f>
        <v/>
      </c>
    </row>
    <row r="1013">
      <c r="A1013" s="3" t="n">
        <v>45432</v>
      </c>
      <c r="B1013" s="3" t="n">
        <v>45429</v>
      </c>
      <c r="C1013" t="n">
        <v>80.61</v>
      </c>
      <c r="D1013" t="n">
        <v>81.61</v>
      </c>
      <c r="E1013" t="n">
        <v>2.399</v>
      </c>
      <c r="F1013" t="n">
        <v>2.535</v>
      </c>
      <c r="G1013" t="n">
        <v>2.708</v>
      </c>
      <c r="H1013" t="n">
        <v>3.584</v>
      </c>
      <c r="J1013" t="n">
        <v>3.43</v>
      </c>
      <c r="K1013" t="n">
        <v>4.965</v>
      </c>
      <c r="L1013" t="n">
        <v>14.1</v>
      </c>
      <c r="N1013">
        <f>IF(OR(E1013="",C1013=""),"",E1013-C1013/42)</f>
        <v/>
      </c>
      <c r="O1013">
        <f>IF(OR(E1013="",D1013=""),"",E1013-D1013/42)</f>
        <v/>
      </c>
      <c r="P1013">
        <f>IF(L1013="",M1013/100,H1013*L1013/100)</f>
        <v/>
      </c>
      <c r="Q1013">
        <f>H1013-C1013/42-P1013</f>
        <v/>
      </c>
      <c r="R1013">
        <f>H1013-E1013</f>
        <v/>
      </c>
    </row>
    <row r="1014">
      <c r="A1014" s="3" t="n">
        <v>45439</v>
      </c>
      <c r="B1014" s="3" t="n">
        <v>45436</v>
      </c>
      <c r="C1014" t="n">
        <v>79.43000000000001</v>
      </c>
      <c r="D1014" t="n">
        <v>80.23999999999999</v>
      </c>
      <c r="E1014" t="n">
        <v>2.39</v>
      </c>
      <c r="F1014" t="n">
        <v>2.514</v>
      </c>
      <c r="G1014" t="n">
        <v>2.614</v>
      </c>
      <c r="H1014" t="n">
        <v>3.577</v>
      </c>
      <c r="J1014" t="n">
        <v>3.354</v>
      </c>
      <c r="K1014" t="n">
        <v>4.892</v>
      </c>
      <c r="L1014" t="n">
        <v>14.1</v>
      </c>
      <c r="N1014">
        <f>IF(OR(E1014="",C1014=""),"",E1014-C1014/42)</f>
        <v/>
      </c>
      <c r="O1014">
        <f>IF(OR(E1014="",D1014=""),"",E1014-D1014/42)</f>
        <v/>
      </c>
      <c r="P1014">
        <f>IF(L1014="",M1014/100,H1014*L1014/100)</f>
        <v/>
      </c>
      <c r="Q1014">
        <f>H1014-C1014/42-P1014</f>
        <v/>
      </c>
      <c r="R1014">
        <f>H1014-E1014</f>
        <v/>
      </c>
    </row>
    <row r="1015">
      <c r="A1015" s="3" t="n">
        <v>45446</v>
      </c>
      <c r="B1015" s="3" t="n">
        <v>45443</v>
      </c>
      <c r="C1015" t="n">
        <v>79.52</v>
      </c>
      <c r="D1015" t="n">
        <v>80.92</v>
      </c>
      <c r="E1015" t="n">
        <v>2.296</v>
      </c>
      <c r="F1015" t="n">
        <v>2.46</v>
      </c>
      <c r="G1015" t="n">
        <v>2.562</v>
      </c>
      <c r="H1015" t="n">
        <v>3.516</v>
      </c>
      <c r="J1015" t="n">
        <v>3.36</v>
      </c>
      <c r="K1015" t="n">
        <v>4.808</v>
      </c>
      <c r="L1015" t="n">
        <v>14.7</v>
      </c>
      <c r="N1015">
        <f>IF(OR(E1015="",C1015=""),"",E1015-C1015/42)</f>
        <v/>
      </c>
      <c r="O1015">
        <f>IF(OR(E1015="",D1015=""),"",E1015-D1015/42)</f>
        <v/>
      </c>
      <c r="P1015">
        <f>IF(L1015="",M1015/100,H1015*L1015/100)</f>
        <v/>
      </c>
      <c r="Q1015">
        <f>H1015-C1015/42-P1015</f>
        <v/>
      </c>
      <c r="R1015">
        <f>H1015-E1015</f>
        <v/>
      </c>
    </row>
    <row r="1016">
      <c r="A1016" s="3" t="n">
        <v>45453</v>
      </c>
      <c r="B1016" s="3" t="n">
        <v>45450</v>
      </c>
      <c r="C1016" t="n">
        <v>75.53</v>
      </c>
      <c r="D1016" t="n">
        <v>76.59</v>
      </c>
      <c r="E1016" t="n">
        <v>2.217</v>
      </c>
      <c r="F1016" t="n">
        <v>2.365</v>
      </c>
      <c r="G1016" t="n">
        <v>2.34</v>
      </c>
      <c r="H1016" t="n">
        <v>3.429</v>
      </c>
      <c r="J1016" t="n">
        <v>3.263</v>
      </c>
      <c r="K1016" t="n">
        <v>4.679</v>
      </c>
      <c r="L1016" t="n">
        <v>14.7</v>
      </c>
      <c r="N1016">
        <f>IF(OR(E1016="",C1016=""),"",E1016-C1016/42)</f>
        <v/>
      </c>
      <c r="O1016">
        <f>IF(OR(E1016="",D1016=""),"",E1016-D1016/42)</f>
        <v/>
      </c>
      <c r="P1016">
        <f>IF(L1016="",M1016/100,H1016*L1016/100)</f>
        <v/>
      </c>
      <c r="Q1016">
        <f>H1016-C1016/42-P1016</f>
        <v/>
      </c>
      <c r="R1016">
        <f>H1016-E1016</f>
        <v/>
      </c>
    </row>
    <row r="1017">
      <c r="A1017" s="3" t="n">
        <v>45460</v>
      </c>
      <c r="B1017" s="3" t="n">
        <v>45457</v>
      </c>
      <c r="C1017" t="n">
        <v>79.23999999999999</v>
      </c>
      <c r="D1017" t="n">
        <v>80.64</v>
      </c>
      <c r="E1017" t="n">
        <v>2.242</v>
      </c>
      <c r="F1017" t="n">
        <v>2.406</v>
      </c>
      <c r="G1017" t="n">
        <v>2.34</v>
      </c>
      <c r="H1017" t="n">
        <v>3.435</v>
      </c>
      <c r="J1017" t="n">
        <v>3.33</v>
      </c>
      <c r="K1017" t="n">
        <v>4.599</v>
      </c>
      <c r="L1017" t="n">
        <v>14.7</v>
      </c>
      <c r="N1017">
        <f>IF(OR(E1017="",C1017=""),"",E1017-C1017/42)</f>
        <v/>
      </c>
      <c r="O1017">
        <f>IF(OR(E1017="",D1017=""),"",E1017-D1017/42)</f>
        <v/>
      </c>
      <c r="P1017">
        <f>IF(L1017="",M1017/100,H1017*L1017/100)</f>
        <v/>
      </c>
      <c r="Q1017">
        <f>H1017-C1017/42-P1017</f>
        <v/>
      </c>
      <c r="R1017">
        <f>H1017-E1017</f>
        <v/>
      </c>
    </row>
    <row r="1018">
      <c r="A1018" s="3" t="n">
        <v>45467</v>
      </c>
      <c r="B1018" s="3" t="n">
        <v>45464</v>
      </c>
      <c r="C1018" t="n">
        <v>82.26000000000001</v>
      </c>
      <c r="D1018" t="n">
        <v>85.04000000000001</v>
      </c>
      <c r="E1018" t="n">
        <v>2.301</v>
      </c>
      <c r="F1018" t="n">
        <v>2.484</v>
      </c>
      <c r="G1018" t="n">
        <v>2.512</v>
      </c>
      <c r="H1018" t="n">
        <v>3.438</v>
      </c>
      <c r="J1018" t="n">
        <v>3.296</v>
      </c>
      <c r="K1018" t="n">
        <v>4.564</v>
      </c>
      <c r="L1018" t="n">
        <v>14.7</v>
      </c>
      <c r="N1018">
        <f>IF(OR(E1018="",C1018=""),"",E1018-C1018/42)</f>
        <v/>
      </c>
      <c r="O1018">
        <f>IF(OR(E1018="",D1018=""),"",E1018-D1018/42)</f>
        <v/>
      </c>
      <c r="P1018">
        <f>IF(L1018="",M1018/100,H1018*L1018/100)</f>
        <v/>
      </c>
      <c r="Q1018">
        <f>H1018-C1018/42-P1018</f>
        <v/>
      </c>
      <c r="R1018">
        <f>H1018-E1018</f>
        <v/>
      </c>
    </row>
    <row r="1019">
      <c r="A1019" s="3" t="n">
        <v>45474</v>
      </c>
      <c r="B1019" s="3" t="n">
        <v>45471</v>
      </c>
      <c r="C1019" t="n">
        <v>82.53</v>
      </c>
      <c r="D1019" t="n">
        <v>86.72</v>
      </c>
      <c r="E1019" t="n">
        <v>2.348</v>
      </c>
      <c r="F1019" t="n">
        <v>2.527</v>
      </c>
      <c r="G1019" t="n">
        <v>2.544</v>
      </c>
      <c r="H1019" t="n">
        <v>3.479</v>
      </c>
      <c r="J1019" t="n">
        <v>3.351</v>
      </c>
      <c r="K1019" t="n">
        <v>4.533</v>
      </c>
      <c r="L1019" t="n">
        <v>14.6</v>
      </c>
      <c r="N1019">
        <f>IF(OR(E1019="",C1019=""),"",E1019-C1019/42)</f>
        <v/>
      </c>
      <c r="O1019">
        <f>IF(OR(E1019="",D1019=""),"",E1019-D1019/42)</f>
        <v/>
      </c>
      <c r="P1019">
        <f>IF(L1019="",M1019/100,H1019*L1019/100)</f>
        <v/>
      </c>
      <c r="Q1019">
        <f>H1019-C1019/42-P1019</f>
        <v/>
      </c>
      <c r="R1019">
        <f>H1019-E1019</f>
        <v/>
      </c>
    </row>
    <row r="1020">
      <c r="A1020" s="3" t="n">
        <v>45481</v>
      </c>
      <c r="B1020" s="3" t="n">
        <v>45478</v>
      </c>
      <c r="C1020" t="n">
        <v>84.61</v>
      </c>
      <c r="D1020" t="n">
        <v>88.02</v>
      </c>
      <c r="E1020" t="n">
        <v>2.446</v>
      </c>
      <c r="F1020" t="n">
        <v>2.58</v>
      </c>
      <c r="G1020" t="n">
        <v>2.552</v>
      </c>
      <c r="H1020" t="n">
        <v>3.489</v>
      </c>
      <c r="J1020" t="n">
        <v>3.431</v>
      </c>
      <c r="K1020" t="n">
        <v>4.535</v>
      </c>
      <c r="L1020" t="n">
        <v>14.6</v>
      </c>
      <c r="N1020">
        <f>IF(OR(E1020="",C1020=""),"",E1020-C1020/42)</f>
        <v/>
      </c>
      <c r="O1020">
        <f>IF(OR(E1020="",D1020=""),"",E1020-D1020/42)</f>
        <v/>
      </c>
      <c r="P1020">
        <f>IF(L1020="",M1020/100,H1020*L1020/100)</f>
        <v/>
      </c>
      <c r="Q1020">
        <f>H1020-C1020/42-P1020</f>
        <v/>
      </c>
      <c r="R1020">
        <f>H1020-E1020</f>
        <v/>
      </c>
    </row>
    <row r="1021">
      <c r="A1021" s="3" t="n">
        <v>45488</v>
      </c>
      <c r="B1021" s="3" t="n">
        <v>45485</v>
      </c>
      <c r="C1021" t="n">
        <v>83.44</v>
      </c>
      <c r="D1021" t="n">
        <v>86.8</v>
      </c>
      <c r="E1021" t="n">
        <v>2.378</v>
      </c>
      <c r="F1021" t="n">
        <v>2.521</v>
      </c>
      <c r="G1021" t="n">
        <v>2.436</v>
      </c>
      <c r="H1021" t="n">
        <v>3.496</v>
      </c>
      <c r="J1021" t="n">
        <v>3.386</v>
      </c>
      <c r="K1021" t="n">
        <v>4.487</v>
      </c>
      <c r="L1021" t="n">
        <v>14.6</v>
      </c>
      <c r="N1021">
        <f>IF(OR(E1021="",C1021=""),"",E1021-C1021/42)</f>
        <v/>
      </c>
      <c r="O1021">
        <f>IF(OR(E1021="",D1021=""),"",E1021-D1021/42)</f>
        <v/>
      </c>
      <c r="P1021">
        <f>IF(L1021="",M1021/100,H1021*L1021/100)</f>
        <v/>
      </c>
      <c r="Q1021">
        <f>H1021-C1021/42-P1021</f>
        <v/>
      </c>
      <c r="R1021">
        <f>H1021-E1021</f>
        <v/>
      </c>
    </row>
    <row r="1022">
      <c r="A1022" s="3" t="n">
        <v>45495</v>
      </c>
      <c r="B1022" s="3" t="n">
        <v>45492</v>
      </c>
      <c r="C1022" t="n">
        <v>82.98</v>
      </c>
      <c r="D1022" t="n">
        <v>86.05</v>
      </c>
      <c r="E1022" t="n">
        <v>2.35</v>
      </c>
      <c r="F1022" t="n">
        <v>2.477</v>
      </c>
      <c r="G1022" t="n">
        <v>2.275</v>
      </c>
      <c r="H1022" t="n">
        <v>3.471</v>
      </c>
      <c r="J1022" t="n">
        <v>3.323</v>
      </c>
      <c r="K1022" t="n">
        <v>4.428</v>
      </c>
      <c r="L1022" t="n">
        <v>14.6</v>
      </c>
      <c r="N1022">
        <f>IF(OR(E1022="",C1022=""),"",E1022-C1022/42)</f>
        <v/>
      </c>
      <c r="O1022">
        <f>IF(OR(E1022="",D1022=""),"",E1022-D1022/42)</f>
        <v/>
      </c>
      <c r="P1022">
        <f>IF(L1022="",M1022/100,H1022*L1022/100)</f>
        <v/>
      </c>
      <c r="Q1022">
        <f>H1022-C1022/42-P1022</f>
        <v/>
      </c>
      <c r="R1022">
        <f>H1022-E1022</f>
        <v/>
      </c>
    </row>
    <row r="1023">
      <c r="A1023" s="3" t="n">
        <v>45502</v>
      </c>
      <c r="B1023" s="3" t="n">
        <v>45499</v>
      </c>
      <c r="C1023" t="n">
        <v>79.26000000000001</v>
      </c>
      <c r="D1023" t="n">
        <v>82.52</v>
      </c>
      <c r="E1023" t="n">
        <v>2.351</v>
      </c>
      <c r="F1023" t="n">
        <v>2.442</v>
      </c>
      <c r="G1023" t="n">
        <v>2.236</v>
      </c>
      <c r="H1023" t="n">
        <v>3.484</v>
      </c>
      <c r="J1023" t="n">
        <v>3.395</v>
      </c>
      <c r="K1023" t="n">
        <v>4.37</v>
      </c>
      <c r="L1023" t="n">
        <v>14.6</v>
      </c>
      <c r="N1023">
        <f>IF(OR(E1023="",C1023=""),"",E1023-C1023/42)</f>
        <v/>
      </c>
      <c r="O1023">
        <f>IF(OR(E1023="",D1023=""),"",E1023-D1023/42)</f>
        <v/>
      </c>
      <c r="P1023">
        <f>IF(L1023="",M1023/100,H1023*L1023/100)</f>
        <v/>
      </c>
      <c r="Q1023">
        <f>H1023-C1023/42-P1023</f>
        <v/>
      </c>
      <c r="R1023">
        <f>H1023-E1023</f>
        <v/>
      </c>
    </row>
    <row r="1024">
      <c r="A1024" s="3" t="n">
        <v>45509</v>
      </c>
      <c r="B1024" s="3" t="n">
        <v>45506</v>
      </c>
      <c r="C1024" t="n">
        <v>77.11</v>
      </c>
      <c r="D1024" t="n">
        <v>80.26000000000001</v>
      </c>
      <c r="E1024" t="n">
        <v>2.335</v>
      </c>
      <c r="F1024" t="n">
        <v>2.399</v>
      </c>
      <c r="G1024" t="n">
        <v>2.378</v>
      </c>
      <c r="H1024" t="n">
        <v>3.448</v>
      </c>
      <c r="J1024" t="n">
        <v>3.435</v>
      </c>
      <c r="K1024" t="n">
        <v>4.355</v>
      </c>
      <c r="L1024" t="n">
        <v>15.1</v>
      </c>
      <c r="N1024">
        <f>IF(OR(E1024="",C1024=""),"",E1024-C1024/42)</f>
        <v/>
      </c>
      <c r="O1024">
        <f>IF(OR(E1024="",D1024=""),"",E1024-D1024/42)</f>
        <v/>
      </c>
      <c r="P1024">
        <f>IF(L1024="",M1024/100,H1024*L1024/100)</f>
        <v/>
      </c>
      <c r="Q1024">
        <f>H1024-C1024/42-P1024</f>
        <v/>
      </c>
      <c r="R1024">
        <f>H1024-E1024</f>
        <v/>
      </c>
    </row>
    <row r="1025">
      <c r="A1025" s="3" t="n">
        <v>45516</v>
      </c>
      <c r="B1025" s="3" t="n">
        <v>45513</v>
      </c>
      <c r="C1025" t="n">
        <v>76.33</v>
      </c>
      <c r="D1025" t="n">
        <v>78.84</v>
      </c>
      <c r="E1025" t="n">
        <v>2.355</v>
      </c>
      <c r="F1025" t="n">
        <v>2.391</v>
      </c>
      <c r="G1025" t="n">
        <v>2.311</v>
      </c>
      <c r="H1025" t="n">
        <v>3.414</v>
      </c>
      <c r="J1025" t="n">
        <v>3.414</v>
      </c>
      <c r="K1025" t="n">
        <v>4.33</v>
      </c>
      <c r="L1025" t="n">
        <v>15.1</v>
      </c>
      <c r="N1025">
        <f>IF(OR(E1025="",C1025=""),"",E1025-C1025/42)</f>
        <v/>
      </c>
      <c r="O1025">
        <f>IF(OR(E1025="",D1025=""),"",E1025-D1025/42)</f>
        <v/>
      </c>
      <c r="P1025">
        <f>IF(L1025="",M1025/100,H1025*L1025/100)</f>
        <v/>
      </c>
      <c r="Q1025">
        <f>H1025-C1025/42-P1025</f>
        <v/>
      </c>
      <c r="R1025">
        <f>H1025-E1025</f>
        <v/>
      </c>
    </row>
    <row r="1026">
      <c r="A1026" s="3" t="n">
        <v>45523</v>
      </c>
      <c r="B1026" s="3" t="n">
        <v>45520</v>
      </c>
      <c r="C1026" t="n">
        <v>79.48999999999999</v>
      </c>
      <c r="D1026" t="n">
        <v>82.47</v>
      </c>
      <c r="E1026" t="n">
        <v>2.323</v>
      </c>
      <c r="F1026" t="n">
        <v>2.387</v>
      </c>
      <c r="G1026" t="n">
        <v>2.406</v>
      </c>
      <c r="H1026" t="n">
        <v>3.382</v>
      </c>
      <c r="J1026" t="n">
        <v>3.471</v>
      </c>
      <c r="K1026" t="n">
        <v>4.318</v>
      </c>
      <c r="L1026" t="n">
        <v>15.1</v>
      </c>
      <c r="N1026">
        <f>IF(OR(E1026="",C1026=""),"",E1026-C1026/42)</f>
        <v/>
      </c>
      <c r="O1026">
        <f>IF(OR(E1026="",D1026=""),"",E1026-D1026/42)</f>
        <v/>
      </c>
      <c r="P1026">
        <f>IF(L1026="",M1026/100,H1026*L1026/100)</f>
        <v/>
      </c>
      <c r="Q1026">
        <f>H1026-C1026/42-P1026</f>
        <v/>
      </c>
      <c r="R1026">
        <f>H1026-E1026</f>
        <v/>
      </c>
    </row>
    <row r="1027">
      <c r="A1027" s="3" t="n">
        <v>45530</v>
      </c>
      <c r="B1027" s="3" t="n">
        <v>45527</v>
      </c>
      <c r="C1027" t="n">
        <v>74.68000000000001</v>
      </c>
      <c r="D1027" t="n">
        <v>79.56999999999999</v>
      </c>
      <c r="E1027" t="n">
        <v>2.289</v>
      </c>
      <c r="F1027" t="n">
        <v>2.268</v>
      </c>
      <c r="G1027" t="n">
        <v>2.349</v>
      </c>
      <c r="H1027" t="n">
        <v>3.313</v>
      </c>
      <c r="J1027" t="n">
        <v>3.357</v>
      </c>
      <c r="K1027" t="n">
        <v>4.325</v>
      </c>
      <c r="L1027" t="n">
        <v>15.1</v>
      </c>
      <c r="N1027">
        <f>IF(OR(E1027="",C1027=""),"",E1027-C1027/42)</f>
        <v/>
      </c>
      <c r="O1027">
        <f>IF(OR(E1027="",D1027=""),"",E1027-D1027/42)</f>
        <v/>
      </c>
      <c r="P1027">
        <f>IF(L1027="",M1027/100,H1027*L1027/100)</f>
        <v/>
      </c>
      <c r="Q1027">
        <f>H1027-C1027/42-P1027</f>
        <v/>
      </c>
      <c r="R1027">
        <f>H1027-E1027</f>
        <v/>
      </c>
    </row>
    <row r="1028">
      <c r="A1028" s="3" t="n">
        <v>45537</v>
      </c>
      <c r="B1028" s="3" t="n">
        <v>45534</v>
      </c>
      <c r="C1028" t="n">
        <v>76.36</v>
      </c>
      <c r="D1028" t="n">
        <v>80.83</v>
      </c>
      <c r="E1028" t="n">
        <v>2.225</v>
      </c>
      <c r="F1028" t="n">
        <v>2.255</v>
      </c>
      <c r="G1028" t="n">
        <v>2.537</v>
      </c>
      <c r="H1028" t="n">
        <v>3.289</v>
      </c>
      <c r="J1028" t="n">
        <v>3.401</v>
      </c>
      <c r="K1028" t="n">
        <v>4.406</v>
      </c>
      <c r="L1028" t="n">
        <v>15.9</v>
      </c>
      <c r="N1028">
        <f>IF(OR(E1028="",C1028=""),"",E1028-C1028/42)</f>
        <v/>
      </c>
      <c r="O1028">
        <f>IF(OR(E1028="",D1028=""),"",E1028-D1028/42)</f>
        <v/>
      </c>
      <c r="P1028">
        <f>IF(L1028="",M1028/100,H1028*L1028/100)</f>
        <v/>
      </c>
      <c r="Q1028">
        <f>H1028-C1028/42-P1028</f>
        <v/>
      </c>
      <c r="R1028">
        <f>H1028-E1028</f>
        <v/>
      </c>
    </row>
    <row r="1029">
      <c r="A1029" s="3" t="n">
        <v>45544</v>
      </c>
      <c r="B1029" s="3" t="n">
        <v>45541</v>
      </c>
      <c r="C1029" t="n">
        <v>70.02</v>
      </c>
      <c r="D1029" t="n">
        <v>75.25</v>
      </c>
      <c r="E1029" t="n">
        <v>1.95</v>
      </c>
      <c r="F1029" t="n">
        <v>2.022</v>
      </c>
      <c r="G1029" t="n">
        <v>2.396</v>
      </c>
      <c r="H1029" t="n">
        <v>3.236</v>
      </c>
      <c r="J1029" t="n">
        <v>3.357</v>
      </c>
      <c r="K1029" t="n">
        <v>4.45</v>
      </c>
      <c r="L1029" t="n">
        <v>15.9</v>
      </c>
      <c r="N1029">
        <f>IF(OR(E1029="",C1029=""),"",E1029-C1029/42)</f>
        <v/>
      </c>
      <c r="O1029">
        <f>IF(OR(E1029="",D1029=""),"",E1029-D1029/42)</f>
        <v/>
      </c>
      <c r="P1029">
        <f>IF(L1029="",M1029/100,H1029*L1029/100)</f>
        <v/>
      </c>
      <c r="Q1029">
        <f>H1029-C1029/42-P1029</f>
        <v/>
      </c>
      <c r="R1029">
        <f>H1029-E1029</f>
        <v/>
      </c>
    </row>
    <row r="1030">
      <c r="A1030" s="3" t="n">
        <v>45551</v>
      </c>
      <c r="B1030" s="3" t="n">
        <v>45548</v>
      </c>
      <c r="C1030" t="n">
        <v>68.81999999999999</v>
      </c>
      <c r="D1030" t="n">
        <v>72.09999999999999</v>
      </c>
      <c r="E1030" t="n">
        <v>1.936</v>
      </c>
      <c r="F1030" t="n">
        <v>2.028</v>
      </c>
      <c r="G1030" t="n">
        <v>2.407</v>
      </c>
      <c r="H1030" t="n">
        <v>3.18</v>
      </c>
      <c r="J1030" t="n">
        <v>3.4</v>
      </c>
      <c r="K1030" t="n">
        <v>4.515</v>
      </c>
      <c r="L1030" t="n">
        <v>15.9</v>
      </c>
      <c r="N1030">
        <f>IF(OR(E1030="",C1030=""),"",E1030-C1030/42)</f>
        <v/>
      </c>
      <c r="O1030">
        <f>IF(OR(E1030="",D1030=""),"",E1030-D1030/42)</f>
        <v/>
      </c>
      <c r="P1030">
        <f>IF(L1030="",M1030/100,H1030*L1030/100)</f>
        <v/>
      </c>
      <c r="Q1030">
        <f>H1030-C1030/42-P1030</f>
        <v/>
      </c>
      <c r="R1030">
        <f>H1030-E1030</f>
        <v/>
      </c>
    </row>
    <row r="1031">
      <c r="A1031" s="3" t="n">
        <v>45558</v>
      </c>
      <c r="B1031" s="3" t="n">
        <v>45555</v>
      </c>
      <c r="C1031" t="n">
        <v>72.14</v>
      </c>
      <c r="D1031" t="n">
        <v>74.98</v>
      </c>
      <c r="E1031" t="n">
        <v>2.015</v>
      </c>
      <c r="F1031" t="n">
        <v>2.106</v>
      </c>
      <c r="G1031" t="n">
        <v>2.344</v>
      </c>
      <c r="H1031" t="n">
        <v>3.185</v>
      </c>
      <c r="J1031" t="n">
        <v>3.434</v>
      </c>
      <c r="K1031" t="n">
        <v>4.49</v>
      </c>
      <c r="L1031" t="n">
        <v>15.9</v>
      </c>
      <c r="N1031">
        <f>IF(OR(E1031="",C1031=""),"",E1031-C1031/42)</f>
        <v/>
      </c>
      <c r="O1031">
        <f>IF(OR(E1031="",D1031=""),"",E1031-D1031/42)</f>
        <v/>
      </c>
      <c r="P1031">
        <f>IF(L1031="",M1031/100,H1031*L1031/100)</f>
        <v/>
      </c>
      <c r="Q1031">
        <f>H1031-C1031/42-P1031</f>
        <v/>
      </c>
      <c r="R1031">
        <f>H1031-E1031</f>
        <v/>
      </c>
    </row>
    <row r="1032">
      <c r="A1032" s="3" t="n">
        <v>45565</v>
      </c>
      <c r="B1032" s="3" t="n">
        <v>45562</v>
      </c>
      <c r="C1032" t="n">
        <v>70.22</v>
      </c>
      <c r="D1032" t="n">
        <v>74.06999999999999</v>
      </c>
      <c r="E1032" t="n">
        <v>2.012</v>
      </c>
      <c r="F1032" t="n">
        <v>2.065</v>
      </c>
      <c r="G1032" t="n">
        <v>2.304</v>
      </c>
      <c r="H1032" t="n">
        <v>3.179</v>
      </c>
      <c r="J1032" t="n">
        <v>3.415</v>
      </c>
      <c r="K1032" t="n">
        <v>4.412</v>
      </c>
      <c r="L1032" t="n">
        <v>15.9</v>
      </c>
      <c r="N1032">
        <f>IF(OR(E1032="",C1032=""),"",E1032-C1032/42)</f>
        <v/>
      </c>
      <c r="O1032">
        <f>IF(OR(E1032="",D1032=""),"",E1032-D1032/42)</f>
        <v/>
      </c>
      <c r="P1032">
        <f>IF(L1032="",M1032/100,H1032*L1032/100)</f>
        <v/>
      </c>
      <c r="Q1032">
        <f>H1032-C1032/42-P1032</f>
        <v/>
      </c>
      <c r="R1032">
        <f>H1032-E1032</f>
        <v/>
      </c>
    </row>
    <row r="1033">
      <c r="A1033" s="3" t="n">
        <v>45572</v>
      </c>
      <c r="B1033" s="3" t="n">
        <v>45569</v>
      </c>
      <c r="C1033" t="n">
        <v>71.83</v>
      </c>
      <c r="D1033" t="n">
        <v>75.88</v>
      </c>
      <c r="E1033" t="n">
        <v>2.043</v>
      </c>
      <c r="F1033" t="n">
        <v>2.127</v>
      </c>
      <c r="G1033" t="n">
        <v>2.347</v>
      </c>
      <c r="H1033" t="n">
        <v>3.136</v>
      </c>
      <c r="J1033" t="n">
        <v>3.271</v>
      </c>
      <c r="K1033" t="n">
        <v>4.408</v>
      </c>
      <c r="L1033" t="n">
        <v>16.3</v>
      </c>
      <c r="N1033">
        <f>IF(OR(E1033="",C1033=""),"",E1033-C1033/42)</f>
        <v/>
      </c>
      <c r="O1033">
        <f>IF(OR(E1033="",D1033=""),"",E1033-D1033/42)</f>
        <v/>
      </c>
      <c r="P1033">
        <f>IF(L1033="",M1033/100,H1033*L1033/100)</f>
        <v/>
      </c>
      <c r="Q1033">
        <f>H1033-C1033/42-P1033</f>
        <v/>
      </c>
      <c r="R1033">
        <f>H1033-E1033</f>
        <v/>
      </c>
    </row>
    <row r="1034">
      <c r="A1034" s="3" t="n">
        <v>45579</v>
      </c>
      <c r="B1034" s="3" t="n">
        <v>45576</v>
      </c>
      <c r="C1034" t="n">
        <v>75.69</v>
      </c>
      <c r="D1034" t="n">
        <v>79.34</v>
      </c>
      <c r="E1034" t="n">
        <v>2.141</v>
      </c>
      <c r="F1034" t="n">
        <v>2.223</v>
      </c>
      <c r="G1034" t="n">
        <v>2.42</v>
      </c>
      <c r="H1034" t="n">
        <v>3.171</v>
      </c>
      <c r="J1034" t="n">
        <v>3.258</v>
      </c>
      <c r="K1034" t="n">
        <v>4.428</v>
      </c>
      <c r="L1034" t="n">
        <v>16.3</v>
      </c>
      <c r="N1034">
        <f>IF(OR(E1034="",C1034=""),"",E1034-C1034/42)</f>
        <v/>
      </c>
      <c r="O1034">
        <f>IF(OR(E1034="",D1034=""),"",E1034-D1034/42)</f>
        <v/>
      </c>
      <c r="P1034">
        <f>IF(L1034="",M1034/100,H1034*L1034/100)</f>
        <v/>
      </c>
      <c r="Q1034">
        <f>H1034-C1034/42-P1034</f>
        <v/>
      </c>
      <c r="R1034">
        <f>H1034-E1034</f>
        <v/>
      </c>
    </row>
    <row r="1035">
      <c r="A1035" s="3" t="n">
        <v>45586</v>
      </c>
      <c r="B1035" s="3" t="n">
        <v>45583</v>
      </c>
      <c r="C1035" t="n">
        <v>70.81</v>
      </c>
      <c r="D1035" t="n">
        <v>74.58</v>
      </c>
      <c r="E1035" t="n">
        <v>2.036</v>
      </c>
      <c r="F1035" t="n">
        <v>2.139</v>
      </c>
      <c r="G1035" t="n">
        <v>2.252</v>
      </c>
      <c r="H1035" t="n">
        <v>3.144</v>
      </c>
      <c r="J1035" t="n">
        <v>3.221</v>
      </c>
      <c r="K1035" t="n">
        <v>4.406</v>
      </c>
      <c r="L1035" t="n">
        <v>16.3</v>
      </c>
      <c r="N1035">
        <f>IF(OR(E1035="",C1035=""),"",E1035-C1035/42)</f>
        <v/>
      </c>
      <c r="O1035">
        <f>IF(OR(E1035="",D1035=""),"",E1035-D1035/42)</f>
        <v/>
      </c>
      <c r="P1035">
        <f>IF(L1035="",M1035/100,H1035*L1035/100)</f>
        <v/>
      </c>
      <c r="Q1035">
        <f>H1035-C1035/42-P1035</f>
        <v/>
      </c>
      <c r="R1035">
        <f>H1035-E1035</f>
        <v/>
      </c>
    </row>
    <row r="1036">
      <c r="A1036" s="3" t="n">
        <v>45593</v>
      </c>
      <c r="B1036" s="3" t="n">
        <v>45590</v>
      </c>
      <c r="C1036" t="n">
        <v>71.59</v>
      </c>
      <c r="D1036" t="n">
        <v>74.69</v>
      </c>
      <c r="E1036" t="n">
        <v>1.961</v>
      </c>
      <c r="F1036" t="n">
        <v>2.153</v>
      </c>
      <c r="G1036" t="n">
        <v>2.201</v>
      </c>
      <c r="H1036" t="n">
        <v>3.097</v>
      </c>
      <c r="J1036" t="n">
        <v>3.198</v>
      </c>
      <c r="K1036" t="n">
        <v>4.326</v>
      </c>
      <c r="L1036" t="n">
        <v>16.3</v>
      </c>
      <c r="N1036">
        <f>IF(OR(E1036="",C1036=""),"",E1036-C1036/42)</f>
        <v/>
      </c>
      <c r="O1036">
        <f>IF(OR(E1036="",D1036=""),"",E1036-D1036/42)</f>
        <v/>
      </c>
      <c r="P1036">
        <f>IF(L1036="",M1036/100,H1036*L1036/100)</f>
        <v/>
      </c>
      <c r="Q1036">
        <f>H1036-C1036/42-P1036</f>
        <v/>
      </c>
      <c r="R1036">
        <f>H1036-E1036</f>
        <v/>
      </c>
    </row>
    <row r="1037">
      <c r="A1037" s="3" t="n">
        <v>45600</v>
      </c>
      <c r="B1037" s="3" t="n">
        <v>45597</v>
      </c>
      <c r="C1037" t="n">
        <v>68.69</v>
      </c>
      <c r="D1037" t="n">
        <v>72.61</v>
      </c>
      <c r="E1037" t="n">
        <v>1.91</v>
      </c>
      <c r="F1037" t="n">
        <v>2.076</v>
      </c>
      <c r="G1037" t="n">
        <v>2.173</v>
      </c>
      <c r="H1037" t="n">
        <v>3.069</v>
      </c>
      <c r="J1037" t="n">
        <v>3.103</v>
      </c>
      <c r="K1037" t="n">
        <v>4.292</v>
      </c>
      <c r="L1037" t="n">
        <v>16.7</v>
      </c>
      <c r="N1037">
        <f>IF(OR(E1037="",C1037=""),"",E1037-C1037/42)</f>
        <v/>
      </c>
      <c r="O1037">
        <f>IF(OR(E1037="",D1037=""),"",E1037-D1037/42)</f>
        <v/>
      </c>
      <c r="P1037">
        <f>IF(L1037="",M1037/100,H1037*L1037/100)</f>
        <v/>
      </c>
      <c r="Q1037">
        <f>H1037-C1037/42-P1037</f>
        <v/>
      </c>
      <c r="R1037">
        <f>H1037-E1037</f>
        <v/>
      </c>
    </row>
    <row r="1038">
      <c r="A1038" s="3" t="n">
        <v>45607</v>
      </c>
      <c r="B1038" s="3" t="n">
        <v>45604</v>
      </c>
      <c r="C1038" t="n">
        <v>71.89</v>
      </c>
      <c r="D1038" t="n">
        <v>75.63</v>
      </c>
      <c r="E1038" t="n">
        <v>1.997</v>
      </c>
      <c r="F1038" t="n">
        <v>2.147</v>
      </c>
      <c r="G1038" t="n">
        <v>2.261</v>
      </c>
      <c r="H1038" t="n">
        <v>3.052</v>
      </c>
      <c r="J1038" t="n">
        <v>3.075</v>
      </c>
      <c r="K1038" t="n">
        <v>4.253</v>
      </c>
      <c r="L1038" t="n">
        <v>16.7</v>
      </c>
      <c r="N1038">
        <f>IF(OR(E1038="",C1038=""),"",E1038-C1038/42)</f>
        <v/>
      </c>
      <c r="O1038">
        <f>IF(OR(E1038="",D1038=""),"",E1038-D1038/42)</f>
        <v/>
      </c>
      <c r="P1038">
        <f>IF(L1038="",M1038/100,H1038*L1038/100)</f>
        <v/>
      </c>
      <c r="Q1038">
        <f>H1038-C1038/42-P1038</f>
        <v/>
      </c>
      <c r="R1038">
        <f>H1038-E1038</f>
        <v/>
      </c>
    </row>
    <row r="1039">
      <c r="A1039" s="3" t="n">
        <v>45614</v>
      </c>
      <c r="B1039" s="3" t="n">
        <v>45611</v>
      </c>
      <c r="C1039" t="n">
        <v>68.38</v>
      </c>
      <c r="D1039" t="n">
        <v>72.89</v>
      </c>
      <c r="E1039" t="n">
        <v>1.907</v>
      </c>
      <c r="F1039" t="n">
        <v>2.073</v>
      </c>
      <c r="G1039" t="n">
        <v>2.082</v>
      </c>
      <c r="H1039" t="n">
        <v>3.046</v>
      </c>
      <c r="J1039" t="n">
        <v>2.917</v>
      </c>
      <c r="K1039" t="n">
        <v>4.196</v>
      </c>
      <c r="L1039" t="n">
        <v>16.7</v>
      </c>
      <c r="N1039">
        <f>IF(OR(E1039="",C1039=""),"",E1039-C1039/42)</f>
        <v/>
      </c>
      <c r="O1039">
        <f>IF(OR(E1039="",D1039=""),"",E1039-D1039/42)</f>
        <v/>
      </c>
      <c r="P1039">
        <f>IF(L1039="",M1039/100,H1039*L1039/100)</f>
        <v/>
      </c>
      <c r="Q1039">
        <f>H1039-C1039/42-P1039</f>
        <v/>
      </c>
      <c r="R1039">
        <f>H1039-E1039</f>
        <v/>
      </c>
    </row>
    <row r="1040">
      <c r="A1040" s="3" t="n">
        <v>45621</v>
      </c>
      <c r="B1040" s="3" t="n">
        <v>45618</v>
      </c>
      <c r="C1040" t="n">
        <v>70.11</v>
      </c>
      <c r="D1040" t="n">
        <v>74.84</v>
      </c>
      <c r="E1040" t="n">
        <v>1.976</v>
      </c>
      <c r="F1040" t="n">
        <v>2.145</v>
      </c>
      <c r="G1040" t="n">
        <v>2.162</v>
      </c>
      <c r="H1040" t="n">
        <v>3.044</v>
      </c>
      <c r="J1040" t="n">
        <v>2.828</v>
      </c>
      <c r="K1040" t="n">
        <v>4.202</v>
      </c>
      <c r="L1040" t="n">
        <v>16.7</v>
      </c>
      <c r="N1040">
        <f>IF(OR(E1040="",C1040=""),"",E1040-C1040/42)</f>
        <v/>
      </c>
      <c r="O1040">
        <f>IF(OR(E1040="",D1040=""),"",E1040-D1040/42)</f>
        <v/>
      </c>
      <c r="P1040">
        <f>IF(L1040="",M1040/100,H1040*L1040/100)</f>
        <v/>
      </c>
      <c r="Q1040">
        <f>H1040-C1040/42-P1040</f>
        <v/>
      </c>
      <c r="R1040">
        <f>H1040-E1040</f>
        <v/>
      </c>
    </row>
    <row r="1041">
      <c r="A1041" s="3" t="n">
        <v>45628</v>
      </c>
      <c r="B1041" s="3" t="n">
        <v>45625</v>
      </c>
      <c r="C1041" t="n">
        <v>68.94</v>
      </c>
      <c r="D1041" t="n">
        <v>74.16</v>
      </c>
      <c r="E1041" t="n">
        <v>1.911</v>
      </c>
      <c r="F1041" t="n">
        <v>2.078</v>
      </c>
      <c r="G1041" t="n">
        <v>2.13</v>
      </c>
      <c r="H1041" t="n">
        <v>3.034</v>
      </c>
      <c r="J1041" t="n">
        <v>2.787</v>
      </c>
      <c r="K1041" t="n">
        <v>4.177</v>
      </c>
      <c r="L1041" t="n">
        <v>16.9</v>
      </c>
      <c r="N1041">
        <f>IF(OR(E1041="",C1041=""),"",E1041-C1041/42)</f>
        <v/>
      </c>
      <c r="O1041">
        <f>IF(OR(E1041="",D1041=""),"",E1041-D1041/42)</f>
        <v/>
      </c>
      <c r="P1041">
        <f>IF(L1041="",M1041/100,H1041*L1041/100)</f>
        <v/>
      </c>
      <c r="Q1041">
        <f>H1041-C1041/42-P1041</f>
        <v/>
      </c>
      <c r="R1041">
        <f>H1041-E1041</f>
        <v/>
      </c>
    </row>
    <row r="1042">
      <c r="A1042" s="3" t="n">
        <v>45635</v>
      </c>
      <c r="B1042" s="3" t="n">
        <v>45632</v>
      </c>
      <c r="C1042" t="n">
        <v>68.89</v>
      </c>
      <c r="D1042" t="n">
        <v>73.97</v>
      </c>
      <c r="E1042" t="n">
        <v>1.888</v>
      </c>
      <c r="F1042" t="n">
        <v>2.065</v>
      </c>
      <c r="G1042" t="n">
        <v>1.991</v>
      </c>
      <c r="H1042" t="n">
        <v>3.008</v>
      </c>
      <c r="J1042" t="n">
        <v>2.786</v>
      </c>
      <c r="K1042" t="n">
        <v>4.141</v>
      </c>
      <c r="L1042" t="n">
        <v>16.9</v>
      </c>
      <c r="N1042">
        <f>IF(OR(E1042="",C1042=""),"",E1042-C1042/42)</f>
        <v/>
      </c>
      <c r="O1042">
        <f>IF(OR(E1042="",D1042=""),"",E1042-D1042/42)</f>
        <v/>
      </c>
      <c r="P1042">
        <f>IF(L1042="",M1042/100,H1042*L1042/100)</f>
        <v/>
      </c>
      <c r="Q1042">
        <f>H1042-C1042/42-P1042</f>
        <v/>
      </c>
      <c r="R1042">
        <f>H1042-E1042</f>
        <v/>
      </c>
    </row>
    <row r="1043">
      <c r="A1043" s="3" t="n">
        <v>45642</v>
      </c>
      <c r="B1043" s="3" t="n">
        <v>45639</v>
      </c>
      <c r="C1043" t="n">
        <v>69.97</v>
      </c>
      <c r="D1043" t="n">
        <v>74.03</v>
      </c>
      <c r="E1043" t="n">
        <v>1.933</v>
      </c>
      <c r="F1043" t="n">
        <v>2.05</v>
      </c>
      <c r="G1043" t="n">
        <v>2.005</v>
      </c>
      <c r="H1043" t="n">
        <v>3.016</v>
      </c>
      <c r="J1043" t="n">
        <v>2.839</v>
      </c>
      <c r="K1043" t="n">
        <v>4.096</v>
      </c>
      <c r="L1043" t="n">
        <v>16.9</v>
      </c>
      <c r="N1043">
        <f>IF(OR(E1043="",C1043=""),"",E1043-C1043/42)</f>
        <v/>
      </c>
      <c r="O1043">
        <f>IF(OR(E1043="",D1043=""),"",E1043-D1043/42)</f>
        <v/>
      </c>
      <c r="P1043">
        <f>IF(L1043="",M1043/100,H1043*L1043/100)</f>
        <v/>
      </c>
      <c r="Q1043">
        <f>H1043-C1043/42-P1043</f>
        <v/>
      </c>
      <c r="R1043">
        <f>H1043-E1043</f>
        <v/>
      </c>
    </row>
    <row r="1044">
      <c r="A1044" s="3" t="n">
        <v>45649</v>
      </c>
      <c r="B1044" s="3" t="n">
        <v>45646</v>
      </c>
      <c r="C1044" t="n">
        <v>70.39</v>
      </c>
      <c r="D1044" t="n">
        <v>73.79000000000001</v>
      </c>
      <c r="E1044" t="n">
        <v>1.919</v>
      </c>
      <c r="F1044" t="n">
        <v>2.014</v>
      </c>
      <c r="G1044" t="n">
        <v>1.966</v>
      </c>
      <c r="H1044" t="n">
        <v>3.024</v>
      </c>
      <c r="J1044" t="n">
        <v>2.887</v>
      </c>
      <c r="K1044" t="n">
        <v>4.094</v>
      </c>
      <c r="L1044" t="n">
        <v>16.9</v>
      </c>
      <c r="N1044">
        <f>IF(OR(E1044="",C1044=""),"",E1044-C1044/42)</f>
        <v/>
      </c>
      <c r="O1044">
        <f>IF(OR(E1044="",D1044=""),"",E1044-D1044/42)</f>
        <v/>
      </c>
      <c r="P1044">
        <f>IF(L1044="",M1044/100,H1044*L1044/100)</f>
        <v/>
      </c>
      <c r="Q1044">
        <f>H1044-C1044/42-P1044</f>
        <v/>
      </c>
      <c r="R1044">
        <f>H1044-E1044</f>
        <v/>
      </c>
    </row>
    <row r="1045">
      <c r="A1045" s="3" t="n">
        <v>45656</v>
      </c>
      <c r="B1045" s="3" t="n">
        <v>45653</v>
      </c>
      <c r="C1045" t="n">
        <v>70.51000000000001</v>
      </c>
      <c r="D1045" t="n">
        <v>73.13</v>
      </c>
      <c r="E1045" t="n">
        <v>1.984</v>
      </c>
      <c r="F1045" t="n">
        <v>2.024</v>
      </c>
      <c r="G1045" t="n">
        <v>2.159</v>
      </c>
      <c r="H1045" t="n">
        <v>3.006</v>
      </c>
      <c r="J1045" t="n">
        <v>2.881</v>
      </c>
      <c r="K1045" t="n">
        <v>4.105</v>
      </c>
      <c r="L1045" t="n">
        <v>16.9</v>
      </c>
      <c r="N1045">
        <f>IF(OR(E1045="",C1045=""),"",E1045-C1045/42)</f>
        <v/>
      </c>
      <c r="O1045">
        <f>IF(OR(E1045="",D1045=""),"",E1045-D1045/42)</f>
        <v/>
      </c>
      <c r="P1045">
        <f>IF(L1045="",M1045/100,H1045*L1045/100)</f>
        <v/>
      </c>
      <c r="Q1045">
        <f>H1045-C1045/42-P1045</f>
        <v/>
      </c>
      <c r="R1045">
        <f>H1045-E1045</f>
        <v/>
      </c>
    </row>
    <row r="1046">
      <c r="A1046" s="3" t="n">
        <v>45663</v>
      </c>
      <c r="B1046" s="3" t="n">
        <v>45660</v>
      </c>
      <c r="C1046" t="n">
        <v>73.15000000000001</v>
      </c>
      <c r="D1046" t="n">
        <v>75.42</v>
      </c>
      <c r="E1046" t="n">
        <v>2.037</v>
      </c>
      <c r="F1046" t="n">
        <v>2.091</v>
      </c>
      <c r="G1046" t="n">
        <v>2.159</v>
      </c>
      <c r="H1046" t="n">
        <v>3.047</v>
      </c>
      <c r="J1046" t="n">
        <v>2.899</v>
      </c>
      <c r="K1046" t="n">
        <v>4.154</v>
      </c>
      <c r="L1046" t="n">
        <v>16.6</v>
      </c>
      <c r="N1046">
        <f>IF(OR(E1046="",C1046=""),"",E1046-C1046/42)</f>
        <v/>
      </c>
      <c r="O1046">
        <f>IF(OR(E1046="",D1046=""),"",E1046-D1046/42)</f>
        <v/>
      </c>
      <c r="P1046">
        <f>IF(L1046="",M1046/100,H1046*L1046/100)</f>
        <v/>
      </c>
      <c r="Q1046">
        <f>H1046-C1046/42-P1046</f>
        <v/>
      </c>
      <c r="R1046">
        <f>H1046-E1046</f>
        <v/>
      </c>
    </row>
    <row r="1047">
      <c r="A1047" s="3" t="n">
        <v>45670</v>
      </c>
      <c r="B1047" s="3" t="n">
        <v>45667</v>
      </c>
      <c r="C1047" t="n">
        <v>75.14</v>
      </c>
      <c r="D1047" t="n">
        <v>78.14</v>
      </c>
      <c r="E1047" t="n">
        <v>2.056</v>
      </c>
      <c r="F1047" t="n">
        <v>2.109</v>
      </c>
      <c r="G1047" t="n">
        <v>2.079</v>
      </c>
      <c r="H1047" t="n">
        <v>3.043</v>
      </c>
      <c r="J1047" t="n">
        <v>2.879</v>
      </c>
      <c r="K1047" t="n">
        <v>4.161</v>
      </c>
      <c r="L1047" t="n">
        <v>16.6</v>
      </c>
      <c r="N1047">
        <f>IF(OR(E1047="",C1047=""),"",E1047-C1047/42)</f>
        <v/>
      </c>
      <c r="O1047">
        <f>IF(OR(E1047="",D1047=""),"",E1047-D1047/42)</f>
        <v/>
      </c>
      <c r="P1047">
        <f>IF(L1047="",M1047/100,H1047*L1047/100)</f>
        <v/>
      </c>
      <c r="Q1047">
        <f>H1047-C1047/42-P1047</f>
        <v/>
      </c>
      <c r="R1047">
        <f>H1047-E1047</f>
        <v/>
      </c>
    </row>
    <row r="1048">
      <c r="A1048" s="3" t="n">
        <v>45677</v>
      </c>
      <c r="B1048" s="3" t="n">
        <v>45674</v>
      </c>
      <c r="C1048" t="n">
        <v>79.28</v>
      </c>
      <c r="D1048" t="n">
        <v>82.79000000000001</v>
      </c>
      <c r="E1048" t="n">
        <v>2.153</v>
      </c>
      <c r="F1048" t="n">
        <v>2.212</v>
      </c>
      <c r="G1048" t="n">
        <v>2.172</v>
      </c>
      <c r="H1048" t="n">
        <v>3.109</v>
      </c>
      <c r="J1048" t="n">
        <v>2.911</v>
      </c>
      <c r="K1048" t="n">
        <v>4.212</v>
      </c>
      <c r="L1048" t="n">
        <v>16.6</v>
      </c>
      <c r="N1048">
        <f>IF(OR(E1048="",C1048=""),"",E1048-C1048/42)</f>
        <v/>
      </c>
      <c r="O1048">
        <f>IF(OR(E1048="",D1048=""),"",E1048-D1048/42)</f>
        <v/>
      </c>
      <c r="P1048">
        <f>IF(L1048="",M1048/100,H1048*L1048/100)</f>
        <v/>
      </c>
      <c r="Q1048">
        <f>H1048-C1048/42-P1048</f>
        <v/>
      </c>
      <c r="R1048">
        <f>H1048-E1048</f>
        <v/>
      </c>
    </row>
    <row r="1049">
      <c r="A1049" s="3" t="n">
        <v>45684</v>
      </c>
      <c r="B1049" s="3" t="n">
        <v>45681</v>
      </c>
      <c r="C1049" t="n">
        <v>75.73</v>
      </c>
      <c r="D1049" t="n">
        <v>79.92</v>
      </c>
      <c r="E1049" t="n">
        <v>2.068</v>
      </c>
      <c r="F1049" t="n">
        <v>2.157</v>
      </c>
      <c r="G1049" t="n">
        <v>2.215</v>
      </c>
      <c r="H1049" t="n">
        <v>3.103</v>
      </c>
      <c r="J1049" t="n">
        <v>2.92</v>
      </c>
      <c r="K1049" t="n">
        <v>4.221</v>
      </c>
      <c r="L1049" t="n">
        <v>16.6</v>
      </c>
      <c r="N1049">
        <f>IF(OR(E1049="",C1049=""),"",E1049-C1049/42)</f>
        <v/>
      </c>
      <c r="O1049">
        <f>IF(OR(E1049="",D1049=""),"",E1049-D1049/42)</f>
        <v/>
      </c>
      <c r="P1049">
        <f>IF(L1049="",M1049/100,H1049*L1049/100)</f>
        <v/>
      </c>
      <c r="Q1049">
        <f>H1049-C1049/42-P1049</f>
        <v/>
      </c>
      <c r="R1049">
        <f>H1049-E1049</f>
        <v/>
      </c>
    </row>
    <row r="1050">
      <c r="A1050" s="3" t="n">
        <v>45691</v>
      </c>
      <c r="B1050" s="3" t="n">
        <v>45688</v>
      </c>
      <c r="C1050" t="n">
        <v>73.31</v>
      </c>
      <c r="D1050" t="n">
        <v>77.37</v>
      </c>
      <c r="E1050" t="n">
        <v>2.052</v>
      </c>
      <c r="F1050" t="n">
        <v>2.134</v>
      </c>
      <c r="G1050" t="n">
        <v>2.348</v>
      </c>
      <c r="H1050" t="n">
        <v>3.082</v>
      </c>
      <c r="J1050" t="n">
        <v>2.967</v>
      </c>
      <c r="K1050" t="n">
        <v>4.253</v>
      </c>
      <c r="L1050" t="n">
        <v>16.4</v>
      </c>
      <c r="N1050">
        <f>IF(OR(E1050="",C1050=""),"",E1050-C1050/42)</f>
        <v/>
      </c>
      <c r="O1050">
        <f>IF(OR(E1050="",D1050=""),"",E1050-D1050/42)</f>
        <v/>
      </c>
      <c r="P1050">
        <f>IF(L1050="",M1050/100,H1050*L1050/100)</f>
        <v/>
      </c>
      <c r="Q1050">
        <f>H1050-C1050/42-P1050</f>
        <v/>
      </c>
      <c r="R1050">
        <f>H1050-E1050</f>
        <v/>
      </c>
    </row>
    <row r="1051">
      <c r="A1051" s="3" t="n">
        <v>45698</v>
      </c>
      <c r="B1051" s="3" t="n">
        <v>45695</v>
      </c>
      <c r="C1051" t="n">
        <v>72.05</v>
      </c>
      <c r="D1051" t="n">
        <v>75.40000000000001</v>
      </c>
      <c r="E1051" t="n">
        <v>2.097</v>
      </c>
      <c r="F1051" t="n">
        <v>2.165</v>
      </c>
      <c r="G1051" t="n">
        <v>2.504</v>
      </c>
      <c r="H1051" t="n">
        <v>3.128</v>
      </c>
      <c r="J1051" t="n">
        <v>3.02</v>
      </c>
      <c r="K1051" t="n">
        <v>4.392</v>
      </c>
      <c r="L1051" t="n">
        <v>16.4</v>
      </c>
      <c r="N1051">
        <f>IF(OR(E1051="",C1051=""),"",E1051-C1051/42)</f>
        <v/>
      </c>
      <c r="O1051">
        <f>IF(OR(E1051="",D1051=""),"",E1051-D1051/42)</f>
        <v/>
      </c>
      <c r="P1051">
        <f>IF(L1051="",M1051/100,H1051*L1051/100)</f>
        <v/>
      </c>
      <c r="Q1051">
        <f>H1051-C1051/42-P1051</f>
        <v/>
      </c>
      <c r="R1051">
        <f>H1051-E1051</f>
        <v/>
      </c>
    </row>
    <row r="1052">
      <c r="A1052" s="3" t="n">
        <v>45705</v>
      </c>
      <c r="B1052" s="3" t="n">
        <v>45702</v>
      </c>
      <c r="C1052" t="n">
        <v>72.17</v>
      </c>
      <c r="D1052" t="n">
        <v>76.01000000000001</v>
      </c>
      <c r="E1052" t="n">
        <v>2.103</v>
      </c>
      <c r="F1052" t="n">
        <v>2.181</v>
      </c>
      <c r="G1052" t="n">
        <v>2.632</v>
      </c>
      <c r="H1052" t="n">
        <v>3.148</v>
      </c>
      <c r="J1052" t="n">
        <v>3.046</v>
      </c>
      <c r="K1052" t="n">
        <v>4.603</v>
      </c>
      <c r="L1052" t="n">
        <v>16.4</v>
      </c>
      <c r="N1052">
        <f>IF(OR(E1052="",C1052=""),"",E1052-C1052/42)</f>
        <v/>
      </c>
      <c r="O1052">
        <f>IF(OR(E1052="",D1052=""),"",E1052-D1052/42)</f>
        <v/>
      </c>
      <c r="P1052">
        <f>IF(L1052="",M1052/100,H1052*L1052/100)</f>
        <v/>
      </c>
      <c r="Q1052">
        <f>H1052-C1052/42-P1052</f>
        <v/>
      </c>
      <c r="R1052">
        <f>H1052-E1052</f>
        <v/>
      </c>
    </row>
    <row r="1053">
      <c r="A1053" s="3" t="n">
        <v>45712</v>
      </c>
      <c r="B1053" s="3" t="n">
        <v>45709</v>
      </c>
      <c r="C1053" t="n">
        <v>72.09999999999999</v>
      </c>
      <c r="D1053" t="n">
        <v>76.09</v>
      </c>
      <c r="E1053" t="n">
        <v>2.096</v>
      </c>
      <c r="F1053" t="n">
        <v>2.148</v>
      </c>
      <c r="G1053" t="n">
        <v>2.533</v>
      </c>
      <c r="H1053" t="n">
        <v>3.125</v>
      </c>
      <c r="J1053" t="n">
        <v>3.019</v>
      </c>
      <c r="K1053" t="n">
        <v>4.606</v>
      </c>
      <c r="L1053" t="n">
        <v>16.4</v>
      </c>
      <c r="N1053">
        <f>IF(OR(E1053="",C1053=""),"",E1053-C1053/42)</f>
        <v/>
      </c>
      <c r="O1053">
        <f>IF(OR(E1053="",D1053=""),"",E1053-D1053/42)</f>
        <v/>
      </c>
      <c r="P1053">
        <f>IF(L1053="",M1053/100,H1053*L1053/100)</f>
        <v/>
      </c>
      <c r="Q1053">
        <f>H1053-C1053/42-P1053</f>
        <v/>
      </c>
      <c r="R1053">
        <f>H1053-E1053</f>
        <v/>
      </c>
    </row>
    <row r="1054">
      <c r="A1054" s="3" t="n">
        <v>45719</v>
      </c>
      <c r="B1054" s="3" t="n">
        <v>45716</v>
      </c>
      <c r="C1054" t="n">
        <v>69.93000000000001</v>
      </c>
      <c r="D1054" t="n">
        <v>74.25</v>
      </c>
      <c r="E1054" t="n">
        <v>2.003</v>
      </c>
      <c r="F1054" t="n">
        <v>1.961</v>
      </c>
      <c r="G1054" t="n">
        <v>2.17</v>
      </c>
      <c r="H1054" t="n">
        <v>3.078</v>
      </c>
      <c r="J1054" t="n">
        <v>2.964</v>
      </c>
      <c r="K1054" t="n">
        <v>4.533</v>
      </c>
      <c r="L1054" t="n">
        <v>16.5</v>
      </c>
      <c r="N1054">
        <f>IF(OR(E1054="",C1054=""),"",E1054-C1054/42)</f>
        <v/>
      </c>
      <c r="O1054">
        <f>IF(OR(E1054="",D1054=""),"",E1054-D1054/42)</f>
        <v/>
      </c>
      <c r="P1054">
        <f>IF(L1054="",M1054/100,H1054*L1054/100)</f>
        <v/>
      </c>
      <c r="Q1054">
        <f>H1054-C1054/42-P1054</f>
        <v/>
      </c>
      <c r="R1054">
        <f>H1054-E1054</f>
        <v/>
      </c>
    </row>
    <row r="1055">
      <c r="A1055" s="3" t="n">
        <v>45726</v>
      </c>
      <c r="B1055" s="3" t="n">
        <v>45723</v>
      </c>
      <c r="C1055" t="n">
        <v>67.52</v>
      </c>
      <c r="D1055" t="n">
        <v>71.93000000000001</v>
      </c>
      <c r="E1055" t="n">
        <v>1.967</v>
      </c>
      <c r="F1055" t="n">
        <v>1.945</v>
      </c>
      <c r="G1055" t="n">
        <v>2.219</v>
      </c>
      <c r="H1055" t="n">
        <v>3.069</v>
      </c>
      <c r="J1055" t="n">
        <v>2.96</v>
      </c>
      <c r="K1055" t="n">
        <v>4.481</v>
      </c>
      <c r="L1055" t="n">
        <v>16.5</v>
      </c>
      <c r="N1055">
        <f>IF(OR(E1055="",C1055=""),"",E1055-C1055/42)</f>
        <v/>
      </c>
      <c r="O1055">
        <f>IF(OR(E1055="",D1055=""),"",E1055-D1055/42)</f>
        <v/>
      </c>
      <c r="P1055">
        <f>IF(L1055="",M1055/100,H1055*L1055/100)</f>
        <v/>
      </c>
      <c r="Q1055">
        <f>H1055-C1055/42-P1055</f>
        <v/>
      </c>
      <c r="R1055">
        <f>H1055-E1055</f>
        <v/>
      </c>
    </row>
    <row r="1056">
      <c r="A1056" s="3" t="n">
        <v>45733</v>
      </c>
      <c r="B1056" s="3" t="n">
        <v>45730</v>
      </c>
      <c r="C1056" t="n">
        <v>66.95</v>
      </c>
      <c r="D1056" t="n">
        <v>71.54000000000001</v>
      </c>
      <c r="E1056" t="n">
        <v>1.999</v>
      </c>
      <c r="F1056" t="n">
        <v>1.944</v>
      </c>
      <c r="G1056" t="n">
        <v>2.149</v>
      </c>
      <c r="H1056" t="n">
        <v>3.058</v>
      </c>
      <c r="J1056" t="n">
        <v>2.998</v>
      </c>
      <c r="K1056" t="n">
        <v>4.432</v>
      </c>
      <c r="L1056" t="n">
        <v>16.5</v>
      </c>
      <c r="N1056">
        <f>IF(OR(E1056="",C1056=""),"",E1056-C1056/42)</f>
        <v/>
      </c>
      <c r="O1056">
        <f>IF(OR(E1056="",D1056=""),"",E1056-D1056/42)</f>
        <v/>
      </c>
      <c r="P1056">
        <f>IF(L1056="",M1056/100,H1056*L1056/100)</f>
        <v/>
      </c>
      <c r="Q1056">
        <f>H1056-C1056/42-P1056</f>
        <v/>
      </c>
      <c r="R1056">
        <f>H1056-E1056</f>
        <v/>
      </c>
    </row>
    <row r="1057">
      <c r="A1057" s="3" t="n">
        <v>45740</v>
      </c>
      <c r="B1057" s="3" t="n">
        <v>45737</v>
      </c>
      <c r="C1057" t="n">
        <v>67.95999999999999</v>
      </c>
      <c r="D1057" t="n">
        <v>72.20999999999999</v>
      </c>
      <c r="E1057" t="n">
        <v>2.093</v>
      </c>
      <c r="F1057" t="n">
        <v>1.995</v>
      </c>
      <c r="G1057" t="n">
        <v>2.355</v>
      </c>
      <c r="H1057" t="n">
        <v>3.115</v>
      </c>
      <c r="J1057" t="n">
        <v>3.043</v>
      </c>
      <c r="K1057" t="n">
        <v>4.418</v>
      </c>
      <c r="L1057" t="n">
        <v>16.5</v>
      </c>
      <c r="N1057">
        <f>IF(OR(E1057="",C1057=""),"",E1057-C1057/42)</f>
        <v/>
      </c>
      <c r="O1057">
        <f>IF(OR(E1057="",D1057=""),"",E1057-D1057/42)</f>
        <v/>
      </c>
      <c r="P1057">
        <f>IF(L1057="",M1057/100,H1057*L1057/100)</f>
        <v/>
      </c>
      <c r="Q1057">
        <f>H1057-C1057/42-P1057</f>
        <v/>
      </c>
      <c r="R1057">
        <f>H1057-E1057</f>
        <v/>
      </c>
    </row>
    <row r="1058">
      <c r="A1058" s="3" t="n">
        <v>45747</v>
      </c>
      <c r="B1058" s="3" t="n">
        <v>45744</v>
      </c>
      <c r="C1058" t="n">
        <v>69.81</v>
      </c>
      <c r="D1058" t="n">
        <v>74.34999999999999</v>
      </c>
      <c r="E1058" t="n">
        <v>2.118</v>
      </c>
      <c r="F1058" t="n">
        <v>2.04</v>
      </c>
      <c r="G1058" t="n">
        <v>2.547</v>
      </c>
      <c r="H1058" t="n">
        <v>3.162</v>
      </c>
      <c r="J1058" t="n">
        <v>3.111</v>
      </c>
      <c r="K1058" t="n">
        <v>4.585</v>
      </c>
      <c r="L1058" t="n">
        <v>16.5</v>
      </c>
      <c r="N1058">
        <f>IF(OR(E1058="",C1058=""),"",E1058-C1058/42)</f>
        <v/>
      </c>
      <c r="O1058">
        <f>IF(OR(E1058="",D1058=""),"",E1058-D1058/42)</f>
        <v/>
      </c>
      <c r="P1058">
        <f>IF(L1058="",M1058/100,H1058*L1058/100)</f>
        <v/>
      </c>
      <c r="Q1058">
        <f>H1058-C1058/42-P1058</f>
        <v/>
      </c>
      <c r="R1058">
        <f>H1058-E1058</f>
        <v/>
      </c>
    </row>
    <row r="1059">
      <c r="A1059" s="3" t="n">
        <v>45754</v>
      </c>
      <c r="B1059" s="3" t="n">
        <v>45751</v>
      </c>
      <c r="C1059" t="n">
        <v>69.09</v>
      </c>
      <c r="D1059" t="n">
        <v>74.64</v>
      </c>
      <c r="E1059" t="n">
        <v>2.151</v>
      </c>
      <c r="F1059" t="n">
        <v>2.042</v>
      </c>
      <c r="G1059" t="n">
        <v>2.742</v>
      </c>
      <c r="H1059" t="n">
        <v>3.243</v>
      </c>
      <c r="J1059" t="n">
        <v>3.165</v>
      </c>
      <c r="K1059" t="n">
        <v>4.731</v>
      </c>
      <c r="L1059" t="n">
        <v>16.1</v>
      </c>
      <c r="N1059">
        <f>IF(OR(E1059="",C1059=""),"",E1059-C1059/42)</f>
        <v/>
      </c>
      <c r="O1059">
        <f>IF(OR(E1059="",D1059=""),"",E1059-D1059/42)</f>
        <v/>
      </c>
      <c r="P1059">
        <f>IF(L1059="",M1059/100,H1059*L1059/100)</f>
        <v/>
      </c>
      <c r="Q1059">
        <f>H1059-C1059/42-P1059</f>
        <v/>
      </c>
      <c r="R1059">
        <f>H1059-E1059</f>
        <v/>
      </c>
    </row>
    <row r="1060">
      <c r="A1060" s="3" t="n">
        <v>45761</v>
      </c>
      <c r="B1060" s="3" t="n">
        <v>45758</v>
      </c>
      <c r="C1060" t="n">
        <v>61.24</v>
      </c>
      <c r="D1060" t="n">
        <v>66.09999999999999</v>
      </c>
      <c r="E1060" t="n">
        <v>1.916</v>
      </c>
      <c r="F1060" t="n">
        <v>1.817</v>
      </c>
      <c r="G1060" t="n">
        <v>2.422</v>
      </c>
      <c r="H1060" t="n">
        <v>3.168</v>
      </c>
      <c r="J1060" t="n">
        <v>3.098</v>
      </c>
      <c r="K1060" t="n">
        <v>4.666</v>
      </c>
      <c r="L1060" t="n">
        <v>16.1</v>
      </c>
      <c r="N1060">
        <f>IF(OR(E1060="",C1060=""),"",E1060-C1060/42)</f>
        <v/>
      </c>
      <c r="O1060">
        <f>IF(OR(E1060="",D1060=""),"",E1060-D1060/42)</f>
        <v/>
      </c>
      <c r="P1060">
        <f>IF(L1060="",M1060/100,H1060*L1060/100)</f>
        <v/>
      </c>
      <c r="Q1060">
        <f>H1060-C1060/42-P1060</f>
        <v/>
      </c>
      <c r="R1060">
        <f>H1060-E1060</f>
        <v/>
      </c>
    </row>
    <row r="1061">
      <c r="A1061" s="3" t="n">
        <v>45768</v>
      </c>
      <c r="B1061" s="3" t="n">
        <v>45765</v>
      </c>
      <c r="C1061" t="n">
        <v>62.92</v>
      </c>
      <c r="D1061" t="n">
        <v>67.76000000000001</v>
      </c>
      <c r="E1061" t="n">
        <v>1.957</v>
      </c>
      <c r="F1061" t="n">
        <v>1.865</v>
      </c>
      <c r="G1061" t="n">
        <v>2.325</v>
      </c>
      <c r="H1061" t="n">
        <v>3.141</v>
      </c>
      <c r="J1061" t="n">
        <v>3.13</v>
      </c>
      <c r="K1061" t="n">
        <v>4.614</v>
      </c>
      <c r="L1061" t="n">
        <v>16.1</v>
      </c>
      <c r="N1061">
        <f>IF(OR(E1061="",C1061=""),"",E1061-C1061/42)</f>
        <v/>
      </c>
      <c r="O1061">
        <f>IF(OR(E1061="",D1061=""),"",E1061-D1061/42)</f>
        <v/>
      </c>
      <c r="P1061">
        <f>IF(L1061="",M1061/100,H1061*L1061/100)</f>
        <v/>
      </c>
      <c r="Q1061">
        <f>H1061-C1061/42-P1061</f>
        <v/>
      </c>
      <c r="R1061">
        <f>H1061-E1061</f>
        <v/>
      </c>
    </row>
    <row r="1062">
      <c r="A1062" s="3" t="n">
        <v>45775</v>
      </c>
      <c r="B1062" s="3" t="n">
        <v>45772</v>
      </c>
      <c r="C1062" t="n">
        <v>63.62</v>
      </c>
      <c r="D1062" t="n">
        <v>67.92</v>
      </c>
      <c r="E1062" t="n">
        <v>2.008</v>
      </c>
      <c r="F1062" t="n">
        <v>1.937</v>
      </c>
      <c r="G1062" t="n">
        <v>2.349</v>
      </c>
      <c r="H1062" t="n">
        <v>3.133</v>
      </c>
      <c r="J1062" t="n">
        <v>3.134</v>
      </c>
      <c r="K1062" t="n">
        <v>4.588</v>
      </c>
      <c r="L1062" t="n">
        <v>16.1</v>
      </c>
      <c r="N1062">
        <f>IF(OR(E1062="",C1062=""),"",E1062-C1062/42)</f>
        <v/>
      </c>
      <c r="O1062">
        <f>IF(OR(E1062="",D1062=""),"",E1062-D1062/42)</f>
        <v/>
      </c>
      <c r="P1062">
        <f>IF(L1062="",M1062/100,H1062*L1062/100)</f>
        <v/>
      </c>
      <c r="Q1062">
        <f>H1062-C1062/42-P1062</f>
        <v/>
      </c>
      <c r="R1062">
        <f>H1062-E1062</f>
        <v/>
      </c>
    </row>
    <row r="1063">
      <c r="A1063" s="3" t="n">
        <v>45782</v>
      </c>
      <c r="B1063" s="3" t="n">
        <v>45779</v>
      </c>
      <c r="C1063" t="n">
        <v>60.99</v>
      </c>
      <c r="D1063" t="n">
        <v>63.5</v>
      </c>
      <c r="E1063" t="n">
        <v>1.959</v>
      </c>
      <c r="F1063" t="n">
        <v>1.889</v>
      </c>
      <c r="G1063" t="n">
        <v>2.319</v>
      </c>
      <c r="H1063" t="n">
        <v>3.147</v>
      </c>
      <c r="J1063" t="n">
        <v>3.118</v>
      </c>
      <c r="K1063" t="n">
        <v>4.552</v>
      </c>
      <c r="L1063" t="n">
        <v>16.2</v>
      </c>
      <c r="N1063">
        <f>IF(OR(E1063="",C1063=""),"",E1063-C1063/42)</f>
        <v/>
      </c>
      <c r="O1063">
        <f>IF(OR(E1063="",D1063=""),"",E1063-D1063/42)</f>
        <v/>
      </c>
      <c r="P1063">
        <f>IF(L1063="",M1063/100,H1063*L1063/100)</f>
        <v/>
      </c>
      <c r="Q1063">
        <f>H1063-C1063/42-P1063</f>
        <v/>
      </c>
      <c r="R1063">
        <f>H1063-E1063</f>
        <v/>
      </c>
    </row>
    <row r="1064">
      <c r="A1064" s="3" t="n">
        <v>45789</v>
      </c>
      <c r="B1064" s="3" t="n">
        <v>45786</v>
      </c>
      <c r="C1064" t="n">
        <v>60.39</v>
      </c>
      <c r="D1064" t="n">
        <v>62.29</v>
      </c>
      <c r="E1064" t="n">
        <v>2</v>
      </c>
      <c r="F1064" t="n">
        <v>1.933</v>
      </c>
      <c r="G1064" t="n">
        <v>2.501</v>
      </c>
      <c r="H1064" t="n">
        <v>3.12</v>
      </c>
      <c r="J1064" t="n">
        <v>3.137</v>
      </c>
      <c r="K1064" t="n">
        <v>4.648</v>
      </c>
      <c r="L1064" t="n">
        <v>16.2</v>
      </c>
      <c r="N1064">
        <f>IF(OR(E1064="",C1064=""),"",E1064-C1064/42)</f>
        <v/>
      </c>
      <c r="O1064">
        <f>IF(OR(E1064="",D1064=""),"",E1064-D1064/42)</f>
        <v/>
      </c>
      <c r="P1064">
        <f>IF(L1064="",M1064/100,H1064*L1064/100)</f>
        <v/>
      </c>
      <c r="Q1064">
        <f>H1064-C1064/42-P1064</f>
        <v/>
      </c>
      <c r="R1064">
        <f>H1064-E1064</f>
        <v/>
      </c>
    </row>
    <row r="1065">
      <c r="A1065" s="3" t="n">
        <v>45796</v>
      </c>
      <c r="B1065" s="3" t="n">
        <v>45793</v>
      </c>
      <c r="C1065" t="n">
        <v>63.94</v>
      </c>
      <c r="D1065" t="n">
        <v>65.54000000000001</v>
      </c>
      <c r="E1065" t="n">
        <v>2.068</v>
      </c>
      <c r="F1065" t="n">
        <v>1.992</v>
      </c>
      <c r="G1065" t="n">
        <v>2.575</v>
      </c>
      <c r="H1065" t="n">
        <v>3.173</v>
      </c>
      <c r="J1065" t="n">
        <v>3.131</v>
      </c>
      <c r="K1065" t="n">
        <v>4.691</v>
      </c>
      <c r="L1065" t="n">
        <v>16.2</v>
      </c>
      <c r="N1065">
        <f>IF(OR(E1065="",C1065=""),"",E1065-C1065/42)</f>
        <v/>
      </c>
      <c r="O1065">
        <f>IF(OR(E1065="",D1065=""),"",E1065-D1065/42)</f>
        <v/>
      </c>
      <c r="P1065">
        <f>IF(L1065="",M1065/100,H1065*L1065/100)</f>
        <v/>
      </c>
      <c r="Q1065">
        <f>H1065-C1065/42-P1065</f>
        <v/>
      </c>
      <c r="R1065">
        <f>H1065-E1065</f>
        <v/>
      </c>
    </row>
    <row r="1066">
      <c r="A1066" s="3" t="n">
        <v>45803</v>
      </c>
      <c r="B1066" s="3" t="n">
        <v>45800</v>
      </c>
      <c r="C1066" t="n">
        <v>63.26</v>
      </c>
      <c r="D1066" t="n">
        <v>65.86</v>
      </c>
      <c r="E1066" t="n">
        <v>2.097</v>
      </c>
      <c r="F1066" t="n">
        <v>2.027</v>
      </c>
      <c r="G1066" t="n">
        <v>2.468</v>
      </c>
      <c r="H1066" t="n">
        <v>3.16</v>
      </c>
      <c r="J1066" t="n">
        <v>3.118</v>
      </c>
      <c r="K1066" t="n">
        <v>4.626</v>
      </c>
      <c r="L1066" t="n">
        <v>16.2</v>
      </c>
      <c r="N1066">
        <f>IF(OR(E1066="",C1066=""),"",E1066-C1066/42)</f>
        <v/>
      </c>
      <c r="O1066">
        <f>IF(OR(E1066="",D1066=""),"",E1066-D1066/42)</f>
        <v/>
      </c>
      <c r="P1066">
        <f>IF(L1066="",M1066/100,H1066*L1066/100)</f>
        <v/>
      </c>
      <c r="Q1066">
        <f>H1066-C1066/42-P1066</f>
        <v/>
      </c>
      <c r="R1066">
        <f>H1066-E1066</f>
        <v/>
      </c>
    </row>
    <row r="1067">
      <c r="A1067" s="3" t="n">
        <v>45810</v>
      </c>
      <c r="B1067" s="3" t="n">
        <v>45807</v>
      </c>
      <c r="C1067" t="n">
        <v>61.82</v>
      </c>
      <c r="D1067" t="n">
        <v>64.73999999999999</v>
      </c>
      <c r="E1067" t="n">
        <v>1.986</v>
      </c>
      <c r="F1067" t="n">
        <v>1.944</v>
      </c>
      <c r="G1067" t="n">
        <v>2.288</v>
      </c>
      <c r="H1067" t="n">
        <v>3.127</v>
      </c>
      <c r="J1067" t="n">
        <v>3.14</v>
      </c>
      <c r="K1067" t="n">
        <v>4.549</v>
      </c>
      <c r="L1067" t="n">
        <v>16.3</v>
      </c>
      <c r="N1067">
        <f>IF(OR(E1067="",C1067=""),"",E1067-C1067/42)</f>
        <v/>
      </c>
      <c r="O1067">
        <f>IF(OR(E1067="",D1067=""),"",E1067-D1067/42)</f>
        <v/>
      </c>
      <c r="P1067">
        <f>IF(L1067="",M1067/100,H1067*L1067/100)</f>
        <v/>
      </c>
      <c r="Q1067">
        <f>H1067-C1067/42-P1067</f>
        <v/>
      </c>
      <c r="R1067">
        <f>H1067-E1067</f>
        <v/>
      </c>
    </row>
    <row r="1068">
      <c r="A1068" s="3" t="n">
        <v>45817</v>
      </c>
      <c r="B1068" s="3" t="n">
        <v>45814</v>
      </c>
      <c r="C1068" t="n">
        <v>64.06</v>
      </c>
      <c r="D1068" t="n">
        <v>67.18000000000001</v>
      </c>
      <c r="E1068" t="n">
        <v>1.999</v>
      </c>
      <c r="F1068" t="n">
        <v>1.93</v>
      </c>
      <c r="G1068" t="n">
        <v>2.247</v>
      </c>
      <c r="H1068" t="n">
        <v>3.108</v>
      </c>
      <c r="J1068" t="n">
        <v>3.085</v>
      </c>
      <c r="K1068" t="n">
        <v>4.479</v>
      </c>
      <c r="L1068" t="n">
        <v>16.3</v>
      </c>
      <c r="N1068">
        <f>IF(OR(E1068="",C1068=""),"",E1068-C1068/42)</f>
        <v/>
      </c>
      <c r="O1068">
        <f>IF(OR(E1068="",D1068=""),"",E1068-D1068/42)</f>
        <v/>
      </c>
      <c r="P1068">
        <f>IF(L1068="",M1068/100,H1068*L1068/100)</f>
        <v/>
      </c>
      <c r="Q1068">
        <f>H1068-C1068/42-P1068</f>
        <v/>
      </c>
      <c r="R1068">
        <f>H1068-E1068</f>
        <v/>
      </c>
    </row>
    <row r="1069">
      <c r="A1069" s="3" t="n">
        <v>45824</v>
      </c>
      <c r="B1069" s="3" t="n">
        <v>45821</v>
      </c>
      <c r="C1069" t="n">
        <v>68.63</v>
      </c>
      <c r="D1069" t="n">
        <v>71.05</v>
      </c>
      <c r="E1069" t="n">
        <v>2.091</v>
      </c>
      <c r="F1069" t="n">
        <v>2.071</v>
      </c>
      <c r="G1069" t="n">
        <v>2.293</v>
      </c>
      <c r="H1069" t="n">
        <v>3.139</v>
      </c>
      <c r="J1069" t="n">
        <v>3.114</v>
      </c>
      <c r="K1069" t="n">
        <v>4.427</v>
      </c>
      <c r="L1069" t="n">
        <v>16.3</v>
      </c>
      <c r="N1069">
        <f>IF(OR(E1069="",C1069=""),"",E1069-C1069/42)</f>
        <v/>
      </c>
      <c r="O1069">
        <f>IF(OR(E1069="",D1069=""),"",E1069-D1069/42)</f>
        <v/>
      </c>
      <c r="P1069">
        <f>IF(L1069="",M1069/100,H1069*L1069/100)</f>
        <v/>
      </c>
      <c r="Q1069">
        <f>H1069-C1069/42-P1069</f>
        <v/>
      </c>
      <c r="R1069">
        <f>H1069-E1069</f>
        <v/>
      </c>
    </row>
    <row r="1070">
      <c r="A1070" s="3" t="n">
        <v>45831</v>
      </c>
      <c r="B1070" s="3" t="n">
        <v>45828</v>
      </c>
      <c r="C1070" t="n">
        <v>74.94</v>
      </c>
      <c r="D1070" t="n">
        <v>78.25</v>
      </c>
      <c r="E1070" t="n">
        <v>2.214</v>
      </c>
      <c r="F1070" t="n">
        <v>2.308</v>
      </c>
      <c r="G1070" t="n">
        <v>2.405</v>
      </c>
      <c r="H1070" t="n">
        <v>3.213</v>
      </c>
      <c r="J1070" t="n">
        <v>3.177</v>
      </c>
      <c r="K1070" t="n">
        <v>4.444</v>
      </c>
      <c r="L1070" t="n">
        <v>16.3</v>
      </c>
      <c r="N1070">
        <f>IF(OR(E1070="",C1070=""),"",E1070-C1070/42)</f>
        <v/>
      </c>
      <c r="O1070">
        <f>IF(OR(E1070="",D1070=""),"",E1070-D1070/42)</f>
        <v/>
      </c>
      <c r="P1070">
        <f>IF(L1070="",M1070/100,H1070*L1070/100)</f>
        <v/>
      </c>
      <c r="Q1070">
        <f>H1070-C1070/42-P1070</f>
        <v/>
      </c>
      <c r="R1070">
        <f>H1070-E1070</f>
        <v/>
      </c>
    </row>
    <row r="1071">
      <c r="A1071" s="3" t="n">
        <v>45838</v>
      </c>
      <c r="B1071" s="3" t="n">
        <v>45835</v>
      </c>
      <c r="C1071" t="n">
        <v>66.78</v>
      </c>
      <c r="D1071" t="n">
        <v>69.95999999999999</v>
      </c>
      <c r="E1071" t="n">
        <v>2.027</v>
      </c>
      <c r="F1071" t="n">
        <v>2.127</v>
      </c>
      <c r="G1071" t="n">
        <v>2.246</v>
      </c>
      <c r="H1071" t="n">
        <v>3.164</v>
      </c>
      <c r="J1071" t="n">
        <v>3.175</v>
      </c>
      <c r="K1071" t="n">
        <v>4.36</v>
      </c>
      <c r="L1071" t="n">
        <v>16.3</v>
      </c>
      <c r="N1071">
        <f>IF(OR(E1071="",C1071=""),"",E1071-C1071/42)</f>
        <v/>
      </c>
      <c r="O1071">
        <f>IF(OR(E1071="",D1071=""),"",E1071-D1071/42)</f>
        <v/>
      </c>
      <c r="P1071">
        <f>IF(L1071="",M1071/100,H1071*L1071/100)</f>
        <v/>
      </c>
      <c r="Q1071">
        <f>H1071-C1071/42-P1071</f>
        <v/>
      </c>
      <c r="R1071">
        <f>H1071-E1071</f>
        <v/>
      </c>
    </row>
    <row r="1072">
      <c r="A1072" s="3" t="n">
        <v>45845</v>
      </c>
      <c r="B1072" s="3" t="n">
        <v>45842</v>
      </c>
      <c r="C1072" t="n">
        <v>67.43000000000001</v>
      </c>
      <c r="D1072" t="n">
        <v>69.61</v>
      </c>
      <c r="E1072" t="n">
        <v>2.058</v>
      </c>
      <c r="F1072" t="n">
        <v>2.125</v>
      </c>
      <c r="G1072" t="n">
        <v>2.248</v>
      </c>
      <c r="H1072" t="n">
        <v>3.125</v>
      </c>
      <c r="J1072" t="n">
        <v>3.133</v>
      </c>
      <c r="K1072" t="n">
        <v>4.328</v>
      </c>
      <c r="L1072" t="n">
        <v>16.5</v>
      </c>
      <c r="N1072">
        <f>IF(OR(E1072="",C1072=""),"",E1072-C1072/42)</f>
        <v/>
      </c>
      <c r="O1072">
        <f>IF(OR(E1072="",D1072=""),"",E1072-D1072/42)</f>
        <v/>
      </c>
      <c r="P1072">
        <f>IF(L1072="",M1072/100,H1072*L1072/100)</f>
        <v/>
      </c>
      <c r="Q1072">
        <f>H1072-C1072/42-P1072</f>
        <v/>
      </c>
      <c r="R1072">
        <f>H1072-E1072</f>
        <v/>
      </c>
    </row>
    <row r="1073">
      <c r="A1073" s="3" t="n">
        <v>45852</v>
      </c>
      <c r="B1073" s="3" t="n">
        <v>45849</v>
      </c>
      <c r="C1073" t="n">
        <v>69.15000000000001</v>
      </c>
      <c r="D1073" t="n">
        <v>71.77</v>
      </c>
      <c r="E1073" t="n">
        <v>2.128</v>
      </c>
      <c r="F1073" t="n">
        <v>2.194</v>
      </c>
      <c r="G1073" t="n">
        <v>2.277</v>
      </c>
      <c r="H1073" t="n">
        <v>3.13</v>
      </c>
      <c r="J1073" t="n">
        <v>3.128</v>
      </c>
      <c r="K1073" t="n">
        <v>4.28</v>
      </c>
      <c r="L1073" t="n">
        <v>16.5</v>
      </c>
      <c r="N1073">
        <f>IF(OR(E1073="",C1073=""),"",E1073-C1073/42)</f>
        <v/>
      </c>
      <c r="O1073">
        <f>IF(OR(E1073="",D1073=""),"",E1073-D1073/42)</f>
        <v/>
      </c>
      <c r="P1073">
        <f>IF(L1073="",M1073/100,H1073*L1073/100)</f>
        <v/>
      </c>
      <c r="Q1073">
        <f>H1073-C1073/42-P1073</f>
        <v/>
      </c>
      <c r="R1073">
        <f>H1073-E1073</f>
        <v/>
      </c>
    </row>
    <row r="1074">
      <c r="A1074" s="3" t="n">
        <v>45859</v>
      </c>
      <c r="B1074" s="3" t="n">
        <v>45856</v>
      </c>
      <c r="C1074" t="n">
        <v>68.06999999999999</v>
      </c>
      <c r="D1074" t="n">
        <v>70.66</v>
      </c>
      <c r="E1074" t="n">
        <v>2.1</v>
      </c>
      <c r="F1074" t="n">
        <v>2.176</v>
      </c>
      <c r="G1074" t="n">
        <v>2.177</v>
      </c>
      <c r="H1074" t="n">
        <v>3.121</v>
      </c>
      <c r="J1074" t="n">
        <v>3.137</v>
      </c>
      <c r="K1074" t="n">
        <v>4.257</v>
      </c>
      <c r="L1074" t="n">
        <v>16.5</v>
      </c>
      <c r="N1074">
        <f>IF(OR(E1074="",C1074=""),"",E1074-C1074/42)</f>
        <v/>
      </c>
      <c r="O1074">
        <f>IF(OR(E1074="",D1074=""),"",E1074-D1074/42)</f>
        <v/>
      </c>
      <c r="P1074">
        <f>IF(L1074="",M1074/100,H1074*L1074/100)</f>
        <v/>
      </c>
      <c r="Q1074">
        <f>H1074-C1074/42-P1074</f>
        <v/>
      </c>
      <c r="R1074">
        <f>H1074-E1074</f>
        <v/>
      </c>
    </row>
    <row r="1075">
      <c r="A1075" s="3" t="n">
        <v>45866</v>
      </c>
      <c r="B1075" s="3" t="n">
        <v>45863</v>
      </c>
      <c r="C1075" t="n">
        <v>67.11</v>
      </c>
      <c r="D1075" t="n">
        <v>70.09</v>
      </c>
      <c r="E1075" t="n">
        <v>2.087</v>
      </c>
      <c r="F1075" t="n">
        <v>2.116</v>
      </c>
      <c r="G1075" t="n">
        <v>2.161</v>
      </c>
      <c r="H1075" t="n">
        <v>3.123</v>
      </c>
      <c r="J1075" t="n">
        <v>3.121</v>
      </c>
      <c r="K1075" t="n">
        <v>4.234</v>
      </c>
      <c r="L1075" t="n">
        <v>16.5</v>
      </c>
      <c r="N1075">
        <f>IF(OR(E1075="",C1075=""),"",E1075-C1075/42)</f>
        <v/>
      </c>
      <c r="O1075">
        <f>IF(OR(E1075="",D1075=""),"",E1075-D1075/42)</f>
        <v/>
      </c>
      <c r="P1075">
        <f>IF(L1075="",M1075/100,H1075*L1075/100)</f>
        <v/>
      </c>
      <c r="Q1075">
        <f>H1075-C1075/42-P1075</f>
        <v/>
      </c>
      <c r="R1075">
        <f>H1075-E1075</f>
        <v/>
      </c>
    </row>
    <row r="1076">
      <c r="A1076" s="3" t="n">
        <v>45873</v>
      </c>
      <c r="B1076" s="3" t="n">
        <v>45870</v>
      </c>
      <c r="C1076" t="n">
        <v>69.58</v>
      </c>
      <c r="D1076" t="n">
        <v>72.41</v>
      </c>
      <c r="E1076" t="n">
        <v>2.115</v>
      </c>
      <c r="F1076" t="n">
        <v>2.208</v>
      </c>
      <c r="G1076" t="n">
        <v>2.313</v>
      </c>
      <c r="H1076" t="n">
        <v>3.14</v>
      </c>
      <c r="J1076" t="n">
        <v>3.127</v>
      </c>
      <c r="K1076" t="n">
        <v>4.27</v>
      </c>
      <c r="L1076" t="n">
        <v>16.4</v>
      </c>
      <c r="N1076">
        <f>IF(OR(E1076="",C1076=""),"",E1076-C1076/42)</f>
        <v/>
      </c>
      <c r="O1076">
        <f>IF(OR(E1076="",D1076=""),"",E1076-D1076/42)</f>
        <v/>
      </c>
      <c r="P1076">
        <f>IF(L1076="",M1076/100,H1076*L1076/100)</f>
        <v/>
      </c>
      <c r="Q1076">
        <f>H1076-C1076/42-P1076</f>
        <v/>
      </c>
      <c r="R1076">
        <f>H1076-E1076</f>
        <v/>
      </c>
    </row>
    <row r="1077">
      <c r="A1077" s="3" t="n">
        <v>45880</v>
      </c>
      <c r="B1077" s="3" t="n">
        <v>45877</v>
      </c>
      <c r="C1077" t="n">
        <v>65.75</v>
      </c>
      <c r="D1077" t="n">
        <v>68.17</v>
      </c>
      <c r="E1077" t="n">
        <v>2.045</v>
      </c>
      <c r="F1077" t="n">
        <v>2.091</v>
      </c>
      <c r="G1077" t="n">
        <v>2.227</v>
      </c>
      <c r="H1077" t="n">
        <v>3.118</v>
      </c>
      <c r="J1077" t="n">
        <v>3.159</v>
      </c>
      <c r="K1077" t="n">
        <v>4.266</v>
      </c>
      <c r="L1077" t="n">
        <v>16.4</v>
      </c>
      <c r="N1077">
        <f>IF(OR(E1077="",C1077=""),"",E1077-C1077/42)</f>
        <v/>
      </c>
      <c r="O1077">
        <f>IF(OR(E1077="",D1077=""),"",E1077-D1077/42)</f>
        <v/>
      </c>
      <c r="P1077">
        <f>IF(L1077="",M1077/100,H1077*L1077/100)</f>
        <v/>
      </c>
      <c r="Q1077">
        <f>H1077-C1077/42-P1077</f>
        <v/>
      </c>
      <c r="R1077">
        <f>H1077-E1077</f>
        <v/>
      </c>
    </row>
    <row r="1078">
      <c r="A1078" s="3" t="n">
        <v>45887</v>
      </c>
      <c r="B1078" s="3" t="n">
        <v>45884</v>
      </c>
      <c r="C1078" t="n">
        <v>64.34</v>
      </c>
      <c r="D1078" t="n">
        <v>67.17</v>
      </c>
      <c r="E1078" t="n">
        <v>2.063</v>
      </c>
      <c r="F1078" t="n">
        <v>2.09</v>
      </c>
      <c r="G1078" t="n">
        <v>2.305</v>
      </c>
      <c r="H1078" t="n">
        <v>3.125</v>
      </c>
      <c r="J1078" t="n">
        <v>3.164</v>
      </c>
      <c r="K1078" t="n">
        <v>4.271</v>
      </c>
      <c r="L1078" t="n">
        <v>16.4</v>
      </c>
      <c r="N1078">
        <f>IF(OR(E1078="",C1078=""),"",E1078-C1078/42)</f>
        <v/>
      </c>
      <c r="O1078">
        <f>IF(OR(E1078="",D1078=""),"",E1078-D1078/42)</f>
        <v/>
      </c>
      <c r="P1078">
        <f>IF(L1078="",M1078/100,H1078*L1078/100)</f>
        <v/>
      </c>
      <c r="Q1078">
        <f>H1078-C1078/42-P1078</f>
        <v/>
      </c>
      <c r="R1078">
        <f>H1078-E1078</f>
        <v/>
      </c>
    </row>
    <row r="1079">
      <c r="A1079" s="3" t="n">
        <v>45894</v>
      </c>
      <c r="B1079" s="3" t="n">
        <v>45891</v>
      </c>
      <c r="C1079" t="n">
        <v>64.14</v>
      </c>
      <c r="D1079" t="n">
        <v>67.81999999999999</v>
      </c>
      <c r="E1079" t="n">
        <v>2.135</v>
      </c>
      <c r="F1079" t="n">
        <v>2.136</v>
      </c>
      <c r="G1079" t="n">
        <v>2.399</v>
      </c>
      <c r="H1079" t="n">
        <v>3.147</v>
      </c>
      <c r="J1079" t="n">
        <v>3.158</v>
      </c>
      <c r="K1079" t="n">
        <v>4.352</v>
      </c>
      <c r="L1079" t="n">
        <v>16.4</v>
      </c>
      <c r="N1079">
        <f>IF(OR(E1079="",C1079=""),"",E1079-C1079/42)</f>
        <v/>
      </c>
      <c r="O1079">
        <f>IF(OR(E1079="",D1079=""),"",E1079-D1079/42)</f>
        <v/>
      </c>
      <c r="P1079">
        <f>IF(L1079="",M1079/100,H1079*L1079/100)</f>
        <v/>
      </c>
      <c r="Q1079">
        <f>H1079-C1079/42-P1079</f>
        <v/>
      </c>
      <c r="R1079">
        <f>H1079-E1079</f>
        <v/>
      </c>
    </row>
    <row r="1080">
      <c r="A1080" s="3" t="n">
        <v>45901</v>
      </c>
      <c r="B1080" s="3" t="n">
        <v>45898</v>
      </c>
      <c r="C1080" t="n">
        <v>64.52</v>
      </c>
      <c r="D1080" t="n">
        <v>67.77</v>
      </c>
      <c r="E1080" t="n">
        <v>2.119</v>
      </c>
      <c r="F1080" t="n">
        <v>2.188</v>
      </c>
      <c r="G1080" t="n">
        <v>2.618</v>
      </c>
      <c r="H1080" t="n">
        <v>3.177</v>
      </c>
      <c r="J1080" t="n">
        <v>3.183</v>
      </c>
      <c r="K1080" t="n">
        <v>4.397</v>
      </c>
      <c r="L1080" t="n">
        <v>16.3</v>
      </c>
      <c r="N1080">
        <f>IF(OR(E1080="",C1080=""),"",E1080-C1080/42)</f>
        <v/>
      </c>
      <c r="O1080">
        <f>IF(OR(E1080="",D1080=""),"",E1080-D1080/42)</f>
        <v/>
      </c>
      <c r="P1080">
        <f>IF(L1080="",M1080/100,H1080*L1080/100)</f>
        <v/>
      </c>
      <c r="Q1080">
        <f>H1080-C1080/42-P1080</f>
        <v/>
      </c>
      <c r="R1080">
        <f>H1080-E1080</f>
        <v/>
      </c>
    </row>
    <row r="1081">
      <c r="A1081" s="3" t="n">
        <v>45908</v>
      </c>
      <c r="B1081" s="3" t="n">
        <v>45905</v>
      </c>
      <c r="C1081" t="n">
        <v>64.09</v>
      </c>
      <c r="D1081" t="n">
        <v>66.84999999999999</v>
      </c>
      <c r="E1081" t="n">
        <v>2.154</v>
      </c>
      <c r="F1081" t="n">
        <v>2.013</v>
      </c>
      <c r="G1081" t="n">
        <v>2.483</v>
      </c>
      <c r="H1081" t="n">
        <v>3.192</v>
      </c>
      <c r="J1081" t="n">
        <v>3.24</v>
      </c>
      <c r="K1081" t="n">
        <v>4.422</v>
      </c>
      <c r="L1081" t="n">
        <v>16.3</v>
      </c>
      <c r="N1081">
        <f>IF(OR(E1081="",C1081=""),"",E1081-C1081/42)</f>
        <v/>
      </c>
      <c r="O1081">
        <f>IF(OR(E1081="",D1081=""),"",E1081-D1081/42)</f>
        <v/>
      </c>
      <c r="P1081">
        <f>IF(L1081="",M1081/100,H1081*L1081/100)</f>
        <v/>
      </c>
      <c r="Q1081">
        <f>H1081-C1081/42-P1081</f>
        <v/>
      </c>
      <c r="R1081">
        <f>H1081-E1081</f>
        <v/>
      </c>
    </row>
    <row r="1082">
      <c r="A1082" s="3" t="n">
        <v>45915</v>
      </c>
      <c r="B1082" s="3" t="n">
        <v>45912</v>
      </c>
      <c r="C1082" t="n">
        <v>63.06</v>
      </c>
      <c r="D1082" t="n">
        <v>67.23</v>
      </c>
      <c r="E1082" t="n">
        <v>2.066</v>
      </c>
      <c r="F1082" t="n">
        <v>1.992</v>
      </c>
      <c r="G1082" t="n">
        <v>2.546</v>
      </c>
      <c r="H1082" t="n">
        <v>3.168</v>
      </c>
      <c r="J1082" t="n">
        <v>3.18</v>
      </c>
      <c r="K1082" t="n">
        <v>4.468</v>
      </c>
      <c r="L1082" t="n">
        <v>16.3</v>
      </c>
      <c r="N1082">
        <f>IF(OR(E1082="",C1082=""),"",E1082-C1082/42)</f>
        <v/>
      </c>
      <c r="O1082">
        <f>IF(OR(E1082="",D1082=""),"",E1082-D1082/42)</f>
        <v/>
      </c>
      <c r="P1082">
        <f>IF(L1082="",M1082/100,H1082*L1082/100)</f>
        <v/>
      </c>
      <c r="Q1082">
        <f>H1082-C1082/42-P1082</f>
        <v/>
      </c>
      <c r="R1082">
        <f>H1082-E1082</f>
        <v/>
      </c>
    </row>
    <row r="1083">
      <c r="A1083" s="3" t="n">
        <v>45922</v>
      </c>
      <c r="B1083" s="3" t="n">
        <v>45919</v>
      </c>
      <c r="C1083" t="n">
        <v>63.98</v>
      </c>
      <c r="D1083" t="n">
        <v>68.33</v>
      </c>
      <c r="E1083" t="n">
        <v>2.104</v>
      </c>
      <c r="F1083" t="n">
        <v>2.021</v>
      </c>
      <c r="G1083" t="n">
        <v>2.521</v>
      </c>
      <c r="H1083" t="n">
        <v>3.173</v>
      </c>
      <c r="J1083" t="n">
        <v>3.184</v>
      </c>
      <c r="K1083" t="n">
        <v>4.468</v>
      </c>
      <c r="L1083" t="n">
        <v>16.3</v>
      </c>
      <c r="N1083">
        <f>IF(OR(E1083="",C1083=""),"",E1083-C1083/42)</f>
        <v/>
      </c>
      <c r="O1083">
        <f>IF(OR(E1083="",D1083=""),"",E1083-D1083/42)</f>
        <v/>
      </c>
      <c r="P1083">
        <f>IF(L1083="",M1083/100,H1083*L1083/100)</f>
        <v/>
      </c>
      <c r="Q1083">
        <f>H1083-C1083/42-P1083</f>
        <v/>
      </c>
      <c r="R1083">
        <f>H1083-E1083</f>
        <v/>
      </c>
    </row>
    <row r="1084">
      <c r="A1084" s="3" t="n">
        <v>45929</v>
      </c>
      <c r="B1084" s="3" t="n">
        <v>45926</v>
      </c>
      <c r="C1084" t="n">
        <v>64.83</v>
      </c>
      <c r="D1084" t="n">
        <v>69.22</v>
      </c>
      <c r="E1084" t="n">
        <v>2.082</v>
      </c>
      <c r="F1084" t="n">
        <v>2.015</v>
      </c>
      <c r="G1084" t="n">
        <v>2.523</v>
      </c>
      <c r="H1084" t="n">
        <v>3.118</v>
      </c>
      <c r="J1084" t="n">
        <v>3.11</v>
      </c>
      <c r="K1084" t="n">
        <v>4.446</v>
      </c>
      <c r="L1084" t="n">
        <v>16.3</v>
      </c>
      <c r="N1084">
        <f>IF(OR(E1084="",C1084=""),"",E1084-C1084/42)</f>
        <v/>
      </c>
      <c r="O1084">
        <f>IF(OR(E1084="",D1084=""),"",E1084-D1084/42)</f>
        <v/>
      </c>
      <c r="P1084">
        <f>IF(L1084="",M1084/100,H1084*L1084/100)</f>
        <v/>
      </c>
      <c r="Q1084">
        <f>H1084-C1084/42-P1084</f>
        <v/>
      </c>
      <c r="R1084">
        <f>H1084-E1084</f>
        <v/>
      </c>
    </row>
    <row r="1085">
      <c r="A1085" s="3" t="n">
        <v>45936</v>
      </c>
      <c r="B1085" s="3" t="n">
        <v>45933</v>
      </c>
      <c r="C1085" t="n">
        <v>62.59</v>
      </c>
      <c r="D1085" t="n">
        <v>67.15000000000001</v>
      </c>
      <c r="E1085" t="n">
        <v>1.98</v>
      </c>
      <c r="F1085" t="n">
        <v>1.921</v>
      </c>
      <c r="G1085" t="n">
        <v>2.451</v>
      </c>
      <c r="H1085" t="n">
        <v>3.124</v>
      </c>
      <c r="J1085" t="n">
        <v>3.066</v>
      </c>
      <c r="K1085" t="n">
        <v>4.452</v>
      </c>
      <c r="L1085" t="n">
        <v>16.8</v>
      </c>
      <c r="N1085">
        <f>IF(OR(E1085="",C1085=""),"",E1085-C1085/42)</f>
        <v/>
      </c>
      <c r="O1085">
        <f>IF(OR(E1085="",D1085=""),"",E1085-D1085/42)</f>
        <v/>
      </c>
      <c r="P1085">
        <f>IF(L1085="",M1085/100,H1085*L1085/100)</f>
        <v/>
      </c>
      <c r="Q1085">
        <f>H1085-C1085/42-P1085</f>
        <v/>
      </c>
      <c r="R1085">
        <f>H1085-E1085</f>
        <v/>
      </c>
    </row>
    <row r="1086">
      <c r="A1086" s="3" t="n">
        <v>45943</v>
      </c>
      <c r="B1086" s="3" t="n">
        <v>45940</v>
      </c>
      <c r="C1086" t="n">
        <v>62.1</v>
      </c>
      <c r="D1086" t="n">
        <v>66.65000000000001</v>
      </c>
      <c r="E1086" t="n">
        <v>1.984</v>
      </c>
      <c r="F1086" t="n">
        <v>1.889</v>
      </c>
      <c r="G1086" t="n">
        <v>2.434</v>
      </c>
      <c r="H1086" t="n">
        <v>3.061</v>
      </c>
      <c r="J1086" t="n">
        <v>3.049</v>
      </c>
      <c r="K1086" t="n">
        <v>4.457</v>
      </c>
      <c r="L1086" t="n">
        <v>16.8</v>
      </c>
      <c r="N1086">
        <f>IF(OR(E1086="",C1086=""),"",E1086-C1086/42)</f>
        <v/>
      </c>
      <c r="O1086">
        <f>IF(OR(E1086="",D1086=""),"",E1086-D1086/42)</f>
        <v/>
      </c>
      <c r="P1086">
        <f>IF(L1086="",M1086/100,H1086*L1086/100)</f>
        <v/>
      </c>
      <c r="Q1086">
        <f>H1086-C1086/42-P1086</f>
        <v/>
      </c>
      <c r="R1086">
        <f>H1086-E1086</f>
        <v/>
      </c>
    </row>
    <row r="1087">
      <c r="A1087" s="3" t="n">
        <v>45950</v>
      </c>
      <c r="B1087" s="3" t="n">
        <v>45947</v>
      </c>
      <c r="C1087" t="n">
        <v>58.8</v>
      </c>
      <c r="D1087" t="n">
        <v>62.36</v>
      </c>
      <c r="E1087" t="n">
        <v>1.906</v>
      </c>
      <c r="F1087" t="n">
        <v>1.839</v>
      </c>
      <c r="G1087" t="n">
        <v>2.297</v>
      </c>
      <c r="H1087" t="n">
        <v>3.019</v>
      </c>
      <c r="J1087" t="n">
        <v>2.997</v>
      </c>
      <c r="K1087" t="n">
        <v>4.426</v>
      </c>
      <c r="L1087" t="n">
        <v>16.8</v>
      </c>
      <c r="N1087">
        <f>IF(OR(E1087="",C1087=""),"",E1087-C1087/42)</f>
        <v/>
      </c>
      <c r="O1087">
        <f>IF(OR(E1087="",D1087=""),"",E1087-D1087/42)</f>
        <v/>
      </c>
      <c r="P1087">
        <f>IF(L1087="",M1087/100,H1087*L1087/100)</f>
        <v/>
      </c>
      <c r="Q1087">
        <f>H1087-C1087/42-P1087</f>
        <v/>
      </c>
      <c r="R1087">
        <f>H1087-E1087</f>
        <v/>
      </c>
    </row>
    <row r="1088">
      <c r="A1088" s="3" t="n">
        <v>45957</v>
      </c>
      <c r="B1088" s="3" t="n">
        <v>45954</v>
      </c>
      <c r="C1088" t="n">
        <v>60.2</v>
      </c>
      <c r="D1088" t="n">
        <v>63.22</v>
      </c>
      <c r="E1088" t="n">
        <v>1.897</v>
      </c>
      <c r="F1088" t="n">
        <v>1.884</v>
      </c>
      <c r="G1088" t="n">
        <v>2.158</v>
      </c>
      <c r="H1088" t="n">
        <v>3.035</v>
      </c>
      <c r="J1088" t="n">
        <v>2.972</v>
      </c>
      <c r="K1088" t="n">
        <v>4.358</v>
      </c>
      <c r="L1088" t="n">
        <v>16.8</v>
      </c>
      <c r="N1088">
        <f>IF(OR(E1088="",C1088=""),"",E1088-C1088/42)</f>
        <v/>
      </c>
      <c r="O1088">
        <f>IF(OR(E1088="",D1088=""),"",E1088-D1088/42)</f>
        <v/>
      </c>
      <c r="P1088">
        <f>IF(L1088="",M1088/100,H1088*L1088/100)</f>
        <v/>
      </c>
      <c r="Q1088">
        <f>H1088-C1088/42-P1088</f>
        <v/>
      </c>
      <c r="R1088">
        <f>H1088-E1088</f>
        <v/>
      </c>
    </row>
    <row r="1089">
      <c r="A1089" s="3" t="n">
        <v>45964</v>
      </c>
      <c r="B1089" s="3" t="n">
        <v>45961</v>
      </c>
      <c r="C1089" t="n">
        <v>61.49</v>
      </c>
      <c r="D1089" t="n">
        <v>65.02</v>
      </c>
      <c r="E1089" t="n">
        <v>1.894</v>
      </c>
      <c r="F1089" t="n">
        <v>1.949</v>
      </c>
      <c r="G1089" t="n">
        <v>2.448</v>
      </c>
      <c r="H1089" t="n">
        <v>3.019</v>
      </c>
      <c r="J1089" t="n">
        <v>2.938</v>
      </c>
      <c r="K1089" t="n">
        <v>4.434</v>
      </c>
      <c r="L1089" t="n">
        <v>16.9</v>
      </c>
      <c r="N1089">
        <f>IF(OR(E1089="",C1089=""),"",E1089-C1089/42)</f>
        <v/>
      </c>
      <c r="O1089">
        <f>IF(OR(E1089="",D1089=""),"",E1089-D1089/42)</f>
        <v/>
      </c>
      <c r="P1089">
        <f>IF(L1089="",M1089/100,H1089*L1089/100)</f>
        <v/>
      </c>
      <c r="Q1089">
        <f>H1089-C1089/42-P1089</f>
        <v/>
      </c>
      <c r="R1089">
        <f>H1089-E1089</f>
        <v/>
      </c>
    </row>
    <row r="1090">
      <c r="A1090" s="3" t="n">
        <v>45971</v>
      </c>
      <c r="B1090" s="3" t="n">
        <v>45968</v>
      </c>
      <c r="C1090" t="n">
        <v>60.87</v>
      </c>
      <c r="D1090" t="n">
        <v>64.3</v>
      </c>
      <c r="E1090" t="n">
        <v>1.975</v>
      </c>
      <c r="F1090" t="n">
        <v>1.937</v>
      </c>
      <c r="G1090" t="n">
        <v>2.704</v>
      </c>
      <c r="H1090" t="n">
        <v>3.056</v>
      </c>
      <c r="J1090" t="n">
        <v>2.909</v>
      </c>
      <c r="K1090" t="n">
        <v>4.5</v>
      </c>
      <c r="L1090" t="n">
        <v>16.9</v>
      </c>
      <c r="N1090">
        <f>IF(OR(E1090="",C1090=""),"",E1090-C1090/42)</f>
        <v/>
      </c>
      <c r="O1090">
        <f>IF(OR(E1090="",D1090=""),"",E1090-D1090/42)</f>
        <v/>
      </c>
      <c r="P1090">
        <f>IF(L1090="",M1090/100,H1090*L1090/100)</f>
        <v/>
      </c>
      <c r="Q1090">
        <f>H1090-C1090/42-P1090</f>
        <v/>
      </c>
      <c r="R1090">
        <f>H1090-E1090</f>
        <v/>
      </c>
    </row>
    <row r="1091">
      <c r="A1091" s="3" t="n">
        <v>45978</v>
      </c>
      <c r="B1091" s="3" t="n">
        <v>45975</v>
      </c>
      <c r="C1091" t="n">
        <v>60.16</v>
      </c>
      <c r="D1091" t="n">
        <v>62.87</v>
      </c>
      <c r="E1091" t="n">
        <v>1.997</v>
      </c>
      <c r="F1091" t="n">
        <v>1.98</v>
      </c>
      <c r="G1091" t="n">
        <v>2.339</v>
      </c>
      <c r="H1091" t="n">
        <v>3.062</v>
      </c>
      <c r="J1091" t="n">
        <v>2.949</v>
      </c>
      <c r="K1091" t="n">
        <v>4.476</v>
      </c>
      <c r="L1091" t="n">
        <v>16.9</v>
      </c>
      <c r="N1091">
        <f>IF(OR(E1091="",C1091=""),"",E1091-C1091/42)</f>
        <v/>
      </c>
      <c r="O1091">
        <f>IF(OR(E1091="",D1091=""),"",E1091-D1091/42)</f>
        <v/>
      </c>
      <c r="P1091">
        <f>IF(L1091="",M1091/100,H1091*L1091/100)</f>
        <v/>
      </c>
      <c r="Q1091">
        <f>H1091-C1091/42-P1091</f>
        <v/>
      </c>
      <c r="R1091">
        <f>H1091-E1091</f>
        <v/>
      </c>
    </row>
    <row r="1092">
      <c r="A1092" s="3" t="n">
        <v>45985</v>
      </c>
      <c r="B1092" s="3" t="n">
        <v>45982</v>
      </c>
      <c r="C1092" t="n">
        <v>60.27</v>
      </c>
      <c r="D1092" t="n">
        <v>63.64</v>
      </c>
      <c r="E1092" t="n">
        <v>1.956</v>
      </c>
      <c r="F1092" t="n">
        <v>1.949</v>
      </c>
      <c r="G1092" t="n">
        <v>2.205</v>
      </c>
      <c r="H1092" t="n">
        <v>3.061</v>
      </c>
      <c r="J1092" t="n">
        <v>2.872</v>
      </c>
      <c r="K1092" t="n">
        <v>4.404</v>
      </c>
      <c r="L1092" t="n">
        <v>16.9</v>
      </c>
      <c r="N1092">
        <f>IF(OR(E1092="",C1092=""),"",E1092-C1092/42)</f>
        <v/>
      </c>
      <c r="O1092">
        <f>IF(OR(E1092="",D1092=""),"",E1092-D1092/42)</f>
        <v/>
      </c>
      <c r="P1092">
        <f>IF(L1092="",M1092/100,H1092*L1092/100)</f>
        <v/>
      </c>
      <c r="Q1092">
        <f>H1092-C1092/42-P1092</f>
        <v/>
      </c>
      <c r="R1092">
        <f>H1092-E1092</f>
        <v/>
      </c>
    </row>
    <row r="1093">
      <c r="A1093" s="3" t="n">
        <v>45992</v>
      </c>
      <c r="B1093" s="3" t="n">
        <v>45989</v>
      </c>
      <c r="C1093" t="n">
        <v>58.69</v>
      </c>
      <c r="D1093" t="n">
        <v>64.38</v>
      </c>
      <c r="E1093" t="n">
        <v>1.822</v>
      </c>
      <c r="F1093" t="n">
        <v>1.888</v>
      </c>
      <c r="G1093" t="n">
        <v>2.038</v>
      </c>
      <c r="H1093" t="n">
        <v>2.985</v>
      </c>
      <c r="J1093" t="n">
        <v>2.783</v>
      </c>
      <c r="K1093" t="n">
        <v>4.357</v>
      </c>
      <c r="L1093" t="n">
        <v>17.8</v>
      </c>
      <c r="N1093">
        <f>IF(OR(E1093="",C1093=""),"",E1093-C1093/42)</f>
        <v/>
      </c>
      <c r="O1093">
        <f>IF(OR(E1093="",D1093=""),"",E1093-D1093/42)</f>
        <v/>
      </c>
      <c r="P1093">
        <f>IF(L1093="",M1093/100,H1093*L1093/100)</f>
        <v/>
      </c>
      <c r="Q1093">
        <f>H1093-C1093/42-P1093</f>
        <v/>
      </c>
      <c r="R1093">
        <f>H1093-E1093</f>
        <v/>
      </c>
    </row>
    <row r="1094">
      <c r="A1094" s="3" t="n">
        <v>45999</v>
      </c>
      <c r="B1094" s="3" t="n">
        <v>45996</v>
      </c>
      <c r="C1094" t="n">
        <v>59.48</v>
      </c>
      <c r="D1094" t="n">
        <v>63.98</v>
      </c>
      <c r="E1094" t="n">
        <v>1.837</v>
      </c>
      <c r="F1094" t="n">
        <v>1.847</v>
      </c>
      <c r="G1094" t="n">
        <v>1.864</v>
      </c>
      <c r="H1094" t="n">
        <v>2.94</v>
      </c>
      <c r="J1094" t="n">
        <v>2.644</v>
      </c>
      <c r="K1094" t="n">
        <v>4.273</v>
      </c>
      <c r="L1094" t="n">
        <v>17.8</v>
      </c>
      <c r="N1094">
        <f>IF(OR(E1094="",C1094=""),"",E1094-C1094/42)</f>
        <v/>
      </c>
      <c r="O1094">
        <f>IF(OR(E1094="",D1094=""),"",E1094-D1094/42)</f>
        <v/>
      </c>
      <c r="P1094">
        <f>IF(L1094="",M1094/100,H1094*L1094/100)</f>
        <v/>
      </c>
      <c r="Q1094">
        <f>H1094-C1094/42-P1094</f>
        <v/>
      </c>
      <c r="R1094">
        <f>H1094-E1094</f>
        <v/>
      </c>
    </row>
    <row r="1095">
      <c r="A1095" s="3" t="n">
        <v>46006</v>
      </c>
      <c r="B1095" s="3" t="n">
        <v>46003</v>
      </c>
      <c r="C1095" t="n">
        <v>58.3</v>
      </c>
      <c r="D1095" t="n">
        <v>62.6</v>
      </c>
      <c r="E1095" t="n">
        <v>1.778</v>
      </c>
      <c r="F1095" t="n">
        <v>1.788</v>
      </c>
      <c r="G1095" t="n">
        <v>1.756</v>
      </c>
      <c r="H1095" t="n">
        <v>2.895</v>
      </c>
      <c r="J1095" t="n">
        <v>2.547</v>
      </c>
      <c r="K1095" t="n">
        <v>4.163</v>
      </c>
      <c r="L1095" t="n">
        <v>17.8</v>
      </c>
      <c r="N1095">
        <f>IF(OR(E1095="",C1095=""),"",E1095-C1095/42)</f>
        <v/>
      </c>
      <c r="O1095">
        <f>IF(OR(E1095="",D1095=""),"",E1095-D1095/42)</f>
        <v/>
      </c>
      <c r="P1095">
        <f>IF(L1095="",M1095/100,H1095*L1095/100)</f>
        <v/>
      </c>
      <c r="Q1095">
        <f>H1095-C1095/42-P1095</f>
        <v/>
      </c>
      <c r="R1095">
        <f>H1095-E1095</f>
        <v/>
      </c>
    </row>
    <row r="1096">
      <c r="A1096" s="3" t="n">
        <v>46013</v>
      </c>
      <c r="B1096" s="3" t="n">
        <v>46010</v>
      </c>
      <c r="C1096" t="n">
        <v>56.3</v>
      </c>
      <c r="D1096" t="n">
        <v>60.83</v>
      </c>
      <c r="E1096" t="n">
        <v>1.687</v>
      </c>
      <c r="F1096" t="n">
        <v>1.714</v>
      </c>
      <c r="G1096" t="n">
        <v>1.708</v>
      </c>
      <c r="H1096" t="n">
        <v>2.841</v>
      </c>
      <c r="J1096" t="n">
        <v>2.492</v>
      </c>
      <c r="K1096" t="n">
        <v>4.076</v>
      </c>
      <c r="L1096" t="n">
        <v>17.8</v>
      </c>
      <c r="N1096">
        <f>IF(OR(E1096="",C1096=""),"",E1096-C1096/42)</f>
        <v/>
      </c>
      <c r="O1096">
        <f>IF(OR(E1096="",D1096=""),"",E1096-D1096/42)</f>
        <v/>
      </c>
      <c r="P1096">
        <f>IF(L1096="",M1096/100,H1096*L1096/100)</f>
        <v/>
      </c>
      <c r="Q1096">
        <f>H1096-C1096/42-P1096</f>
        <v/>
      </c>
      <c r="R1096">
        <f>H1096-E1096</f>
        <v/>
      </c>
    </row>
    <row r="1097">
      <c r="A1097" s="3" t="n">
        <v>46020</v>
      </c>
      <c r="B1097" s="3" t="n">
        <v>46017</v>
      </c>
      <c r="C1097" t="n">
        <v>58.01</v>
      </c>
      <c r="D1097" t="n">
        <v>63.21</v>
      </c>
      <c r="E1097" t="n">
        <v>1.729</v>
      </c>
      <c r="F1097" t="n">
        <v>1.752</v>
      </c>
      <c r="G1097" t="n">
        <v>1.804</v>
      </c>
      <c r="H1097" t="n">
        <v>2.811</v>
      </c>
      <c r="J1097" t="n">
        <v>2.434</v>
      </c>
      <c r="K1097" t="n">
        <v>4.042</v>
      </c>
      <c r="L1097" t="n">
        <v>17.8</v>
      </c>
      <c r="N1097">
        <f>IF(OR(E1097="",C1097=""),"",E1097-C1097/42)</f>
        <v/>
      </c>
      <c r="O1097">
        <f>IF(OR(E1097="",D1097=""),"",E1097-D1097/42)</f>
        <v/>
      </c>
      <c r="P1097">
        <f>IF(L1097="",M1097/100,H1097*L1097/100)</f>
        <v/>
      </c>
      <c r="Q1097">
        <f>H1097-C1097/42-P1097</f>
        <v/>
      </c>
      <c r="R1097">
        <f>H1097-E1097</f>
        <v/>
      </c>
    </row>
    <row r="1098">
      <c r="A1098" s="3" t="n">
        <v>46027</v>
      </c>
      <c r="B1098" s="3" t="n">
        <v>46024</v>
      </c>
      <c r="C1098" t="n">
        <v>57.54</v>
      </c>
      <c r="D1098" t="n">
        <v>62.18</v>
      </c>
      <c r="E1098" t="n">
        <v>1.809</v>
      </c>
      <c r="F1098" t="n">
        <v>1.807</v>
      </c>
      <c r="G1098" t="n">
        <v>1.953</v>
      </c>
      <c r="H1098" t="n">
        <v>2.796</v>
      </c>
      <c r="J1098" t="n">
        <v>2.403</v>
      </c>
      <c r="K1098" t="n">
        <v>4.034</v>
      </c>
      <c r="L1098" t="n">
        <v>18.4</v>
      </c>
      <c r="N1098">
        <f>IF(OR(E1098="",C1098=""),"",E1098-C1098/42)</f>
        <v/>
      </c>
      <c r="O1098">
        <f>IF(OR(E1098="",D1098=""),"",E1098-D1098/42)</f>
        <v/>
      </c>
      <c r="P1098">
        <f>IF(L1098="",M1098/100,H1098*L1098/100)</f>
        <v/>
      </c>
      <c r="Q1098">
        <f>H1098-C1098/42-P1098</f>
        <v/>
      </c>
      <c r="R1098">
        <f>H1098-E1098</f>
        <v/>
      </c>
    </row>
    <row r="1099">
      <c r="A1099" s="3" t="n">
        <v>46034</v>
      </c>
      <c r="B1099" s="3" t="n">
        <v>46031</v>
      </c>
      <c r="C1099" t="n">
        <v>57.56</v>
      </c>
      <c r="D1099" t="n">
        <v>62.93</v>
      </c>
      <c r="E1099" t="n">
        <v>1.966</v>
      </c>
      <c r="F1099" t="n">
        <v>1.995</v>
      </c>
      <c r="G1099" t="n">
        <v>2.145</v>
      </c>
      <c r="H1099" t="n">
        <v>2.779</v>
      </c>
      <c r="J1099" t="n">
        <v>2.422</v>
      </c>
      <c r="K1099" t="n">
        <v>3.978</v>
      </c>
      <c r="L1099" t="n">
        <v>18.4</v>
      </c>
      <c r="N1099">
        <f>IF(OR(E1099="",C1099=""),"",E1099-C1099/42)</f>
        <v/>
      </c>
      <c r="O1099">
        <f>IF(OR(E1099="",D1099=""),"",E1099-D1099/42)</f>
        <v/>
      </c>
      <c r="P1099">
        <f>IF(L1099="",M1099/100,H1099*L1099/100)</f>
        <v/>
      </c>
      <c r="Q1099">
        <f>H1099-C1099/42-P1099</f>
        <v/>
      </c>
      <c r="R1099">
        <f>H1099-E1099</f>
        <v/>
      </c>
    </row>
    <row r="1100">
      <c r="A1100" s="3" t="n">
        <v>46041</v>
      </c>
      <c r="B1100" s="3" t="n">
        <v>46038</v>
      </c>
      <c r="C1100" t="n">
        <v>60.12</v>
      </c>
      <c r="D1100" t="n">
        <v>67</v>
      </c>
      <c r="E1100" t="n">
        <v>2.042</v>
      </c>
      <c r="F1100" t="n">
        <v>2.061</v>
      </c>
      <c r="G1100" t="n">
        <v>2.216</v>
      </c>
      <c r="H1100" t="n">
        <v>2.806</v>
      </c>
      <c r="J1100" t="n">
        <v>2.494</v>
      </c>
      <c r="K1100" t="n">
        <v>3.977</v>
      </c>
      <c r="L1100" t="n">
        <v>18.4</v>
      </c>
      <c r="N1100">
        <f>IF(OR(E1100="",C1100=""),"",E1100-C1100/42)</f>
        <v/>
      </c>
      <c r="O1100">
        <f>IF(OR(E1100="",D1100=""),"",E1100-D1100/42)</f>
        <v/>
      </c>
      <c r="P1100">
        <f>IF(L1100="",M1100/100,H1100*L1100/100)</f>
        <v/>
      </c>
      <c r="Q1100">
        <f>H1100-C1100/42-P1100</f>
        <v/>
      </c>
      <c r="R1100">
        <f>H1100-E1100</f>
        <v/>
      </c>
    </row>
    <row r="1101">
      <c r="A1101" s="3" t="n">
        <v>46048</v>
      </c>
      <c r="B1101" s="3" t="n">
        <v>46045</v>
      </c>
      <c r="C1101" t="n">
        <v>60.16</v>
      </c>
      <c r="D1101" t="n">
        <v>66.98999999999999</v>
      </c>
      <c r="E1101" t="n">
        <v>2.086</v>
      </c>
      <c r="F1101" t="n">
        <v>2.085</v>
      </c>
      <c r="G1101" t="n">
        <v>2.276</v>
      </c>
      <c r="H1101" t="n">
        <v>2.853</v>
      </c>
      <c r="J1101" t="n">
        <v>2.536</v>
      </c>
      <c r="K1101" t="n">
        <v>4.04</v>
      </c>
      <c r="L1101" t="n">
        <v>18.4</v>
      </c>
      <c r="N1101">
        <f>IF(OR(E1101="",C1101=""),"",E1101-C1101/42)</f>
        <v/>
      </c>
      <c r="O1101">
        <f>IF(OR(E1101="",D1101=""),"",E1101-D1101/42)</f>
        <v/>
      </c>
      <c r="P1101">
        <f>IF(L1101="",M1101/100,H1101*L1101/100)</f>
        <v/>
      </c>
      <c r="Q1101">
        <f>H1101-C1101/42-P1101</f>
        <v/>
      </c>
      <c r="R1101">
        <f>H1101-E1101</f>
        <v/>
      </c>
    </row>
    <row r="1102">
      <c r="A1102" s="3" t="n">
        <v>46055</v>
      </c>
      <c r="B1102" s="3" t="n">
        <v>46052</v>
      </c>
      <c r="C1102" t="n">
        <v>62.9</v>
      </c>
      <c r="D1102" t="n">
        <v>70.43000000000001</v>
      </c>
      <c r="E1102" t="n">
        <v>2.132</v>
      </c>
      <c r="F1102" t="n">
        <v>2.137</v>
      </c>
      <c r="G1102" t="n">
        <v>2.451</v>
      </c>
      <c r="H1102" t="n">
        <v>2.867</v>
      </c>
      <c r="J1102" t="n">
        <v>2.569</v>
      </c>
      <c r="K1102" t="n">
        <v>4.177</v>
      </c>
      <c r="L1102" t="n">
        <v>17.8</v>
      </c>
      <c r="N1102">
        <f>IF(OR(E1102="",C1102=""),"",E1102-C1102/42)</f>
        <v/>
      </c>
      <c r="O1102">
        <f>IF(OR(E1102="",D1102=""),"",E1102-D1102/42)</f>
        <v/>
      </c>
      <c r="P1102">
        <f>IF(L1102="",M1102/100,H1102*L1102/100)</f>
        <v/>
      </c>
      <c r="Q1102">
        <f>H1102-C1102/42-P1102</f>
        <v/>
      </c>
      <c r="R1102">
        <f>H1102-E1102</f>
        <v/>
      </c>
    </row>
    <row r="1103">
      <c r="A1103" s="3" t="n">
        <v>46062</v>
      </c>
      <c r="B1103" s="3" t="n">
        <v>46059</v>
      </c>
      <c r="C1103" t="n">
        <v>63.09</v>
      </c>
      <c r="D1103" t="n">
        <v>69.84</v>
      </c>
      <c r="E1103" t="n">
        <v>2.149</v>
      </c>
      <c r="F1103" t="n">
        <v>2.156</v>
      </c>
      <c r="G1103" t="n">
        <v>2.498</v>
      </c>
      <c r="H1103" t="n">
        <v>2.902</v>
      </c>
      <c r="J1103" t="n">
        <v>2.669</v>
      </c>
      <c r="K1103" t="n">
        <v>4.314</v>
      </c>
      <c r="L1103" t="n">
        <v>17.8</v>
      </c>
      <c r="N1103">
        <f>IF(OR(E1103="",C1103=""),"",E1103-C1103/42)</f>
        <v/>
      </c>
      <c r="O1103">
        <f>IF(OR(E1103="",D1103=""),"",E1103-D1103/42)</f>
        <v/>
      </c>
      <c r="P1103">
        <f>IF(L1103="",M1103/100,H1103*L1103/100)</f>
        <v/>
      </c>
      <c r="Q1103">
        <f>H1103-C1103/42-P1103</f>
        <v/>
      </c>
      <c r="R1103">
        <f>H1103-E1103</f>
        <v/>
      </c>
    </row>
    <row r="1104">
      <c r="A1104" s="3" t="n">
        <v>46069</v>
      </c>
      <c r="B1104" s="3" t="n">
        <v>46066</v>
      </c>
      <c r="C1104" t="n">
        <v>63.93</v>
      </c>
      <c r="D1104" t="n">
        <v>70.7</v>
      </c>
      <c r="E1104" t="n">
        <v>2.12</v>
      </c>
      <c r="F1104" t="n">
        <v>2.142</v>
      </c>
      <c r="G1104" t="n">
        <v>2.567</v>
      </c>
      <c r="H1104" t="n">
        <v>2.924</v>
      </c>
      <c r="J1104" t="n">
        <v>2.737</v>
      </c>
      <c r="K1104" t="n">
        <v>4.417</v>
      </c>
      <c r="L1104" t="n">
        <v>17.8</v>
      </c>
      <c r="N1104">
        <f>IF(OR(E1104="",C1104=""),"",E1104-C1104/42)</f>
        <v/>
      </c>
      <c r="O1104">
        <f>IF(OR(E1104="",D1104=""),"",E1104-D1104/42)</f>
        <v/>
      </c>
      <c r="P1104">
        <f>IF(L1104="",M1104/100,H1104*L1104/100)</f>
        <v/>
      </c>
      <c r="Q1104">
        <f>H1104-C1104/42-P1104</f>
        <v/>
      </c>
      <c r="R1104">
        <f>H1104-E1104</f>
        <v/>
      </c>
    </row>
    <row r="1105">
      <c r="A1105" s="3" t="n">
        <v>46076</v>
      </c>
      <c r="B1105" s="3" t="n">
        <v>46073</v>
      </c>
      <c r="C1105" t="n">
        <v>65.3</v>
      </c>
      <c r="D1105" t="n">
        <v>71.66</v>
      </c>
      <c r="E1105" t="n">
        <v>1.767</v>
      </c>
      <c r="F1105" t="n">
        <v>1.979</v>
      </c>
      <c r="G1105" t="n">
        <v>2.425</v>
      </c>
      <c r="H1105" t="n">
        <v>2.937</v>
      </c>
      <c r="J1105" t="n">
        <v>2.662</v>
      </c>
      <c r="K1105" t="n">
        <v>4.441</v>
      </c>
      <c r="L1105" t="n">
        <v>17.8</v>
      </c>
      <c r="N1105">
        <f>IF(OR(E1105="",C1105=""),"",E1105-C1105/42)</f>
        <v/>
      </c>
      <c r="O1105">
        <f>IF(OR(E1105="",D1105=""),"",E1105-D1105/42)</f>
        <v/>
      </c>
      <c r="P1105">
        <f>IF(L1105="",M1105/100,H1105*L1105/100)</f>
        <v/>
      </c>
      <c r="Q1105">
        <f>H1105-C1105/42-P1105</f>
        <v/>
      </c>
      <c r="R1105">
        <f>H1105-E1105</f>
        <v/>
      </c>
    </row>
    <row r="1106">
      <c r="A1106" s="3" t="n">
        <v>46083</v>
      </c>
      <c r="B1106" s="3" t="n">
        <v>46080</v>
      </c>
      <c r="C1106" t="n">
        <v>65.87</v>
      </c>
      <c r="D1106" t="n">
        <v>71.36</v>
      </c>
      <c r="E1106" t="n">
        <v>1.819</v>
      </c>
      <c r="F1106" t="n">
        <v>2.027</v>
      </c>
      <c r="G1106" t="n">
        <v>2.291</v>
      </c>
      <c r="H1106" t="n">
        <v>3.015</v>
      </c>
      <c r="J1106" t="n">
        <v>2.758</v>
      </c>
      <c r="K1106" t="n">
        <v>4.475</v>
      </c>
      <c r="L1106" t="n">
        <v>14.2</v>
      </c>
      <c r="N1106">
        <f>IF(OR(E1106="",C1106=""),"",E1106-C1106/42)</f>
        <v/>
      </c>
      <c r="O1106">
        <f>IF(OR(E1106="",D1106=""),"",E1106-D1106/42)</f>
        <v/>
      </c>
      <c r="P1106">
        <f>IF(L1106="",M1106/100,H1106*L1106/100)</f>
        <v/>
      </c>
      <c r="Q1106">
        <f>H1106-C1106/42-P1106</f>
        <v/>
      </c>
      <c r="R1106">
        <f>H1106-E1106</f>
        <v/>
      </c>
    </row>
    <row r="1107">
      <c r="A1107" s="3" t="n">
        <v>46090</v>
      </c>
      <c r="B1107" s="3" t="n">
        <v>46087</v>
      </c>
      <c r="C1107" t="n">
        <v>78.37</v>
      </c>
      <c r="D1107" t="n">
        <v>85.28</v>
      </c>
      <c r="E1107" t="n">
        <v>2.401</v>
      </c>
      <c r="F1107" t="n">
        <v>2.557</v>
      </c>
      <c r="G1107" t="n">
        <v>2.864</v>
      </c>
      <c r="H1107" t="n">
        <v>3.502</v>
      </c>
      <c r="J1107" t="n">
        <v>3.258</v>
      </c>
      <c r="K1107" t="n">
        <v>5.093</v>
      </c>
      <c r="L1107" t="n">
        <v>14.2</v>
      </c>
      <c r="N1107">
        <f>IF(OR(E1107="",C1107=""),"",E1107-C1107/42)</f>
        <v/>
      </c>
      <c r="O1107">
        <f>IF(OR(E1107="",D1107=""),"",E1107-D1107/42)</f>
        <v/>
      </c>
      <c r="P1107">
        <f>IF(L1107="",M1107/100,H1107*L1107/100)</f>
        <v/>
      </c>
      <c r="Q1107">
        <f>H1107-C1107/42-P1107</f>
        <v/>
      </c>
      <c r="R1107">
        <f>H1107-E1107</f>
        <v/>
      </c>
    </row>
    <row r="1108">
      <c r="A1108" s="3" t="n">
        <v>46097</v>
      </c>
      <c r="B1108" s="3" t="n">
        <v>46094</v>
      </c>
      <c r="C1108" t="n">
        <v>91.84999999999999</v>
      </c>
      <c r="D1108" t="n">
        <v>96.16</v>
      </c>
      <c r="E1108" t="n">
        <v>2.702</v>
      </c>
      <c r="F1108" t="n">
        <v>2.844</v>
      </c>
      <c r="G1108" t="n">
        <v>3.253</v>
      </c>
      <c r="H1108" t="n">
        <v>3.72</v>
      </c>
      <c r="J1108" t="n">
        <v>3.637</v>
      </c>
      <c r="K1108" t="n">
        <v>5.383</v>
      </c>
      <c r="L1108" t="n">
        <v>14.2</v>
      </c>
      <c r="N1108">
        <f>IF(OR(E1108="",C1108=""),"",E1108-C1108/42)</f>
        <v/>
      </c>
      <c r="O1108">
        <f>IF(OR(E1108="",D1108=""),"",E1108-D1108/42)</f>
        <v/>
      </c>
      <c r="P1108">
        <f>IF(L1108="",M1108/100,H1108*L1108/100)</f>
        <v/>
      </c>
      <c r="Q1108">
        <f>H1108-C1108/42-P1108</f>
        <v/>
      </c>
      <c r="R1108">
        <f>H1108-E1108</f>
        <v/>
      </c>
    </row>
    <row r="1109">
      <c r="A1109" s="3" t="n">
        <v>46104</v>
      </c>
      <c r="B1109" s="3" t="n">
        <v>46101</v>
      </c>
      <c r="C1109" t="n">
        <v>96.06999999999999</v>
      </c>
      <c r="D1109" t="n">
        <v>111.4</v>
      </c>
      <c r="E1109" t="n">
        <v>3.133</v>
      </c>
      <c r="F1109" t="n">
        <v>3.152</v>
      </c>
      <c r="G1109" t="n">
        <v>3.52</v>
      </c>
      <c r="H1109" t="n">
        <v>3.961</v>
      </c>
      <c r="J1109" t="n">
        <v>3.85</v>
      </c>
      <c r="K1109" t="n">
        <v>5.65</v>
      </c>
      <c r="L1109" t="n">
        <v>14.2</v>
      </c>
      <c r="N1109">
        <f>IF(OR(E1109="",C1109=""),"",E1109-C1109/42)</f>
        <v/>
      </c>
      <c r="O1109">
        <f>IF(OR(E1109="",D1109=""),"",E1109-D1109/42)</f>
        <v/>
      </c>
      <c r="P1109">
        <f>IF(L1109="",M1109/100,H1109*L1109/100)</f>
        <v/>
      </c>
      <c r="Q1109">
        <f>H1109-C1109/42-P1109</f>
        <v/>
      </c>
      <c r="R1109">
        <f>H1109-E1109</f>
        <v/>
      </c>
    </row>
    <row r="1110">
      <c r="A1110" s="3" t="n">
        <v>46111</v>
      </c>
      <c r="B1110" s="3" t="n">
        <v>46108</v>
      </c>
      <c r="C1110" t="n">
        <v>94.29000000000001</v>
      </c>
      <c r="D1110" t="n">
        <v>111.24</v>
      </c>
      <c r="E1110" t="n">
        <v>3.043</v>
      </c>
      <c r="F1110" t="n">
        <v>3.092</v>
      </c>
      <c r="G1110" t="n">
        <v>3.529</v>
      </c>
      <c r="H1110" t="n">
        <v>3.99</v>
      </c>
      <c r="J1110" t="n">
        <v>3.917</v>
      </c>
      <c r="K1110" t="n">
        <v>5.711</v>
      </c>
      <c r="L1110" t="n">
        <v>14.2</v>
      </c>
      <c r="N1110">
        <f>IF(OR(E1110="",C1110=""),"",E1110-C1110/42)</f>
        <v/>
      </c>
      <c r="O1110">
        <f>IF(OR(E1110="",D1110=""),"",E1110-D1110/42)</f>
        <v/>
      </c>
      <c r="P1110">
        <f>IF(L1110="",M1110/100,H1110*L1110/100)</f>
        <v/>
      </c>
      <c r="Q1110">
        <f>H1110-C1110/42-P1110</f>
        <v/>
      </c>
      <c r="R1110">
        <f>H1110-E1110</f>
        <v/>
      </c>
    </row>
    <row r="1111">
      <c r="A1111" s="3" t="n">
        <v>46118</v>
      </c>
      <c r="B1111" s="3" t="n">
        <v>46115</v>
      </c>
      <c r="C1111" t="n">
        <v>105.67</v>
      </c>
      <c r="D1111" t="n">
        <v>123.94</v>
      </c>
      <c r="E1111" t="n">
        <v>3.278</v>
      </c>
      <c r="F1111" t="n">
        <v>3.272</v>
      </c>
      <c r="G1111" t="n">
        <v>3.692</v>
      </c>
      <c r="H1111" t="n">
        <v>4.12</v>
      </c>
      <c r="J1111" t="n">
        <v>3.893</v>
      </c>
      <c r="K1111" t="n">
        <v>5.769</v>
      </c>
      <c r="L1111" t="n">
        <v>12.6</v>
      </c>
      <c r="N1111">
        <f>IF(OR(E1111="",C1111=""),"",E1111-C1111/42)</f>
        <v/>
      </c>
      <c r="O1111">
        <f>IF(OR(E1111="",D1111=""),"",E1111-D1111/42)</f>
        <v/>
      </c>
      <c r="P1111">
        <f>IF(L1111="",M1111/100,H1111*L1111/100)</f>
        <v/>
      </c>
      <c r="Q1111">
        <f>H1111-C1111/42-P1111</f>
        <v/>
      </c>
      <c r="R1111">
        <f>H1111-E1111</f>
        <v/>
      </c>
    </row>
    <row r="1112">
      <c r="A1112" s="3" t="n">
        <v>46125</v>
      </c>
      <c r="B1112" s="3" t="n">
        <v>46122</v>
      </c>
      <c r="C1112" t="n">
        <v>104.54</v>
      </c>
      <c r="D1112" t="n">
        <v>124.61</v>
      </c>
      <c r="E1112" t="n">
        <v>3.07</v>
      </c>
      <c r="F1112" t="n">
        <v>3.118</v>
      </c>
      <c r="G1112" t="n">
        <v>3.518</v>
      </c>
      <c r="H1112" t="n">
        <v>4.123</v>
      </c>
      <c r="J1112" t="n">
        <v>3.895</v>
      </c>
      <c r="K1112" t="n">
        <v>5.731</v>
      </c>
      <c r="L1112" t="n">
        <v>12.6</v>
      </c>
      <c r="N1112">
        <f>IF(OR(E1112="",C1112=""),"",E1112-C1112/42)</f>
        <v/>
      </c>
      <c r="O1112">
        <f>IF(OR(E1112="",D1112=""),"",E1112-D1112/42)</f>
        <v/>
      </c>
      <c r="P1112">
        <f>IF(L1112="",M1112/100,H1112*L1112/100)</f>
        <v/>
      </c>
      <c r="Q1112">
        <f>H1112-C1112/42-P1112</f>
        <v/>
      </c>
      <c r="R1112">
        <f>H1112-E1112</f>
        <v/>
      </c>
    </row>
    <row r="1113">
      <c r="A1113" s="3" t="n">
        <v>46132</v>
      </c>
      <c r="B1113" s="3" t="n">
        <v>46129</v>
      </c>
      <c r="C1113" t="n">
        <v>93.84</v>
      </c>
      <c r="D1113" t="n">
        <v>114.43</v>
      </c>
      <c r="E1113" t="n">
        <v>3.014</v>
      </c>
      <c r="F1113" t="n">
        <v>3.085</v>
      </c>
      <c r="G1113" t="n">
        <v>3.533</v>
      </c>
      <c r="H1113" t="n">
        <v>4.044</v>
      </c>
      <c r="J1113" t="n">
        <v>3.936</v>
      </c>
      <c r="K1113" t="n">
        <v>5.648</v>
      </c>
      <c r="L1113" t="n">
        <v>12.6</v>
      </c>
      <c r="N1113">
        <f>IF(OR(E1113="",C1113=""),"",E1113-C1113/42)</f>
        <v/>
      </c>
      <c r="O1113">
        <f>IF(OR(E1113="",D1113=""),"",E1113-D1113/42)</f>
        <v/>
      </c>
      <c r="P1113">
        <f>IF(L1113="",M1113/100,H1113*L1113/100)</f>
        <v/>
      </c>
      <c r="Q1113">
        <f>H1113-C1113/42-P1113</f>
        <v/>
      </c>
      <c r="R1113">
        <f>H1113-E1113</f>
        <v/>
      </c>
    </row>
    <row r="1114">
      <c r="A1114" s="3" t="n">
        <v>46139</v>
      </c>
      <c r="B1114" s="3" t="n">
        <v>46136</v>
      </c>
      <c r="C1114" t="n">
        <v>95.43000000000001</v>
      </c>
      <c r="D1114" t="n">
        <v>109.62</v>
      </c>
      <c r="E1114" t="n">
        <v>3.316</v>
      </c>
      <c r="F1114" t="n">
        <v>3.363</v>
      </c>
      <c r="G1114" t="n">
        <v>3.943</v>
      </c>
      <c r="H1114" t="n">
        <v>4.123</v>
      </c>
      <c r="J1114" t="n">
        <v>4.016</v>
      </c>
      <c r="K1114" t="n">
        <v>5.785</v>
      </c>
      <c r="L1114" t="n">
        <v>12.6</v>
      </c>
      <c r="N1114">
        <f>IF(OR(E1114="",C1114=""),"",E1114-C1114/42)</f>
        <v/>
      </c>
      <c r="O1114">
        <f>IF(OR(E1114="",D1114=""),"",E1114-D1114/42)</f>
        <v/>
      </c>
      <c r="P1114">
        <f>IF(L1114="",M1114/100,H1114*L1114/100)</f>
        <v/>
      </c>
      <c r="Q1114">
        <f>H1114-C1114/42-P1114</f>
        <v/>
      </c>
      <c r="R1114">
        <f>H1114-E1114</f>
        <v/>
      </c>
    </row>
    <row r="1115">
      <c r="A1115" s="3" t="n">
        <v>46146</v>
      </c>
      <c r="B1115" s="3" t="n">
        <v>46143</v>
      </c>
      <c r="C1115" t="n">
        <v>105.57</v>
      </c>
      <c r="D1115" t="n">
        <v>119.63</v>
      </c>
      <c r="E1115" t="n">
        <v>3.65</v>
      </c>
      <c r="F1115" t="n">
        <v>3.674</v>
      </c>
      <c r="G1115" t="n">
        <v>4.248</v>
      </c>
      <c r="H1115" t="n">
        <v>4.452</v>
      </c>
      <c r="J1115" t="n">
        <v>4.359</v>
      </c>
      <c r="K1115" t="n">
        <v>5.959</v>
      </c>
      <c r="L1115" t="n">
        <v>11.5</v>
      </c>
      <c r="N1115">
        <f>IF(OR(E1115="",C1115=""),"",E1115-C1115/42)</f>
        <v/>
      </c>
      <c r="O1115">
        <f>IF(OR(E1115="",D1115=""),"",E1115-D1115/42)</f>
        <v/>
      </c>
      <c r="P1115">
        <f>IF(L1115="",M1115/100,H1115*L1115/100)</f>
        <v/>
      </c>
      <c r="Q1115">
        <f>H1115-C1115/42-P1115</f>
        <v/>
      </c>
      <c r="R1115">
        <f>H1115-E1115</f>
        <v/>
      </c>
    </row>
    <row r="1116">
      <c r="A1116" s="3" t="n">
        <v>46153</v>
      </c>
      <c r="B1116" s="3" t="n">
        <v>46150</v>
      </c>
      <c r="C1116" t="n">
        <v>102.28</v>
      </c>
      <c r="D1116" t="n">
        <v>105.88</v>
      </c>
      <c r="E1116" t="n">
        <v>3.542</v>
      </c>
      <c r="F1116" t="n">
        <v>3.603</v>
      </c>
      <c r="G1116" t="n">
        <v>4.105</v>
      </c>
      <c r="H1116" t="n">
        <v>4.5</v>
      </c>
      <c r="J1116" t="n">
        <v>4.372</v>
      </c>
      <c r="K1116" t="n">
        <v>5.969</v>
      </c>
      <c r="L1116" t="n">
        <v>11.5</v>
      </c>
      <c r="N1116">
        <f>IF(OR(E1116="",C1116=""),"",E1116-C1116/42)</f>
        <v/>
      </c>
      <c r="O1116">
        <f>IF(OR(E1116="",D1116=""),"",E1116-D1116/42)</f>
        <v/>
      </c>
      <c r="P1116">
        <f>IF(L1116="",M1116/100,H1116*L1116/100)</f>
        <v/>
      </c>
      <c r="Q1116">
        <f>H1116-C1116/42-P1116</f>
        <v/>
      </c>
      <c r="R1116">
        <f>H1116-E1116</f>
        <v/>
      </c>
    </row>
    <row r="1117">
      <c r="A1117" s="3" t="n">
        <v>46160</v>
      </c>
      <c r="B1117" s="3" t="n">
        <v>46157</v>
      </c>
      <c r="C1117" t="n">
        <v>105.1</v>
      </c>
      <c r="D1117" t="n">
        <v>110.53</v>
      </c>
      <c r="E1117" t="n">
        <v>3.637</v>
      </c>
      <c r="F1117" t="n">
        <v>3.709</v>
      </c>
      <c r="G1117" t="n">
        <v>3.994</v>
      </c>
      <c r="H1117" t="n">
        <v>4.49</v>
      </c>
      <c r="J1117" t="n">
        <v>4.587</v>
      </c>
      <c r="K1117" t="n">
        <v>5.957</v>
      </c>
      <c r="L1117" t="n">
        <v>11.5</v>
      </c>
      <c r="N1117">
        <f>IF(OR(E1117="",C1117=""),"",E1117-C1117/42)</f>
        <v/>
      </c>
      <c r="O1117">
        <f>IF(OR(E1117="",D1117=""),"",E1117-D1117/42)</f>
        <v/>
      </c>
      <c r="P1117">
        <f>IF(L1117="",M1117/100,H1117*L1117/100)</f>
        <v/>
      </c>
      <c r="Q1117">
        <f>H1117-C1117/42-P1117</f>
        <v/>
      </c>
      <c r="R1117">
        <f>H1117-E1117</f>
        <v/>
      </c>
    </row>
    <row r="1118">
      <c r="A1118" s="3" t="n">
        <v>46167</v>
      </c>
      <c r="B1118" s="3" t="n">
        <v>46164</v>
      </c>
      <c r="C1118" t="n">
        <v>105.32</v>
      </c>
      <c r="D1118" t="n">
        <v>110.61</v>
      </c>
      <c r="E1118" t="n">
        <v>3.549</v>
      </c>
      <c r="F1118" t="n">
        <v>3.623</v>
      </c>
      <c r="G1118" t="n">
        <v>3.841</v>
      </c>
      <c r="H1118" t="n">
        <v>4.475</v>
      </c>
      <c r="J1118" t="n">
        <v>4.557</v>
      </c>
      <c r="K1118" t="n">
        <v>5.911</v>
      </c>
      <c r="L1118" t="n">
        <v>11.5</v>
      </c>
      <c r="N1118">
        <f>IF(OR(E1118="",C1118=""),"",E1118-C1118/42)</f>
        <v/>
      </c>
      <c r="O1118">
        <f>IF(OR(E1118="",D1118=""),"",E1118-D1118/42)</f>
        <v/>
      </c>
      <c r="P1118">
        <f>IF(L1118="",M1118/100,H1118*L1118/100)</f>
        <v/>
      </c>
      <c r="Q1118">
        <f>H1118-C1118/42-P1118</f>
        <v/>
      </c>
      <c r="R1118">
        <f>H1118-E1118</f>
        <v/>
      </c>
    </row>
    <row r="1119">
      <c r="A1119" s="3" t="n">
        <v>46174</v>
      </c>
      <c r="B1119" s="3" t="n">
        <v>46171</v>
      </c>
      <c r="C1119" t="n">
        <v>93.45</v>
      </c>
      <c r="D1119" t="n">
        <v>97.05</v>
      </c>
      <c r="E1119" t="n">
        <v>3.148</v>
      </c>
      <c r="F1119" t="n">
        <v>3.242</v>
      </c>
      <c r="G1119" t="n">
        <v>3.581</v>
      </c>
      <c r="H1119" t="n">
        <v>4.305</v>
      </c>
      <c r="J1119" t="n">
        <v>4.329</v>
      </c>
      <c r="K1119" t="n">
        <v>5.853</v>
      </c>
      <c r="M1119" t="n">
        <v>52.16</v>
      </c>
      <c r="N1119">
        <f>IF(OR(E1119="",C1119=""),"",E1119-C1119/42)</f>
        <v/>
      </c>
      <c r="O1119">
        <f>IF(OR(E1119="",D1119=""),"",E1119-D1119/42)</f>
        <v/>
      </c>
      <c r="P1119">
        <f>IF(L1119="",M1119/100,H1119*L1119/100)</f>
        <v/>
      </c>
      <c r="Q1119">
        <f>H1119-C1119/42-P1119</f>
        <v/>
      </c>
      <c r="R1119">
        <f>H1119-E1119</f>
        <v/>
      </c>
    </row>
    <row r="1120">
      <c r="A1120" s="3" t="n">
        <v>46181</v>
      </c>
      <c r="B1120" s="3" t="n">
        <v>46178</v>
      </c>
      <c r="C1120" t="n">
        <v>96.87</v>
      </c>
      <c r="D1120" t="n">
        <v>98.95</v>
      </c>
      <c r="E1120" t="n">
        <v>3.067</v>
      </c>
      <c r="F1120" t="n">
        <v>3.185</v>
      </c>
      <c r="G1120" t="n">
        <v>3.507</v>
      </c>
      <c r="H1120" t="n">
        <v>4.146</v>
      </c>
      <c r="J1120" t="n">
        <v>4.194</v>
      </c>
      <c r="K1120" t="n">
        <v>5.696</v>
      </c>
      <c r="M1120" t="n">
        <v>52.16</v>
      </c>
      <c r="N1120">
        <f>IF(OR(E1120="",C1120=""),"",E1120-C1120/42)</f>
        <v/>
      </c>
      <c r="O1120">
        <f>IF(OR(E1120="",D1120=""),"",E1120-D1120/42)</f>
        <v/>
      </c>
      <c r="P1120">
        <f>IF(L1120="",M1120/100,H1120*L1120/100)</f>
        <v/>
      </c>
      <c r="Q1120">
        <f>H1120-C1120/42-P1120</f>
        <v/>
      </c>
      <c r="R1120">
        <f>H1120-E1120</f>
        <v/>
      </c>
    </row>
    <row r="1121">
      <c r="A1121" s="3" t="n">
        <v>46188</v>
      </c>
      <c r="B1121" s="3" t="n">
        <v>46185</v>
      </c>
      <c r="C1121" t="n">
        <v>92.16</v>
      </c>
      <c r="D1121" t="n">
        <v>93.76000000000001</v>
      </c>
      <c r="E1121" t="n">
        <v>3.049</v>
      </c>
      <c r="F1121" t="n">
        <v>3.084</v>
      </c>
      <c r="G1121" t="n">
        <v>3.356</v>
      </c>
      <c r="H1121" t="n">
        <v>4.052</v>
      </c>
      <c r="J1121" t="n">
        <v>4.104</v>
      </c>
      <c r="K1121" t="n">
        <v>5.554</v>
      </c>
      <c r="M1121" t="n">
        <v>52.16</v>
      </c>
      <c r="N1121">
        <f>IF(OR(E1121="",C1121=""),"",E1121-C1121/42)</f>
        <v/>
      </c>
      <c r="O1121">
        <f>IF(OR(E1121="",D1121=""),"",E1121-D1121/42)</f>
        <v/>
      </c>
      <c r="P1121">
        <f>IF(L1121="",M1121/100,H1121*L1121/100)</f>
        <v/>
      </c>
      <c r="Q1121">
        <f>H1121-C1121/42-P1121</f>
        <v/>
      </c>
      <c r="R1121">
        <f>H1121-E1121</f>
        <v/>
      </c>
    </row>
    <row r="1122">
      <c r="A1122" s="3" t="n">
        <v>46195</v>
      </c>
      <c r="B1122" s="3" t="n">
        <v>46192</v>
      </c>
      <c r="C1122" t="n">
        <v>81.36</v>
      </c>
      <c r="D1122" t="n">
        <v>81</v>
      </c>
      <c r="E1122" t="n">
        <v>2.933</v>
      </c>
      <c r="F1122" t="n">
        <v>2.918</v>
      </c>
      <c r="G1122" t="n">
        <v>3.17</v>
      </c>
      <c r="H1122" t="n">
        <v>3.914</v>
      </c>
      <c r="J1122" t="n">
        <v>3.845</v>
      </c>
      <c r="K1122" t="n">
        <v>5.387</v>
      </c>
      <c r="M1122" t="n">
        <v>52.16</v>
      </c>
      <c r="N1122">
        <f>IF(OR(E1122="",C1122=""),"",E1122-C1122/42)</f>
        <v/>
      </c>
      <c r="O1122">
        <f>IF(OR(E1122="",D1122=""),"",E1122-D1122/42)</f>
        <v/>
      </c>
      <c r="P1122">
        <f>IF(L1122="",M1122/100,H1122*L1122/100)</f>
        <v/>
      </c>
      <c r="Q1122">
        <f>H1122-C1122/42-P1122</f>
        <v/>
      </c>
      <c r="R1122">
        <f>H1122-E1122</f>
        <v/>
      </c>
    </row>
    <row r="1123">
      <c r="A1123" s="3" t="n">
        <v>46202</v>
      </c>
      <c r="B1123" s="3" t="n">
        <v>46199</v>
      </c>
      <c r="C1123" t="n">
        <v>73.59</v>
      </c>
      <c r="D1123" t="n">
        <v>73.63</v>
      </c>
      <c r="E1123" t="n">
        <v>2.966</v>
      </c>
      <c r="F1123" t="n">
        <v>2.945</v>
      </c>
      <c r="G1123" t="n">
        <v>3.251</v>
      </c>
      <c r="H1123" t="n">
        <v>3.831</v>
      </c>
      <c r="J1123" t="n">
        <v>3.715</v>
      </c>
      <c r="K1123" t="n">
        <v>5.245</v>
      </c>
      <c r="M1123" t="n">
        <v>52.16</v>
      </c>
      <c r="N1123">
        <f>IF(OR(E1123="",C1123=""),"",E1123-C1123/42)</f>
        <v/>
      </c>
      <c r="O1123">
        <f>IF(OR(E1123="",D1123=""),"",E1123-D1123/42)</f>
        <v/>
      </c>
      <c r="P1123">
        <f>IF(L1123="",M1123/100,H1123*L1123/100)</f>
        <v/>
      </c>
      <c r="Q1123">
        <f>H1123-C1123/42-P1123</f>
        <v/>
      </c>
      <c r="R1123">
        <f>H1123-E1123</f>
        <v/>
      </c>
    </row>
    <row r="1124">
      <c r="A1124" s="3" t="n">
        <v>46209</v>
      </c>
      <c r="B1124" s="3" t="n">
        <v>46206</v>
      </c>
      <c r="C1124" t="n">
        <v>70.48</v>
      </c>
      <c r="D1124" t="n">
        <v>69.7</v>
      </c>
      <c r="E1124" t="n">
        <v>3.038</v>
      </c>
      <c r="F1124" t="n">
        <v>2.973</v>
      </c>
      <c r="G1124" t="n">
        <v>3.268</v>
      </c>
      <c r="H1124" t="n">
        <v>3.777</v>
      </c>
      <c r="J1124" t="n">
        <v>3.661</v>
      </c>
      <c r="K1124" t="n">
        <v>5.175</v>
      </c>
      <c r="M1124" t="n">
        <v>52.16</v>
      </c>
      <c r="N1124">
        <f>IF(OR(E1124="",C1124=""),"",E1124-C1124/42)</f>
        <v/>
      </c>
      <c r="O1124">
        <f>IF(OR(E1124="",D1124=""),"",E1124-D1124/42)</f>
        <v/>
      </c>
      <c r="P1124">
        <f>IF(L1124="",M1124/100,H1124*L1124/100)</f>
        <v/>
      </c>
      <c r="Q1124">
        <f>H1124-C1124/42-P1124</f>
        <v/>
      </c>
      <c r="R1124">
        <f>H1124-E1124</f>
        <v/>
      </c>
    </row>
    <row r="1125">
      <c r="A1125" s="3" t="n">
        <v>46216</v>
      </c>
      <c r="B1125" s="3" t="n">
        <v>46213</v>
      </c>
      <c r="C1125" t="n">
        <v>72.26000000000001</v>
      </c>
      <c r="D1125" t="n">
        <v>73.33</v>
      </c>
      <c r="E1125" t="n">
        <v>3.038</v>
      </c>
      <c r="F1125" t="n">
        <v>3.013</v>
      </c>
      <c r="G1125" t="n">
        <v>3.303</v>
      </c>
      <c r="H1125" t="n">
        <v>3.855</v>
      </c>
      <c r="J1125" t="n">
        <v>3.823</v>
      </c>
      <c r="K1125" t="n">
        <v>5.2</v>
      </c>
      <c r="M1125" t="n">
        <v>52.16</v>
      </c>
      <c r="N1125">
        <f>IF(OR(E1125="",C1125=""),"",E1125-C1125/42)</f>
        <v/>
      </c>
      <c r="O1125">
        <f>IF(OR(E1125="",D1125=""),"",E1125-D1125/42)</f>
        <v/>
      </c>
      <c r="P1125">
        <f>IF(L1125="",M1125/100,H1125*L1125/100)</f>
        <v/>
      </c>
      <c r="Q1125">
        <f>H1125-C1125/42-P1125</f>
        <v/>
      </c>
      <c r="R1125">
        <f>H1125-E1125</f>
        <v/>
      </c>
    </row>
    <row r="1126">
      <c r="A1126" s="3" t="n">
        <v>46223</v>
      </c>
      <c r="B1126" s="3" t="n">
        <v>46220</v>
      </c>
      <c r="C1126" t="n">
        <v>80.77</v>
      </c>
      <c r="D1126" t="n">
        <v>82.93000000000001</v>
      </c>
      <c r="E1126" t="n">
        <v>3.266</v>
      </c>
      <c r="F1126" t="n">
        <v>3.331</v>
      </c>
      <c r="G1126" t="n">
        <v>3.468</v>
      </c>
      <c r="H1126" t="n">
        <v>4.001</v>
      </c>
      <c r="J1126" t="n">
        <v>3.956</v>
      </c>
      <c r="K1126" t="n">
        <v>5.354</v>
      </c>
      <c r="M1126" t="n">
        <v>52.16</v>
      </c>
      <c r="N1126">
        <f>IF(OR(E1126="",C1126=""),"",E1126-C1126/42)</f>
        <v/>
      </c>
      <c r="O1126">
        <f>IF(OR(E1126="",D1126=""),"",E1126-D1126/42)</f>
        <v/>
      </c>
      <c r="P1126">
        <f>IF(L1126="",M1126/100,H1126*L1126/100)</f>
        <v/>
      </c>
      <c r="Q1126">
        <f>H1126-C1126/42-P1126</f>
        <v/>
      </c>
      <c r="R1126">
        <f>H1126-E1126</f>
        <v/>
      </c>
    </row>
    <row r="1127">
      <c r="A1127" s="3" t="n">
        <v>46230</v>
      </c>
      <c r="B1127" s="3" t="n">
        <v>46227</v>
      </c>
      <c r="C1127" t="n">
        <v>88.58</v>
      </c>
      <c r="D1127" t="n">
        <v>96.12</v>
      </c>
      <c r="E1127" t="n">
        <v>3.49</v>
      </c>
      <c r="F1127" t="n">
        <v>3.383</v>
      </c>
      <c r="G1127" t="n">
        <v>3.622</v>
      </c>
      <c r="H1127" t="n">
        <v>4.096</v>
      </c>
      <c r="J1127" t="n">
        <v>4.083</v>
      </c>
      <c r="K1127" t="n">
        <v>5.489</v>
      </c>
      <c r="M1127" t="n">
        <v>52.16</v>
      </c>
      <c r="N1127">
        <f>IF(OR(E1127="",C1127=""),"",E1127-C1127/42)</f>
        <v/>
      </c>
      <c r="O1127">
        <f>IF(OR(E1127="",D1127=""),"",E1127-D1127/42)</f>
        <v/>
      </c>
      <c r="P1127">
        <f>IF(L1127="",M1127/100,H1127*L1127/100)</f>
        <v/>
      </c>
      <c r="Q1127">
        <f>H1127-C1127/42-P1127</f>
        <v/>
      </c>
      <c r="R1127">
        <f>H1127-E1127</f>
        <v/>
      </c>
    </row>
    <row r="1128">
      <c r="A1128" s="3" t="n">
        <v>46237</v>
      </c>
      <c r="B1128" s="3" t="n">
        <v>46234</v>
      </c>
      <c r="C1128" t="n">
        <v>84.51000000000001</v>
      </c>
      <c r="D1128" t="n">
        <v>91.63</v>
      </c>
      <c r="E1128" t="n">
        <v>3.417</v>
      </c>
      <c r="F1128" t="n">
        <v>3.275</v>
      </c>
      <c r="G1128" t="n">
        <v>3.655</v>
      </c>
      <c r="H1128" t="n">
        <v>4.079</v>
      </c>
      <c r="J1128" t="n">
        <v>4.139</v>
      </c>
      <c r="K1128" t="n">
        <v>5.495</v>
      </c>
      <c r="M1128" t="n">
        <v>52.16</v>
      </c>
      <c r="N1128">
        <f>IF(OR(E1128="",C1128=""),"",E1128-C1128/42)</f>
        <v/>
      </c>
      <c r="O1128">
        <f>IF(OR(E1128="",D1128=""),"",E1128-D1128/42)</f>
        <v/>
      </c>
      <c r="P1128">
        <f>IF(L1128="",M1128/100,H1128*L1128/100)</f>
        <v/>
      </c>
      <c r="Q1128">
        <f>H1128-C1128/42-P1128</f>
        <v/>
      </c>
      <c r="R1128">
        <f>H1128-E1128</f>
        <v/>
      </c>
    </row>
    <row r="1129">
      <c r="A1129" s="3" t="n">
        <v>46244</v>
      </c>
      <c r="B1129" s="3" t="n">
        <v>46241</v>
      </c>
      <c r="C1129" t="n">
        <v>78.94</v>
      </c>
      <c r="D1129" t="n">
        <v>87.86</v>
      </c>
      <c r="E1129" t="n">
        <v>2.992</v>
      </c>
      <c r="F1129" t="n">
        <v>2.923</v>
      </c>
      <c r="G1129" t="n">
        <v>3.22</v>
      </c>
      <c r="H1129" t="n">
        <v>4.006</v>
      </c>
      <c r="J1129" t="n">
        <v>4.121</v>
      </c>
      <c r="K1129" t="n">
        <v>5.428</v>
      </c>
      <c r="M1129" t="n">
        <v>52.16</v>
      </c>
      <c r="N1129">
        <f>IF(OR(E1129="",C1129=""),"",E1129-C1129/42)</f>
        <v/>
      </c>
      <c r="O1129">
        <f>IF(OR(E1129="",D1129=""),"",E1129-D1129/42)</f>
        <v/>
      </c>
      <c r="P1129">
        <f>IF(L1129="",M1129/100,H1129*L1129/100)</f>
        <v/>
      </c>
      <c r="Q1129">
        <f>H1129-C1129/42-P1129</f>
        <v/>
      </c>
      <c r="R1129">
        <f>H1129-E1129</f>
        <v/>
      </c>
    </row>
    <row r="1130">
      <c r="A1130" s="3" t="n">
        <v>46251</v>
      </c>
      <c r="B1130" s="3" t="n">
        <v>46248</v>
      </c>
      <c r="C1130" t="n">
        <v>84.05</v>
      </c>
      <c r="D1130" t="n">
        <v>92.51000000000001</v>
      </c>
      <c r="E1130" t="n">
        <v>3.193</v>
      </c>
      <c r="F1130" t="n">
        <v>3.156</v>
      </c>
      <c r="G1130" t="n">
        <v>3.372</v>
      </c>
      <c r="H1130" t="n">
        <v>4.049</v>
      </c>
      <c r="J1130" t="n">
        <v>4.285</v>
      </c>
      <c r="K1130" t="n">
        <v>5.397</v>
      </c>
      <c r="M1130" t="n">
        <v>52.16</v>
      </c>
      <c r="N1130">
        <f>IF(OR(E1130="",C1130=""),"",E1130-C1130/42)</f>
        <v/>
      </c>
      <c r="O1130">
        <f>IF(OR(E1130="",D1130=""),"",E1130-D1130/42)</f>
        <v/>
      </c>
      <c r="P1130">
        <f>IF(L1130="",M1130/100,H1130*L1130/100)</f>
        <v/>
      </c>
      <c r="Q1130">
        <f>H1130-C1130/42-P1130</f>
        <v/>
      </c>
      <c r="R1130">
        <f>H1130-E1130</f>
        <v/>
      </c>
    </row>
    <row r="1131">
      <c r="A1131" s="3" t="n">
        <v>46258</v>
      </c>
      <c r="B1131" s="3" t="n">
        <v>46255</v>
      </c>
      <c r="C1131" t="n">
        <v>87.34999999999999</v>
      </c>
      <c r="D1131" t="n">
        <v>94.2</v>
      </c>
      <c r="E1131" t="n">
        <v>3.436</v>
      </c>
      <c r="F1131" t="n">
        <v>3.336</v>
      </c>
      <c r="G1131" t="n">
        <v>3.495</v>
      </c>
      <c r="H1131" t="n">
        <v>4.085</v>
      </c>
      <c r="J1131" t="n">
        <v>4.359</v>
      </c>
      <c r="K1131" t="n">
        <v>5.45</v>
      </c>
      <c r="M1131" t="n">
        <v>52.16</v>
      </c>
      <c r="N1131">
        <f>IF(OR(E1131="",C1131=""),"",E1131-C1131/42)</f>
        <v/>
      </c>
      <c r="O1131">
        <f>IF(OR(E1131="",D1131=""),"",E1131-D1131/42)</f>
        <v/>
      </c>
      <c r="P1131">
        <f>IF(L1131="",M1131/100,H1131*L1131/100)</f>
        <v/>
      </c>
      <c r="Q1131">
        <f>H1131-C1131/42-P1131</f>
        <v/>
      </c>
      <c r="R1131">
        <f>H1131-E1131</f>
        <v/>
      </c>
    </row>
    <row r="1132">
      <c r="A1132" s="3" t="n">
        <v>46265</v>
      </c>
      <c r="B1132" s="3" t="n">
        <v>46262</v>
      </c>
      <c r="C1132" t="n">
        <v>84.62</v>
      </c>
      <c r="D1132" t="n">
        <v>89.73</v>
      </c>
      <c r="E1132" t="n">
        <v>3.564</v>
      </c>
      <c r="F1132" t="n">
        <v>3.37</v>
      </c>
      <c r="G1132" t="n">
        <v>3.854</v>
      </c>
      <c r="H1132" t="n">
        <v>4.071</v>
      </c>
      <c r="J1132" t="n">
        <v>4.266</v>
      </c>
      <c r="K1132" t="n">
        <v>5.52</v>
      </c>
      <c r="M1132" t="n">
        <v>52.16</v>
      </c>
      <c r="N1132">
        <f>IF(OR(E1132="",C1132=""),"",E1132-C1132/42)</f>
        <v/>
      </c>
      <c r="O1132">
        <f>IF(OR(E1132="",D1132=""),"",E1132-D1132/42)</f>
        <v/>
      </c>
      <c r="P1132">
        <f>IF(L1132="",M1132/100,H1132*L1132/100)</f>
        <v/>
      </c>
      <c r="Q1132">
        <f>H1132-C1132/42-P1132</f>
        <v/>
      </c>
      <c r="R1132">
        <f>H1132-E1132</f>
        <v/>
      </c>
    </row>
    <row r="1133">
      <c r="A1133" s="3" t="n">
        <v>46272</v>
      </c>
      <c r="B1133" s="3" t="n">
        <v>46269</v>
      </c>
      <c r="C1133" t="n">
        <v>91.18000000000001</v>
      </c>
      <c r="D1133" t="n">
        <v>99.09</v>
      </c>
      <c r="E1133" t="n">
        <v>3.494</v>
      </c>
      <c r="F1133" t="n">
        <v>3.266</v>
      </c>
      <c r="G1133" t="n">
        <v>3.86</v>
      </c>
      <c r="H1133" t="n">
        <v>4.157</v>
      </c>
      <c r="J1133" t="n">
        <v>4.314</v>
      </c>
      <c r="K1133" t="n">
        <v>5.678</v>
      </c>
      <c r="M1133" t="n">
        <v>52.16</v>
      </c>
      <c r="N1133">
        <f>IF(OR(E1133="",C1133=""),"",E1133-C1133/42)</f>
        <v/>
      </c>
      <c r="O1133">
        <f>IF(OR(E1133="",D1133=""),"",E1133-D1133/42)</f>
        <v/>
      </c>
      <c r="P1133">
        <f>IF(L1133="",M1133/100,H1133*L1133/100)</f>
        <v/>
      </c>
      <c r="Q1133">
        <f>H1133-C1133/42-P1133</f>
        <v/>
      </c>
      <c r="R1133">
        <f>H1133-E1133</f>
        <v/>
      </c>
    </row>
    <row r="1134">
      <c r="A1134" s="3" t="n">
        <v>46279</v>
      </c>
      <c r="B1134" s="3" t="n">
        <v>46276</v>
      </c>
      <c r="C1134" t="n">
        <v>99.08</v>
      </c>
      <c r="D1134" t="n">
        <v>111.83</v>
      </c>
      <c r="E1134" t="n">
        <v>3.629</v>
      </c>
      <c r="F1134" t="n">
        <v>3.361</v>
      </c>
      <c r="G1134" t="n">
        <v>3.941</v>
      </c>
      <c r="H1134" t="n">
        <v>4.319</v>
      </c>
      <c r="J1134" t="n">
        <v>4.438</v>
      </c>
      <c r="K1134" t="n">
        <v>5.827</v>
      </c>
      <c r="M1134" t="n">
        <v>52.16</v>
      </c>
      <c r="N1134">
        <f>IF(OR(E1134="",C1134=""),"",E1134-C1134/42)</f>
        <v/>
      </c>
      <c r="O1134">
        <f>IF(OR(E1134="",D1134=""),"",E1134-D1134/42)</f>
        <v/>
      </c>
      <c r="P1134">
        <f>IF(L1134="",M1134/100,H1134*L1134/100)</f>
        <v/>
      </c>
      <c r="Q1134">
        <f>H1134-C1134/42-P1134</f>
        <v/>
      </c>
      <c r="R1134">
        <f>H1134-E1134</f>
        <v/>
      </c>
    </row>
    <row r="1135">
      <c r="A1135" s="3" t="n">
        <v>46286</v>
      </c>
      <c r="B1135" s="3" t="n">
        <v>46283</v>
      </c>
      <c r="C1135" t="n">
        <v>103.54</v>
      </c>
      <c r="D1135" t="n">
        <v>124.15</v>
      </c>
      <c r="E1135" t="n">
        <v>3.888</v>
      </c>
      <c r="F1135" t="n">
        <v>3.542</v>
      </c>
      <c r="G1135" t="n">
        <v>4.123</v>
      </c>
      <c r="H1135" t="n">
        <v>4.478</v>
      </c>
      <c r="J1135" t="n">
        <v>4.51</v>
      </c>
      <c r="K1135" t="n">
        <v>6.003</v>
      </c>
      <c r="M1135" t="n">
        <v>52.16</v>
      </c>
      <c r="N1135">
        <f>IF(OR(E1135="",C1135=""),"",E1135-C1135/42)</f>
        <v/>
      </c>
      <c r="O1135">
        <f>IF(OR(E1135="",D1135=""),"",E1135-D1135/42)</f>
        <v/>
      </c>
      <c r="P1135">
        <f>IF(L1135="",M1135/100,H1135*L1135/100)</f>
        <v/>
      </c>
      <c r="Q1135">
        <f>H1135-C1135/42-P1135</f>
        <v/>
      </c>
      <c r="R1135">
        <f>H1135-E1135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60" customHeight="1">
      <c r="A1" s="1" t="inlineStr">
        <is>
          <t>Month</t>
        </is>
      </c>
      <c r="B1" s="1" t="inlineStr">
        <is>
          <t>EIA label</t>
        </is>
      </c>
      <c r="C1" s="1" t="inlineStr">
        <is>
          <t>Retail regular, $/gal (EIA)</t>
        </is>
      </c>
      <c r="D1" s="1" t="inlineStr">
        <is>
          <t>Crude oil, % of retail (EIA)</t>
        </is>
      </c>
      <c r="E1" s="1" t="inlineStr">
        <is>
          <t>Refining costs &amp; profits, % (EIA)</t>
        </is>
      </c>
      <c r="F1" s="1" t="inlineStr">
        <is>
          <t>Distribution &amp; marketing, % (EIA)</t>
        </is>
      </c>
      <c r="G1" s="1" t="inlineStr">
        <is>
          <t>Taxes, % (EIA)</t>
        </is>
      </c>
      <c r="H1" s="2" t="inlineStr">
        <is>
          <t>Crude, c/gal [formula]</t>
        </is>
      </c>
      <c r="I1" s="2" t="inlineStr">
        <is>
          <t>Refining, c/gal [formula]</t>
        </is>
      </c>
      <c r="J1" s="2" t="inlineStr">
        <is>
          <t>Distribution &amp; marketing, c/gal [formula]</t>
        </is>
      </c>
      <c r="K1" s="2" t="inlineStr">
        <is>
          <t>Taxes, c/gal [formula]</t>
        </is>
      </c>
      <c r="L1" s="2" t="inlineStr">
        <is>
          <t>Shares sum, % [formula]</t>
        </is>
      </c>
    </row>
    <row r="2">
      <c r="A2" s="4" t="n">
        <v>36526</v>
      </c>
      <c r="B2" t="inlineStr">
        <is>
          <t>Jan-00</t>
        </is>
      </c>
      <c r="C2" t="n">
        <v>1.289</v>
      </c>
      <c r="D2" t="n">
        <v>47.1</v>
      </c>
      <c r="E2" t="n">
        <v>7.8</v>
      </c>
      <c r="F2" t="n">
        <v>13</v>
      </c>
      <c r="G2" t="n">
        <v>32.1</v>
      </c>
      <c r="H2">
        <f>C2*D2</f>
        <v/>
      </c>
      <c r="I2">
        <f>C2*E2</f>
        <v/>
      </c>
      <c r="J2">
        <f>C2*F2</f>
        <v/>
      </c>
      <c r="K2">
        <f>C2*G2</f>
        <v/>
      </c>
      <c r="L2">
        <f>D2+E2+F2+G2</f>
        <v/>
      </c>
    </row>
    <row r="3">
      <c r="A3" s="4" t="n">
        <v>36557</v>
      </c>
      <c r="B3" t="inlineStr">
        <is>
          <t>Feb-00</t>
        </is>
      </c>
      <c r="C3" t="n">
        <v>1.377</v>
      </c>
      <c r="D3" t="n">
        <v>44.6</v>
      </c>
      <c r="E3" t="n">
        <v>17.9</v>
      </c>
      <c r="F3" t="n">
        <v>7.5</v>
      </c>
      <c r="G3" t="n">
        <v>30.1</v>
      </c>
      <c r="H3">
        <f>C3*D3</f>
        <v/>
      </c>
      <c r="I3">
        <f>C3*E3</f>
        <v/>
      </c>
      <c r="J3">
        <f>C3*F3</f>
        <v/>
      </c>
      <c r="K3">
        <f>C3*G3</f>
        <v/>
      </c>
      <c r="L3">
        <f>D3+E3+F3+G3</f>
        <v/>
      </c>
    </row>
    <row r="4">
      <c r="A4" s="4" t="n">
        <v>36586</v>
      </c>
      <c r="B4" t="inlineStr">
        <is>
          <t>Mar-00</t>
        </is>
      </c>
      <c r="C4" t="n">
        <v>1.517</v>
      </c>
      <c r="D4" t="n">
        <v>44.6</v>
      </c>
      <c r="E4" t="n">
        <v>15.4</v>
      </c>
      <c r="F4" t="n">
        <v>12.8</v>
      </c>
      <c r="G4" t="n">
        <v>27.3</v>
      </c>
      <c r="H4">
        <f>C4*D4</f>
        <v/>
      </c>
      <c r="I4">
        <f>C4*E4</f>
        <v/>
      </c>
      <c r="J4">
        <f>C4*F4</f>
        <v/>
      </c>
      <c r="K4">
        <f>C4*G4</f>
        <v/>
      </c>
      <c r="L4">
        <f>D4+E4+F4+G4</f>
        <v/>
      </c>
    </row>
    <row r="5">
      <c r="A5" s="4" t="n">
        <v>36617</v>
      </c>
      <c r="B5" t="inlineStr">
        <is>
          <t>Apr-00</t>
        </is>
      </c>
      <c r="C5" t="n">
        <v>1.465</v>
      </c>
      <c r="D5" t="n">
        <v>41.4</v>
      </c>
      <c r="E5" t="n">
        <v>10.1</v>
      </c>
      <c r="F5" t="n">
        <v>20.2</v>
      </c>
      <c r="G5" t="n">
        <v>28.3</v>
      </c>
      <c r="H5">
        <f>C5*D5</f>
        <v/>
      </c>
      <c r="I5">
        <f>C5*E5</f>
        <v/>
      </c>
      <c r="J5">
        <f>C5*F5</f>
        <v/>
      </c>
      <c r="K5">
        <f>C5*G5</f>
        <v/>
      </c>
      <c r="L5">
        <f>D5+E5+F5+G5</f>
        <v/>
      </c>
    </row>
    <row r="6">
      <c r="A6" s="4" t="n">
        <v>36647</v>
      </c>
      <c r="B6" t="inlineStr">
        <is>
          <t>May-00</t>
        </is>
      </c>
      <c r="C6" t="n">
        <v>1.485</v>
      </c>
      <c r="D6" t="n">
        <v>42.7</v>
      </c>
      <c r="E6" t="n">
        <v>20.2</v>
      </c>
      <c r="F6" t="n">
        <v>9.199999999999999</v>
      </c>
      <c r="G6" t="n">
        <v>27.9</v>
      </c>
      <c r="H6">
        <f>C6*D6</f>
        <v/>
      </c>
      <c r="I6">
        <f>C6*E6</f>
        <v/>
      </c>
      <c r="J6">
        <f>C6*F6</f>
        <v/>
      </c>
      <c r="K6">
        <f>C6*G6</f>
        <v/>
      </c>
      <c r="L6">
        <f>D6+E6+F6+G6</f>
        <v/>
      </c>
    </row>
    <row r="7">
      <c r="A7" s="4" t="n">
        <v>36678</v>
      </c>
      <c r="B7" t="inlineStr">
        <is>
          <t>Jun-00</t>
        </is>
      </c>
      <c r="C7" t="n">
        <v>1.633</v>
      </c>
      <c r="D7" t="n">
        <v>43.1</v>
      </c>
      <c r="E7" t="n">
        <v>22.2</v>
      </c>
      <c r="F7" t="n">
        <v>8.800000000000001</v>
      </c>
      <c r="G7" t="n">
        <v>25.8</v>
      </c>
      <c r="H7">
        <f>C7*D7</f>
        <v/>
      </c>
      <c r="I7">
        <f>C7*E7</f>
        <v/>
      </c>
      <c r="J7">
        <f>C7*F7</f>
        <v/>
      </c>
      <c r="K7">
        <f>C7*G7</f>
        <v/>
      </c>
      <c r="L7">
        <f>D7+E7+F7+G7</f>
        <v/>
      </c>
    </row>
    <row r="8">
      <c r="A8" s="4" t="n">
        <v>36708</v>
      </c>
      <c r="B8" t="inlineStr">
        <is>
          <t>Jul-00</t>
        </is>
      </c>
      <c r="C8" t="n">
        <v>1.551</v>
      </c>
      <c r="D8" t="n">
        <v>43.8</v>
      </c>
      <c r="E8" t="n">
        <v>13.2</v>
      </c>
      <c r="F8" t="n">
        <v>15.8</v>
      </c>
      <c r="G8" t="n">
        <v>27.2</v>
      </c>
      <c r="H8">
        <f>C8*D8</f>
        <v/>
      </c>
      <c r="I8">
        <f>C8*E8</f>
        <v/>
      </c>
      <c r="J8">
        <f>C8*F8</f>
        <v/>
      </c>
      <c r="K8">
        <f>C8*G8</f>
        <v/>
      </c>
      <c r="L8">
        <f>D8+E8+F8+G8</f>
        <v/>
      </c>
    </row>
    <row r="9">
      <c r="A9" s="4" t="n">
        <v>36739</v>
      </c>
      <c r="B9" t="inlineStr">
        <is>
          <t>Aug-00</t>
        </is>
      </c>
      <c r="C9" t="n">
        <v>1.465</v>
      </c>
      <c r="D9" t="n">
        <v>47.8</v>
      </c>
      <c r="E9" t="n">
        <v>15.8</v>
      </c>
      <c r="F9" t="n">
        <v>7.5</v>
      </c>
      <c r="G9" t="n">
        <v>28.8</v>
      </c>
      <c r="H9">
        <f>C9*D9</f>
        <v/>
      </c>
      <c r="I9">
        <f>C9*E9</f>
        <v/>
      </c>
      <c r="J9">
        <f>C9*F9</f>
        <v/>
      </c>
      <c r="K9">
        <f>C9*G9</f>
        <v/>
      </c>
      <c r="L9">
        <f>D9+E9+F9+G9</f>
        <v/>
      </c>
    </row>
    <row r="10">
      <c r="A10" s="4" t="n">
        <v>36770</v>
      </c>
      <c r="B10" t="inlineStr">
        <is>
          <t>Sept-00</t>
        </is>
      </c>
      <c r="C10" t="n">
        <v>1.55</v>
      </c>
      <c r="D10" t="n">
        <v>48.3</v>
      </c>
      <c r="E10" t="n">
        <v>15.4</v>
      </c>
      <c r="F10" t="n">
        <v>9</v>
      </c>
      <c r="G10" t="n">
        <v>27.2</v>
      </c>
      <c r="H10">
        <f>C10*D10</f>
        <v/>
      </c>
      <c r="I10">
        <f>C10*E10</f>
        <v/>
      </c>
      <c r="J10">
        <f>C10*F10</f>
        <v/>
      </c>
      <c r="K10">
        <f>C10*G10</f>
        <v/>
      </c>
      <c r="L10">
        <f>D10+E10+F10+G10</f>
        <v/>
      </c>
    </row>
    <row r="11">
      <c r="A11" s="4" t="n">
        <v>36800</v>
      </c>
      <c r="B11" t="inlineStr">
        <is>
          <t>Oct-00</t>
        </is>
      </c>
      <c r="C11" t="n">
        <v>1.532</v>
      </c>
      <c r="D11" t="n">
        <v>48.6</v>
      </c>
      <c r="E11" t="n">
        <v>13.7</v>
      </c>
      <c r="F11" t="n">
        <v>10.1</v>
      </c>
      <c r="G11" t="n">
        <v>27.5</v>
      </c>
      <c r="H11">
        <f>C11*D11</f>
        <v/>
      </c>
      <c r="I11">
        <f>C11*E11</f>
        <v/>
      </c>
      <c r="J11">
        <f>C11*F11</f>
        <v/>
      </c>
      <c r="K11">
        <f>C11*G11</f>
        <v/>
      </c>
      <c r="L11">
        <f>D11+E11+F11+G11</f>
        <v/>
      </c>
    </row>
    <row r="12">
      <c r="A12" s="4" t="n">
        <v>36831</v>
      </c>
      <c r="B12" t="inlineStr">
        <is>
          <t>Nov-00</t>
        </is>
      </c>
      <c r="C12" t="n">
        <v>1.517</v>
      </c>
      <c r="D12" t="n">
        <v>50</v>
      </c>
      <c r="E12" t="n">
        <v>10.4</v>
      </c>
      <c r="F12" t="n">
        <v>11.8</v>
      </c>
      <c r="G12" t="n">
        <v>27.8</v>
      </c>
      <c r="H12">
        <f>C12*D12</f>
        <v/>
      </c>
      <c r="I12">
        <f>C12*E12</f>
        <v/>
      </c>
      <c r="J12">
        <f>C12*F12</f>
        <v/>
      </c>
      <c r="K12">
        <f>C12*G12</f>
        <v/>
      </c>
      <c r="L12">
        <f>D12+E12+F12+G12</f>
        <v/>
      </c>
    </row>
    <row r="13">
      <c r="A13" s="4" t="n">
        <v>36861</v>
      </c>
      <c r="B13" t="inlineStr">
        <is>
          <t>Dec-00</t>
        </is>
      </c>
      <c r="C13" t="n">
        <v>1.443</v>
      </c>
      <c r="D13" t="n">
        <v>44.8</v>
      </c>
      <c r="E13" t="n">
        <v>8</v>
      </c>
      <c r="F13" t="n">
        <v>17.9</v>
      </c>
      <c r="G13" t="n">
        <v>29.2</v>
      </c>
      <c r="H13">
        <f>C13*D13</f>
        <v/>
      </c>
      <c r="I13">
        <f>C13*E13</f>
        <v/>
      </c>
      <c r="J13">
        <f>C13*F13</f>
        <v/>
      </c>
      <c r="K13">
        <f>C13*G13</f>
        <v/>
      </c>
      <c r="L13">
        <f>D13+E13+F13+G13</f>
        <v/>
      </c>
    </row>
    <row r="14">
      <c r="A14" s="4" t="n">
        <v>36892</v>
      </c>
      <c r="B14" t="inlineStr">
        <is>
          <t>Jan-01</t>
        </is>
      </c>
      <c r="C14" t="n">
        <v>1.447</v>
      </c>
      <c r="D14" t="n">
        <v>42.7</v>
      </c>
      <c r="E14" t="n">
        <v>17.8</v>
      </c>
      <c r="F14" t="n">
        <v>10.4</v>
      </c>
      <c r="G14" t="n">
        <v>29.2</v>
      </c>
      <c r="H14">
        <f>C14*D14</f>
        <v/>
      </c>
      <c r="I14">
        <f>C14*E14</f>
        <v/>
      </c>
      <c r="J14">
        <f>C14*F14</f>
        <v/>
      </c>
      <c r="K14">
        <f>C14*G14</f>
        <v/>
      </c>
      <c r="L14">
        <f>D14+E14+F14+G14</f>
        <v/>
      </c>
    </row>
    <row r="15">
      <c r="A15" s="4" t="n">
        <v>36923</v>
      </c>
      <c r="B15" t="inlineStr">
        <is>
          <t>Feb-01</t>
        </is>
      </c>
      <c r="C15" t="n">
        <v>1.45</v>
      </c>
      <c r="D15" t="n">
        <v>42.6</v>
      </c>
      <c r="E15" t="n">
        <v>17.3</v>
      </c>
      <c r="F15" t="n">
        <v>11</v>
      </c>
      <c r="G15" t="n">
        <v>29.1</v>
      </c>
      <c r="H15">
        <f>C15*D15</f>
        <v/>
      </c>
      <c r="I15">
        <f>C15*E15</f>
        <v/>
      </c>
      <c r="J15">
        <f>C15*F15</f>
        <v/>
      </c>
      <c r="K15">
        <f>C15*G15</f>
        <v/>
      </c>
      <c r="L15">
        <f>D15+E15+F15+G15</f>
        <v/>
      </c>
    </row>
    <row r="16">
      <c r="A16" s="4" t="n">
        <v>36951</v>
      </c>
      <c r="B16" t="inlineStr">
        <is>
          <t>Mar-01</t>
        </is>
      </c>
      <c r="C16" t="n">
        <v>1.409</v>
      </c>
      <c r="D16" t="n">
        <v>41.5</v>
      </c>
      <c r="E16" t="n">
        <v>18.8</v>
      </c>
      <c r="F16" t="n">
        <v>9.699999999999999</v>
      </c>
      <c r="G16" t="n">
        <v>30</v>
      </c>
      <c r="H16">
        <f>C16*D16</f>
        <v/>
      </c>
      <c r="I16">
        <f>C16*E16</f>
        <v/>
      </c>
      <c r="J16">
        <f>C16*F16</f>
        <v/>
      </c>
      <c r="K16">
        <f>C16*G16</f>
        <v/>
      </c>
      <c r="L16">
        <f>D16+E16+F16+G16</f>
        <v/>
      </c>
    </row>
    <row r="17">
      <c r="A17" s="4" t="n">
        <v>36982</v>
      </c>
      <c r="B17" t="inlineStr">
        <is>
          <t>Apr-01</t>
        </is>
      </c>
      <c r="C17" t="n">
        <v>1.552</v>
      </c>
      <c r="D17" t="n">
        <v>36.7</v>
      </c>
      <c r="E17" t="n">
        <v>31.6</v>
      </c>
      <c r="F17" t="n">
        <v>4.6</v>
      </c>
      <c r="G17" t="n">
        <v>27.1</v>
      </c>
      <c r="H17">
        <f>C17*D17</f>
        <v/>
      </c>
      <c r="I17">
        <f>C17*E17</f>
        <v/>
      </c>
      <c r="J17">
        <f>C17*F17</f>
        <v/>
      </c>
      <c r="K17">
        <f>C17*G17</f>
        <v/>
      </c>
      <c r="L17">
        <f>D17+E17+F17+G17</f>
        <v/>
      </c>
    </row>
    <row r="18">
      <c r="A18" s="4" t="n">
        <v>37012</v>
      </c>
      <c r="B18" t="inlineStr">
        <is>
          <t>May-01</t>
        </is>
      </c>
      <c r="C18" t="n">
        <v>1.702</v>
      </c>
      <c r="D18" t="n">
        <v>35</v>
      </c>
      <c r="E18" t="n">
        <v>26.4</v>
      </c>
      <c r="F18" t="n">
        <v>14</v>
      </c>
      <c r="G18" t="n">
        <v>24.7</v>
      </c>
      <c r="H18">
        <f>C18*D18</f>
        <v/>
      </c>
      <c r="I18">
        <f>C18*E18</f>
        <v/>
      </c>
      <c r="J18">
        <f>C18*F18</f>
        <v/>
      </c>
      <c r="K18">
        <f>C18*G18</f>
        <v/>
      </c>
      <c r="L18">
        <f>D18+E18+F18+G18</f>
        <v/>
      </c>
    </row>
    <row r="19">
      <c r="A19" s="4" t="n">
        <v>37043</v>
      </c>
      <c r="B19" t="inlineStr">
        <is>
          <t>Jun-01</t>
        </is>
      </c>
      <c r="C19" t="n">
        <v>1.616</v>
      </c>
      <c r="D19" t="n">
        <v>36.7</v>
      </c>
      <c r="E19" t="n">
        <v>13.2</v>
      </c>
      <c r="F19" t="n">
        <v>24.1</v>
      </c>
      <c r="G19" t="n">
        <v>26</v>
      </c>
      <c r="H19">
        <f>C19*D19</f>
        <v/>
      </c>
      <c r="I19">
        <f>C19*E19</f>
        <v/>
      </c>
      <c r="J19">
        <f>C19*F19</f>
        <v/>
      </c>
      <c r="K19">
        <f>C19*G19</f>
        <v/>
      </c>
      <c r="L19">
        <f>D19+E19+F19+G19</f>
        <v/>
      </c>
    </row>
    <row r="20">
      <c r="A20" s="4" t="n">
        <v>37073</v>
      </c>
      <c r="B20" t="inlineStr">
        <is>
          <t>Jul-01</t>
        </is>
      </c>
      <c r="C20" t="n">
        <v>1.421</v>
      </c>
      <c r="D20" t="n">
        <v>40</v>
      </c>
      <c r="E20" t="n">
        <v>10</v>
      </c>
      <c r="F20" t="n">
        <v>20</v>
      </c>
      <c r="G20" t="n">
        <v>30</v>
      </c>
      <c r="H20">
        <f>C20*D20</f>
        <v/>
      </c>
      <c r="I20">
        <f>C20*E20</f>
        <v/>
      </c>
      <c r="J20">
        <f>C20*F20</f>
        <v/>
      </c>
      <c r="K20">
        <f>C20*G20</f>
        <v/>
      </c>
      <c r="L20">
        <f>D20+E20+F20+G20</f>
        <v/>
      </c>
    </row>
    <row r="21">
      <c r="A21" s="4" t="n">
        <v>37104</v>
      </c>
      <c r="B21" t="inlineStr">
        <is>
          <t>Aug-01</t>
        </is>
      </c>
      <c r="C21" t="n">
        <v>1.421</v>
      </c>
      <c r="D21" t="n">
        <v>41</v>
      </c>
      <c r="E21" t="n">
        <v>20</v>
      </c>
      <c r="F21" t="n">
        <v>9</v>
      </c>
      <c r="G21" t="n">
        <v>30</v>
      </c>
      <c r="H21">
        <f>C21*D21</f>
        <v/>
      </c>
      <c r="I21">
        <f>C21*E21</f>
        <v/>
      </c>
      <c r="J21">
        <f>C21*F21</f>
        <v/>
      </c>
      <c r="K21">
        <f>C21*G21</f>
        <v/>
      </c>
      <c r="L21">
        <f>D21+E21+F21+G21</f>
        <v/>
      </c>
    </row>
    <row r="22">
      <c r="A22" s="4" t="n">
        <v>37135</v>
      </c>
      <c r="B22" t="inlineStr">
        <is>
          <t>Sept-01</t>
        </is>
      </c>
      <c r="C22" t="n">
        <v>1.522</v>
      </c>
      <c r="D22" t="n">
        <v>37</v>
      </c>
      <c r="E22" t="n">
        <v>18</v>
      </c>
      <c r="F22" t="n">
        <v>17</v>
      </c>
      <c r="G22" t="n">
        <v>28</v>
      </c>
      <c r="H22">
        <f>C22*D22</f>
        <v/>
      </c>
      <c r="I22">
        <f>C22*E22</f>
        <v/>
      </c>
      <c r="J22">
        <f>C22*F22</f>
        <v/>
      </c>
      <c r="K22">
        <f>C22*G22</f>
        <v/>
      </c>
      <c r="L22">
        <f>D22+E22+F22+G22</f>
        <v/>
      </c>
    </row>
    <row r="23">
      <c r="A23" s="4" t="n">
        <v>37165</v>
      </c>
      <c r="B23" t="inlineStr">
        <is>
          <t>Oct-01</t>
        </is>
      </c>
      <c r="C23" t="n">
        <v>1.315</v>
      </c>
      <c r="D23" t="n">
        <v>37.2</v>
      </c>
      <c r="E23" t="n">
        <v>10</v>
      </c>
      <c r="F23" t="n">
        <v>20.8</v>
      </c>
      <c r="G23" t="n">
        <v>31.9</v>
      </c>
      <c r="H23">
        <f>C23*D23</f>
        <v/>
      </c>
      <c r="I23">
        <f>C23*E23</f>
        <v/>
      </c>
      <c r="J23">
        <f>C23*F23</f>
        <v/>
      </c>
      <c r="K23">
        <f>C23*G23</f>
        <v/>
      </c>
      <c r="L23">
        <f>D23+E23+F23+G23</f>
        <v/>
      </c>
    </row>
    <row r="24">
      <c r="A24" s="4" t="n">
        <v>37196</v>
      </c>
      <c r="B24" t="inlineStr">
        <is>
          <t>Nov-01</t>
        </is>
      </c>
      <c r="C24" t="n">
        <v>1.171</v>
      </c>
      <c r="D24" t="n">
        <v>36</v>
      </c>
      <c r="E24" t="n">
        <v>10</v>
      </c>
      <c r="F24" t="n">
        <v>18</v>
      </c>
      <c r="G24" t="n">
        <v>36</v>
      </c>
      <c r="H24">
        <f>C24*D24</f>
        <v/>
      </c>
      <c r="I24">
        <f>C24*E24</f>
        <v/>
      </c>
      <c r="J24">
        <f>C24*F24</f>
        <v/>
      </c>
      <c r="K24">
        <f>C24*G24</f>
        <v/>
      </c>
      <c r="L24">
        <f>D24+E24+F24+G24</f>
        <v/>
      </c>
    </row>
    <row r="25">
      <c r="A25" s="4" t="n">
        <v>37226</v>
      </c>
      <c r="B25" t="inlineStr">
        <is>
          <t>Dec-01</t>
        </is>
      </c>
      <c r="C25" t="n">
        <v>1.086</v>
      </c>
      <c r="D25" t="n">
        <v>36.9</v>
      </c>
      <c r="E25" t="n">
        <v>11.7</v>
      </c>
      <c r="F25" t="n">
        <v>12.7</v>
      </c>
      <c r="G25" t="n">
        <v>38.7</v>
      </c>
      <c r="H25">
        <f>C25*D25</f>
        <v/>
      </c>
      <c r="I25">
        <f>C25*E25</f>
        <v/>
      </c>
      <c r="J25">
        <f>C25*F25</f>
        <v/>
      </c>
      <c r="K25">
        <f>C25*G25</f>
        <v/>
      </c>
      <c r="L25">
        <f>D25+E25+F25+G25</f>
        <v/>
      </c>
    </row>
    <row r="26">
      <c r="A26" s="4" t="n">
        <v>37257</v>
      </c>
      <c r="B26" t="inlineStr">
        <is>
          <t>Jan-02</t>
        </is>
      </c>
      <c r="C26" t="n">
        <v>1.107</v>
      </c>
      <c r="D26" t="n">
        <v>37.2</v>
      </c>
      <c r="E26" t="n">
        <v>13</v>
      </c>
      <c r="F26" t="n">
        <v>11.8</v>
      </c>
      <c r="G26" t="n">
        <v>37.9</v>
      </c>
      <c r="H26">
        <f>C26*D26</f>
        <v/>
      </c>
      <c r="I26">
        <f>C26*E26</f>
        <v/>
      </c>
      <c r="J26">
        <f>C26*F26</f>
        <v/>
      </c>
      <c r="K26">
        <f>C26*G26</f>
        <v/>
      </c>
      <c r="L26">
        <f>D26+E26+F26+G26</f>
        <v/>
      </c>
    </row>
    <row r="27">
      <c r="A27" s="4" t="n">
        <v>37288</v>
      </c>
      <c r="B27" t="inlineStr">
        <is>
          <t>Feb-02</t>
        </is>
      </c>
      <c r="C27" t="n">
        <v>1.114</v>
      </c>
      <c r="D27" t="n">
        <v>39.1</v>
      </c>
      <c r="E27" t="n">
        <v>12.1</v>
      </c>
      <c r="F27" t="n">
        <v>11.2</v>
      </c>
      <c r="G27" t="n">
        <v>37.7</v>
      </c>
      <c r="H27">
        <f>C27*D27</f>
        <v/>
      </c>
      <c r="I27">
        <f>C27*E27</f>
        <v/>
      </c>
      <c r="J27">
        <f>C27*F27</f>
        <v/>
      </c>
      <c r="K27">
        <f>C27*G27</f>
        <v/>
      </c>
      <c r="L27">
        <f>D27+E27+F27+G27</f>
        <v/>
      </c>
    </row>
    <row r="28">
      <c r="A28" s="4" t="n">
        <v>37316</v>
      </c>
      <c r="B28" t="inlineStr">
        <is>
          <t>Mar-02</t>
        </is>
      </c>
      <c r="C28" t="n">
        <v>1.249</v>
      </c>
      <c r="D28" t="n">
        <v>40.9</v>
      </c>
      <c r="E28" t="n">
        <v>19.4</v>
      </c>
      <c r="F28" t="n">
        <v>6.1</v>
      </c>
      <c r="G28" t="n">
        <v>33.6</v>
      </c>
      <c r="H28">
        <f>C28*D28</f>
        <v/>
      </c>
      <c r="I28">
        <f>C28*E28</f>
        <v/>
      </c>
      <c r="J28">
        <f>C28*F28</f>
        <v/>
      </c>
      <c r="K28">
        <f>C28*G28</f>
        <v/>
      </c>
      <c r="L28">
        <f>D28+E28+F28+G28</f>
        <v/>
      </c>
    </row>
    <row r="29">
      <c r="A29" s="4" t="n">
        <v>37347</v>
      </c>
      <c r="B29" t="inlineStr">
        <is>
          <t>Apr-02</t>
        </is>
      </c>
      <c r="C29" t="n">
        <v>1.397</v>
      </c>
      <c r="D29" t="n">
        <v>41.4</v>
      </c>
      <c r="E29" t="n">
        <v>15.5</v>
      </c>
      <c r="F29" t="n">
        <v>13</v>
      </c>
      <c r="G29" t="n">
        <v>30.1</v>
      </c>
      <c r="H29">
        <f>C29*D29</f>
        <v/>
      </c>
      <c r="I29">
        <f>C29*E29</f>
        <v/>
      </c>
      <c r="J29">
        <f>C29*F29</f>
        <v/>
      </c>
      <c r="K29">
        <f>C29*G29</f>
        <v/>
      </c>
      <c r="L29">
        <f>D29+E29+F29+G29</f>
        <v/>
      </c>
    </row>
    <row r="30">
      <c r="A30" s="4" t="n">
        <v>37377</v>
      </c>
      <c r="B30" t="inlineStr">
        <is>
          <t>May-02</t>
        </is>
      </c>
      <c r="C30" t="n">
        <v>1.392</v>
      </c>
      <c r="D30" t="n">
        <v>43.7</v>
      </c>
      <c r="E30" t="n">
        <v>11.9</v>
      </c>
      <c r="F30" t="n">
        <v>14.2</v>
      </c>
      <c r="G30" t="n">
        <v>30.2</v>
      </c>
      <c r="H30">
        <f>C30*D30</f>
        <v/>
      </c>
      <c r="I30">
        <f>C30*E30</f>
        <v/>
      </c>
      <c r="J30">
        <f>C30*F30</f>
        <v/>
      </c>
      <c r="K30">
        <f>C30*G30</f>
        <v/>
      </c>
      <c r="L30">
        <f>D30+E30+F30+G30</f>
        <v/>
      </c>
    </row>
    <row r="31">
      <c r="A31" s="4" t="n">
        <v>37408</v>
      </c>
      <c r="B31" t="inlineStr">
        <is>
          <t>Jun-02</t>
        </is>
      </c>
      <c r="C31" t="n">
        <v>1.382</v>
      </c>
      <c r="D31" t="n">
        <v>41.6</v>
      </c>
      <c r="E31" t="n">
        <v>15</v>
      </c>
      <c r="F31" t="n">
        <v>13</v>
      </c>
      <c r="G31" t="n">
        <v>30.4</v>
      </c>
      <c r="H31">
        <f>C31*D31</f>
        <v/>
      </c>
      <c r="I31">
        <f>C31*E31</f>
        <v/>
      </c>
      <c r="J31">
        <f>C31*F31</f>
        <v/>
      </c>
      <c r="K31">
        <f>C31*G31</f>
        <v/>
      </c>
      <c r="L31">
        <f>D31+E31+F31+G31</f>
        <v/>
      </c>
    </row>
    <row r="32">
      <c r="A32" s="4" t="n">
        <v>37438</v>
      </c>
      <c r="B32" t="inlineStr">
        <is>
          <t>Jul-02</t>
        </is>
      </c>
      <c r="C32" t="n">
        <v>1.397</v>
      </c>
      <c r="D32" t="n">
        <v>42.3</v>
      </c>
      <c r="E32" t="n">
        <v>15</v>
      </c>
      <c r="F32" t="n">
        <v>12.6</v>
      </c>
      <c r="G32" t="n">
        <v>30.1</v>
      </c>
      <c r="H32">
        <f>C32*D32</f>
        <v/>
      </c>
      <c r="I32">
        <f>C32*E32</f>
        <v/>
      </c>
      <c r="J32">
        <f>C32*F32</f>
        <v/>
      </c>
      <c r="K32">
        <f>C32*G32</f>
        <v/>
      </c>
      <c r="L32">
        <f>D32+E32+F32+G32</f>
        <v/>
      </c>
    </row>
    <row r="33">
      <c r="A33" s="4" t="n">
        <v>37469</v>
      </c>
      <c r="B33" t="inlineStr">
        <is>
          <t>Aug-02</t>
        </is>
      </c>
      <c r="C33" t="n">
        <v>1.396</v>
      </c>
      <c r="D33" t="n">
        <v>45</v>
      </c>
      <c r="E33" t="n">
        <v>11.4</v>
      </c>
      <c r="F33" t="n">
        <v>13.4</v>
      </c>
      <c r="G33" t="n">
        <v>30</v>
      </c>
      <c r="H33">
        <f>C33*D33</f>
        <v/>
      </c>
      <c r="I33">
        <f>C33*E33</f>
        <v/>
      </c>
      <c r="J33">
        <f>C33*F33</f>
        <v/>
      </c>
      <c r="K33">
        <f>C33*G33</f>
        <v/>
      </c>
      <c r="L33">
        <f>D33+E33+F33+G33</f>
        <v/>
      </c>
    </row>
    <row r="34">
      <c r="A34" s="4" t="n">
        <v>37500</v>
      </c>
      <c r="B34" t="inlineStr">
        <is>
          <t>Sept-02</t>
        </is>
      </c>
      <c r="C34" t="n">
        <v>1.4</v>
      </c>
      <c r="D34" t="n">
        <v>46.7</v>
      </c>
      <c r="E34" t="n">
        <v>10.8</v>
      </c>
      <c r="F34" t="n">
        <v>12.6</v>
      </c>
      <c r="G34" t="n">
        <v>30</v>
      </c>
      <c r="H34">
        <f>C34*D34</f>
        <v/>
      </c>
      <c r="I34">
        <f>C34*E34</f>
        <v/>
      </c>
      <c r="J34">
        <f>C34*F34</f>
        <v/>
      </c>
      <c r="K34">
        <f>C34*G34</f>
        <v/>
      </c>
      <c r="L34">
        <f>D34+E34+F34+G34</f>
        <v/>
      </c>
    </row>
    <row r="35">
      <c r="A35" s="4" t="n">
        <v>37530</v>
      </c>
      <c r="B35" t="inlineStr">
        <is>
          <t>Oct-02</t>
        </is>
      </c>
      <c r="C35" t="n">
        <v>1.445</v>
      </c>
      <c r="D35" t="n">
        <v>45.3</v>
      </c>
      <c r="E35" t="n">
        <v>13.9</v>
      </c>
      <c r="F35" t="n">
        <v>11.7</v>
      </c>
      <c r="G35" t="n">
        <v>29.1</v>
      </c>
      <c r="H35">
        <f>C35*D35</f>
        <v/>
      </c>
      <c r="I35">
        <f>C35*E35</f>
        <v/>
      </c>
      <c r="J35">
        <f>C35*F35</f>
        <v/>
      </c>
      <c r="K35">
        <f>C35*G35</f>
        <v/>
      </c>
      <c r="L35">
        <f>D35+E35+F35+G35</f>
        <v/>
      </c>
    </row>
    <row r="36">
      <c r="A36" s="4" t="n">
        <v>37561</v>
      </c>
      <c r="B36" t="inlineStr">
        <is>
          <t>Nov-02</t>
        </is>
      </c>
      <c r="C36" t="n">
        <v>1.419</v>
      </c>
      <c r="D36" t="n">
        <v>41.3</v>
      </c>
      <c r="E36" t="n">
        <v>11.1</v>
      </c>
      <c r="F36" t="n">
        <v>18</v>
      </c>
      <c r="G36" t="n">
        <v>29.6</v>
      </c>
      <c r="H36">
        <f>C36*D36</f>
        <v/>
      </c>
      <c r="I36">
        <f>C36*E36</f>
        <v/>
      </c>
      <c r="J36">
        <f>C36*F36</f>
        <v/>
      </c>
      <c r="K36">
        <f>C36*G36</f>
        <v/>
      </c>
      <c r="L36">
        <f>D36+E36+F36+G36</f>
        <v/>
      </c>
    </row>
    <row r="37">
      <c r="A37" s="4" t="n">
        <v>37591</v>
      </c>
      <c r="B37" t="inlineStr">
        <is>
          <t>Dec-02</t>
        </is>
      </c>
      <c r="C37" t="n">
        <v>1.386</v>
      </c>
      <c r="D37" t="n">
        <v>45.7</v>
      </c>
      <c r="E37" t="n">
        <v>11.7</v>
      </c>
      <c r="F37" t="n">
        <v>12.3</v>
      </c>
      <c r="G37" t="n">
        <v>30.3</v>
      </c>
      <c r="H37">
        <f>C37*D37</f>
        <v/>
      </c>
      <c r="I37">
        <f>C37*E37</f>
        <v/>
      </c>
      <c r="J37">
        <f>C37*F37</f>
        <v/>
      </c>
      <c r="K37">
        <f>C37*G37</f>
        <v/>
      </c>
      <c r="L37">
        <f>D37+E37+F37+G37</f>
        <v/>
      </c>
    </row>
    <row r="38">
      <c r="A38" s="4" t="n">
        <v>37622</v>
      </c>
      <c r="B38" t="inlineStr">
        <is>
          <t>Jan-03</t>
        </is>
      </c>
      <c r="C38" t="n">
        <v>1.458</v>
      </c>
      <c r="D38" t="n">
        <v>49.4</v>
      </c>
      <c r="E38" t="n">
        <v>11.5</v>
      </c>
      <c r="F38" t="n">
        <v>10.3</v>
      </c>
      <c r="G38" t="n">
        <v>28.8</v>
      </c>
      <c r="H38">
        <f>C38*D38</f>
        <v/>
      </c>
      <c r="I38">
        <f>C38*E38</f>
        <v/>
      </c>
      <c r="J38">
        <f>C38*F38</f>
        <v/>
      </c>
      <c r="K38">
        <f>C38*G38</f>
        <v/>
      </c>
      <c r="L38">
        <f>D38+E38+F38+G38</f>
        <v/>
      </c>
    </row>
    <row r="39">
      <c r="A39" s="4" t="n">
        <v>37653</v>
      </c>
      <c r="B39" t="inlineStr">
        <is>
          <t>Feb-03</t>
        </is>
      </c>
      <c r="C39" t="n">
        <v>1.613</v>
      </c>
      <c r="D39" t="n">
        <v>49.5</v>
      </c>
      <c r="E39" t="n">
        <v>15</v>
      </c>
      <c r="F39" t="n">
        <v>9.5</v>
      </c>
      <c r="G39" t="n">
        <v>26</v>
      </c>
      <c r="H39">
        <f>C39*D39</f>
        <v/>
      </c>
      <c r="I39">
        <f>C39*E39</f>
        <v/>
      </c>
      <c r="J39">
        <f>C39*F39</f>
        <v/>
      </c>
      <c r="K39">
        <f>C39*G39</f>
        <v/>
      </c>
      <c r="L39">
        <f>D39+E39+F39+G39</f>
        <v/>
      </c>
    </row>
    <row r="40">
      <c r="A40" s="4" t="n">
        <v>37681</v>
      </c>
      <c r="B40" t="inlineStr">
        <is>
          <t>Mar-03</t>
        </is>
      </c>
      <c r="C40" t="n">
        <v>1.693</v>
      </c>
      <c r="D40" t="n">
        <v>45.5</v>
      </c>
      <c r="E40" t="n">
        <v>14.8</v>
      </c>
      <c r="F40" t="n">
        <v>14.8</v>
      </c>
      <c r="G40" t="n">
        <v>24.8</v>
      </c>
      <c r="H40">
        <f>C40*D40</f>
        <v/>
      </c>
      <c r="I40">
        <f>C40*E40</f>
        <v/>
      </c>
      <c r="J40">
        <f>C40*F40</f>
        <v/>
      </c>
      <c r="K40">
        <f>C40*G40</f>
        <v/>
      </c>
      <c r="L40">
        <f>D40+E40+F40+G40</f>
        <v/>
      </c>
    </row>
    <row r="41">
      <c r="A41" s="4" t="n">
        <v>37712</v>
      </c>
      <c r="B41" t="inlineStr">
        <is>
          <t>Apr-03</t>
        </is>
      </c>
      <c r="C41" t="n">
        <v>1.589</v>
      </c>
      <c r="D41" t="n">
        <v>40.5</v>
      </c>
      <c r="E41" t="n">
        <v>13.2</v>
      </c>
      <c r="F41" t="n">
        <v>19.8</v>
      </c>
      <c r="G41" t="n">
        <v>26.4</v>
      </c>
      <c r="H41">
        <f>C41*D41</f>
        <v/>
      </c>
      <c r="I41">
        <f>C41*E41</f>
        <v/>
      </c>
      <c r="J41">
        <f>C41*F41</f>
        <v/>
      </c>
      <c r="K41">
        <f>C41*G41</f>
        <v/>
      </c>
      <c r="L41">
        <f>D41+E41+F41+G41</f>
        <v/>
      </c>
    </row>
    <row r="42">
      <c r="A42" s="4" t="n">
        <v>37742</v>
      </c>
      <c r="B42" t="inlineStr">
        <is>
          <t>May-03</t>
        </is>
      </c>
      <c r="C42" t="n">
        <v>1.497</v>
      </c>
      <c r="D42" t="n">
        <v>40.4</v>
      </c>
      <c r="E42" t="n">
        <v>15.3</v>
      </c>
      <c r="F42" t="n">
        <v>16.3</v>
      </c>
      <c r="G42" t="n">
        <v>28.1</v>
      </c>
      <c r="H42">
        <f>C42*D42</f>
        <v/>
      </c>
      <c r="I42">
        <f>C42*E42</f>
        <v/>
      </c>
      <c r="J42">
        <f>C42*F42</f>
        <v/>
      </c>
      <c r="K42">
        <f>C42*G42</f>
        <v/>
      </c>
      <c r="L42">
        <f>D42+E42+F42+G42</f>
        <v/>
      </c>
    </row>
    <row r="43">
      <c r="A43" s="4" t="n">
        <v>37773</v>
      </c>
      <c r="B43" t="inlineStr">
        <is>
          <t>Jun-03</t>
        </is>
      </c>
      <c r="C43" t="n">
        <v>1.493</v>
      </c>
      <c r="D43" t="n">
        <v>44.5</v>
      </c>
      <c r="E43" t="n">
        <v>15.1</v>
      </c>
      <c r="F43" t="n">
        <v>12.3</v>
      </c>
      <c r="G43" t="n">
        <v>28.1</v>
      </c>
      <c r="H43">
        <f>C43*D43</f>
        <v/>
      </c>
      <c r="I43">
        <f>C43*E43</f>
        <v/>
      </c>
      <c r="J43">
        <f>C43*F43</f>
        <v/>
      </c>
      <c r="K43">
        <f>C43*G43</f>
        <v/>
      </c>
      <c r="L43">
        <f>D43+E43+F43+G43</f>
        <v/>
      </c>
    </row>
    <row r="44">
      <c r="A44" s="4" t="n">
        <v>37803</v>
      </c>
      <c r="B44" t="inlineStr">
        <is>
          <t>Jul-03</t>
        </is>
      </c>
      <c r="C44" t="n">
        <v>1.513</v>
      </c>
      <c r="D44" t="n">
        <v>44.9</v>
      </c>
      <c r="E44" t="n">
        <v>15.3</v>
      </c>
      <c r="F44" t="n">
        <v>11.9</v>
      </c>
      <c r="G44" t="n">
        <v>27.8</v>
      </c>
      <c r="H44">
        <f>C44*D44</f>
        <v/>
      </c>
      <c r="I44">
        <f>C44*E44</f>
        <v/>
      </c>
      <c r="J44">
        <f>C44*F44</f>
        <v/>
      </c>
      <c r="K44">
        <f>C44*G44</f>
        <v/>
      </c>
      <c r="L44">
        <f>D44+E44+F44+G44</f>
        <v/>
      </c>
    </row>
    <row r="45">
      <c r="A45" s="4" t="n">
        <v>37834</v>
      </c>
      <c r="B45" t="inlineStr">
        <is>
          <t>Aug-03</t>
        </is>
      </c>
      <c r="C45" t="n">
        <v>1.62</v>
      </c>
      <c r="D45" t="n">
        <v>43.3</v>
      </c>
      <c r="E45" t="n">
        <v>22.5</v>
      </c>
      <c r="F45" t="n">
        <v>8.199999999999999</v>
      </c>
      <c r="G45" t="n">
        <v>25.9</v>
      </c>
      <c r="H45">
        <f>C45*D45</f>
        <v/>
      </c>
      <c r="I45">
        <f>C45*E45</f>
        <v/>
      </c>
      <c r="J45">
        <f>C45*F45</f>
        <v/>
      </c>
      <c r="K45">
        <f>C45*G45</f>
        <v/>
      </c>
      <c r="L45">
        <f>D45+E45+F45+G45</f>
        <v/>
      </c>
    </row>
    <row r="46">
      <c r="A46" s="4" t="n">
        <v>37865</v>
      </c>
      <c r="B46" t="inlineStr">
        <is>
          <t>Sept-03</t>
        </is>
      </c>
      <c r="C46" t="n">
        <v>1.679</v>
      </c>
      <c r="D46" t="n">
        <v>38.3</v>
      </c>
      <c r="E46" t="n">
        <v>13.9</v>
      </c>
      <c r="F46" t="n">
        <v>22.7</v>
      </c>
      <c r="G46" t="n">
        <v>25</v>
      </c>
      <c r="H46">
        <f>C46*D46</f>
        <v/>
      </c>
      <c r="I46">
        <f>C46*E46</f>
        <v/>
      </c>
      <c r="J46">
        <f>C46*F46</f>
        <v/>
      </c>
      <c r="K46">
        <f>C46*G46</f>
        <v/>
      </c>
      <c r="L46">
        <f>D46+E46+F46+G46</f>
        <v/>
      </c>
    </row>
    <row r="47">
      <c r="A47" s="4" t="n">
        <v>37895</v>
      </c>
      <c r="B47" t="inlineStr">
        <is>
          <t>Oct-03</t>
        </is>
      </c>
      <c r="C47" t="n">
        <v>1.564</v>
      </c>
      <c r="D47" t="n">
        <v>42.2</v>
      </c>
      <c r="E47" t="n">
        <v>14.9</v>
      </c>
      <c r="F47" t="n">
        <v>16.1</v>
      </c>
      <c r="G47" t="n">
        <v>26.9</v>
      </c>
      <c r="H47">
        <f>C47*D47</f>
        <v/>
      </c>
      <c r="I47">
        <f>C47*E47</f>
        <v/>
      </c>
      <c r="J47">
        <f>C47*F47</f>
        <v/>
      </c>
      <c r="K47">
        <f>C47*G47</f>
        <v/>
      </c>
      <c r="L47">
        <f>D47+E47+F47+G47</f>
        <v/>
      </c>
    </row>
    <row r="48">
      <c r="A48" s="4" t="n">
        <v>37926</v>
      </c>
      <c r="B48" t="inlineStr">
        <is>
          <t>Nov-03</t>
        </is>
      </c>
      <c r="C48" t="n">
        <v>1.512</v>
      </c>
      <c r="D48" t="n">
        <v>45.2</v>
      </c>
      <c r="E48" t="n">
        <v>11.7</v>
      </c>
      <c r="F48" t="n">
        <v>15.3</v>
      </c>
      <c r="G48" t="n">
        <v>27.8</v>
      </c>
      <c r="H48">
        <f>C48*D48</f>
        <v/>
      </c>
      <c r="I48">
        <f>C48*E48</f>
        <v/>
      </c>
      <c r="J48">
        <f>C48*F48</f>
        <v/>
      </c>
      <c r="K48">
        <f>C48*G48</f>
        <v/>
      </c>
      <c r="L48">
        <f>D48+E48+F48+G48</f>
        <v/>
      </c>
    </row>
    <row r="49">
      <c r="A49" s="4" t="n">
        <v>37956</v>
      </c>
      <c r="B49" t="inlineStr">
        <is>
          <t>Dec-03</t>
        </is>
      </c>
      <c r="C49" t="n">
        <v>1.479</v>
      </c>
      <c r="D49" t="n">
        <v>47.5</v>
      </c>
      <c r="E49" t="n">
        <v>11.5</v>
      </c>
      <c r="F49" t="n">
        <v>12.6</v>
      </c>
      <c r="G49" t="n">
        <v>28.4</v>
      </c>
      <c r="H49">
        <f>C49*D49</f>
        <v/>
      </c>
      <c r="I49">
        <f>C49*E49</f>
        <v/>
      </c>
      <c r="J49">
        <f>C49*F49</f>
        <v/>
      </c>
      <c r="K49">
        <f>C49*G49</f>
        <v/>
      </c>
      <c r="L49">
        <f>D49+E49+F49+G49</f>
        <v/>
      </c>
    </row>
    <row r="50">
      <c r="A50" s="4" t="n">
        <v>37987</v>
      </c>
      <c r="B50" t="inlineStr">
        <is>
          <t>Jan-04</t>
        </is>
      </c>
      <c r="C50" t="n">
        <v>1.572</v>
      </c>
      <c r="D50" t="n">
        <v>47.5</v>
      </c>
      <c r="E50" t="n">
        <v>15.9</v>
      </c>
      <c r="F50" t="n">
        <v>9.9</v>
      </c>
      <c r="G50" t="n">
        <v>26.7</v>
      </c>
      <c r="H50">
        <f>C50*D50</f>
        <v/>
      </c>
      <c r="I50">
        <f>C50*E50</f>
        <v/>
      </c>
      <c r="J50">
        <f>C50*F50</f>
        <v/>
      </c>
      <c r="K50">
        <f>C50*G50</f>
        <v/>
      </c>
      <c r="L50">
        <f>D50+E50+F50+G50</f>
        <v/>
      </c>
    </row>
    <row r="51">
      <c r="A51" s="4" t="n">
        <v>38018</v>
      </c>
      <c r="B51" t="inlineStr">
        <is>
          <t>Feb-04</t>
        </is>
      </c>
      <c r="C51" t="n">
        <v>1.648</v>
      </c>
      <c r="D51" t="n">
        <v>46.2</v>
      </c>
      <c r="E51" t="n">
        <v>19.1</v>
      </c>
      <c r="F51" t="n">
        <v>9.199999999999999</v>
      </c>
      <c r="G51" t="n">
        <v>25.5</v>
      </c>
      <c r="H51">
        <f>C51*D51</f>
        <v/>
      </c>
      <c r="I51">
        <f>C51*E51</f>
        <v/>
      </c>
      <c r="J51">
        <f>C51*F51</f>
        <v/>
      </c>
      <c r="K51">
        <f>C51*G51</f>
        <v/>
      </c>
      <c r="L51">
        <f>D51+E51+F51+G51</f>
        <v/>
      </c>
    </row>
    <row r="52">
      <c r="A52" s="4" t="n">
        <v>38047</v>
      </c>
      <c r="B52" t="inlineStr">
        <is>
          <t>Mar-04</t>
        </is>
      </c>
      <c r="C52" t="n">
        <v>1.736</v>
      </c>
      <c r="D52" t="n">
        <v>45.5</v>
      </c>
      <c r="E52" t="n">
        <v>19</v>
      </c>
      <c r="F52" t="n">
        <v>11.3</v>
      </c>
      <c r="G52" t="n">
        <v>24.2</v>
      </c>
      <c r="H52">
        <f>C52*D52</f>
        <v/>
      </c>
      <c r="I52">
        <f>C52*E52</f>
        <v/>
      </c>
      <c r="J52">
        <f>C52*F52</f>
        <v/>
      </c>
      <c r="K52">
        <f>C52*G52</f>
        <v/>
      </c>
      <c r="L52">
        <f>D52+E52+F52+G52</f>
        <v/>
      </c>
    </row>
    <row r="53">
      <c r="A53" s="4" t="n">
        <v>38078</v>
      </c>
      <c r="B53" t="inlineStr">
        <is>
          <t>Apr-04</t>
        </is>
      </c>
      <c r="C53" t="n">
        <v>1.798</v>
      </c>
      <c r="D53" t="n">
        <v>44.6</v>
      </c>
      <c r="E53" t="n">
        <v>22</v>
      </c>
      <c r="F53" t="n">
        <v>9.9</v>
      </c>
      <c r="G53" t="n">
        <v>23.4</v>
      </c>
      <c r="H53">
        <f>C53*D53</f>
        <v/>
      </c>
      <c r="I53">
        <f>C53*E53</f>
        <v/>
      </c>
      <c r="J53">
        <f>C53*F53</f>
        <v/>
      </c>
      <c r="K53">
        <f>C53*G53</f>
        <v/>
      </c>
      <c r="L53">
        <f>D53+E53+F53+G53</f>
        <v/>
      </c>
    </row>
    <row r="54">
      <c r="A54" s="4" t="n">
        <v>38108</v>
      </c>
      <c r="B54" t="inlineStr">
        <is>
          <t>May-04</t>
        </is>
      </c>
      <c r="C54" t="n">
        <v>1.983</v>
      </c>
      <c r="D54" t="n">
        <v>40.4</v>
      </c>
      <c r="E54" t="n">
        <v>30.6</v>
      </c>
      <c r="F54" t="n">
        <v>7.8</v>
      </c>
      <c r="G54" t="n">
        <v>21.2</v>
      </c>
      <c r="H54">
        <f>C54*D54</f>
        <v/>
      </c>
      <c r="I54">
        <f>C54*E54</f>
        <v/>
      </c>
      <c r="J54">
        <f>C54*F54</f>
        <v/>
      </c>
      <c r="K54">
        <f>C54*G54</f>
        <v/>
      </c>
      <c r="L54">
        <f>D54+E54+F54+G54</f>
        <v/>
      </c>
    </row>
    <row r="55">
      <c r="A55" s="4" t="n">
        <v>38139</v>
      </c>
      <c r="B55" t="inlineStr">
        <is>
          <t>Jun-04</t>
        </is>
      </c>
      <c r="C55" t="n">
        <v>1.969</v>
      </c>
      <c r="D55" t="n">
        <v>40.7</v>
      </c>
      <c r="E55" t="n">
        <v>21.3</v>
      </c>
      <c r="F55" t="n">
        <v>16.7</v>
      </c>
      <c r="G55" t="n">
        <v>21.3</v>
      </c>
      <c r="H55">
        <f>C55*D55</f>
        <v/>
      </c>
      <c r="I55">
        <f>C55*E55</f>
        <v/>
      </c>
      <c r="J55">
        <f>C55*F55</f>
        <v/>
      </c>
      <c r="K55">
        <f>C55*G55</f>
        <v/>
      </c>
      <c r="L55">
        <f>D55+E55+F55+G55</f>
        <v/>
      </c>
    </row>
    <row r="56">
      <c r="A56" s="4" t="n">
        <v>38169</v>
      </c>
      <c r="B56" t="inlineStr">
        <is>
          <t>Jul-04</t>
        </is>
      </c>
      <c r="C56" t="n">
        <v>1.911</v>
      </c>
      <c r="D56" t="n">
        <v>45.8</v>
      </c>
      <c r="E56" t="n">
        <v>20.9</v>
      </c>
      <c r="F56" t="n">
        <v>11.3</v>
      </c>
      <c r="G56" t="n">
        <v>21.9</v>
      </c>
      <c r="H56">
        <f>C56*D56</f>
        <v/>
      </c>
      <c r="I56">
        <f>C56*E56</f>
        <v/>
      </c>
      <c r="J56">
        <f>C56*F56</f>
        <v/>
      </c>
      <c r="K56">
        <f>C56*G56</f>
        <v/>
      </c>
      <c r="L56">
        <f>D56+E56+F56+G56</f>
        <v/>
      </c>
    </row>
    <row r="57">
      <c r="A57" s="4" t="n">
        <v>38200</v>
      </c>
      <c r="B57" t="inlineStr">
        <is>
          <t>Aug-04</t>
        </is>
      </c>
      <c r="C57" t="n">
        <v>1.878</v>
      </c>
      <c r="D57" t="n">
        <v>51.5</v>
      </c>
      <c r="E57" t="n">
        <v>13.9</v>
      </c>
      <c r="F57" t="n">
        <v>12.2</v>
      </c>
      <c r="G57" t="n">
        <v>22.4</v>
      </c>
      <c r="H57">
        <f>C57*D57</f>
        <v/>
      </c>
      <c r="I57">
        <f>C57*E57</f>
        <v/>
      </c>
      <c r="J57">
        <f>C57*F57</f>
        <v/>
      </c>
      <c r="K57">
        <f>C57*G57</f>
        <v/>
      </c>
      <c r="L57">
        <f>D57+E57+F57+G57</f>
        <v/>
      </c>
    </row>
    <row r="58">
      <c r="A58" s="4" t="n">
        <v>38231</v>
      </c>
      <c r="B58" t="inlineStr">
        <is>
          <t>Sept-04</t>
        </is>
      </c>
      <c r="C58" t="n">
        <v>1.87</v>
      </c>
      <c r="D58" t="n">
        <v>53.6</v>
      </c>
      <c r="E58" t="n">
        <v>14.8</v>
      </c>
      <c r="F58" t="n">
        <v>9.1</v>
      </c>
      <c r="G58" t="n">
        <v>22.5</v>
      </c>
      <c r="H58">
        <f>C58*D58</f>
        <v/>
      </c>
      <c r="I58">
        <f>C58*E58</f>
        <v/>
      </c>
      <c r="J58">
        <f>C58*F58</f>
        <v/>
      </c>
      <c r="K58">
        <f>C58*G58</f>
        <v/>
      </c>
      <c r="L58">
        <f>D58+E58+F58+G58</f>
        <v/>
      </c>
    </row>
    <row r="59">
      <c r="A59" s="4" t="n">
        <v>38261</v>
      </c>
      <c r="B59" t="inlineStr">
        <is>
          <t>Oct-04</t>
        </is>
      </c>
      <c r="C59" t="n">
        <v>2</v>
      </c>
      <c r="D59" t="n">
        <v>56.7</v>
      </c>
      <c r="E59" t="n">
        <v>13</v>
      </c>
      <c r="F59" t="n">
        <v>9.300000000000001</v>
      </c>
      <c r="G59" t="n">
        <v>21</v>
      </c>
      <c r="H59">
        <f>C59*D59</f>
        <v/>
      </c>
      <c r="I59">
        <f>C59*E59</f>
        <v/>
      </c>
      <c r="J59">
        <f>C59*F59</f>
        <v/>
      </c>
      <c r="K59">
        <f>C59*G59</f>
        <v/>
      </c>
      <c r="L59">
        <f>D59+E59+F59+G59</f>
        <v/>
      </c>
    </row>
    <row r="60">
      <c r="A60" s="4" t="n">
        <v>38292</v>
      </c>
      <c r="B60" t="inlineStr">
        <is>
          <t>Nov-04</t>
        </is>
      </c>
      <c r="C60" t="n">
        <v>1.979</v>
      </c>
      <c r="D60" t="n">
        <v>53.6</v>
      </c>
      <c r="E60" t="n">
        <v>10.7</v>
      </c>
      <c r="F60" t="n">
        <v>14.6</v>
      </c>
      <c r="G60" t="n">
        <v>21.2</v>
      </c>
      <c r="H60">
        <f>C60*D60</f>
        <v/>
      </c>
      <c r="I60">
        <f>C60*E60</f>
        <v/>
      </c>
      <c r="J60">
        <f>C60*F60</f>
        <v/>
      </c>
      <c r="K60">
        <f>C60*G60</f>
        <v/>
      </c>
      <c r="L60">
        <f>D60+E60+F60+G60</f>
        <v/>
      </c>
    </row>
    <row r="61">
      <c r="A61" s="4" t="n">
        <v>38322</v>
      </c>
      <c r="B61" t="inlineStr">
        <is>
          <t>Dec-04</t>
        </is>
      </c>
      <c r="C61" t="n">
        <v>1.841</v>
      </c>
      <c r="D61" t="n">
        <v>49.1</v>
      </c>
      <c r="E61" t="n">
        <v>8.9</v>
      </c>
      <c r="F61" t="n">
        <v>18.1</v>
      </c>
      <c r="G61" t="n">
        <v>23.9</v>
      </c>
      <c r="H61">
        <f>C61*D61</f>
        <v/>
      </c>
      <c r="I61">
        <f>C61*E61</f>
        <v/>
      </c>
      <c r="J61">
        <f>C61*F61</f>
        <v/>
      </c>
      <c r="K61">
        <f>C61*G61</f>
        <v/>
      </c>
      <c r="L61">
        <f>D61+E61+F61+G61</f>
        <v/>
      </c>
    </row>
    <row r="62">
      <c r="A62" s="4" t="n">
        <v>38353</v>
      </c>
      <c r="B62" t="inlineStr">
        <is>
          <t>Jan-05</t>
        </is>
      </c>
      <c r="C62" t="n">
        <v>1.831</v>
      </c>
      <c r="D62" t="n">
        <v>50.9</v>
      </c>
      <c r="E62" t="n">
        <v>17.7</v>
      </c>
      <c r="F62" t="n">
        <v>7.3</v>
      </c>
      <c r="G62" t="n">
        <v>24</v>
      </c>
      <c r="H62">
        <f>C62*D62</f>
        <v/>
      </c>
      <c r="I62">
        <f>C62*E62</f>
        <v/>
      </c>
      <c r="J62">
        <f>C62*F62</f>
        <v/>
      </c>
      <c r="K62">
        <f>C62*G62</f>
        <v/>
      </c>
      <c r="L62">
        <f>D62+E62+F62+G62</f>
        <v/>
      </c>
    </row>
    <row r="63">
      <c r="A63" s="4" t="n">
        <v>38384</v>
      </c>
      <c r="B63" t="inlineStr">
        <is>
          <t>Feb-05</t>
        </is>
      </c>
      <c r="C63" t="n">
        <v>1.91</v>
      </c>
      <c r="D63" t="n">
        <v>51.6</v>
      </c>
      <c r="E63" t="n">
        <v>16.1</v>
      </c>
      <c r="F63" t="n">
        <v>9.300000000000001</v>
      </c>
      <c r="G63" t="n">
        <v>23</v>
      </c>
      <c r="H63">
        <f>C63*D63</f>
        <v/>
      </c>
      <c r="I63">
        <f>C63*E63</f>
        <v/>
      </c>
      <c r="J63">
        <f>C63*F63</f>
        <v/>
      </c>
      <c r="K63">
        <f>C63*G63</f>
        <v/>
      </c>
      <c r="L63">
        <f>D63+E63+F63+G63</f>
        <v/>
      </c>
    </row>
    <row r="64">
      <c r="A64" s="4" t="n">
        <v>38412</v>
      </c>
      <c r="B64" t="inlineStr">
        <is>
          <t>Mar-05</t>
        </is>
      </c>
      <c r="C64" t="n">
        <v>2.079</v>
      </c>
      <c r="D64" t="n">
        <v>53.4</v>
      </c>
      <c r="E64" t="n">
        <v>19.3</v>
      </c>
      <c r="F64" t="n">
        <v>6.2</v>
      </c>
      <c r="G64" t="n">
        <v>21.2</v>
      </c>
      <c r="H64">
        <f>C64*D64</f>
        <v/>
      </c>
      <c r="I64">
        <f>C64*E64</f>
        <v/>
      </c>
      <c r="J64">
        <f>C64*F64</f>
        <v/>
      </c>
      <c r="K64">
        <f>C64*G64</f>
        <v/>
      </c>
      <c r="L64">
        <f>D64+E64+F64+G64</f>
        <v/>
      </c>
    </row>
    <row r="65">
      <c r="A65" s="4" t="n">
        <v>38443</v>
      </c>
      <c r="B65" t="inlineStr">
        <is>
          <t>Apr-05</t>
        </is>
      </c>
      <c r="C65" t="n">
        <v>2.243</v>
      </c>
      <c r="D65" t="n">
        <v>49.8</v>
      </c>
      <c r="E65" t="n">
        <v>20.9</v>
      </c>
      <c r="F65" t="n">
        <v>9.6</v>
      </c>
      <c r="G65" t="n">
        <v>19.6</v>
      </c>
      <c r="H65">
        <f>C65*D65</f>
        <v/>
      </c>
      <c r="I65">
        <f>C65*E65</f>
        <v/>
      </c>
      <c r="J65">
        <f>C65*F65</f>
        <v/>
      </c>
      <c r="K65">
        <f>C65*G65</f>
        <v/>
      </c>
      <c r="L65">
        <f>D65+E65+F65+G65</f>
        <v/>
      </c>
    </row>
    <row r="66">
      <c r="A66" s="4" t="n">
        <v>38473</v>
      </c>
      <c r="B66" t="inlineStr">
        <is>
          <t>May-05</t>
        </is>
      </c>
      <c r="C66" t="n">
        <v>2.161</v>
      </c>
      <c r="D66" t="n">
        <v>49</v>
      </c>
      <c r="E66" t="n">
        <v>17.9</v>
      </c>
      <c r="F66" t="n">
        <v>12.8</v>
      </c>
      <c r="G66" t="n">
        <v>20.4</v>
      </c>
      <c r="H66">
        <f>C66*D66</f>
        <v/>
      </c>
      <c r="I66">
        <f>C66*E66</f>
        <v/>
      </c>
      <c r="J66">
        <f>C66*F66</f>
        <v/>
      </c>
      <c r="K66">
        <f>C66*G66</f>
        <v/>
      </c>
      <c r="L66">
        <f>D66+E66+F66+G66</f>
        <v/>
      </c>
    </row>
    <row r="67">
      <c r="A67" s="4" t="n">
        <v>38504</v>
      </c>
      <c r="B67" t="inlineStr">
        <is>
          <t>Jun-05</t>
        </is>
      </c>
      <c r="C67" t="n">
        <v>2.156</v>
      </c>
      <c r="D67" t="n">
        <v>54.2</v>
      </c>
      <c r="E67" t="n">
        <v>18.5</v>
      </c>
      <c r="F67" t="n">
        <v>6.9</v>
      </c>
      <c r="G67" t="n">
        <v>20.4</v>
      </c>
      <c r="H67">
        <f>C67*D67</f>
        <v/>
      </c>
      <c r="I67">
        <f>C67*E67</f>
        <v/>
      </c>
      <c r="J67">
        <f>C67*F67</f>
        <v/>
      </c>
      <c r="K67">
        <f>C67*G67</f>
        <v/>
      </c>
      <c r="L67">
        <f>D67+E67+F67+G67</f>
        <v/>
      </c>
    </row>
    <row r="68">
      <c r="A68" s="4" t="n">
        <v>38534</v>
      </c>
      <c r="B68" t="inlineStr">
        <is>
          <t>Jul-05</t>
        </is>
      </c>
      <c r="C68" t="n">
        <v>2.29</v>
      </c>
      <c r="D68" t="n">
        <v>54.9</v>
      </c>
      <c r="E68" t="n">
        <v>17.9</v>
      </c>
      <c r="F68" t="n">
        <v>8</v>
      </c>
      <c r="G68" t="n">
        <v>19.2</v>
      </c>
      <c r="H68">
        <f>C68*D68</f>
        <v/>
      </c>
      <c r="I68">
        <f>C68*E68</f>
        <v/>
      </c>
      <c r="J68">
        <f>C68*F68</f>
        <v/>
      </c>
      <c r="K68">
        <f>C68*G68</f>
        <v/>
      </c>
      <c r="L68">
        <f>D68+E68+F68+G68</f>
        <v/>
      </c>
    </row>
    <row r="69">
      <c r="A69" s="4" t="n">
        <v>38565</v>
      </c>
      <c r="B69" t="inlineStr">
        <is>
          <t>Aug-05</t>
        </is>
      </c>
      <c r="C69" t="n">
        <v>2.486</v>
      </c>
      <c r="D69" t="n">
        <v>55.9</v>
      </c>
      <c r="E69" t="n">
        <v>24.3</v>
      </c>
      <c r="F69" t="n">
        <v>2.1</v>
      </c>
      <c r="G69" t="n">
        <v>17.7</v>
      </c>
      <c r="H69">
        <f>C69*D69</f>
        <v/>
      </c>
      <c r="I69">
        <f>C69*E69</f>
        <v/>
      </c>
      <c r="J69">
        <f>C69*F69</f>
        <v/>
      </c>
      <c r="K69">
        <f>C69*G69</f>
        <v/>
      </c>
      <c r="L69">
        <f>D69+E69+F69+G69</f>
        <v/>
      </c>
    </row>
    <row r="70">
      <c r="A70" s="4" t="n">
        <v>38596</v>
      </c>
      <c r="B70" t="inlineStr">
        <is>
          <t>Sept-05</t>
        </is>
      </c>
      <c r="C70" t="n">
        <v>2.903</v>
      </c>
      <c r="D70" t="n">
        <v>50</v>
      </c>
      <c r="E70" t="n">
        <v>27.3</v>
      </c>
      <c r="F70" t="n">
        <v>7.5</v>
      </c>
      <c r="G70" t="n">
        <v>15.2</v>
      </c>
      <c r="H70">
        <f>C70*D70</f>
        <v/>
      </c>
      <c r="I70">
        <f>C70*E70</f>
        <v/>
      </c>
      <c r="J70">
        <f>C70*F70</f>
        <v/>
      </c>
      <c r="K70">
        <f>C70*G70</f>
        <v/>
      </c>
      <c r="L70">
        <f>D70+E70+F70+G70</f>
        <v/>
      </c>
    </row>
    <row r="71">
      <c r="A71" s="4" t="n">
        <v>38626</v>
      </c>
      <c r="B71" t="inlineStr">
        <is>
          <t>Oct-05</t>
        </is>
      </c>
      <c r="C71" t="n">
        <v>2.717</v>
      </c>
      <c r="D71" t="n">
        <v>50.9</v>
      </c>
      <c r="E71" t="n">
        <v>15.1</v>
      </c>
      <c r="F71" t="n">
        <v>17.8</v>
      </c>
      <c r="G71" t="n">
        <v>16.2</v>
      </c>
      <c r="H71">
        <f>C71*D71</f>
        <v/>
      </c>
      <c r="I71">
        <f>C71*E71</f>
        <v/>
      </c>
      <c r="J71">
        <f>C71*F71</f>
        <v/>
      </c>
      <c r="K71">
        <f>C71*G71</f>
        <v/>
      </c>
      <c r="L71">
        <f>D71+E71+F71+G71</f>
        <v/>
      </c>
    </row>
    <row r="72">
      <c r="A72" s="4" t="n">
        <v>38657</v>
      </c>
      <c r="B72" t="inlineStr">
        <is>
          <t>Nov-05</t>
        </is>
      </c>
      <c r="C72" t="n">
        <v>2.257</v>
      </c>
      <c r="D72" t="n">
        <v>57.1</v>
      </c>
      <c r="E72" t="n">
        <v>8.300000000000001</v>
      </c>
      <c r="F72" t="n">
        <v>13.1</v>
      </c>
      <c r="G72" t="n">
        <v>19.5</v>
      </c>
      <c r="H72">
        <f>C72*D72</f>
        <v/>
      </c>
      <c r="I72">
        <f>C72*E72</f>
        <v/>
      </c>
      <c r="J72">
        <f>C72*F72</f>
        <v/>
      </c>
      <c r="K72">
        <f>C72*G72</f>
        <v/>
      </c>
      <c r="L72">
        <f>D72+E72+F72+G72</f>
        <v/>
      </c>
    </row>
    <row r="73">
      <c r="A73" s="4" t="n">
        <v>38687</v>
      </c>
      <c r="B73" t="inlineStr">
        <is>
          <t>Dec-05</t>
        </is>
      </c>
      <c r="C73" t="n">
        <v>2.185</v>
      </c>
      <c r="D73" t="n">
        <v>58.4</v>
      </c>
      <c r="E73" t="n">
        <v>13.5</v>
      </c>
      <c r="F73" t="n">
        <v>7.9</v>
      </c>
      <c r="G73" t="n">
        <v>20.1</v>
      </c>
      <c r="H73">
        <f>C73*D73</f>
        <v/>
      </c>
      <c r="I73">
        <f>C73*E73</f>
        <v/>
      </c>
      <c r="J73">
        <f>C73*F73</f>
        <v/>
      </c>
      <c r="K73">
        <f>C73*G73</f>
        <v/>
      </c>
      <c r="L73">
        <f>D73+E73+F73+G73</f>
        <v/>
      </c>
    </row>
    <row r="74">
      <c r="A74" s="4" t="n">
        <v>38718</v>
      </c>
      <c r="B74" t="inlineStr">
        <is>
          <t>Jan-06</t>
        </is>
      </c>
      <c r="C74" t="n">
        <v>2.316</v>
      </c>
      <c r="D74" t="n">
        <v>60.1</v>
      </c>
      <c r="E74" t="n">
        <v>13.4</v>
      </c>
      <c r="F74" t="n">
        <v>6.6</v>
      </c>
      <c r="G74" t="n">
        <v>19.8</v>
      </c>
      <c r="H74">
        <f>C74*D74</f>
        <v/>
      </c>
      <c r="I74">
        <f>C74*E74</f>
        <v/>
      </c>
      <c r="J74">
        <f>C74*F74</f>
        <v/>
      </c>
      <c r="K74">
        <f>C74*G74</f>
        <v/>
      </c>
      <c r="L74">
        <f>D74+E74+F74+G74</f>
        <v/>
      </c>
    </row>
    <row r="75">
      <c r="A75" s="4" t="n">
        <v>38749</v>
      </c>
      <c r="B75" t="inlineStr">
        <is>
          <t>Feb-06</t>
        </is>
      </c>
      <c r="C75" t="n">
        <v>2.28</v>
      </c>
      <c r="D75" t="n">
        <v>58.6</v>
      </c>
      <c r="E75" t="n">
        <v>9.800000000000001</v>
      </c>
      <c r="F75" t="n">
        <v>11.4</v>
      </c>
      <c r="G75" t="n">
        <v>20.1</v>
      </c>
      <c r="H75">
        <f>C75*D75</f>
        <v/>
      </c>
      <c r="I75">
        <f>C75*E75</f>
        <v/>
      </c>
      <c r="J75">
        <f>C75*F75</f>
        <v/>
      </c>
      <c r="K75">
        <f>C75*G75</f>
        <v/>
      </c>
      <c r="L75">
        <f>D75+E75+F75+G75</f>
        <v/>
      </c>
    </row>
    <row r="76">
      <c r="A76" s="4" t="n">
        <v>38777</v>
      </c>
      <c r="B76" t="inlineStr">
        <is>
          <t>Mar-06</t>
        </is>
      </c>
      <c r="C76" t="n">
        <v>2.425</v>
      </c>
      <c r="D76" t="n">
        <v>54.8</v>
      </c>
      <c r="E76" t="n">
        <v>21.7</v>
      </c>
      <c r="F76" t="n">
        <v>4.5</v>
      </c>
      <c r="G76" t="n">
        <v>18.9</v>
      </c>
      <c r="H76">
        <f>C76*D76</f>
        <v/>
      </c>
      <c r="I76">
        <f>C76*E76</f>
        <v/>
      </c>
      <c r="J76">
        <f>C76*F76</f>
        <v/>
      </c>
      <c r="K76">
        <f>C76*G76</f>
        <v/>
      </c>
      <c r="L76">
        <f>D76+E76+F76+G76</f>
        <v/>
      </c>
    </row>
    <row r="77">
      <c r="A77" s="4" t="n">
        <v>38808</v>
      </c>
      <c r="B77" t="inlineStr">
        <is>
          <t>Apr-06</t>
        </is>
      </c>
      <c r="C77" t="n">
        <v>2.742</v>
      </c>
      <c r="D77" t="n">
        <v>54.2</v>
      </c>
      <c r="E77" t="n">
        <v>25.8</v>
      </c>
      <c r="F77" t="n">
        <v>3.1</v>
      </c>
      <c r="G77" t="n">
        <v>16.7</v>
      </c>
      <c r="H77">
        <f>C77*D77</f>
        <v/>
      </c>
      <c r="I77">
        <f>C77*E77</f>
        <v/>
      </c>
      <c r="J77">
        <f>C77*F77</f>
        <v/>
      </c>
      <c r="K77">
        <f>C77*G77</f>
        <v/>
      </c>
      <c r="L77">
        <f>D77+E77+F77+G77</f>
        <v/>
      </c>
    </row>
    <row r="78">
      <c r="A78" s="4" t="n">
        <v>38838</v>
      </c>
      <c r="B78" t="inlineStr">
        <is>
          <t>May-06</t>
        </is>
      </c>
      <c r="C78" t="n">
        <v>2.907</v>
      </c>
      <c r="D78" t="n">
        <v>53.4</v>
      </c>
      <c r="E78" t="n">
        <v>21.9</v>
      </c>
      <c r="F78" t="n">
        <v>8.800000000000001</v>
      </c>
      <c r="G78" t="n">
        <v>15.8</v>
      </c>
      <c r="H78">
        <f>C78*D78</f>
        <v/>
      </c>
      <c r="I78">
        <f>C78*E78</f>
        <v/>
      </c>
      <c r="J78">
        <f>C78*F78</f>
        <v/>
      </c>
      <c r="K78">
        <f>C78*G78</f>
        <v/>
      </c>
      <c r="L78">
        <f>D78+E78+F78+G78</f>
        <v/>
      </c>
    </row>
    <row r="79">
      <c r="A79" s="4" t="n">
        <v>38869</v>
      </c>
      <c r="B79" t="inlineStr">
        <is>
          <t>Jun-06</t>
        </is>
      </c>
      <c r="C79" t="n">
        <v>2.885</v>
      </c>
      <c r="D79" t="n">
        <v>54.1</v>
      </c>
      <c r="E79" t="n">
        <v>22</v>
      </c>
      <c r="F79" t="n">
        <v>7.9</v>
      </c>
      <c r="G79" t="n">
        <v>15.9</v>
      </c>
      <c r="H79">
        <f>C79*D79</f>
        <v/>
      </c>
      <c r="I79">
        <f>C79*E79</f>
        <v/>
      </c>
      <c r="J79">
        <f>C79*F79</f>
        <v/>
      </c>
      <c r="K79">
        <f>C79*G79</f>
        <v/>
      </c>
      <c r="L79">
        <f>D79+E79+F79+G79</f>
        <v/>
      </c>
    </row>
    <row r="80">
      <c r="A80" s="4" t="n">
        <v>38899</v>
      </c>
      <c r="B80" t="inlineStr">
        <is>
          <t>Jul-06</t>
        </is>
      </c>
      <c r="C80" t="n">
        <v>2.981</v>
      </c>
      <c r="D80" t="n">
        <v>52</v>
      </c>
      <c r="E80" t="n">
        <v>26.3</v>
      </c>
      <c r="F80" t="n">
        <v>6.3</v>
      </c>
      <c r="G80" t="n">
        <v>15.4</v>
      </c>
      <c r="H80">
        <f>C80*D80</f>
        <v/>
      </c>
      <c r="I80">
        <f>C80*E80</f>
        <v/>
      </c>
      <c r="J80">
        <f>C80*F80</f>
        <v/>
      </c>
      <c r="K80">
        <f>C80*G80</f>
        <v/>
      </c>
      <c r="L80">
        <f>D80+E80+F80+G80</f>
        <v/>
      </c>
    </row>
    <row r="81">
      <c r="A81" s="4" t="n">
        <v>38930</v>
      </c>
      <c r="B81" t="inlineStr">
        <is>
          <t>Aug-06</t>
        </is>
      </c>
      <c r="C81" t="n">
        <v>2.952</v>
      </c>
      <c r="D81" t="n">
        <v>55.4</v>
      </c>
      <c r="E81" t="n">
        <v>15.2</v>
      </c>
      <c r="F81" t="n">
        <v>13.5</v>
      </c>
      <c r="G81" t="n">
        <v>15.9</v>
      </c>
      <c r="H81">
        <f>C81*D81</f>
        <v/>
      </c>
      <c r="I81">
        <f>C81*E81</f>
        <v/>
      </c>
      <c r="J81">
        <f>C81*F81</f>
        <v/>
      </c>
      <c r="K81">
        <f>C81*G81</f>
        <v/>
      </c>
      <c r="L81">
        <f>D81+E81+F81+G81</f>
        <v/>
      </c>
    </row>
    <row r="82">
      <c r="A82" s="4" t="n">
        <v>38961</v>
      </c>
      <c r="B82" t="inlineStr">
        <is>
          <t>Sept-06</t>
        </is>
      </c>
      <c r="C82" t="n">
        <v>2.555</v>
      </c>
      <c r="D82" t="n">
        <v>56.7</v>
      </c>
      <c r="E82" t="n">
        <v>6.3</v>
      </c>
      <c r="F82" t="n">
        <v>18.8</v>
      </c>
      <c r="G82" t="n">
        <v>18.3</v>
      </c>
      <c r="H82">
        <f>C82*D82</f>
        <v/>
      </c>
      <c r="I82">
        <f>C82*E82</f>
        <v/>
      </c>
      <c r="J82">
        <f>C82*F82</f>
        <v/>
      </c>
      <c r="K82">
        <f>C82*G82</f>
        <v/>
      </c>
      <c r="L82">
        <f>D82+E82+F82+G82</f>
        <v/>
      </c>
    </row>
    <row r="83">
      <c r="A83" s="4" t="n">
        <v>38991</v>
      </c>
      <c r="B83" t="inlineStr">
        <is>
          <t>Oct-06</t>
        </is>
      </c>
      <c r="C83" t="n">
        <v>2.245</v>
      </c>
      <c r="D83" t="n">
        <v>57.7</v>
      </c>
      <c r="E83" t="n">
        <v>10.9</v>
      </c>
      <c r="F83" t="n">
        <v>10.6</v>
      </c>
      <c r="G83" t="n">
        <v>20.8</v>
      </c>
      <c r="H83">
        <f>C83*D83</f>
        <v/>
      </c>
      <c r="I83">
        <f>C83*E83</f>
        <v/>
      </c>
      <c r="J83">
        <f>C83*F83</f>
        <v/>
      </c>
      <c r="K83">
        <f>C83*G83</f>
        <v/>
      </c>
      <c r="L83">
        <f>D83+E83+F83+G83</f>
        <v/>
      </c>
    </row>
    <row r="84">
      <c r="A84" s="4" t="n">
        <v>39022</v>
      </c>
      <c r="B84" t="inlineStr">
        <is>
          <t>Nov-06</t>
        </is>
      </c>
      <c r="C84" t="n">
        <v>2.229</v>
      </c>
      <c r="D84" t="n">
        <v>57.5</v>
      </c>
      <c r="E84" t="n">
        <v>14.6</v>
      </c>
      <c r="F84" t="n">
        <v>7.5</v>
      </c>
      <c r="G84" t="n">
        <v>20.4</v>
      </c>
      <c r="H84">
        <f>C84*D84</f>
        <v/>
      </c>
      <c r="I84">
        <f>C84*E84</f>
        <v/>
      </c>
      <c r="J84">
        <f>C84*F84</f>
        <v/>
      </c>
      <c r="K84">
        <f>C84*G84</f>
        <v/>
      </c>
      <c r="L84">
        <f>D84+E84+F84+G84</f>
        <v/>
      </c>
    </row>
    <row r="85">
      <c r="A85" s="4" t="n">
        <v>39052</v>
      </c>
      <c r="B85" t="inlineStr">
        <is>
          <t>Dec-06</t>
        </is>
      </c>
      <c r="C85" t="n">
        <v>2.313</v>
      </c>
      <c r="D85" t="n">
        <v>58</v>
      </c>
      <c r="E85" t="n">
        <v>12.9</v>
      </c>
      <c r="F85" t="n">
        <v>9.4</v>
      </c>
      <c r="G85" t="n">
        <v>19.7</v>
      </c>
      <c r="H85">
        <f>C85*D85</f>
        <v/>
      </c>
      <c r="I85">
        <f>C85*E85</f>
        <v/>
      </c>
      <c r="J85">
        <f>C85*F85</f>
        <v/>
      </c>
      <c r="K85">
        <f>C85*G85</f>
        <v/>
      </c>
      <c r="L85">
        <f>D85+E85+F85+G85</f>
        <v/>
      </c>
    </row>
    <row r="86">
      <c r="A86" s="4" t="n">
        <v>39083</v>
      </c>
      <c r="B86" t="inlineStr">
        <is>
          <t>Jan-07</t>
        </is>
      </c>
      <c r="C86" t="n">
        <v>2.24</v>
      </c>
      <c r="D86" t="n">
        <v>53.9</v>
      </c>
      <c r="E86" t="n">
        <v>10.6</v>
      </c>
      <c r="F86" t="n">
        <v>15.2</v>
      </c>
      <c r="G86" t="n">
        <v>20.3</v>
      </c>
      <c r="H86">
        <f>C86*D86</f>
        <v/>
      </c>
      <c r="I86">
        <f>C86*E86</f>
        <v/>
      </c>
      <c r="J86">
        <f>C86*F86</f>
        <v/>
      </c>
      <c r="K86">
        <f>C86*G86</f>
        <v/>
      </c>
      <c r="L86">
        <f>D86+E86+F86+G86</f>
        <v/>
      </c>
    </row>
    <row r="87">
      <c r="A87" s="4" t="n">
        <v>39114</v>
      </c>
      <c r="B87" t="inlineStr">
        <is>
          <t>Feb-07</t>
        </is>
      </c>
      <c r="C87" t="n">
        <v>2.278</v>
      </c>
      <c r="D87" t="n">
        <v>56.3</v>
      </c>
      <c r="E87" t="n">
        <v>18</v>
      </c>
      <c r="F87" t="n">
        <v>5.8</v>
      </c>
      <c r="G87" t="n">
        <v>20</v>
      </c>
      <c r="H87">
        <f>C87*D87</f>
        <v/>
      </c>
      <c r="I87">
        <f>C87*E87</f>
        <v/>
      </c>
      <c r="J87">
        <f>C87*F87</f>
        <v/>
      </c>
      <c r="K87">
        <f>C87*G87</f>
        <v/>
      </c>
      <c r="L87">
        <f>D87+E87+F87+G87</f>
        <v/>
      </c>
    </row>
    <row r="88">
      <c r="A88" s="4" t="n">
        <v>39142</v>
      </c>
      <c r="B88" t="inlineStr">
        <is>
          <t>Mar-07</t>
        </is>
      </c>
      <c r="C88" t="n">
        <v>2.563</v>
      </c>
      <c r="D88" t="n">
        <v>52.3</v>
      </c>
      <c r="E88" t="n">
        <v>23.6</v>
      </c>
      <c r="F88" t="n">
        <v>8.5</v>
      </c>
      <c r="G88" t="n">
        <v>15.5</v>
      </c>
      <c r="H88">
        <f>C88*D88</f>
        <v/>
      </c>
      <c r="I88">
        <f>C88*E88</f>
        <v/>
      </c>
      <c r="J88">
        <f>C88*F88</f>
        <v/>
      </c>
      <c r="K88">
        <f>C88*G88</f>
        <v/>
      </c>
      <c r="L88">
        <f>D88+E88+F88+G88</f>
        <v/>
      </c>
    </row>
    <row r="89">
      <c r="A89" s="4" t="n">
        <v>39173</v>
      </c>
      <c r="B89" t="inlineStr">
        <is>
          <t>Apr-07</t>
        </is>
      </c>
      <c r="C89" t="n">
        <v>2.845</v>
      </c>
      <c r="D89" t="n">
        <v>50.3</v>
      </c>
      <c r="E89" t="n">
        <v>28.1</v>
      </c>
      <c r="F89" t="n">
        <v>7.6</v>
      </c>
      <c r="G89" t="n">
        <v>14</v>
      </c>
      <c r="H89">
        <f>C89*D89</f>
        <v/>
      </c>
      <c r="I89">
        <f>C89*E89</f>
        <v/>
      </c>
      <c r="J89">
        <f>C89*F89</f>
        <v/>
      </c>
      <c r="K89">
        <f>C89*G89</f>
        <v/>
      </c>
      <c r="L89">
        <f>D89+E89+F89+G89</f>
        <v/>
      </c>
    </row>
    <row r="90">
      <c r="A90" s="4" t="n">
        <v>39203</v>
      </c>
      <c r="B90" t="inlineStr">
        <is>
          <t>May-07</t>
        </is>
      </c>
      <c r="C90" t="n">
        <v>3.146</v>
      </c>
      <c r="D90" t="n">
        <v>46.1</v>
      </c>
      <c r="E90" t="n">
        <v>27.9</v>
      </c>
      <c r="F90" t="n">
        <v>13.3</v>
      </c>
      <c r="G90" t="n">
        <v>12.7</v>
      </c>
      <c r="H90">
        <f>C90*D90</f>
        <v/>
      </c>
      <c r="I90">
        <f>C90*E90</f>
        <v/>
      </c>
      <c r="J90">
        <f>C90*F90</f>
        <v/>
      </c>
      <c r="K90">
        <f>C90*G90</f>
        <v/>
      </c>
      <c r="L90">
        <f>D90+E90+F90+G90</f>
        <v/>
      </c>
    </row>
    <row r="91">
      <c r="A91" s="4" t="n">
        <v>39234</v>
      </c>
      <c r="B91" t="inlineStr">
        <is>
          <t>Jun-07</t>
        </is>
      </c>
      <c r="C91" t="n">
        <v>3.056</v>
      </c>
      <c r="D91" t="n">
        <v>50.5</v>
      </c>
      <c r="E91" t="n">
        <v>22.7</v>
      </c>
      <c r="F91" t="n">
        <v>13.7</v>
      </c>
      <c r="G91" t="n">
        <v>13</v>
      </c>
      <c r="H91">
        <f>C91*D91</f>
        <v/>
      </c>
      <c r="I91">
        <f>C91*E91</f>
        <v/>
      </c>
      <c r="J91">
        <f>C91*F91</f>
        <v/>
      </c>
      <c r="K91">
        <f>C91*G91</f>
        <v/>
      </c>
      <c r="L91">
        <f>D91+E91+F91+G91</f>
        <v/>
      </c>
    </row>
    <row r="92">
      <c r="A92" s="4" t="n">
        <v>39264</v>
      </c>
      <c r="B92" t="inlineStr">
        <is>
          <t>Jul-07</t>
        </is>
      </c>
      <c r="C92" t="n">
        <v>2.965</v>
      </c>
      <c r="D92" t="n">
        <v>56.8</v>
      </c>
      <c r="E92" t="n">
        <v>18.4</v>
      </c>
      <c r="F92" t="n">
        <v>11.4</v>
      </c>
      <c r="G92" t="n">
        <v>13.4</v>
      </c>
      <c r="H92">
        <f>C92*D92</f>
        <v/>
      </c>
      <c r="I92">
        <f>C92*E92</f>
        <v/>
      </c>
      <c r="J92">
        <f>C92*F92</f>
        <v/>
      </c>
      <c r="K92">
        <f>C92*G92</f>
        <v/>
      </c>
      <c r="L92">
        <f>D92+E92+F92+G92</f>
        <v/>
      </c>
    </row>
    <row r="93">
      <c r="A93" s="4" t="n">
        <v>39295</v>
      </c>
      <c r="B93" t="inlineStr">
        <is>
          <t>Aug-07</t>
        </is>
      </c>
      <c r="C93" t="n">
        <v>2.786</v>
      </c>
      <c r="D93" t="n">
        <v>60.4</v>
      </c>
      <c r="E93" t="n">
        <v>13.5</v>
      </c>
      <c r="F93" t="n">
        <v>11.8</v>
      </c>
      <c r="G93" t="n">
        <v>14.3</v>
      </c>
      <c r="H93">
        <f>C93*D93</f>
        <v/>
      </c>
      <c r="I93">
        <f>C93*E93</f>
        <v/>
      </c>
      <c r="J93">
        <f>C93*F93</f>
        <v/>
      </c>
      <c r="K93">
        <f>C93*G93</f>
        <v/>
      </c>
      <c r="L93">
        <f>D93+E93+F93+G93</f>
        <v/>
      </c>
    </row>
    <row r="94">
      <c r="A94" s="4" t="n">
        <v>39326</v>
      </c>
      <c r="B94" t="inlineStr">
        <is>
          <t>Sept-07</t>
        </is>
      </c>
      <c r="C94" t="n">
        <v>2.803</v>
      </c>
      <c r="D94" t="n">
        <v>64.3</v>
      </c>
      <c r="E94" t="n">
        <v>12.8</v>
      </c>
      <c r="F94" t="n">
        <v>8.6</v>
      </c>
      <c r="G94" t="n">
        <v>14.2</v>
      </c>
      <c r="H94">
        <f>C94*D94</f>
        <v/>
      </c>
      <c r="I94">
        <f>C94*E94</f>
        <v/>
      </c>
      <c r="J94">
        <f>C94*F94</f>
        <v/>
      </c>
      <c r="K94">
        <f>C94*G94</f>
        <v/>
      </c>
      <c r="L94">
        <f>D94+E94+F94+G94</f>
        <v/>
      </c>
    </row>
    <row r="95">
      <c r="A95" s="4" t="n">
        <v>39356</v>
      </c>
      <c r="B95" t="inlineStr">
        <is>
          <t>Oct-07</t>
        </is>
      </c>
      <c r="C95" t="n">
        <v>2.803</v>
      </c>
      <c r="D95" t="n">
        <v>67.59999999999999</v>
      </c>
      <c r="E95" t="n">
        <v>10.1</v>
      </c>
      <c r="F95" t="n">
        <v>8.1</v>
      </c>
      <c r="G95" t="n">
        <v>14.2</v>
      </c>
      <c r="H95">
        <f>C95*D95</f>
        <v/>
      </c>
      <c r="I95">
        <f>C95*E95</f>
        <v/>
      </c>
      <c r="J95">
        <f>C95*F95</f>
        <v/>
      </c>
      <c r="K95">
        <f>C95*G95</f>
        <v/>
      </c>
      <c r="L95">
        <f>D95+E95+F95+G95</f>
        <v/>
      </c>
    </row>
    <row r="96">
      <c r="A96" s="4" t="n">
        <v>39387</v>
      </c>
      <c r="B96" t="inlineStr">
        <is>
          <t>Nov-07</t>
        </is>
      </c>
      <c r="C96" t="n">
        <v>3.08</v>
      </c>
      <c r="D96" t="n">
        <v>68.3</v>
      </c>
      <c r="E96" t="n">
        <v>10</v>
      </c>
      <c r="F96" t="n">
        <v>8.699999999999999</v>
      </c>
      <c r="G96" t="n">
        <v>13</v>
      </c>
      <c r="H96">
        <f>C96*D96</f>
        <v/>
      </c>
      <c r="I96">
        <f>C96*E96</f>
        <v/>
      </c>
      <c r="J96">
        <f>C96*F96</f>
        <v/>
      </c>
      <c r="K96">
        <f>C96*G96</f>
        <v/>
      </c>
      <c r="L96">
        <f>D96+E96+F96+G96</f>
        <v/>
      </c>
    </row>
    <row r="97">
      <c r="A97" s="4" t="n">
        <v>39417</v>
      </c>
      <c r="B97" t="inlineStr">
        <is>
          <t>Dec-07</t>
        </is>
      </c>
      <c r="C97" t="n">
        <v>3.018</v>
      </c>
      <c r="D97" t="n">
        <v>68.09999999999999</v>
      </c>
      <c r="E97" t="n">
        <v>8.1</v>
      </c>
      <c r="F97" t="n">
        <v>10.5</v>
      </c>
      <c r="G97" t="n">
        <v>13.2</v>
      </c>
      <c r="H97">
        <f>C97*D97</f>
        <v/>
      </c>
      <c r="I97">
        <f>C97*E97</f>
        <v/>
      </c>
      <c r="J97">
        <f>C97*F97</f>
        <v/>
      </c>
      <c r="K97">
        <f>C97*G97</f>
        <v/>
      </c>
      <c r="L97">
        <f>D97+E97+F97+G97</f>
        <v/>
      </c>
    </row>
    <row r="98">
      <c r="A98" s="4" t="n">
        <v>39448</v>
      </c>
      <c r="B98" t="inlineStr">
        <is>
          <t>Jan-08</t>
        </is>
      </c>
      <c r="C98" t="n">
        <v>3.043</v>
      </c>
      <c r="D98" t="n">
        <v>67.90000000000001</v>
      </c>
      <c r="E98" t="n">
        <v>7.8</v>
      </c>
      <c r="F98" t="n">
        <v>11.1</v>
      </c>
      <c r="G98" t="n">
        <v>13.1</v>
      </c>
      <c r="H98">
        <f>C98*D98</f>
        <v/>
      </c>
      <c r="I98">
        <f>C98*E98</f>
        <v/>
      </c>
      <c r="J98">
        <f>C98*F98</f>
        <v/>
      </c>
      <c r="K98">
        <f>C98*G98</f>
        <v/>
      </c>
      <c r="L98">
        <f>D98+E98+F98+G98</f>
        <v/>
      </c>
    </row>
    <row r="99">
      <c r="A99" s="4" t="n">
        <v>39479</v>
      </c>
      <c r="B99" t="inlineStr">
        <is>
          <t>Feb-08</t>
        </is>
      </c>
      <c r="C99" t="n">
        <v>3.028</v>
      </c>
      <c r="D99" t="n">
        <v>69.7</v>
      </c>
      <c r="E99" t="n">
        <v>9.9</v>
      </c>
      <c r="F99" t="n">
        <v>7.2</v>
      </c>
      <c r="G99" t="n">
        <v>13.2</v>
      </c>
      <c r="H99">
        <f>C99*D99</f>
        <v/>
      </c>
      <c r="I99">
        <f>C99*E99</f>
        <v/>
      </c>
      <c r="J99">
        <f>C99*F99</f>
        <v/>
      </c>
      <c r="K99">
        <f>C99*G99</f>
        <v/>
      </c>
      <c r="L99">
        <f>D99+E99+F99+G99</f>
        <v/>
      </c>
    </row>
    <row r="100">
      <c r="A100" s="4" t="n">
        <v>39508</v>
      </c>
      <c r="B100" t="inlineStr">
        <is>
          <t>Mar-08</t>
        </is>
      </c>
      <c r="C100" t="n">
        <v>3.244</v>
      </c>
      <c r="D100" t="n">
        <v>71.8</v>
      </c>
      <c r="E100" t="n">
        <v>8</v>
      </c>
      <c r="F100" t="n">
        <v>7.9</v>
      </c>
      <c r="G100" t="n">
        <v>12.3</v>
      </c>
      <c r="H100">
        <f>C100*D100</f>
        <v/>
      </c>
      <c r="I100">
        <f>C100*E100</f>
        <v/>
      </c>
      <c r="J100">
        <f>C100*F100</f>
        <v/>
      </c>
      <c r="K100">
        <f>C100*G100</f>
        <v/>
      </c>
      <c r="L100">
        <f>D100+E100+F100+G100</f>
        <v/>
      </c>
    </row>
    <row r="101">
      <c r="A101" s="4" t="n">
        <v>39539</v>
      </c>
      <c r="B101" t="inlineStr">
        <is>
          <t>Apr-08</t>
        </is>
      </c>
      <c r="C101" t="n">
        <v>3.458</v>
      </c>
      <c r="D101" t="n">
        <v>72.7</v>
      </c>
      <c r="E101" t="n">
        <v>10</v>
      </c>
      <c r="F101" t="n">
        <v>5.8</v>
      </c>
      <c r="G101" t="n">
        <v>11.5</v>
      </c>
      <c r="H101">
        <f>C101*D101</f>
        <v/>
      </c>
      <c r="I101">
        <f>C101*E101</f>
        <v/>
      </c>
      <c r="J101">
        <f>C101*F101</f>
        <v/>
      </c>
      <c r="K101">
        <f>C101*G101</f>
        <v/>
      </c>
      <c r="L101">
        <f>D101+E101+F101+G101</f>
        <v/>
      </c>
    </row>
    <row r="102">
      <c r="A102" s="4" t="n">
        <v>39569</v>
      </c>
      <c r="B102" t="inlineStr">
        <is>
          <t>May-08</t>
        </is>
      </c>
      <c r="C102" t="n">
        <v>3.766</v>
      </c>
      <c r="D102" t="n">
        <v>74.7</v>
      </c>
      <c r="E102" t="n">
        <v>10</v>
      </c>
      <c r="F102" t="n">
        <v>4.7</v>
      </c>
      <c r="G102" t="n">
        <v>10.6</v>
      </c>
      <c r="H102">
        <f>C102*D102</f>
        <v/>
      </c>
      <c r="I102">
        <f>C102*E102</f>
        <v/>
      </c>
      <c r="J102">
        <f>C102*F102</f>
        <v/>
      </c>
      <c r="K102">
        <f>C102*G102</f>
        <v/>
      </c>
      <c r="L102">
        <f>D102+E102+F102+G102</f>
        <v/>
      </c>
    </row>
    <row r="103">
      <c r="A103" s="4" t="n">
        <v>39600</v>
      </c>
      <c r="B103" t="inlineStr">
        <is>
          <t>Jun-08</t>
        </is>
      </c>
      <c r="C103" t="n">
        <v>4.054</v>
      </c>
      <c r="D103" t="n">
        <v>74.8</v>
      </c>
      <c r="E103" t="n">
        <v>8.5</v>
      </c>
      <c r="F103" t="n">
        <v>6.8</v>
      </c>
      <c r="G103" t="n">
        <v>9.800000000000001</v>
      </c>
      <c r="H103">
        <f>C103*D103</f>
        <v/>
      </c>
      <c r="I103">
        <f>C103*E103</f>
        <v/>
      </c>
      <c r="J103">
        <f>C103*F103</f>
        <v/>
      </c>
      <c r="K103">
        <f>C103*G103</f>
        <v/>
      </c>
      <c r="L103">
        <f>D103+E103+F103+G103</f>
        <v/>
      </c>
    </row>
    <row r="104">
      <c r="A104" s="4" t="n">
        <v>39630</v>
      </c>
      <c r="B104" t="inlineStr">
        <is>
          <t>Jul-08</t>
        </is>
      </c>
      <c r="C104" t="n">
        <v>4.062</v>
      </c>
      <c r="D104" t="n">
        <v>75.8</v>
      </c>
      <c r="E104" t="n">
        <v>3.2</v>
      </c>
      <c r="F104" t="n">
        <v>11.2</v>
      </c>
      <c r="G104" t="n">
        <v>9.800000000000001</v>
      </c>
      <c r="H104">
        <f>C104*D104</f>
        <v/>
      </c>
      <c r="I104">
        <f>C104*E104</f>
        <v/>
      </c>
      <c r="J104">
        <f>C104*F104</f>
        <v/>
      </c>
      <c r="K104">
        <f>C104*G104</f>
        <v/>
      </c>
      <c r="L104">
        <f>D104+E104+F104+G104</f>
        <v/>
      </c>
    </row>
    <row r="105">
      <c r="A105" s="4" t="n">
        <v>39661</v>
      </c>
      <c r="B105" t="inlineStr">
        <is>
          <t>Aug-08</t>
        </is>
      </c>
      <c r="C105" t="n">
        <v>3.779</v>
      </c>
      <c r="D105" t="n">
        <v>73.09999999999999</v>
      </c>
      <c r="E105" t="n">
        <v>6.1</v>
      </c>
      <c r="F105" t="n">
        <v>10.2</v>
      </c>
      <c r="G105" t="n">
        <v>10.6</v>
      </c>
      <c r="H105">
        <f>C105*D105</f>
        <v/>
      </c>
      <c r="I105">
        <f>C105*E105</f>
        <v/>
      </c>
      <c r="J105">
        <f>C105*F105</f>
        <v/>
      </c>
      <c r="K105">
        <f>C105*G105</f>
        <v/>
      </c>
      <c r="L105">
        <f>D105+E105+F105+G105</f>
        <v/>
      </c>
    </row>
    <row r="106">
      <c r="A106" s="4" t="n">
        <v>39692</v>
      </c>
      <c r="B106" t="inlineStr">
        <is>
          <t>Sept-08</t>
        </is>
      </c>
      <c r="C106" t="n">
        <v>3.703</v>
      </c>
      <c r="D106" t="n">
        <v>66.8</v>
      </c>
      <c r="E106" t="n">
        <v>14.2</v>
      </c>
      <c r="F106" t="n">
        <v>8.199999999999999</v>
      </c>
      <c r="G106" t="n">
        <v>10.8</v>
      </c>
      <c r="H106">
        <f>C106*D106</f>
        <v/>
      </c>
      <c r="I106">
        <f>C106*E106</f>
        <v/>
      </c>
      <c r="J106">
        <f>C106*F106</f>
        <v/>
      </c>
      <c r="K106">
        <f>C106*G106</f>
        <v/>
      </c>
      <c r="L106">
        <f>D106+E106+F106+G106</f>
        <v/>
      </c>
    </row>
    <row r="107">
      <c r="A107" s="4" t="n">
        <v>39722</v>
      </c>
      <c r="B107" t="inlineStr">
        <is>
          <t>Oct-08</t>
        </is>
      </c>
      <c r="C107" t="n">
        <v>3.051</v>
      </c>
      <c r="D107" t="n">
        <v>58.6</v>
      </c>
      <c r="E107" t="n">
        <v>3.3</v>
      </c>
      <c r="F107" t="n">
        <v>25</v>
      </c>
      <c r="G107" t="n">
        <v>13.1</v>
      </c>
      <c r="H107">
        <f>C107*D107</f>
        <v/>
      </c>
      <c r="I107">
        <f>C107*E107</f>
        <v/>
      </c>
      <c r="J107">
        <f>C107*F107</f>
        <v/>
      </c>
      <c r="K107">
        <f>C107*G107</f>
        <v/>
      </c>
      <c r="L107">
        <f>D107+E107+F107+G107</f>
        <v/>
      </c>
    </row>
    <row r="108">
      <c r="A108" s="4" t="n">
        <v>39753</v>
      </c>
      <c r="B108" t="inlineStr">
        <is>
          <t>Nov-08</t>
        </is>
      </c>
      <c r="C108" t="n">
        <v>2.147</v>
      </c>
      <c r="D108" t="n">
        <v>60.4</v>
      </c>
      <c r="E108" t="n">
        <v>-3.7</v>
      </c>
      <c r="F108" t="n">
        <v>24.7</v>
      </c>
      <c r="G108" t="n">
        <v>18.6</v>
      </c>
      <c r="H108">
        <f>C108*D108</f>
        <v/>
      </c>
      <c r="I108">
        <f>C108*E108</f>
        <v/>
      </c>
      <c r="J108">
        <f>C108*F108</f>
        <v/>
      </c>
      <c r="K108">
        <f>C108*G108</f>
        <v/>
      </c>
      <c r="L108">
        <f>D108+E108+F108+G108</f>
        <v/>
      </c>
    </row>
    <row r="109">
      <c r="A109" s="4" t="n">
        <v>39783</v>
      </c>
      <c r="B109" t="inlineStr">
        <is>
          <t>Dec-08</t>
        </is>
      </c>
      <c r="C109" t="n">
        <v>1.687</v>
      </c>
      <c r="D109" t="n">
        <v>56.2</v>
      </c>
      <c r="E109" t="n">
        <v>0.7</v>
      </c>
      <c r="F109" t="n">
        <v>19.5</v>
      </c>
      <c r="G109" t="n">
        <v>23.6</v>
      </c>
      <c r="H109">
        <f>C109*D109</f>
        <v/>
      </c>
      <c r="I109">
        <f>C109*E109</f>
        <v/>
      </c>
      <c r="J109">
        <f>C109*F109</f>
        <v/>
      </c>
      <c r="K109">
        <f>C109*G109</f>
        <v/>
      </c>
      <c r="L109">
        <f>D109+E109+F109+G109</f>
        <v/>
      </c>
    </row>
    <row r="110">
      <c r="A110" s="4" t="n">
        <v>39814</v>
      </c>
      <c r="B110" t="inlineStr">
        <is>
          <t>Jan-09</t>
        </is>
      </c>
      <c r="C110" t="n">
        <v>1.788</v>
      </c>
      <c r="D110" t="n">
        <v>53.6</v>
      </c>
      <c r="E110" t="n">
        <v>13.4</v>
      </c>
      <c r="F110" t="n">
        <v>10.7</v>
      </c>
      <c r="G110" t="n">
        <v>22.3</v>
      </c>
      <c r="H110">
        <f>C110*D110</f>
        <v/>
      </c>
      <c r="I110">
        <f>C110*E110</f>
        <v/>
      </c>
      <c r="J110">
        <f>C110*F110</f>
        <v/>
      </c>
      <c r="K110">
        <f>C110*G110</f>
        <v/>
      </c>
      <c r="L110">
        <f>D110+E110+F110+G110</f>
        <v/>
      </c>
    </row>
    <row r="111">
      <c r="A111" s="4" t="n">
        <v>39845</v>
      </c>
      <c r="B111" t="inlineStr">
        <is>
          <t>Feb-09</t>
        </is>
      </c>
      <c r="C111" t="n">
        <v>1.923</v>
      </c>
      <c r="D111" t="n">
        <v>47.6</v>
      </c>
      <c r="E111" t="n">
        <v>16.8</v>
      </c>
      <c r="F111" t="n">
        <v>14.9</v>
      </c>
      <c r="G111" t="n">
        <v>20.7</v>
      </c>
      <c r="H111">
        <f>C111*D111</f>
        <v/>
      </c>
      <c r="I111">
        <f>C111*E111</f>
        <v/>
      </c>
      <c r="J111">
        <f>C111*F111</f>
        <v/>
      </c>
      <c r="K111">
        <f>C111*G111</f>
        <v/>
      </c>
      <c r="L111">
        <f>D111+E111+F111+G111</f>
        <v/>
      </c>
    </row>
    <row r="112">
      <c r="A112" s="4" t="n">
        <v>39873</v>
      </c>
      <c r="B112" t="inlineStr">
        <is>
          <t>Mar-09</t>
        </is>
      </c>
      <c r="C112" t="n">
        <v>1.959</v>
      </c>
      <c r="D112" t="n">
        <v>55.3</v>
      </c>
      <c r="E112" t="n">
        <v>12</v>
      </c>
      <c r="F112" t="n">
        <v>12.3</v>
      </c>
      <c r="G112" t="n">
        <v>20.4</v>
      </c>
      <c r="H112">
        <f>C112*D112</f>
        <v/>
      </c>
      <c r="I112">
        <f>C112*E112</f>
        <v/>
      </c>
      <c r="J112">
        <f>C112*F112</f>
        <v/>
      </c>
      <c r="K112">
        <f>C112*G112</f>
        <v/>
      </c>
      <c r="L112">
        <f>D112+E112+F112+G112</f>
        <v/>
      </c>
    </row>
    <row r="113">
      <c r="A113" s="4" t="n">
        <v>39904</v>
      </c>
      <c r="B113" t="inlineStr">
        <is>
          <t>Apr-09</t>
        </is>
      </c>
      <c r="C113" t="n">
        <v>2.049</v>
      </c>
      <c r="D113" t="n">
        <v>56.4</v>
      </c>
      <c r="E113" t="n">
        <v>12</v>
      </c>
      <c r="F113" t="n">
        <v>12.1</v>
      </c>
      <c r="G113" t="n">
        <v>19.5</v>
      </c>
      <c r="H113">
        <f>C113*D113</f>
        <v/>
      </c>
      <c r="I113">
        <f>C113*E113</f>
        <v/>
      </c>
      <c r="J113">
        <f>C113*F113</f>
        <v/>
      </c>
      <c r="K113">
        <f>C113*G113</f>
        <v/>
      </c>
      <c r="L113">
        <f>D113+E113+F113+G113</f>
        <v/>
      </c>
    </row>
    <row r="114">
      <c r="A114" s="4" t="n">
        <v>39934</v>
      </c>
      <c r="B114" t="inlineStr">
        <is>
          <t>May-09</t>
        </is>
      </c>
      <c r="C114" t="n">
        <v>2.266</v>
      </c>
      <c r="D114" t="n">
        <v>66.8</v>
      </c>
      <c r="E114" t="n">
        <v>17.6</v>
      </c>
      <c r="F114" t="n">
        <v>-3.9</v>
      </c>
      <c r="G114" t="n">
        <v>19.5</v>
      </c>
      <c r="H114">
        <f>C114*D114</f>
        <v/>
      </c>
      <c r="I114">
        <f>C114*E114</f>
        <v/>
      </c>
      <c r="J114">
        <f>C114*F114</f>
        <v/>
      </c>
      <c r="K114">
        <f>C114*G114</f>
        <v/>
      </c>
      <c r="L114">
        <f>D114+E114+F114+G114</f>
        <v/>
      </c>
    </row>
    <row r="115">
      <c r="A115" s="4" t="n">
        <v>39965</v>
      </c>
      <c r="B115" t="inlineStr">
        <is>
          <t>Jun-09</t>
        </is>
      </c>
      <c r="C115" t="n">
        <v>2.631</v>
      </c>
      <c r="D115" t="n">
        <v>60.9</v>
      </c>
      <c r="E115" t="n">
        <v>13.7</v>
      </c>
      <c r="F115" t="n">
        <v>10.3</v>
      </c>
      <c r="G115" t="n">
        <v>15.1</v>
      </c>
      <c r="H115">
        <f>C115*D115</f>
        <v/>
      </c>
      <c r="I115">
        <f>C115*E115</f>
        <v/>
      </c>
      <c r="J115">
        <f>C115*F115</f>
        <v/>
      </c>
      <c r="K115">
        <f>C115*G115</f>
        <v/>
      </c>
      <c r="L115">
        <f>D115+E115+F115+G115</f>
        <v/>
      </c>
    </row>
    <row r="116">
      <c r="A116" s="4" t="n">
        <v>39995</v>
      </c>
      <c r="B116" t="inlineStr">
        <is>
          <t>Jul-09</t>
        </is>
      </c>
      <c r="C116" t="n">
        <v>2.527</v>
      </c>
      <c r="D116" t="n">
        <v>60.1</v>
      </c>
      <c r="E116" t="n">
        <v>10.1</v>
      </c>
      <c r="F116" t="n">
        <v>14</v>
      </c>
      <c r="G116" t="n">
        <v>15.8</v>
      </c>
      <c r="H116">
        <f>C116*D116</f>
        <v/>
      </c>
      <c r="I116">
        <f>C116*E116</f>
        <v/>
      </c>
      <c r="J116">
        <f>C116*F116</f>
        <v/>
      </c>
      <c r="K116">
        <f>C116*G116</f>
        <v/>
      </c>
      <c r="L116">
        <f>D116+E116+F116+G116</f>
        <v/>
      </c>
    </row>
    <row r="117">
      <c r="A117" s="4" t="n">
        <v>40026</v>
      </c>
      <c r="B117" t="inlineStr">
        <is>
          <t>Aug-09</t>
        </is>
      </c>
      <c r="C117" t="n">
        <v>2.616</v>
      </c>
      <c r="D117" t="n">
        <v>63.9</v>
      </c>
      <c r="E117" t="n">
        <v>11</v>
      </c>
      <c r="F117" t="n">
        <v>9.699999999999999</v>
      </c>
      <c r="G117" t="n">
        <v>15.4</v>
      </c>
      <c r="H117">
        <f>C117*D117</f>
        <v/>
      </c>
      <c r="I117">
        <f>C117*E117</f>
        <v/>
      </c>
      <c r="J117">
        <f>C117*F117</f>
        <v/>
      </c>
      <c r="K117">
        <f>C117*G117</f>
        <v/>
      </c>
      <c r="L117">
        <f>D117+E117+F117+G117</f>
        <v/>
      </c>
    </row>
    <row r="118">
      <c r="A118" s="4" t="n">
        <v>40057</v>
      </c>
      <c r="B118" t="inlineStr">
        <is>
          <t>Sept-09</t>
        </is>
      </c>
      <c r="C118" t="n">
        <v>2.554</v>
      </c>
      <c r="D118" t="n">
        <v>64</v>
      </c>
      <c r="E118" t="n">
        <v>6.7</v>
      </c>
      <c r="F118" t="n">
        <v>13.5</v>
      </c>
      <c r="G118" t="n">
        <v>15.7</v>
      </c>
      <c r="H118">
        <f>C118*D118</f>
        <v/>
      </c>
      <c r="I118">
        <f>C118*E118</f>
        <v/>
      </c>
      <c r="J118">
        <f>C118*F118</f>
        <v/>
      </c>
      <c r="K118">
        <f>C118*G118</f>
        <v/>
      </c>
      <c r="L118">
        <f>D118+E118+F118+G118</f>
        <v/>
      </c>
    </row>
    <row r="119">
      <c r="A119" s="4" t="n">
        <v>40087</v>
      </c>
      <c r="B119" t="inlineStr">
        <is>
          <t>Oct-09</t>
        </is>
      </c>
      <c r="C119" t="n">
        <v>2.551</v>
      </c>
      <c r="D119" t="n">
        <v>68.59999999999999</v>
      </c>
      <c r="E119" t="n">
        <v>6.5</v>
      </c>
      <c r="F119" t="n">
        <v>9.1</v>
      </c>
      <c r="G119" t="n">
        <v>15.7</v>
      </c>
      <c r="H119">
        <f>C119*D119</f>
        <v/>
      </c>
      <c r="I119">
        <f>C119*E119</f>
        <v/>
      </c>
      <c r="J119">
        <f>C119*F119</f>
        <v/>
      </c>
      <c r="K119">
        <f>C119*G119</f>
        <v/>
      </c>
      <c r="L119">
        <f>D119+E119+F119+G119</f>
        <v/>
      </c>
    </row>
    <row r="120">
      <c r="A120" s="4" t="n">
        <v>40118</v>
      </c>
      <c r="B120" t="inlineStr">
        <is>
          <t>Nov-09</t>
        </is>
      </c>
      <c r="C120" t="n">
        <v>2.651</v>
      </c>
      <c r="D120" t="n">
        <v>69</v>
      </c>
      <c r="E120" t="n">
        <v>4</v>
      </c>
      <c r="F120" t="n">
        <v>11.7</v>
      </c>
      <c r="G120" t="n">
        <v>15.1</v>
      </c>
      <c r="H120">
        <f>C120*D120</f>
        <v/>
      </c>
      <c r="I120">
        <f>C120*E120</f>
        <v/>
      </c>
      <c r="J120">
        <f>C120*F120</f>
        <v/>
      </c>
      <c r="K120">
        <f>C120*G120</f>
        <v/>
      </c>
      <c r="L120">
        <f>D120+E120+F120+G120</f>
        <v/>
      </c>
    </row>
    <row r="121">
      <c r="A121" s="4" t="n">
        <v>40148</v>
      </c>
      <c r="B121" t="inlineStr">
        <is>
          <t>Dec-09</t>
        </is>
      </c>
      <c r="C121" t="n">
        <v>2.607</v>
      </c>
      <c r="D121" t="n">
        <v>66.59999999999999</v>
      </c>
      <c r="E121" t="n">
        <v>6.6</v>
      </c>
      <c r="F121" t="n">
        <v>11.2</v>
      </c>
      <c r="G121" t="n">
        <v>15.4</v>
      </c>
      <c r="H121">
        <f>C121*D121</f>
        <v/>
      </c>
      <c r="I121">
        <f>C121*E121</f>
        <v/>
      </c>
      <c r="J121">
        <f>C121*F121</f>
        <v/>
      </c>
      <c r="K121">
        <f>C121*G121</f>
        <v/>
      </c>
      <c r="L121">
        <f>D121+E121+F121+G121</f>
        <v/>
      </c>
    </row>
    <row r="122">
      <c r="A122" s="4" t="n">
        <v>40179</v>
      </c>
      <c r="B122" t="inlineStr">
        <is>
          <t>Jan-10</t>
        </is>
      </c>
      <c r="C122" t="n">
        <v>2.715</v>
      </c>
      <c r="D122" t="n">
        <v>69.09999999999999</v>
      </c>
      <c r="E122" t="n">
        <v>5</v>
      </c>
      <c r="F122" t="n">
        <v>10.9</v>
      </c>
      <c r="G122" t="n">
        <v>14.7</v>
      </c>
      <c r="H122">
        <f>C122*D122</f>
        <v/>
      </c>
      <c r="I122">
        <f>C122*E122</f>
        <v/>
      </c>
      <c r="J122">
        <f>C122*F122</f>
        <v/>
      </c>
      <c r="K122">
        <f>C122*G122</f>
        <v/>
      </c>
      <c r="L122">
        <f>D122+E122+F122+G122</f>
        <v/>
      </c>
    </row>
    <row r="123">
      <c r="A123" s="4" t="n">
        <v>40210</v>
      </c>
      <c r="B123" t="inlineStr">
        <is>
          <t>Feb-10</t>
        </is>
      </c>
      <c r="C123" t="n">
        <v>2.644</v>
      </c>
      <c r="D123" t="n">
        <v>69</v>
      </c>
      <c r="E123" t="n">
        <v>5.9</v>
      </c>
      <c r="F123" t="n">
        <v>9.800000000000001</v>
      </c>
      <c r="G123" t="n">
        <v>15.1</v>
      </c>
      <c r="H123">
        <f>C123*D123</f>
        <v/>
      </c>
      <c r="I123">
        <f>C123*E123</f>
        <v/>
      </c>
      <c r="J123">
        <f>C123*F123</f>
        <v/>
      </c>
      <c r="K123">
        <f>C123*G123</f>
        <v/>
      </c>
      <c r="L123">
        <f>D123+E123+F123+G123</f>
        <v/>
      </c>
    </row>
    <row r="124">
      <c r="A124" s="4" t="n">
        <v>40238</v>
      </c>
      <c r="B124" t="inlineStr">
        <is>
          <t>Mar-10</t>
        </is>
      </c>
      <c r="C124" t="n">
        <v>2.772</v>
      </c>
      <c r="D124" t="n">
        <v>68.5</v>
      </c>
      <c r="E124" t="n">
        <v>9.300000000000001</v>
      </c>
      <c r="F124" t="n">
        <v>7.5</v>
      </c>
      <c r="G124" t="n">
        <v>14.4</v>
      </c>
      <c r="H124">
        <f>C124*D124</f>
        <v/>
      </c>
      <c r="I124">
        <f>C124*E124</f>
        <v/>
      </c>
      <c r="J124">
        <f>C124*F124</f>
        <v/>
      </c>
      <c r="K124">
        <f>C124*G124</f>
        <v/>
      </c>
      <c r="L124">
        <f>D124+E124+F124+G124</f>
        <v/>
      </c>
    </row>
    <row r="125">
      <c r="A125" s="4" t="n">
        <v>40269</v>
      </c>
      <c r="B125" t="inlineStr">
        <is>
          <t>Apr-10</t>
        </is>
      </c>
      <c r="C125" t="n">
        <v>2.848</v>
      </c>
      <c r="D125" t="n">
        <v>68.40000000000001</v>
      </c>
      <c r="E125" t="n">
        <v>10.4</v>
      </c>
      <c r="F125" t="n">
        <v>6.9</v>
      </c>
      <c r="G125" t="n">
        <v>14.1</v>
      </c>
      <c r="H125">
        <f>C125*D125</f>
        <v/>
      </c>
      <c r="I125">
        <f>C125*E125</f>
        <v/>
      </c>
      <c r="J125">
        <f>C125*F125</f>
        <v/>
      </c>
      <c r="K125">
        <f>C125*G125</f>
        <v/>
      </c>
      <c r="L125">
        <f>D125+E125+F125+G125</f>
        <v/>
      </c>
    </row>
    <row r="126">
      <c r="A126" s="4" t="n">
        <v>40299</v>
      </c>
      <c r="B126" t="inlineStr">
        <is>
          <t>May-10</t>
        </is>
      </c>
      <c r="C126" t="n">
        <v>2.836</v>
      </c>
      <c r="D126" t="n">
        <v>63.9</v>
      </c>
      <c r="E126" t="n">
        <v>8.4</v>
      </c>
      <c r="F126" t="n">
        <v>13.3</v>
      </c>
      <c r="G126" t="n">
        <v>14.2</v>
      </c>
      <c r="H126">
        <f>C126*D126</f>
        <v/>
      </c>
      <c r="I126">
        <f>C126*E126</f>
        <v/>
      </c>
      <c r="J126">
        <f>C126*F126</f>
        <v/>
      </c>
      <c r="K126">
        <f>C126*G126</f>
        <v/>
      </c>
      <c r="L126">
        <f>D126+E126+F126+G126</f>
        <v/>
      </c>
    </row>
    <row r="127">
      <c r="A127" s="4" t="n">
        <v>40330</v>
      </c>
      <c r="B127" t="inlineStr">
        <is>
          <t>Jun-10</t>
        </is>
      </c>
      <c r="C127" t="n">
        <v>2.732</v>
      </c>
      <c r="D127" t="n">
        <v>65.59999999999999</v>
      </c>
      <c r="E127" t="n">
        <v>9.4</v>
      </c>
      <c r="F127" t="n">
        <v>10</v>
      </c>
      <c r="G127" t="n">
        <v>14.7</v>
      </c>
      <c r="H127">
        <f>C127*D127</f>
        <v/>
      </c>
      <c r="I127">
        <f>C127*E127</f>
        <v/>
      </c>
      <c r="J127">
        <f>C127*F127</f>
        <v/>
      </c>
      <c r="K127">
        <f>C127*G127</f>
        <v/>
      </c>
      <c r="L127">
        <f>D127+E127+F127+G127</f>
        <v/>
      </c>
    </row>
    <row r="128">
      <c r="A128" s="4" t="n">
        <v>40360</v>
      </c>
      <c r="B128" t="inlineStr">
        <is>
          <t>Jul-10</t>
        </is>
      </c>
      <c r="C128" t="n">
        <v>2.729</v>
      </c>
      <c r="D128" t="n">
        <v>66.09999999999999</v>
      </c>
      <c r="E128" t="n">
        <v>9.4</v>
      </c>
      <c r="F128" t="n">
        <v>9.5</v>
      </c>
      <c r="G128" t="n">
        <v>14.8</v>
      </c>
      <c r="H128">
        <f>C128*D128</f>
        <v/>
      </c>
      <c r="I128">
        <f>C128*E128</f>
        <v/>
      </c>
      <c r="J128">
        <f>C128*F128</f>
        <v/>
      </c>
      <c r="K128">
        <f>C128*G128</f>
        <v/>
      </c>
      <c r="L128">
        <f>D128+E128+F128+G128</f>
        <v/>
      </c>
    </row>
    <row r="129">
      <c r="A129" s="4" t="n">
        <v>40391</v>
      </c>
      <c r="B129" t="inlineStr">
        <is>
          <t>Aug-10</t>
        </is>
      </c>
      <c r="C129" t="n">
        <v>2.73</v>
      </c>
      <c r="D129" t="n">
        <v>67.40000000000001</v>
      </c>
      <c r="E129" t="n">
        <v>5.7</v>
      </c>
      <c r="F129" t="n">
        <v>11.9</v>
      </c>
      <c r="G129" t="n">
        <v>14.8</v>
      </c>
      <c r="H129">
        <f>C129*D129</f>
        <v/>
      </c>
      <c r="I129">
        <f>C129*E129</f>
        <v/>
      </c>
      <c r="J129">
        <f>C129*F129</f>
        <v/>
      </c>
      <c r="K129">
        <f>C129*G129</f>
        <v/>
      </c>
      <c r="L129">
        <f>D129+E129+F129+G129</f>
        <v/>
      </c>
    </row>
    <row r="130">
      <c r="A130" s="4" t="n">
        <v>40422</v>
      </c>
      <c r="B130" t="inlineStr">
        <is>
          <t>Sept-10</t>
        </is>
      </c>
      <c r="C130" t="n">
        <v>2.705</v>
      </c>
      <c r="D130" t="n">
        <v>67.09999999999999</v>
      </c>
      <c r="E130" t="n">
        <v>6.5</v>
      </c>
      <c r="F130" t="n">
        <v>11.3</v>
      </c>
      <c r="G130" t="n">
        <v>14.9</v>
      </c>
      <c r="H130">
        <f>C130*D130</f>
        <v/>
      </c>
      <c r="I130">
        <f>C130*E130</f>
        <v/>
      </c>
      <c r="J130">
        <f>C130*F130</f>
        <v/>
      </c>
      <c r="K130">
        <f>C130*G130</f>
        <v/>
      </c>
      <c r="L130">
        <f>D130+E130+F130+G130</f>
        <v/>
      </c>
    </row>
    <row r="131">
      <c r="A131" s="4" t="n">
        <v>40452</v>
      </c>
      <c r="B131" t="inlineStr">
        <is>
          <t>Oct-10</t>
        </is>
      </c>
      <c r="C131" t="n">
        <v>2.801</v>
      </c>
      <c r="D131" t="n">
        <v>70.5</v>
      </c>
      <c r="E131" t="n">
        <v>5.3</v>
      </c>
      <c r="F131" t="n">
        <v>9.699999999999999</v>
      </c>
      <c r="G131" t="n">
        <v>14.4</v>
      </c>
      <c r="H131">
        <f>C131*D131</f>
        <v/>
      </c>
      <c r="I131">
        <f>C131*E131</f>
        <v/>
      </c>
      <c r="J131">
        <f>C131*F131</f>
        <v/>
      </c>
      <c r="K131">
        <f>C131*G131</f>
        <v/>
      </c>
      <c r="L131">
        <f>D131+E131+F131+G131</f>
        <v/>
      </c>
    </row>
    <row r="132">
      <c r="A132" s="4" t="n">
        <v>40483</v>
      </c>
      <c r="B132" t="inlineStr">
        <is>
          <t>Nov-10</t>
        </is>
      </c>
      <c r="C132" t="n">
        <v>2.859</v>
      </c>
      <c r="D132" t="n">
        <v>71.09999999999999</v>
      </c>
      <c r="E132" t="n">
        <v>4.4</v>
      </c>
      <c r="F132" t="n">
        <v>10.2</v>
      </c>
      <c r="G132" t="n">
        <v>14.1</v>
      </c>
      <c r="H132">
        <f>C132*D132</f>
        <v/>
      </c>
      <c r="I132">
        <f>C132*E132</f>
        <v/>
      </c>
      <c r="J132">
        <f>C132*F132</f>
        <v/>
      </c>
      <c r="K132">
        <f>C132*G132</f>
        <v/>
      </c>
      <c r="L132">
        <f>D132+E132+F132+G132</f>
        <v/>
      </c>
    </row>
    <row r="133">
      <c r="A133" s="4" t="n">
        <v>40513</v>
      </c>
      <c r="B133" t="inlineStr">
        <is>
          <t>Dec-10</t>
        </is>
      </c>
      <c r="C133" t="n">
        <v>2.993</v>
      </c>
      <c r="D133" t="n">
        <v>68.09999999999999</v>
      </c>
      <c r="E133" t="n">
        <v>9.9</v>
      </c>
      <c r="F133" t="n">
        <v>8.4</v>
      </c>
      <c r="G133" t="n">
        <v>13.5</v>
      </c>
      <c r="H133">
        <f>C133*D133</f>
        <v/>
      </c>
      <c r="I133">
        <f>C133*E133</f>
        <v/>
      </c>
      <c r="J133">
        <f>C133*F133</f>
        <v/>
      </c>
      <c r="K133">
        <f>C133*G133</f>
        <v/>
      </c>
      <c r="L133">
        <f>D133+E133+F133+G133</f>
        <v/>
      </c>
    </row>
    <row r="134">
      <c r="A134" s="4" t="n">
        <v>40544</v>
      </c>
      <c r="B134" t="inlineStr">
        <is>
          <t>Jan-11</t>
        </is>
      </c>
      <c r="C134" t="n">
        <v>3.095</v>
      </c>
      <c r="D134" t="n">
        <v>67</v>
      </c>
      <c r="E134" t="n">
        <v>10.6</v>
      </c>
      <c r="F134" t="n">
        <v>9.1</v>
      </c>
      <c r="G134" t="n">
        <v>13</v>
      </c>
      <c r="H134">
        <f>C134*D134</f>
        <v/>
      </c>
      <c r="I134">
        <f>C134*E134</f>
        <v/>
      </c>
      <c r="J134">
        <f>C134*F134</f>
        <v/>
      </c>
      <c r="K134">
        <f>C134*G134</f>
        <v/>
      </c>
      <c r="L134">
        <f>D134+E134+F134+G134</f>
        <v/>
      </c>
    </row>
    <row r="135">
      <c r="A135" s="4" t="n">
        <v>40575</v>
      </c>
      <c r="B135" t="inlineStr">
        <is>
          <t>Feb-11</t>
        </is>
      </c>
      <c r="C135" t="n">
        <v>3.211</v>
      </c>
      <c r="D135" t="n">
        <v>65.2</v>
      </c>
      <c r="E135" t="n">
        <v>14.2</v>
      </c>
      <c r="F135" t="n">
        <v>7.9</v>
      </c>
      <c r="G135" t="n">
        <v>12.5</v>
      </c>
      <c r="H135">
        <f>C135*D135</f>
        <v/>
      </c>
      <c r="I135">
        <f>C135*E135</f>
        <v/>
      </c>
      <c r="J135">
        <f>C135*F135</f>
        <v/>
      </c>
      <c r="K135">
        <f>C135*G135</f>
        <v/>
      </c>
      <c r="L135">
        <f>D135+E135+F135+G135</f>
        <v/>
      </c>
    </row>
    <row r="136">
      <c r="A136" s="4" t="n">
        <v>40603</v>
      </c>
      <c r="B136" t="inlineStr">
        <is>
          <t>Mar-11</t>
        </is>
      </c>
      <c r="C136" t="n">
        <v>3.561</v>
      </c>
      <c r="D136" t="n">
        <v>68.3</v>
      </c>
      <c r="E136" t="n">
        <v>13.1</v>
      </c>
      <c r="F136" t="n">
        <v>7.2</v>
      </c>
      <c r="G136" t="n">
        <v>11.3</v>
      </c>
      <c r="H136">
        <f>C136*D136</f>
        <v/>
      </c>
      <c r="I136">
        <f>C136*E136</f>
        <v/>
      </c>
      <c r="J136">
        <f>C136*F136</f>
        <v/>
      </c>
      <c r="K136">
        <f>C136*G136</f>
        <v/>
      </c>
      <c r="L136">
        <f>D136+E136+F136+G136</f>
        <v/>
      </c>
    </row>
    <row r="137">
      <c r="A137" s="4" t="n">
        <v>40634</v>
      </c>
      <c r="B137" t="inlineStr">
        <is>
          <t>Apr-11</t>
        </is>
      </c>
      <c r="C137" t="n">
        <v>3.8</v>
      </c>
      <c r="D137" t="n">
        <v>68.7</v>
      </c>
      <c r="E137" t="n">
        <v>15.7</v>
      </c>
      <c r="F137" t="n">
        <v>4.8</v>
      </c>
      <c r="G137" t="n">
        <v>10.6</v>
      </c>
      <c r="H137">
        <f>C137*D137</f>
        <v/>
      </c>
      <c r="I137">
        <f>C137*E137</f>
        <v/>
      </c>
      <c r="J137">
        <f>C137*F137</f>
        <v/>
      </c>
      <c r="K137">
        <f>C137*G137</f>
        <v/>
      </c>
      <c r="L137">
        <f>D137+E137+F137+G137</f>
        <v/>
      </c>
    </row>
    <row r="138">
      <c r="A138" s="4" t="n">
        <v>40664</v>
      </c>
      <c r="B138" t="inlineStr">
        <is>
          <t>May-11</t>
        </is>
      </c>
      <c r="C138" t="n">
        <v>3.906</v>
      </c>
      <c r="D138" t="n">
        <v>65.2</v>
      </c>
      <c r="E138" t="n">
        <v>14.1</v>
      </c>
      <c r="F138" t="n">
        <v>10.2</v>
      </c>
      <c r="G138" t="n">
        <v>10.3</v>
      </c>
      <c r="H138">
        <f>C138*D138</f>
        <v/>
      </c>
      <c r="I138">
        <f>C138*E138</f>
        <v/>
      </c>
      <c r="J138">
        <f>C138*F138</f>
        <v/>
      </c>
      <c r="K138">
        <f>C138*G138</f>
        <v/>
      </c>
      <c r="L138">
        <f>D138+E138+F138+G138</f>
        <v/>
      </c>
    </row>
    <row r="139">
      <c r="A139" s="4" t="n">
        <v>40695</v>
      </c>
      <c r="B139" t="inlineStr">
        <is>
          <t>Jun-11</t>
        </is>
      </c>
      <c r="C139" t="n">
        <v>3.68</v>
      </c>
      <c r="D139" t="n">
        <v>66.5</v>
      </c>
      <c r="E139" t="n">
        <v>11.5</v>
      </c>
      <c r="F139" t="n">
        <v>10.9</v>
      </c>
      <c r="G139" t="n">
        <v>10.9</v>
      </c>
      <c r="H139">
        <f>C139*D139</f>
        <v/>
      </c>
      <c r="I139">
        <f>C139*E139</f>
        <v/>
      </c>
      <c r="J139">
        <f>C139*F139</f>
        <v/>
      </c>
      <c r="K139">
        <f>C139*G139</f>
        <v/>
      </c>
      <c r="L139">
        <f>D139+E139+F139+G139</f>
        <v/>
      </c>
    </row>
    <row r="140">
      <c r="A140" s="4" t="n">
        <v>40725</v>
      </c>
      <c r="B140" t="inlineStr">
        <is>
          <t>Jul-11</t>
        </is>
      </c>
      <c r="C140" t="n">
        <v>3.65</v>
      </c>
      <c r="D140" t="n">
        <v>67.7</v>
      </c>
      <c r="E140" t="n">
        <v>14.8</v>
      </c>
      <c r="F140" t="n">
        <v>6.3</v>
      </c>
      <c r="G140" t="n">
        <v>11</v>
      </c>
      <c r="H140">
        <f>C140*D140</f>
        <v/>
      </c>
      <c r="I140">
        <f>C140*E140</f>
        <v/>
      </c>
      <c r="J140">
        <f>C140*F140</f>
        <v/>
      </c>
      <c r="K140">
        <f>C140*G140</f>
        <v/>
      </c>
      <c r="L140">
        <f>D140+E140+F140+G140</f>
        <v/>
      </c>
    </row>
    <row r="141">
      <c r="A141" s="4" t="n">
        <v>40756</v>
      </c>
      <c r="B141" t="inlineStr">
        <is>
          <t>Aug-11</t>
        </is>
      </c>
      <c r="C141" t="n">
        <v>3.639</v>
      </c>
      <c r="D141" t="n">
        <v>62.5</v>
      </c>
      <c r="E141" t="n">
        <v>15.9</v>
      </c>
      <c r="F141" t="n">
        <v>10.4</v>
      </c>
      <c r="G141" t="n">
        <v>11.1</v>
      </c>
      <c r="H141">
        <f>C141*D141</f>
        <v/>
      </c>
      <c r="I141">
        <f>C141*E141</f>
        <v/>
      </c>
      <c r="J141">
        <f>C141*F141</f>
        <v/>
      </c>
      <c r="K141">
        <f>C141*G141</f>
        <v/>
      </c>
      <c r="L141">
        <f>D141+E141+F141+G141</f>
        <v/>
      </c>
    </row>
    <row r="142">
      <c r="A142" s="4" t="n">
        <v>40787</v>
      </c>
      <c r="B142" t="inlineStr">
        <is>
          <t>Sept-11</t>
        </is>
      </c>
      <c r="C142" t="n">
        <v>3.611</v>
      </c>
      <c r="D142" t="n">
        <v>62.5</v>
      </c>
      <c r="E142" t="n">
        <v>14</v>
      </c>
      <c r="F142" t="n">
        <v>12.2</v>
      </c>
      <c r="G142" t="n">
        <v>11.1</v>
      </c>
      <c r="H142">
        <f>C142*D142</f>
        <v/>
      </c>
      <c r="I142">
        <f>C142*E142</f>
        <v/>
      </c>
      <c r="J142">
        <f>C142*F142</f>
        <v/>
      </c>
      <c r="K142">
        <f>C142*G142</f>
        <v/>
      </c>
      <c r="L142">
        <f>D142+E142+F142+G142</f>
        <v/>
      </c>
    </row>
    <row r="143">
      <c r="A143" s="4" t="n">
        <v>40817</v>
      </c>
      <c r="B143" t="inlineStr">
        <is>
          <t>Oct-11</t>
        </is>
      </c>
      <c r="C143" t="n">
        <v>3.448</v>
      </c>
      <c r="D143" t="n">
        <v>68.5</v>
      </c>
      <c r="E143" t="n">
        <v>10.9</v>
      </c>
      <c r="F143" t="n">
        <v>8.699999999999999</v>
      </c>
      <c r="G143" t="n">
        <v>11.7</v>
      </c>
      <c r="H143">
        <f>C143*D143</f>
        <v/>
      </c>
      <c r="I143">
        <f>C143*E143</f>
        <v/>
      </c>
      <c r="J143">
        <f>C143*F143</f>
        <v/>
      </c>
      <c r="K143">
        <f>C143*G143</f>
        <v/>
      </c>
      <c r="L143">
        <f>D143+E143+F143+G143</f>
        <v/>
      </c>
    </row>
    <row r="144">
      <c r="A144" s="4" t="n">
        <v>40848</v>
      </c>
      <c r="B144" t="inlineStr">
        <is>
          <t>Nov-11</t>
        </is>
      </c>
      <c r="C144" t="n">
        <v>3.384</v>
      </c>
      <c r="D144" t="n">
        <v>76.7</v>
      </c>
      <c r="E144" t="n">
        <v>-0.5</v>
      </c>
      <c r="F144" t="n">
        <v>11.8</v>
      </c>
      <c r="G144" t="n">
        <v>11.9</v>
      </c>
      <c r="H144">
        <f>C144*D144</f>
        <v/>
      </c>
      <c r="I144">
        <f>C144*E144</f>
        <v/>
      </c>
      <c r="J144">
        <f>C144*F144</f>
        <v/>
      </c>
      <c r="K144">
        <f>C144*G144</f>
        <v/>
      </c>
      <c r="L144">
        <f>D144+E144+F144+G144</f>
        <v/>
      </c>
    </row>
    <row r="145">
      <c r="A145" s="4" t="n">
        <v>40878</v>
      </c>
      <c r="B145" t="inlineStr">
        <is>
          <t>Dec-11</t>
        </is>
      </c>
      <c r="C145" t="n">
        <v>3.266</v>
      </c>
      <c r="D145" t="n">
        <v>80</v>
      </c>
      <c r="E145" t="n">
        <v>-1.5</v>
      </c>
      <c r="F145" t="n">
        <v>9</v>
      </c>
      <c r="G145" t="n">
        <v>12.3</v>
      </c>
      <c r="H145">
        <f>C145*D145</f>
        <v/>
      </c>
      <c r="I145">
        <f>C145*E145</f>
        <v/>
      </c>
      <c r="J145">
        <f>C145*F145</f>
        <v/>
      </c>
      <c r="K145">
        <f>C145*G145</f>
        <v/>
      </c>
      <c r="L145">
        <f>D145+E145+F145+G145</f>
        <v/>
      </c>
    </row>
    <row r="146">
      <c r="A146" s="4" t="n">
        <v>40909</v>
      </c>
      <c r="B146" t="inlineStr">
        <is>
          <t>Jan-12</t>
        </is>
      </c>
      <c r="C146" t="n">
        <v>3.38</v>
      </c>
      <c r="D146" t="n">
        <v>75.5</v>
      </c>
      <c r="E146" t="n">
        <v>6</v>
      </c>
      <c r="F146" t="n">
        <v>6.4</v>
      </c>
      <c r="G146" t="n">
        <v>11.9</v>
      </c>
      <c r="H146">
        <f>C146*D146</f>
        <v/>
      </c>
      <c r="I146">
        <f>C146*E146</f>
        <v/>
      </c>
      <c r="J146">
        <f>C146*F146</f>
        <v/>
      </c>
      <c r="K146">
        <f>C146*G146</f>
        <v/>
      </c>
      <c r="L146">
        <f>D146+E146+F146+G146</f>
        <v/>
      </c>
    </row>
    <row r="147">
      <c r="A147" s="4" t="n">
        <v>40940</v>
      </c>
      <c r="B147" t="inlineStr">
        <is>
          <t>Feb-12</t>
        </is>
      </c>
      <c r="C147" t="n">
        <v>3.579</v>
      </c>
      <c r="D147" t="n">
        <v>71.5</v>
      </c>
      <c r="E147" t="n">
        <v>11.8</v>
      </c>
      <c r="F147" t="n">
        <v>5.2</v>
      </c>
      <c r="G147" t="n">
        <v>11.2</v>
      </c>
      <c r="H147">
        <f>C147*D147</f>
        <v/>
      </c>
      <c r="I147">
        <f>C147*E147</f>
        <v/>
      </c>
      <c r="J147">
        <f>C147*F147</f>
        <v/>
      </c>
      <c r="K147">
        <f>C147*G147</f>
        <v/>
      </c>
      <c r="L147">
        <f>D147+E147+F147+G147</f>
        <v/>
      </c>
    </row>
    <row r="148">
      <c r="A148" s="4" t="n">
        <v>40969</v>
      </c>
      <c r="B148" t="inlineStr">
        <is>
          <t>Mar-12</t>
        </is>
      </c>
      <c r="C148" t="n">
        <v>3.852</v>
      </c>
      <c r="D148" t="n">
        <v>67.40000000000001</v>
      </c>
      <c r="E148" t="n">
        <v>15.7</v>
      </c>
      <c r="F148" t="n">
        <v>5.9</v>
      </c>
      <c r="G148" t="n">
        <v>10.8</v>
      </c>
      <c r="H148">
        <f>C148*D148</f>
        <v/>
      </c>
      <c r="I148">
        <f>C148*E148</f>
        <v/>
      </c>
      <c r="J148">
        <f>C148*F148</f>
        <v/>
      </c>
      <c r="K148">
        <f>C148*G148</f>
        <v/>
      </c>
      <c r="L148">
        <f>D148+E148+F148+G148</f>
        <v/>
      </c>
    </row>
    <row r="149">
      <c r="A149" s="4" t="n">
        <v>41000</v>
      </c>
      <c r="B149" t="inlineStr">
        <is>
          <t>Apr-12</t>
        </is>
      </c>
      <c r="C149" t="n">
        <v>3.9</v>
      </c>
      <c r="D149" t="n">
        <v>66.09999999999999</v>
      </c>
      <c r="E149" t="n">
        <v>14.6</v>
      </c>
      <c r="F149" t="n">
        <v>8.4</v>
      </c>
      <c r="G149" t="n">
        <v>10.6</v>
      </c>
      <c r="H149">
        <f>C149*D149</f>
        <v/>
      </c>
      <c r="I149">
        <f>C149*E149</f>
        <v/>
      </c>
      <c r="J149">
        <f>C149*F149</f>
        <v/>
      </c>
      <c r="K149">
        <f>C149*G149</f>
        <v/>
      </c>
      <c r="L149">
        <f>D149+E149+F149+G149</f>
        <v/>
      </c>
    </row>
    <row r="150">
      <c r="A150" s="4" t="n">
        <v>41030</v>
      </c>
      <c r="B150" t="inlineStr">
        <is>
          <t>May-12</t>
        </is>
      </c>
      <c r="C150" t="n">
        <v>3.732</v>
      </c>
      <c r="D150" t="n">
        <v>65.40000000000001</v>
      </c>
      <c r="E150" t="n">
        <v>13</v>
      </c>
      <c r="F150" t="n">
        <v>10.3</v>
      </c>
      <c r="G150" t="n">
        <v>11.1</v>
      </c>
      <c r="H150">
        <f>C150*D150</f>
        <v/>
      </c>
      <c r="I150">
        <f>C150*E150</f>
        <v/>
      </c>
      <c r="J150">
        <f>C150*F150</f>
        <v/>
      </c>
      <c r="K150">
        <f>C150*G150</f>
        <v/>
      </c>
      <c r="L150">
        <f>D150+E150+F150+G150</f>
        <v/>
      </c>
    </row>
    <row r="151">
      <c r="A151" s="4" t="n">
        <v>41061</v>
      </c>
      <c r="B151" t="inlineStr">
        <is>
          <t>Jun-12</t>
        </is>
      </c>
      <c r="C151" t="n">
        <v>3.539</v>
      </c>
      <c r="D151" t="n">
        <v>61.9</v>
      </c>
      <c r="E151" t="n">
        <v>11.8</v>
      </c>
      <c r="F151" t="n">
        <v>14.4</v>
      </c>
      <c r="G151" t="n">
        <v>11.7</v>
      </c>
      <c r="H151">
        <f>C151*D151</f>
        <v/>
      </c>
      <c r="I151">
        <f>C151*E151</f>
        <v/>
      </c>
      <c r="J151">
        <f>C151*F151</f>
        <v/>
      </c>
      <c r="K151">
        <f>C151*G151</f>
        <v/>
      </c>
      <c r="L151">
        <f>D151+E151+F151+G151</f>
        <v/>
      </c>
    </row>
    <row r="152">
      <c r="A152" s="4" t="n">
        <v>41091</v>
      </c>
      <c r="B152" t="inlineStr">
        <is>
          <t>Jul-12</t>
        </is>
      </c>
      <c r="C152" t="n">
        <v>3.439</v>
      </c>
      <c r="D152" t="n">
        <v>64.90000000000001</v>
      </c>
      <c r="E152" t="n">
        <v>14.9</v>
      </c>
      <c r="F152" t="n">
        <v>7.9</v>
      </c>
      <c r="G152" t="n">
        <v>12.1</v>
      </c>
      <c r="H152">
        <f>C152*D152</f>
        <v/>
      </c>
      <c r="I152">
        <f>C152*E152</f>
        <v/>
      </c>
      <c r="J152">
        <f>C152*F152</f>
        <v/>
      </c>
      <c r="K152">
        <f>C152*G152</f>
        <v/>
      </c>
      <c r="L152">
        <f>D152+E152+F152+G152</f>
        <v/>
      </c>
    </row>
    <row r="153">
      <c r="A153" s="4" t="n">
        <v>41122</v>
      </c>
      <c r="B153" t="inlineStr">
        <is>
          <t>Aug-12</t>
        </is>
      </c>
      <c r="C153" t="n">
        <v>3.722</v>
      </c>
      <c r="D153" t="n">
        <v>64</v>
      </c>
      <c r="E153" t="n">
        <v>17.5</v>
      </c>
      <c r="F153" t="n">
        <v>7.1</v>
      </c>
      <c r="G153" t="n">
        <v>11.2</v>
      </c>
      <c r="H153">
        <f>C153*D153</f>
        <v/>
      </c>
      <c r="I153">
        <f>C153*E153</f>
        <v/>
      </c>
      <c r="J153">
        <f>C153*F153</f>
        <v/>
      </c>
      <c r="K153">
        <f>C153*G153</f>
        <v/>
      </c>
      <c r="L153">
        <f>D153+E153+F153+G153</f>
        <v/>
      </c>
    </row>
    <row r="154">
      <c r="A154" s="4" t="n">
        <v>41153</v>
      </c>
      <c r="B154" t="inlineStr">
        <is>
          <t>Sept-12</t>
        </is>
      </c>
      <c r="C154" t="n">
        <v>3.849</v>
      </c>
      <c r="D154" t="n">
        <v>62.2</v>
      </c>
      <c r="E154" t="n">
        <v>17.9</v>
      </c>
      <c r="F154" t="n">
        <v>8.800000000000001</v>
      </c>
      <c r="G154" t="n">
        <v>10.8</v>
      </c>
      <c r="H154">
        <f>C154*D154</f>
        <v/>
      </c>
      <c r="I154">
        <f>C154*E154</f>
        <v/>
      </c>
      <c r="J154">
        <f>C154*F154</f>
        <v/>
      </c>
      <c r="K154">
        <f>C154*G154</f>
        <v/>
      </c>
      <c r="L154">
        <f>D154+E154+F154+G154</f>
        <v/>
      </c>
    </row>
    <row r="155">
      <c r="A155" s="4" t="n">
        <v>41183</v>
      </c>
      <c r="B155" t="inlineStr">
        <is>
          <t>Oct-12</t>
        </is>
      </c>
      <c r="C155" t="n">
        <v>3.746</v>
      </c>
      <c r="D155" t="n">
        <v>64</v>
      </c>
      <c r="E155" t="n">
        <v>12</v>
      </c>
      <c r="F155" t="n">
        <v>12.8</v>
      </c>
      <c r="G155" t="n">
        <v>11.1</v>
      </c>
      <c r="H155">
        <f>C155*D155</f>
        <v/>
      </c>
      <c r="I155">
        <f>C155*E155</f>
        <v/>
      </c>
      <c r="J155">
        <f>C155*F155</f>
        <v/>
      </c>
      <c r="K155">
        <f>C155*G155</f>
        <v/>
      </c>
      <c r="L155">
        <f>D155+E155+F155+G155</f>
        <v/>
      </c>
    </row>
    <row r="156">
      <c r="A156" s="4" t="n">
        <v>41214</v>
      </c>
      <c r="B156" t="inlineStr">
        <is>
          <t>Nov-12</t>
        </is>
      </c>
      <c r="C156" t="n">
        <v>3.452</v>
      </c>
      <c r="D156" t="n">
        <v>66.59999999999999</v>
      </c>
      <c r="E156" t="n">
        <v>9.199999999999999</v>
      </c>
      <c r="F156" t="n">
        <v>11.9</v>
      </c>
      <c r="G156" t="n">
        <v>12.1</v>
      </c>
      <c r="H156">
        <f>C156*D156</f>
        <v/>
      </c>
      <c r="I156">
        <f>C156*E156</f>
        <v/>
      </c>
      <c r="J156">
        <f>C156*F156</f>
        <v/>
      </c>
      <c r="K156">
        <f>C156*G156</f>
        <v/>
      </c>
      <c r="L156">
        <f>D156+E156+F156+G156</f>
        <v/>
      </c>
    </row>
    <row r="157">
      <c r="A157" s="4" t="n">
        <v>41244</v>
      </c>
      <c r="B157" t="inlineStr">
        <is>
          <t>Dec-12</t>
        </is>
      </c>
      <c r="C157" t="n">
        <v>3.31</v>
      </c>
      <c r="D157" t="n">
        <v>68</v>
      </c>
      <c r="E157" t="n">
        <v>8</v>
      </c>
      <c r="F157" t="n">
        <v>11.3</v>
      </c>
      <c r="G157" t="n">
        <v>12.6</v>
      </c>
      <c r="H157">
        <f>C157*D157</f>
        <v/>
      </c>
      <c r="I157">
        <f>C157*E157</f>
        <v/>
      </c>
      <c r="J157">
        <f>C157*F157</f>
        <v/>
      </c>
      <c r="K157">
        <f>C157*G157</f>
        <v/>
      </c>
      <c r="L157">
        <f>D157+E157+F157+G157</f>
        <v/>
      </c>
    </row>
    <row r="158">
      <c r="A158" s="4" t="n">
        <v>41275</v>
      </c>
      <c r="B158" t="inlineStr">
        <is>
          <t>Jan-13</t>
        </is>
      </c>
      <c r="C158" t="n">
        <v>3.319</v>
      </c>
      <c r="D158" t="n">
        <v>71.8</v>
      </c>
      <c r="E158" t="n">
        <v>8.5</v>
      </c>
      <c r="F158" t="n">
        <v>6.9</v>
      </c>
      <c r="G158" t="n">
        <v>12.6</v>
      </c>
      <c r="H158">
        <f>C158*D158</f>
        <v/>
      </c>
      <c r="I158">
        <f>C158*E158</f>
        <v/>
      </c>
      <c r="J158">
        <f>C158*F158</f>
        <v/>
      </c>
      <c r="K158">
        <f>C158*G158</f>
        <v/>
      </c>
      <c r="L158">
        <f>D158+E158+F158+G158</f>
        <v/>
      </c>
    </row>
    <row r="159">
      <c r="A159" s="4" t="n">
        <v>41306</v>
      </c>
      <c r="B159" t="inlineStr">
        <is>
          <t>Feb-13</t>
        </is>
      </c>
      <c r="C159" t="n">
        <v>3.67</v>
      </c>
      <c r="D159" t="n">
        <v>66.7</v>
      </c>
      <c r="E159" t="n">
        <v>15</v>
      </c>
      <c r="F159" t="n">
        <v>6.8</v>
      </c>
      <c r="G159" t="n">
        <v>11.4</v>
      </c>
      <c r="H159">
        <f>C159*D159</f>
        <v/>
      </c>
      <c r="I159">
        <f>C159*E159</f>
        <v/>
      </c>
      <c r="J159">
        <f>C159*F159</f>
        <v/>
      </c>
      <c r="K159">
        <f>C159*G159</f>
        <v/>
      </c>
      <c r="L159">
        <f>D159+E159+F159+G159</f>
        <v/>
      </c>
    </row>
    <row r="160">
      <c r="A160" s="4" t="n">
        <v>41334</v>
      </c>
      <c r="B160" t="inlineStr">
        <is>
          <t>Mar-13</t>
        </is>
      </c>
      <c r="C160" t="n">
        <v>3.711</v>
      </c>
      <c r="D160" t="n">
        <v>63.3</v>
      </c>
      <c r="E160" t="n">
        <v>15.9</v>
      </c>
      <c r="F160" t="n">
        <v>9.5</v>
      </c>
      <c r="G160" t="n">
        <v>11.3</v>
      </c>
      <c r="H160">
        <f>C160*D160</f>
        <v/>
      </c>
      <c r="I160">
        <f>C160*E160</f>
        <v/>
      </c>
      <c r="J160">
        <f>C160*F160</f>
        <v/>
      </c>
      <c r="K160">
        <f>C160*G160</f>
        <v/>
      </c>
      <c r="L160">
        <f>D160+E160+F160+G160</f>
        <v/>
      </c>
    </row>
    <row r="161">
      <c r="A161" s="4" t="n">
        <v>41365</v>
      </c>
      <c r="B161" t="inlineStr">
        <is>
          <t>Apr-13</t>
        </is>
      </c>
      <c r="C161" t="n">
        <v>3.57</v>
      </c>
      <c r="D161" t="n">
        <v>65.40000000000001</v>
      </c>
      <c r="E161" t="n">
        <v>12.5</v>
      </c>
      <c r="F161" t="n">
        <v>10.4</v>
      </c>
      <c r="G161" t="n">
        <v>11.7</v>
      </c>
      <c r="H161">
        <f>C161*D161</f>
        <v/>
      </c>
      <c r="I161">
        <f>C161*E161</f>
        <v/>
      </c>
      <c r="J161">
        <f>C161*F161</f>
        <v/>
      </c>
      <c r="K161">
        <f>C161*G161</f>
        <v/>
      </c>
      <c r="L161">
        <f>D161+E161+F161+G161</f>
        <v/>
      </c>
    </row>
    <row r="162">
      <c r="A162" s="4" t="n">
        <v>41395</v>
      </c>
      <c r="B162" t="inlineStr">
        <is>
          <t>May-13</t>
        </is>
      </c>
      <c r="C162" t="n">
        <v>3.615</v>
      </c>
      <c r="D162" t="n">
        <v>66.5</v>
      </c>
      <c r="E162" t="n">
        <v>13.6</v>
      </c>
      <c r="F162" t="n">
        <v>8.300000000000001</v>
      </c>
      <c r="G162" t="n">
        <v>11.6</v>
      </c>
      <c r="H162">
        <f>C162*D162</f>
        <v/>
      </c>
      <c r="I162">
        <f>C162*E162</f>
        <v/>
      </c>
      <c r="J162">
        <f>C162*F162</f>
        <v/>
      </c>
      <c r="K162">
        <f>C162*G162</f>
        <v/>
      </c>
      <c r="L162">
        <f>D162+E162+F162+G162</f>
        <v/>
      </c>
    </row>
    <row r="163">
      <c r="A163" s="4" t="n">
        <v>41426</v>
      </c>
      <c r="B163" t="inlineStr">
        <is>
          <t>Jun-13</t>
        </is>
      </c>
      <c r="C163" t="n">
        <v>3.626</v>
      </c>
      <c r="D163" t="n">
        <v>65.59999999999999</v>
      </c>
      <c r="E163" t="n">
        <v>11.9</v>
      </c>
      <c r="F163" t="n">
        <v>11</v>
      </c>
      <c r="G163" t="n">
        <v>11.5</v>
      </c>
      <c r="H163">
        <f>C163*D163</f>
        <v/>
      </c>
      <c r="I163">
        <f>C163*E163</f>
        <v/>
      </c>
      <c r="J163">
        <f>C163*F163</f>
        <v/>
      </c>
      <c r="K163">
        <f>C163*G163</f>
        <v/>
      </c>
      <c r="L163">
        <f>D163+E163+F163+G163</f>
        <v/>
      </c>
    </row>
    <row r="164">
      <c r="A164" s="4" t="n">
        <v>41456</v>
      </c>
      <c r="B164" t="inlineStr">
        <is>
          <t>Jul-13</t>
        </is>
      </c>
      <c r="C164" t="n">
        <v>3.591</v>
      </c>
      <c r="D164" t="n">
        <v>70</v>
      </c>
      <c r="E164" t="n">
        <v>11.7</v>
      </c>
      <c r="F164" t="n">
        <v>6.6</v>
      </c>
      <c r="G164" t="n">
        <v>11.7</v>
      </c>
      <c r="H164">
        <f>C164*D164</f>
        <v/>
      </c>
      <c r="I164">
        <f>C164*E164</f>
        <v/>
      </c>
      <c r="J164">
        <f>C164*F164</f>
        <v/>
      </c>
      <c r="K164">
        <f>C164*G164</f>
        <v/>
      </c>
      <c r="L164">
        <f>D164+E164+F164+G164</f>
        <v/>
      </c>
    </row>
    <row r="165">
      <c r="A165" s="4" t="n">
        <v>41487</v>
      </c>
      <c r="B165" t="inlineStr">
        <is>
          <t>Aug-13</t>
        </is>
      </c>
      <c r="C165" t="n">
        <v>3.574</v>
      </c>
      <c r="D165" t="n">
        <v>70.90000000000001</v>
      </c>
      <c r="E165" t="n">
        <v>9.800000000000001</v>
      </c>
      <c r="F165" t="n">
        <v>7.6</v>
      </c>
      <c r="G165" t="n">
        <v>11.7</v>
      </c>
      <c r="H165">
        <f>C165*D165</f>
        <v/>
      </c>
      <c r="I165">
        <f>C165*E165</f>
        <v/>
      </c>
      <c r="J165">
        <f>C165*F165</f>
        <v/>
      </c>
      <c r="K165">
        <f>C165*G165</f>
        <v/>
      </c>
      <c r="L165">
        <f>D165+E165+F165+G165</f>
        <v/>
      </c>
    </row>
    <row r="166">
      <c r="A166" s="4" t="n">
        <v>41518</v>
      </c>
      <c r="B166" t="inlineStr">
        <is>
          <t>Sept-13</t>
        </is>
      </c>
      <c r="C166" t="n">
        <v>3.532</v>
      </c>
      <c r="D166" t="n">
        <v>70.8</v>
      </c>
      <c r="E166" t="n">
        <v>6.2</v>
      </c>
      <c r="F166" t="n">
        <v>11.1</v>
      </c>
      <c r="G166" t="n">
        <v>11.9</v>
      </c>
      <c r="H166">
        <f>C166*D166</f>
        <v/>
      </c>
      <c r="I166">
        <f>C166*E166</f>
        <v/>
      </c>
      <c r="J166">
        <f>C166*F166</f>
        <v/>
      </c>
      <c r="K166">
        <f>C166*G166</f>
        <v/>
      </c>
      <c r="L166">
        <f>D166+E166+F166+G166</f>
        <v/>
      </c>
    </row>
    <row r="167">
      <c r="A167" s="4" t="n">
        <v>41548</v>
      </c>
      <c r="B167" t="inlineStr">
        <is>
          <t>Oct-13</t>
        </is>
      </c>
      <c r="C167" t="n">
        <v>3.344</v>
      </c>
      <c r="D167" t="n">
        <v>71.40000000000001</v>
      </c>
      <c r="E167" t="n">
        <v>5.1</v>
      </c>
      <c r="F167" t="n">
        <v>11</v>
      </c>
      <c r="G167" t="n">
        <v>12.5</v>
      </c>
      <c r="H167">
        <f>C167*D167</f>
        <v/>
      </c>
      <c r="I167">
        <f>C167*E167</f>
        <v/>
      </c>
      <c r="J167">
        <f>C167*F167</f>
        <v/>
      </c>
      <c r="K167">
        <f>C167*G167</f>
        <v/>
      </c>
      <c r="L167">
        <f>D167+E167+F167+G167</f>
        <v/>
      </c>
    </row>
    <row r="168">
      <c r="A168" s="4" t="n">
        <v>41579</v>
      </c>
      <c r="B168" t="inlineStr">
        <is>
          <t>Nov-13</t>
        </is>
      </c>
      <c r="C168" t="n">
        <v>3.243</v>
      </c>
      <c r="D168" t="n">
        <v>68.90000000000001</v>
      </c>
      <c r="E168" t="n">
        <v>7.6</v>
      </c>
      <c r="F168" t="n">
        <v>10.6</v>
      </c>
      <c r="G168" t="n">
        <v>12.9</v>
      </c>
      <c r="H168">
        <f>C168*D168</f>
        <v/>
      </c>
      <c r="I168">
        <f>C168*E168</f>
        <v/>
      </c>
      <c r="J168">
        <f>C168*F168</f>
        <v/>
      </c>
      <c r="K168">
        <f>C168*G168</f>
        <v/>
      </c>
      <c r="L168">
        <f>D168+E168+F168+G168</f>
        <v/>
      </c>
    </row>
    <row r="169">
      <c r="A169" s="4" t="n">
        <v>41609</v>
      </c>
      <c r="B169" t="inlineStr">
        <is>
          <t>Dec-13</t>
        </is>
      </c>
      <c r="C169" t="n">
        <v>3.276</v>
      </c>
      <c r="D169" t="n">
        <v>68.09999999999999</v>
      </c>
      <c r="E169" t="n">
        <v>9.300000000000001</v>
      </c>
      <c r="F169" t="n">
        <v>9.9</v>
      </c>
      <c r="G169" t="n">
        <v>12.8</v>
      </c>
      <c r="H169">
        <f>C169*D169</f>
        <v/>
      </c>
      <c r="I169">
        <f>C169*E169</f>
        <v/>
      </c>
      <c r="J169">
        <f>C169*F169</f>
        <v/>
      </c>
      <c r="K169">
        <f>C169*G169</f>
        <v/>
      </c>
      <c r="L169">
        <f>D169+E169+F169+G169</f>
        <v/>
      </c>
    </row>
    <row r="170">
      <c r="A170" s="4" t="n">
        <v>41640</v>
      </c>
      <c r="B170" t="inlineStr">
        <is>
          <t>Jan-14</t>
        </is>
      </c>
      <c r="C170" t="n">
        <v>3.313</v>
      </c>
      <c r="D170" t="n">
        <v>67</v>
      </c>
      <c r="E170" t="n">
        <v>10</v>
      </c>
      <c r="F170" t="n">
        <v>10.3</v>
      </c>
      <c r="G170" t="n">
        <v>12.7</v>
      </c>
      <c r="H170">
        <f>C170*D170</f>
        <v/>
      </c>
      <c r="I170">
        <f>C170*E170</f>
        <v/>
      </c>
      <c r="J170">
        <f>C170*F170</f>
        <v/>
      </c>
      <c r="K170">
        <f>C170*G170</f>
        <v/>
      </c>
      <c r="L170">
        <f>D170+E170+F170+G170</f>
        <v/>
      </c>
    </row>
    <row r="171">
      <c r="A171" s="4" t="n">
        <v>41671</v>
      </c>
      <c r="B171" t="inlineStr">
        <is>
          <t>Feb-14</t>
        </is>
      </c>
      <c r="C171" t="n">
        <v>3.356</v>
      </c>
      <c r="D171" t="n">
        <v>69.5</v>
      </c>
      <c r="E171" t="n">
        <v>11.5</v>
      </c>
      <c r="F171" t="n">
        <v>6.4</v>
      </c>
      <c r="G171" t="n">
        <v>12.6</v>
      </c>
      <c r="H171">
        <f>C171*D171</f>
        <v/>
      </c>
      <c r="I171">
        <f>C171*E171</f>
        <v/>
      </c>
      <c r="J171">
        <f>C171*F171</f>
        <v/>
      </c>
      <c r="K171">
        <f>C171*G171</f>
        <v/>
      </c>
      <c r="L171">
        <f>D171+E171+F171+G171</f>
        <v/>
      </c>
    </row>
    <row r="172">
      <c r="A172" s="4" t="n">
        <v>41699</v>
      </c>
      <c r="B172" t="inlineStr">
        <is>
          <t>Mar-14</t>
        </is>
      </c>
      <c r="C172" t="n">
        <v>3.533</v>
      </c>
      <c r="D172" t="n">
        <v>66.90000000000001</v>
      </c>
      <c r="E172" t="n">
        <v>11.7</v>
      </c>
      <c r="F172" t="n">
        <v>9.300000000000001</v>
      </c>
      <c r="G172" t="n">
        <v>12</v>
      </c>
      <c r="H172">
        <f>C172*D172</f>
        <v/>
      </c>
      <c r="I172">
        <f>C172*E172</f>
        <v/>
      </c>
      <c r="J172">
        <f>C172*F172</f>
        <v/>
      </c>
      <c r="K172">
        <f>C172*G172</f>
        <v/>
      </c>
      <c r="L172">
        <f>D172+E172+F172+G172</f>
        <v/>
      </c>
    </row>
    <row r="173">
      <c r="A173" s="4" t="n">
        <v>41730</v>
      </c>
      <c r="B173" t="inlineStr">
        <is>
          <t>Apr-14</t>
        </is>
      </c>
      <c r="C173" t="n">
        <v>3.661</v>
      </c>
      <c r="D173" t="n">
        <v>65.2</v>
      </c>
      <c r="E173" t="n">
        <v>13.6</v>
      </c>
      <c r="F173" t="n">
        <v>9.5</v>
      </c>
      <c r="G173" t="n">
        <v>11.6</v>
      </c>
      <c r="H173">
        <f>C173*D173</f>
        <v/>
      </c>
      <c r="I173">
        <f>C173*E173</f>
        <v/>
      </c>
      <c r="J173">
        <f>C173*F173</f>
        <v/>
      </c>
      <c r="K173">
        <f>C173*G173</f>
        <v/>
      </c>
      <c r="L173">
        <f>D173+E173+F173+G173</f>
        <v/>
      </c>
    </row>
    <row r="174">
      <c r="A174" s="4" t="n">
        <v>41760</v>
      </c>
      <c r="B174" t="inlineStr">
        <is>
          <t>May-14</t>
        </is>
      </c>
      <c r="C174" t="n">
        <v>3.673</v>
      </c>
      <c r="D174" t="n">
        <v>65.3</v>
      </c>
      <c r="E174" t="n">
        <v>12.7</v>
      </c>
      <c r="F174" t="n">
        <v>10.5</v>
      </c>
      <c r="G174" t="n">
        <v>11.6</v>
      </c>
      <c r="H174">
        <f>C174*D174</f>
        <v/>
      </c>
      <c r="I174">
        <f>C174*E174</f>
        <v/>
      </c>
      <c r="J174">
        <f>C174*F174</f>
        <v/>
      </c>
      <c r="K174">
        <f>C174*G174</f>
        <v/>
      </c>
      <c r="L174">
        <f>D174+E174+F174+G174</f>
        <v/>
      </c>
    </row>
    <row r="175">
      <c r="A175" s="4" t="n">
        <v>41791</v>
      </c>
      <c r="B175" t="inlineStr">
        <is>
          <t>Jun-14</t>
        </is>
      </c>
      <c r="C175" t="n">
        <v>3.692</v>
      </c>
      <c r="D175" t="n">
        <v>66.59999999999999</v>
      </c>
      <c r="E175" t="n">
        <v>13.6</v>
      </c>
      <c r="F175" t="n">
        <v>8.199999999999999</v>
      </c>
      <c r="G175" t="n">
        <v>11.5</v>
      </c>
      <c r="H175">
        <f>C175*D175</f>
        <v/>
      </c>
      <c r="I175">
        <f>C175*E175</f>
        <v/>
      </c>
      <c r="J175">
        <f>C175*F175</f>
        <v/>
      </c>
      <c r="K175">
        <f>C175*G175</f>
        <v/>
      </c>
      <c r="L175">
        <f>D175+E175+F175+G175</f>
        <v/>
      </c>
    </row>
    <row r="176">
      <c r="A176" s="4" t="n">
        <v>41821</v>
      </c>
      <c r="B176" t="inlineStr">
        <is>
          <t>Jul-14</t>
        </is>
      </c>
      <c r="C176" t="n">
        <v>3.611</v>
      </c>
      <c r="D176" t="n">
        <v>65.59999999999999</v>
      </c>
      <c r="E176" t="n">
        <v>11.4</v>
      </c>
      <c r="F176" t="n">
        <v>11.2</v>
      </c>
      <c r="G176" t="n">
        <v>11.8</v>
      </c>
      <c r="H176">
        <f>C176*D176</f>
        <v/>
      </c>
      <c r="I176">
        <f>C176*E176</f>
        <v/>
      </c>
      <c r="J176">
        <f>C176*F176</f>
        <v/>
      </c>
      <c r="K176">
        <f>C176*G176</f>
        <v/>
      </c>
      <c r="L176">
        <f>D176+E176+F176+G176</f>
        <v/>
      </c>
    </row>
    <row r="177">
      <c r="A177" s="4" t="n">
        <v>41852</v>
      </c>
      <c r="B177" t="inlineStr">
        <is>
          <t>Aug-14</t>
        </is>
      </c>
      <c r="C177" t="n">
        <v>3.487</v>
      </c>
      <c r="D177" t="n">
        <v>65</v>
      </c>
      <c r="E177" t="n">
        <v>12.6</v>
      </c>
      <c r="F177" t="n">
        <v>10.2</v>
      </c>
      <c r="G177" t="n">
        <v>12.2</v>
      </c>
      <c r="H177">
        <f>C177*D177</f>
        <v/>
      </c>
      <c r="I177">
        <f>C177*E177</f>
        <v/>
      </c>
      <c r="J177">
        <f>C177*F177</f>
        <v/>
      </c>
      <c r="K177">
        <f>C177*G177</f>
        <v/>
      </c>
      <c r="L177">
        <f>D177+E177+F177+G177</f>
        <v/>
      </c>
    </row>
    <row r="178">
      <c r="A178" s="4" t="n">
        <v>41883</v>
      </c>
      <c r="B178" t="inlineStr">
        <is>
          <t>Sept-14</t>
        </is>
      </c>
      <c r="C178" t="n">
        <v>3.406</v>
      </c>
      <c r="D178" t="n">
        <v>64.2</v>
      </c>
      <c r="E178" t="n">
        <v>13.6</v>
      </c>
      <c r="F178" t="n">
        <v>9.699999999999999</v>
      </c>
      <c r="G178" t="n">
        <v>12.5</v>
      </c>
      <c r="H178">
        <f>C178*D178</f>
        <v/>
      </c>
      <c r="I178">
        <f>C178*E178</f>
        <v/>
      </c>
      <c r="J178">
        <f>C178*F178</f>
        <v/>
      </c>
      <c r="K178">
        <f>C178*G178</f>
        <v/>
      </c>
      <c r="L178">
        <f>D178+E178+F178+G178</f>
        <v/>
      </c>
    </row>
    <row r="179">
      <c r="A179" s="4" t="n">
        <v>41913</v>
      </c>
      <c r="B179" t="inlineStr">
        <is>
          <t>Oct-14</t>
        </is>
      </c>
      <c r="C179" t="n">
        <v>3.171</v>
      </c>
      <c r="D179" t="n">
        <v>63.4</v>
      </c>
      <c r="E179" t="n">
        <v>8.1</v>
      </c>
      <c r="F179" t="n">
        <v>15.1</v>
      </c>
      <c r="G179" t="n">
        <v>13.4</v>
      </c>
      <c r="H179">
        <f>C179*D179</f>
        <v/>
      </c>
      <c r="I179">
        <f>C179*E179</f>
        <v/>
      </c>
      <c r="J179">
        <f>C179*F179</f>
        <v/>
      </c>
      <c r="K179">
        <f>C179*G179</f>
        <v/>
      </c>
      <c r="L179">
        <f>D179+E179+F179+G179</f>
        <v/>
      </c>
    </row>
    <row r="180">
      <c r="A180" s="4" t="n">
        <v>41944</v>
      </c>
      <c r="B180" t="inlineStr">
        <is>
          <t>Nov-14</t>
        </is>
      </c>
      <c r="C180" t="n">
        <v>2.912</v>
      </c>
      <c r="D180" t="n">
        <v>62.4</v>
      </c>
      <c r="E180" t="n">
        <v>5.5</v>
      </c>
      <c r="F180" t="n">
        <v>17.4</v>
      </c>
      <c r="G180" t="n">
        <v>14.6</v>
      </c>
      <c r="H180">
        <f>C180*D180</f>
        <v/>
      </c>
      <c r="I180">
        <f>C180*E180</f>
        <v/>
      </c>
      <c r="J180">
        <f>C180*F180</f>
        <v/>
      </c>
      <c r="K180">
        <f>C180*G180</f>
        <v/>
      </c>
      <c r="L180">
        <f>D180+E180+F180+G180</f>
        <v/>
      </c>
    </row>
    <row r="181">
      <c r="A181" s="4" t="n">
        <v>41974</v>
      </c>
      <c r="B181" t="inlineStr">
        <is>
          <t>Dec-14</t>
        </is>
      </c>
      <c r="C181" t="n">
        <v>2.543</v>
      </c>
      <c r="D181" t="n">
        <v>56.7</v>
      </c>
      <c r="E181" t="n">
        <v>1</v>
      </c>
      <c r="F181" t="n">
        <v>25.5</v>
      </c>
      <c r="G181" t="n">
        <v>16.7</v>
      </c>
      <c r="H181">
        <f>C181*D181</f>
        <v/>
      </c>
      <c r="I181">
        <f>C181*E181</f>
        <v/>
      </c>
      <c r="J181">
        <f>C181*F181</f>
        <v/>
      </c>
      <c r="K181">
        <f>C181*G181</f>
        <v/>
      </c>
      <c r="L181">
        <f>D181+E181+F181+G181</f>
        <v/>
      </c>
    </row>
    <row r="182">
      <c r="A182" s="4" t="n">
        <v>42005</v>
      </c>
      <c r="B182" t="inlineStr">
        <is>
          <t>Jan-15</t>
        </is>
      </c>
      <c r="C182" t="n">
        <v>2.116</v>
      </c>
      <c r="D182" t="n">
        <v>53.7</v>
      </c>
      <c r="E182" t="n">
        <v>6.3</v>
      </c>
      <c r="F182" t="n">
        <v>19.9</v>
      </c>
      <c r="G182" t="n">
        <v>20.1</v>
      </c>
      <c r="H182">
        <f>C182*D182</f>
        <v/>
      </c>
      <c r="I182">
        <f>C182*E182</f>
        <v/>
      </c>
      <c r="J182">
        <f>C182*F182</f>
        <v/>
      </c>
      <c r="K182">
        <f>C182*G182</f>
        <v/>
      </c>
      <c r="L182">
        <f>D182+E182+F182+G182</f>
        <v/>
      </c>
    </row>
    <row r="183">
      <c r="A183" s="4" t="n">
        <v>42036</v>
      </c>
      <c r="B183" t="inlineStr">
        <is>
          <t>Feb-15</t>
        </is>
      </c>
      <c r="C183" t="n">
        <v>2.216</v>
      </c>
      <c r="D183" t="n">
        <v>51.3</v>
      </c>
      <c r="E183" t="n">
        <v>22.5</v>
      </c>
      <c r="F183" t="n">
        <v>5.7</v>
      </c>
      <c r="G183" t="n">
        <v>20.4</v>
      </c>
      <c r="H183">
        <f>C183*D183</f>
        <v/>
      </c>
      <c r="I183">
        <f>C183*E183</f>
        <v/>
      </c>
      <c r="J183">
        <f>C183*F183</f>
        <v/>
      </c>
      <c r="K183">
        <f>C183*G183</f>
        <v/>
      </c>
      <c r="L183">
        <f>D183+E183+F183+G183</f>
        <v/>
      </c>
    </row>
    <row r="184">
      <c r="A184" s="4" t="n">
        <v>42064</v>
      </c>
      <c r="B184" t="inlineStr">
        <is>
          <t>Mar-15</t>
        </is>
      </c>
      <c r="C184" t="n">
        <v>2.464</v>
      </c>
      <c r="D184" t="n">
        <v>46</v>
      </c>
      <c r="E184" t="n">
        <v>24</v>
      </c>
      <c r="F184" t="n">
        <v>11.6</v>
      </c>
      <c r="G184" t="n">
        <v>18.4</v>
      </c>
      <c r="H184">
        <f>C184*D184</f>
        <v/>
      </c>
      <c r="I184">
        <f>C184*E184</f>
        <v/>
      </c>
      <c r="J184">
        <f>C184*F184</f>
        <v/>
      </c>
      <c r="K184">
        <f>C184*G184</f>
        <v/>
      </c>
      <c r="L184">
        <f>D184+E184+F184+G184</f>
        <v/>
      </c>
    </row>
    <row r="185">
      <c r="A185" s="4" t="n">
        <v>42095</v>
      </c>
      <c r="B185" t="inlineStr">
        <is>
          <t>Apr-15</t>
        </is>
      </c>
      <c r="C185" t="n">
        <v>2.469</v>
      </c>
      <c r="D185" t="n">
        <v>50.9</v>
      </c>
      <c r="E185" t="n">
        <v>22.6</v>
      </c>
      <c r="F185" t="n">
        <v>8.199999999999999</v>
      </c>
      <c r="G185" t="n">
        <v>18.3</v>
      </c>
      <c r="H185">
        <f>C185*D185</f>
        <v/>
      </c>
      <c r="I185">
        <f>C185*E185</f>
        <v/>
      </c>
      <c r="J185">
        <f>C185*F185</f>
        <v/>
      </c>
      <c r="K185">
        <f>C185*G185</f>
        <v/>
      </c>
      <c r="L185">
        <f>D185+E185+F185+G185</f>
        <v/>
      </c>
    </row>
    <row r="186">
      <c r="A186" s="4" t="n">
        <v>42125</v>
      </c>
      <c r="B186" t="inlineStr">
        <is>
          <t>May-15</t>
        </is>
      </c>
      <c r="C186" t="n">
        <v>2.718</v>
      </c>
      <c r="D186" t="n">
        <v>51.4</v>
      </c>
      <c r="E186" t="n">
        <v>22.3</v>
      </c>
      <c r="F186" t="n">
        <v>9.6</v>
      </c>
      <c r="G186" t="n">
        <v>16.7</v>
      </c>
      <c r="H186">
        <f>C186*D186</f>
        <v/>
      </c>
      <c r="I186">
        <f>C186*E186</f>
        <v/>
      </c>
      <c r="J186">
        <f>C186*F186</f>
        <v/>
      </c>
      <c r="K186">
        <f>C186*G186</f>
        <v/>
      </c>
      <c r="L186">
        <f>D186+E186+F186+G186</f>
        <v/>
      </c>
    </row>
    <row r="187">
      <c r="A187" s="4" t="n">
        <v>42156</v>
      </c>
      <c r="B187" t="inlineStr">
        <is>
          <t>Jun-15</t>
        </is>
      </c>
      <c r="C187" t="n">
        <v>2.802</v>
      </c>
      <c r="D187" t="n">
        <v>51</v>
      </c>
      <c r="E187" t="n">
        <v>21.5</v>
      </c>
      <c r="F187" t="n">
        <v>11.4</v>
      </c>
      <c r="G187" t="n">
        <v>16.2</v>
      </c>
      <c r="H187">
        <f>C187*D187</f>
        <v/>
      </c>
      <c r="I187">
        <f>C187*E187</f>
        <v/>
      </c>
      <c r="J187">
        <f>C187*F187</f>
        <v/>
      </c>
      <c r="K187">
        <f>C187*G187</f>
        <v/>
      </c>
      <c r="L187">
        <f>D187+E187+F187+G187</f>
        <v/>
      </c>
    </row>
    <row r="188">
      <c r="A188" s="4" t="n">
        <v>42186</v>
      </c>
      <c r="B188" t="inlineStr">
        <is>
          <t>Jul-15</t>
        </is>
      </c>
      <c r="C188" t="n">
        <v>2.794</v>
      </c>
      <c r="D188" t="n">
        <v>45.6</v>
      </c>
      <c r="E188" t="n">
        <v>24.8</v>
      </c>
      <c r="F188" t="n">
        <v>13.4</v>
      </c>
      <c r="G188" t="n">
        <v>16.2</v>
      </c>
      <c r="H188">
        <f>C188*D188</f>
        <v/>
      </c>
      <c r="I188">
        <f>C188*E188</f>
        <v/>
      </c>
      <c r="J188">
        <f>C188*F188</f>
        <v/>
      </c>
      <c r="K188">
        <f>C188*G188</f>
        <v/>
      </c>
      <c r="L188">
        <f>D188+E188+F188+G188</f>
        <v/>
      </c>
    </row>
    <row r="189">
      <c r="A189" s="4" t="n">
        <v>42217</v>
      </c>
      <c r="B189" t="inlineStr">
        <is>
          <t>Aug-15</t>
        </is>
      </c>
      <c r="C189" t="n">
        <v>2.636</v>
      </c>
      <c r="D189" t="n">
        <v>39.8</v>
      </c>
      <c r="E189" t="n">
        <v>24.7</v>
      </c>
      <c r="F189" t="n">
        <v>18.5</v>
      </c>
      <c r="G189" t="n">
        <v>17</v>
      </c>
      <c r="H189">
        <f>C189*D189</f>
        <v/>
      </c>
      <c r="I189">
        <f>C189*E189</f>
        <v/>
      </c>
      <c r="J189">
        <f>C189*F189</f>
        <v/>
      </c>
      <c r="K189">
        <f>C189*G189</f>
        <v/>
      </c>
      <c r="L189">
        <f>D189+E189+F189+G189</f>
        <v/>
      </c>
    </row>
    <row r="190">
      <c r="A190" s="4" t="n">
        <v>42248</v>
      </c>
      <c r="B190" t="inlineStr">
        <is>
          <t>Sept-15</t>
        </is>
      </c>
      <c r="C190" t="n">
        <v>2.365</v>
      </c>
      <c r="D190" t="n">
        <v>45.7</v>
      </c>
      <c r="E190" t="n">
        <v>15.5</v>
      </c>
      <c r="F190" t="n">
        <v>19.7</v>
      </c>
      <c r="G190" t="n">
        <v>19</v>
      </c>
      <c r="H190">
        <f>C190*D190</f>
        <v/>
      </c>
      <c r="I190">
        <f>C190*E190</f>
        <v/>
      </c>
      <c r="J190">
        <f>C190*F190</f>
        <v/>
      </c>
      <c r="K190">
        <f>C190*G190</f>
        <v/>
      </c>
      <c r="L190">
        <f>D190+E190+F190+G190</f>
        <v/>
      </c>
    </row>
    <row r="191">
      <c r="A191" s="4" t="n">
        <v>42278</v>
      </c>
      <c r="B191" t="inlineStr">
        <is>
          <t>Oct-15</t>
        </is>
      </c>
      <c r="C191" t="n">
        <v>2.29</v>
      </c>
      <c r="D191" t="n">
        <v>46.9</v>
      </c>
      <c r="E191" t="n">
        <v>14.9</v>
      </c>
      <c r="F191" t="n">
        <v>18.6</v>
      </c>
      <c r="G191" t="n">
        <v>19.6</v>
      </c>
      <c r="H191">
        <f>C191*D191</f>
        <v/>
      </c>
      <c r="I191">
        <f>C191*E191</f>
        <v/>
      </c>
      <c r="J191">
        <f>C191*F191</f>
        <v/>
      </c>
      <c r="K191">
        <f>C191*G191</f>
        <v/>
      </c>
      <c r="L191">
        <f>D191+E191+F191+G191</f>
        <v/>
      </c>
    </row>
    <row r="192">
      <c r="A192" s="4" t="n">
        <v>42309</v>
      </c>
      <c r="B192" t="inlineStr">
        <is>
          <t>Nov-15</t>
        </is>
      </c>
      <c r="C192" t="n">
        <v>2.158</v>
      </c>
      <c r="D192" t="n">
        <v>46.1</v>
      </c>
      <c r="E192" t="n">
        <v>14.1</v>
      </c>
      <c r="F192" t="n">
        <v>19</v>
      </c>
      <c r="G192" t="n">
        <v>20.8</v>
      </c>
      <c r="H192">
        <f>C192*D192</f>
        <v/>
      </c>
      <c r="I192">
        <f>C192*E192</f>
        <v/>
      </c>
      <c r="J192">
        <f>C192*F192</f>
        <v/>
      </c>
      <c r="K192">
        <f>C192*G192</f>
        <v/>
      </c>
      <c r="L192">
        <f>D192+E192+F192+G192</f>
        <v/>
      </c>
    </row>
    <row r="193">
      <c r="A193" s="4" t="n">
        <v>42339</v>
      </c>
      <c r="B193" t="inlineStr">
        <is>
          <t>Dec-15</t>
        </is>
      </c>
      <c r="C193" t="n">
        <v>2.038</v>
      </c>
      <c r="D193" t="n">
        <v>42.2</v>
      </c>
      <c r="E193" t="n">
        <v>19.2</v>
      </c>
      <c r="F193" t="n">
        <v>16.6</v>
      </c>
      <c r="G193" t="n">
        <v>22</v>
      </c>
      <c r="H193">
        <f>C193*D193</f>
        <v/>
      </c>
      <c r="I193">
        <f>C193*E193</f>
        <v/>
      </c>
      <c r="J193">
        <f>C193*F193</f>
        <v/>
      </c>
      <c r="K193">
        <f>C193*G193</f>
        <v/>
      </c>
      <c r="L193">
        <f>D193+E193+F193+G193</f>
        <v/>
      </c>
    </row>
    <row r="194">
      <c r="A194" s="4" t="n">
        <v>42370</v>
      </c>
      <c r="B194" t="inlineStr">
        <is>
          <t>Jan-16</t>
        </is>
      </c>
      <c r="C194" t="n">
        <v>1.949</v>
      </c>
      <c r="D194" t="n">
        <v>37.7</v>
      </c>
      <c r="E194" t="n">
        <v>15.5</v>
      </c>
      <c r="F194" t="n">
        <v>23.8</v>
      </c>
      <c r="G194" t="n">
        <v>23</v>
      </c>
      <c r="H194">
        <f>C194*D194</f>
        <v/>
      </c>
      <c r="I194">
        <f>C194*E194</f>
        <v/>
      </c>
      <c r="J194">
        <f>C194*F194</f>
        <v/>
      </c>
      <c r="K194">
        <f>C194*G194</f>
        <v/>
      </c>
      <c r="L194">
        <f>D194+E194+F194+G194</f>
        <v/>
      </c>
    </row>
    <row r="195">
      <c r="A195" s="4" t="n">
        <v>42401</v>
      </c>
      <c r="B195" t="inlineStr">
        <is>
          <t>Feb-16</t>
        </is>
      </c>
      <c r="C195" t="n">
        <v>1.764</v>
      </c>
      <c r="D195" t="n">
        <v>38.4</v>
      </c>
      <c r="E195" t="n">
        <v>13.9</v>
      </c>
      <c r="F195" t="n">
        <v>22.2</v>
      </c>
      <c r="G195" t="n">
        <v>25.5</v>
      </c>
      <c r="H195">
        <f>C195*D195</f>
        <v/>
      </c>
      <c r="I195">
        <f>C195*E195</f>
        <v/>
      </c>
      <c r="J195">
        <f>C195*F195</f>
        <v/>
      </c>
      <c r="K195">
        <f>C195*G195</f>
        <v/>
      </c>
      <c r="L195">
        <f>D195+E195+F195+G195</f>
        <v/>
      </c>
    </row>
    <row r="196">
      <c r="A196" s="4" t="n">
        <v>42430</v>
      </c>
      <c r="B196" t="inlineStr">
        <is>
          <t>Mar-16</t>
        </is>
      </c>
      <c r="C196" t="n">
        <v>1.969</v>
      </c>
      <c r="D196" t="n">
        <v>39.7</v>
      </c>
      <c r="E196" t="n">
        <v>24.4</v>
      </c>
      <c r="F196" t="n">
        <v>13.2</v>
      </c>
      <c r="G196" t="n">
        <v>22.8</v>
      </c>
      <c r="H196">
        <f>C196*D196</f>
        <v/>
      </c>
      <c r="I196">
        <f>C196*E196</f>
        <v/>
      </c>
      <c r="J196">
        <f>C196*F196</f>
        <v/>
      </c>
      <c r="K196">
        <f>C196*G196</f>
        <v/>
      </c>
      <c r="L196">
        <f>D196+E196+F196+G196</f>
        <v/>
      </c>
    </row>
    <row r="197">
      <c r="A197" s="4" t="n">
        <v>42461</v>
      </c>
      <c r="B197" t="inlineStr">
        <is>
          <t>Apr-16</t>
        </is>
      </c>
      <c r="C197" t="n">
        <v>2.113</v>
      </c>
      <c r="D197" t="n">
        <v>42.2</v>
      </c>
      <c r="E197" t="n">
        <v>23.9</v>
      </c>
      <c r="F197" t="n">
        <v>12.7</v>
      </c>
      <c r="G197" t="n">
        <v>21.3</v>
      </c>
      <c r="H197">
        <f>C197*D197</f>
        <v/>
      </c>
      <c r="I197">
        <f>C197*E197</f>
        <v/>
      </c>
      <c r="J197">
        <f>C197*F197</f>
        <v/>
      </c>
      <c r="K197">
        <f>C197*G197</f>
        <v/>
      </c>
      <c r="L197">
        <f>D197+E197+F197+G197</f>
        <v/>
      </c>
    </row>
    <row r="198">
      <c r="A198" s="4" t="n">
        <v>42491</v>
      </c>
      <c r="B198" t="inlineStr">
        <is>
          <t>May-16</t>
        </is>
      </c>
      <c r="C198" t="n">
        <v>2.268</v>
      </c>
      <c r="D198" t="n">
        <v>45.8</v>
      </c>
      <c r="E198" t="n">
        <v>20.3</v>
      </c>
      <c r="F198" t="n">
        <v>14.1</v>
      </c>
      <c r="G198" t="n">
        <v>19.8</v>
      </c>
      <c r="H198">
        <f>C198*D198</f>
        <v/>
      </c>
      <c r="I198">
        <f>C198*E198</f>
        <v/>
      </c>
      <c r="J198">
        <f>C198*F198</f>
        <v/>
      </c>
      <c r="K198">
        <f>C198*G198</f>
        <v/>
      </c>
      <c r="L198">
        <f>D198+E198+F198+G198</f>
        <v/>
      </c>
    </row>
    <row r="199">
      <c r="A199" s="4" t="n">
        <v>42522</v>
      </c>
      <c r="B199" t="inlineStr">
        <is>
          <t>Jun-16</t>
        </is>
      </c>
      <c r="C199" t="n">
        <v>2.366</v>
      </c>
      <c r="D199" t="n">
        <v>46</v>
      </c>
      <c r="E199" t="n">
        <v>19.4</v>
      </c>
      <c r="F199" t="n">
        <v>15.6</v>
      </c>
      <c r="G199" t="n">
        <v>19</v>
      </c>
      <c r="H199">
        <f>C199*D199</f>
        <v/>
      </c>
      <c r="I199">
        <f>C199*E199</f>
        <v/>
      </c>
      <c r="J199">
        <f>C199*F199</f>
        <v/>
      </c>
      <c r="K199">
        <f>C199*G199</f>
        <v/>
      </c>
      <c r="L199">
        <f>D199+E199+F199+G199</f>
        <v/>
      </c>
    </row>
    <row r="200">
      <c r="A200" s="4" t="n">
        <v>42552</v>
      </c>
      <c r="B200" t="inlineStr">
        <is>
          <t>Jul-16</t>
        </is>
      </c>
      <c r="C200" t="n">
        <v>2.239</v>
      </c>
      <c r="D200" t="n">
        <v>45.6</v>
      </c>
      <c r="E200" t="n">
        <v>15.5</v>
      </c>
      <c r="F200" t="n">
        <v>18.8</v>
      </c>
      <c r="G200" t="n">
        <v>20.1</v>
      </c>
      <c r="H200">
        <f>C200*D200</f>
        <v/>
      </c>
      <c r="I200">
        <f>C200*E200</f>
        <v/>
      </c>
      <c r="J200">
        <f>C200*F200</f>
        <v/>
      </c>
      <c r="K200">
        <f>C200*G200</f>
        <v/>
      </c>
      <c r="L200">
        <f>D200+E200+F200+G200</f>
        <v/>
      </c>
    </row>
    <row r="201">
      <c r="A201" s="4" t="n">
        <v>42583</v>
      </c>
      <c r="B201" t="inlineStr">
        <is>
          <t>Aug-16</t>
        </is>
      </c>
      <c r="C201" t="n">
        <v>2.178</v>
      </c>
      <c r="D201" t="n">
        <v>47.2</v>
      </c>
      <c r="E201" t="n">
        <v>18.6</v>
      </c>
      <c r="F201" t="n">
        <v>13.6</v>
      </c>
      <c r="G201" t="n">
        <v>20.7</v>
      </c>
      <c r="H201">
        <f>C201*D201</f>
        <v/>
      </c>
      <c r="I201">
        <f>C201*E201</f>
        <v/>
      </c>
      <c r="J201">
        <f>C201*F201</f>
        <v/>
      </c>
      <c r="K201">
        <f>C201*G201</f>
        <v/>
      </c>
      <c r="L201">
        <f>D201+E201+F201+G201</f>
        <v/>
      </c>
    </row>
    <row r="202">
      <c r="A202" s="4" t="n">
        <v>42614</v>
      </c>
      <c r="B202" t="inlineStr">
        <is>
          <t>Sept-16</t>
        </is>
      </c>
      <c r="C202" t="n">
        <v>2.219</v>
      </c>
      <c r="D202" t="n">
        <v>46.8</v>
      </c>
      <c r="E202" t="n">
        <v>17.9</v>
      </c>
      <c r="F202" t="n">
        <v>15</v>
      </c>
      <c r="G202" t="n">
        <v>20.3</v>
      </c>
      <c r="H202">
        <f>C202*D202</f>
        <v/>
      </c>
      <c r="I202">
        <f>C202*E202</f>
        <v/>
      </c>
      <c r="J202">
        <f>C202*F202</f>
        <v/>
      </c>
      <c r="K202">
        <f>C202*G202</f>
        <v/>
      </c>
      <c r="L202">
        <f>D202+E202+F202+G202</f>
        <v/>
      </c>
    </row>
    <row r="203">
      <c r="A203" s="4" t="n">
        <v>42644</v>
      </c>
      <c r="B203" t="inlineStr">
        <is>
          <t>Oct-16</t>
        </is>
      </c>
      <c r="C203" t="n">
        <v>2.249</v>
      </c>
      <c r="D203" t="n">
        <v>48.9</v>
      </c>
      <c r="E203" t="n">
        <v>17.5</v>
      </c>
      <c r="F203" t="n">
        <v>13.6</v>
      </c>
      <c r="G203" t="n">
        <v>20</v>
      </c>
      <c r="H203">
        <f>C203*D203</f>
        <v/>
      </c>
      <c r="I203">
        <f>C203*E203</f>
        <v/>
      </c>
      <c r="J203">
        <f>C203*F203</f>
        <v/>
      </c>
      <c r="K203">
        <f>C203*G203</f>
        <v/>
      </c>
      <c r="L203">
        <f>D203+E203+F203+G203</f>
        <v/>
      </c>
    </row>
    <row r="204">
      <c r="A204" s="4" t="n">
        <v>42675</v>
      </c>
      <c r="B204" t="inlineStr">
        <is>
          <t>Nov-16</t>
        </is>
      </c>
      <c r="C204" t="n">
        <v>2.182</v>
      </c>
      <c r="D204" t="n">
        <v>48.7</v>
      </c>
      <c r="E204" t="n">
        <v>11.9</v>
      </c>
      <c r="F204" t="n">
        <v>18.8</v>
      </c>
      <c r="G204" t="n">
        <v>20.6</v>
      </c>
      <c r="H204">
        <f>C204*D204</f>
        <v/>
      </c>
      <c r="I204">
        <f>C204*E204</f>
        <v/>
      </c>
      <c r="J204">
        <f>C204*F204</f>
        <v/>
      </c>
      <c r="K204">
        <f>C204*G204</f>
        <v/>
      </c>
      <c r="L204">
        <f>D204+E204+F204+G204</f>
        <v/>
      </c>
    </row>
    <row r="205">
      <c r="A205" s="4" t="n">
        <v>42705</v>
      </c>
      <c r="B205" t="inlineStr">
        <is>
          <t>Dec-16</t>
        </is>
      </c>
      <c r="C205" t="n">
        <v>2.254</v>
      </c>
      <c r="D205" t="n">
        <v>51.8</v>
      </c>
      <c r="E205" t="n">
        <v>16.4</v>
      </c>
      <c r="F205" t="n">
        <v>11.8</v>
      </c>
      <c r="G205" t="n">
        <v>20</v>
      </c>
      <c r="H205">
        <f>C205*D205</f>
        <v/>
      </c>
      <c r="I205">
        <f>C205*E205</f>
        <v/>
      </c>
      <c r="J205">
        <f>C205*F205</f>
        <v/>
      </c>
      <c r="K205">
        <f>C205*G205</f>
        <v/>
      </c>
      <c r="L205">
        <f>D205+E205+F205+G205</f>
        <v/>
      </c>
    </row>
    <row r="206">
      <c r="A206" s="4" t="n">
        <v>42736</v>
      </c>
      <c r="B206" t="inlineStr">
        <is>
          <t>Jan-17</t>
        </is>
      </c>
      <c r="C206" t="n">
        <v>2.349</v>
      </c>
      <c r="D206" t="n">
        <v>51.4</v>
      </c>
      <c r="E206" t="n">
        <v>15.5</v>
      </c>
      <c r="F206" t="n">
        <v>13.7</v>
      </c>
      <c r="G206" t="n">
        <v>19.5</v>
      </c>
      <c r="H206">
        <f>C206*D206</f>
        <v/>
      </c>
      <c r="I206">
        <f>C206*E206</f>
        <v/>
      </c>
      <c r="J206">
        <f>C206*F206</f>
        <v/>
      </c>
      <c r="K206">
        <f>C206*G206</f>
        <v/>
      </c>
      <c r="L206">
        <f>D206+E206+F206+G206</f>
        <v/>
      </c>
    </row>
    <row r="207">
      <c r="A207" s="4" t="n">
        <v>42767</v>
      </c>
      <c r="B207" t="inlineStr">
        <is>
          <t>Feb-17</t>
        </is>
      </c>
      <c r="C207" t="n">
        <v>2.304</v>
      </c>
      <c r="D207" t="n">
        <v>52.7</v>
      </c>
      <c r="E207" t="n">
        <v>14.7</v>
      </c>
      <c r="F207" t="n">
        <v>12.7</v>
      </c>
      <c r="G207" t="n">
        <v>19.8</v>
      </c>
      <c r="H207">
        <f>C207*D207</f>
        <v/>
      </c>
      <c r="I207">
        <f>C207*E207</f>
        <v/>
      </c>
      <c r="J207">
        <f>C207*F207</f>
        <v/>
      </c>
      <c r="K207">
        <f>C207*G207</f>
        <v/>
      </c>
      <c r="L207">
        <f>D207+E207+F207+G207</f>
        <v/>
      </c>
    </row>
    <row r="208">
      <c r="A208" s="4" t="n">
        <v>42795</v>
      </c>
      <c r="B208" t="inlineStr">
        <is>
          <t>Mar-17</t>
        </is>
      </c>
      <c r="C208" t="n">
        <v>2.325</v>
      </c>
      <c r="D208" t="n">
        <v>49.7</v>
      </c>
      <c r="E208" t="n">
        <v>16.8</v>
      </c>
      <c r="F208" t="n">
        <v>13.8</v>
      </c>
      <c r="G208" t="n">
        <v>19.7</v>
      </c>
      <c r="H208">
        <f>C208*D208</f>
        <v/>
      </c>
      <c r="I208">
        <f>C208*E208</f>
        <v/>
      </c>
      <c r="J208">
        <f>C208*F208</f>
        <v/>
      </c>
      <c r="K208">
        <f>C208*G208</f>
        <v/>
      </c>
      <c r="L208">
        <f>D208+E208+F208+G208</f>
        <v/>
      </c>
    </row>
    <row r="209">
      <c r="A209" s="4" t="n">
        <v>42826</v>
      </c>
      <c r="B209" t="inlineStr">
        <is>
          <t>Apr-17</t>
        </is>
      </c>
      <c r="C209" t="n">
        <v>2.417</v>
      </c>
      <c r="D209" t="n">
        <v>48.7</v>
      </c>
      <c r="E209" t="n">
        <v>19.2</v>
      </c>
      <c r="F209" t="n">
        <v>13.2</v>
      </c>
      <c r="G209" t="n">
        <v>18.9</v>
      </c>
      <c r="H209">
        <f>C209*D209</f>
        <v/>
      </c>
      <c r="I209">
        <f>C209*E209</f>
        <v/>
      </c>
      <c r="J209">
        <f>C209*F209</f>
        <v/>
      </c>
      <c r="K209">
        <f>C209*G209</f>
        <v/>
      </c>
      <c r="L209">
        <f>D209+E209+F209+G209</f>
        <v/>
      </c>
    </row>
    <row r="210">
      <c r="A210" s="4" t="n">
        <v>42856</v>
      </c>
      <c r="B210" t="inlineStr">
        <is>
          <t>May-17</t>
        </is>
      </c>
      <c r="C210" t="n">
        <v>2.391</v>
      </c>
      <c r="D210" t="n">
        <v>48.3</v>
      </c>
      <c r="E210" t="n">
        <v>15.8</v>
      </c>
      <c r="F210" t="n">
        <v>16.8</v>
      </c>
      <c r="G210" t="n">
        <v>19.1</v>
      </c>
      <c r="H210">
        <f>C210*D210</f>
        <v/>
      </c>
      <c r="I210">
        <f>C210*E210</f>
        <v/>
      </c>
      <c r="J210">
        <f>C210*F210</f>
        <v/>
      </c>
      <c r="K210">
        <f>C210*G210</f>
        <v/>
      </c>
      <c r="L210">
        <f>D210+E210+F210+G210</f>
        <v/>
      </c>
    </row>
    <row r="211">
      <c r="A211" s="4" t="n">
        <v>42887</v>
      </c>
      <c r="B211" t="inlineStr">
        <is>
          <t>Jun-17</t>
        </is>
      </c>
      <c r="C211" t="n">
        <v>2.347</v>
      </c>
      <c r="D211" t="n">
        <v>45.8</v>
      </c>
      <c r="E211" t="n">
        <v>16.5</v>
      </c>
      <c r="F211" t="n">
        <v>18.2</v>
      </c>
      <c r="G211" t="n">
        <v>19.5</v>
      </c>
      <c r="H211">
        <f>C211*D211</f>
        <v/>
      </c>
      <c r="I211">
        <f>C211*E211</f>
        <v/>
      </c>
      <c r="J211">
        <f>C211*F211</f>
        <v/>
      </c>
      <c r="K211">
        <f>C211*G211</f>
        <v/>
      </c>
      <c r="L211">
        <f>D211+E211+F211+G211</f>
        <v/>
      </c>
    </row>
    <row r="212">
      <c r="A212" s="4" t="n">
        <v>42917</v>
      </c>
      <c r="B212" t="inlineStr">
        <is>
          <t>Jul-17</t>
        </is>
      </c>
      <c r="C212" t="n">
        <v>2.3</v>
      </c>
      <c r="D212" t="n">
        <v>48.5</v>
      </c>
      <c r="E212" t="n">
        <v>19</v>
      </c>
      <c r="F212" t="n">
        <v>12.3</v>
      </c>
      <c r="G212" t="n">
        <v>20.2</v>
      </c>
      <c r="H212">
        <f>C212*D212</f>
        <v/>
      </c>
      <c r="I212">
        <f>C212*E212</f>
        <v/>
      </c>
      <c r="J212">
        <f>C212*F212</f>
        <v/>
      </c>
      <c r="K212">
        <f>C212*G212</f>
        <v/>
      </c>
      <c r="L212">
        <f>D212+E212+F212+G212</f>
        <v/>
      </c>
    </row>
    <row r="213">
      <c r="A213" s="4" t="n">
        <v>42948</v>
      </c>
      <c r="B213" t="inlineStr">
        <is>
          <t>Aug-17</t>
        </is>
      </c>
      <c r="C213" t="n">
        <v>2.38</v>
      </c>
      <c r="D213" t="n">
        <v>48.2</v>
      </c>
      <c r="E213" t="n">
        <v>22.1</v>
      </c>
      <c r="F213" t="n">
        <v>10.2</v>
      </c>
      <c r="G213" t="n">
        <v>19.5</v>
      </c>
      <c r="H213">
        <f>C213*D213</f>
        <v/>
      </c>
      <c r="I213">
        <f>C213*E213</f>
        <v/>
      </c>
      <c r="J213">
        <f>C213*F213</f>
        <v/>
      </c>
      <c r="K213">
        <f>C213*G213</f>
        <v/>
      </c>
      <c r="L213">
        <f>D213+E213+F213+G213</f>
        <v/>
      </c>
    </row>
    <row r="214">
      <c r="A214" s="4" t="n">
        <v>42979</v>
      </c>
      <c r="B214" t="inlineStr">
        <is>
          <t>Sept-17</t>
        </is>
      </c>
      <c r="C214" t="n">
        <v>2.645</v>
      </c>
      <c r="D214" t="n">
        <v>45.2</v>
      </c>
      <c r="E214" t="n">
        <v>20.8</v>
      </c>
      <c r="F214" t="n">
        <v>16.4</v>
      </c>
      <c r="G214" t="n">
        <v>17.5</v>
      </c>
      <c r="H214">
        <f>C214*D214</f>
        <v/>
      </c>
      <c r="I214">
        <f>C214*E214</f>
        <v/>
      </c>
      <c r="J214">
        <f>C214*F214</f>
        <v/>
      </c>
      <c r="K214">
        <f>C214*G214</f>
        <v/>
      </c>
      <c r="L214">
        <f>D214+E214+F214+G214</f>
        <v/>
      </c>
    </row>
    <row r="215">
      <c r="A215" s="4" t="n">
        <v>43009</v>
      </c>
      <c r="B215" t="inlineStr">
        <is>
          <t>Oct-17</t>
        </is>
      </c>
      <c r="C215" t="n">
        <v>2.505</v>
      </c>
      <c r="D215" t="n">
        <v>50</v>
      </c>
      <c r="E215" t="n">
        <v>17.4</v>
      </c>
      <c r="F215" t="n">
        <v>14</v>
      </c>
      <c r="G215" t="n">
        <v>18.5</v>
      </c>
      <c r="H215">
        <f>C215*D215</f>
        <v/>
      </c>
      <c r="I215">
        <f>C215*E215</f>
        <v/>
      </c>
      <c r="J215">
        <f>C215*F215</f>
        <v/>
      </c>
      <c r="K215">
        <f>C215*G215</f>
        <v/>
      </c>
      <c r="L215">
        <f>D215+E215+F215+G215</f>
        <v/>
      </c>
    </row>
    <row r="216">
      <c r="A216" s="4" t="n">
        <v>43040</v>
      </c>
      <c r="B216" t="inlineStr">
        <is>
          <t>Nov-17</t>
        </is>
      </c>
      <c r="C216" t="n">
        <v>2.564</v>
      </c>
      <c r="D216" t="n">
        <v>53.1</v>
      </c>
      <c r="E216" t="n">
        <v>16.5</v>
      </c>
      <c r="F216" t="n">
        <v>12.3</v>
      </c>
      <c r="G216" t="n">
        <v>18.1</v>
      </c>
      <c r="H216">
        <f>C216*D216</f>
        <v/>
      </c>
      <c r="I216">
        <f>C216*E216</f>
        <v/>
      </c>
      <c r="J216">
        <f>C216*F216</f>
        <v/>
      </c>
      <c r="K216">
        <f>C216*G216</f>
        <v/>
      </c>
      <c r="L216">
        <f>D216+E216+F216+G216</f>
        <v/>
      </c>
    </row>
    <row r="217">
      <c r="A217" s="4" t="n">
        <v>43070</v>
      </c>
      <c r="B217" t="inlineStr">
        <is>
          <t>Dec-17</t>
        </is>
      </c>
      <c r="C217" t="n">
        <v>2.477</v>
      </c>
      <c r="D217" t="n">
        <v>57</v>
      </c>
      <c r="E217" t="n">
        <v>11.4</v>
      </c>
      <c r="F217" t="n">
        <v>12.9</v>
      </c>
      <c r="G217" t="n">
        <v>18.7</v>
      </c>
      <c r="H217">
        <f>C217*D217</f>
        <v/>
      </c>
      <c r="I217">
        <f>C217*E217</f>
        <v/>
      </c>
      <c r="J217">
        <f>C217*F217</f>
        <v/>
      </c>
      <c r="K217">
        <f>C217*G217</f>
        <v/>
      </c>
      <c r="L217">
        <f>D217+E217+F217+G217</f>
        <v/>
      </c>
    </row>
    <row r="218">
      <c r="A218" s="4" t="n">
        <v>43101</v>
      </c>
      <c r="B218" t="inlineStr">
        <is>
          <t>Jan-18</t>
        </is>
      </c>
      <c r="C218" t="n">
        <v>2.555</v>
      </c>
      <c r="D218" t="n">
        <v>59.4</v>
      </c>
      <c r="E218" t="n">
        <v>13.3</v>
      </c>
      <c r="F218" t="n">
        <v>9</v>
      </c>
      <c r="G218" t="n">
        <v>18.3</v>
      </c>
      <c r="H218">
        <f>C218*D218</f>
        <v/>
      </c>
      <c r="I218">
        <f>C218*E218</f>
        <v/>
      </c>
      <c r="J218">
        <f>C218*F218</f>
        <v/>
      </c>
      <c r="K218">
        <f>C218*G218</f>
        <v/>
      </c>
      <c r="L218">
        <f>D218+E218+F218+G218</f>
        <v/>
      </c>
    </row>
    <row r="219">
      <c r="A219" s="4" t="n">
        <v>43132</v>
      </c>
      <c r="B219" t="inlineStr">
        <is>
          <t>Feb-18</t>
        </is>
      </c>
      <c r="C219" t="n">
        <v>2.587</v>
      </c>
      <c r="D219" t="n">
        <v>56.9</v>
      </c>
      <c r="E219" t="n">
        <v>11.3</v>
      </c>
      <c r="F219" t="n">
        <v>13.7</v>
      </c>
      <c r="G219" t="n">
        <v>18.1</v>
      </c>
      <c r="H219">
        <f>C219*D219</f>
        <v/>
      </c>
      <c r="I219">
        <f>C219*E219</f>
        <v/>
      </c>
      <c r="J219">
        <f>C219*F219</f>
        <v/>
      </c>
      <c r="K219">
        <f>C219*G219</f>
        <v/>
      </c>
      <c r="L219">
        <f>D219+E219+F219+G219</f>
        <v/>
      </c>
    </row>
    <row r="220">
      <c r="A220" s="4" t="n">
        <v>43160</v>
      </c>
      <c r="B220" t="inlineStr">
        <is>
          <t>Mar-18</t>
        </is>
      </c>
      <c r="C220" t="n">
        <v>2.591</v>
      </c>
      <c r="D220" t="n">
        <v>57.1</v>
      </c>
      <c r="E220" t="n">
        <v>14.2</v>
      </c>
      <c r="F220" t="n">
        <v>10.6</v>
      </c>
      <c r="G220" t="n">
        <v>18</v>
      </c>
      <c r="H220">
        <f>C220*D220</f>
        <v/>
      </c>
      <c r="I220">
        <f>C220*E220</f>
        <v/>
      </c>
      <c r="J220">
        <f>C220*F220</f>
        <v/>
      </c>
      <c r="K220">
        <f>C220*G220</f>
        <v/>
      </c>
      <c r="L220">
        <f>D220+E220+F220+G220</f>
        <v/>
      </c>
    </row>
    <row r="221">
      <c r="A221" s="4" t="n">
        <v>43191</v>
      </c>
      <c r="B221" t="inlineStr">
        <is>
          <t>Apr-18</t>
        </is>
      </c>
      <c r="C221" t="n">
        <v>2.757</v>
      </c>
      <c r="D221" t="n">
        <v>55.7</v>
      </c>
      <c r="E221" t="n">
        <v>17</v>
      </c>
      <c r="F221" t="n">
        <v>10.3</v>
      </c>
      <c r="G221" t="n">
        <v>16.9</v>
      </c>
      <c r="H221">
        <f>C221*D221</f>
        <v/>
      </c>
      <c r="I221">
        <f>C221*E221</f>
        <v/>
      </c>
      <c r="J221">
        <f>C221*F221</f>
        <v/>
      </c>
      <c r="K221">
        <f>C221*G221</f>
        <v/>
      </c>
      <c r="L221">
        <f>D221+E221+F221+G221</f>
        <v/>
      </c>
    </row>
    <row r="222">
      <c r="A222" s="4" t="n">
        <v>43221</v>
      </c>
      <c r="B222" t="inlineStr">
        <is>
          <t>May-18</t>
        </is>
      </c>
      <c r="C222" t="n">
        <v>2.901</v>
      </c>
      <c r="D222" t="n">
        <v>56.2</v>
      </c>
      <c r="E222" t="n">
        <v>17.9</v>
      </c>
      <c r="F222" t="n">
        <v>9.800000000000001</v>
      </c>
      <c r="G222" t="n">
        <v>16.1</v>
      </c>
      <c r="H222">
        <f>C222*D222</f>
        <v/>
      </c>
      <c r="I222">
        <f>C222*E222</f>
        <v/>
      </c>
      <c r="J222">
        <f>C222*F222</f>
        <v/>
      </c>
      <c r="K222">
        <f>C222*G222</f>
        <v/>
      </c>
      <c r="L222">
        <f>D222+E222+F222+G222</f>
        <v/>
      </c>
    </row>
    <row r="223">
      <c r="A223" s="4" t="n">
        <v>43252</v>
      </c>
      <c r="B223" t="inlineStr">
        <is>
          <t>Jun-18</t>
        </is>
      </c>
      <c r="C223" t="n">
        <v>2.891</v>
      </c>
      <c r="D223" t="n">
        <v>55.7</v>
      </c>
      <c r="E223" t="n">
        <v>15.2</v>
      </c>
      <c r="F223" t="n">
        <v>13</v>
      </c>
      <c r="G223" t="n">
        <v>16.2</v>
      </c>
      <c r="H223">
        <f>C223*D223</f>
        <v/>
      </c>
      <c r="I223">
        <f>C223*E223</f>
        <v/>
      </c>
      <c r="J223">
        <f>C223*F223</f>
        <v/>
      </c>
      <c r="K223">
        <f>C223*G223</f>
        <v/>
      </c>
      <c r="L223">
        <f>D223+E223+F223+G223</f>
        <v/>
      </c>
    </row>
    <row r="224">
      <c r="A224" s="4" t="n">
        <v>43282</v>
      </c>
      <c r="B224" t="inlineStr">
        <is>
          <t>Jul-18</t>
        </is>
      </c>
      <c r="C224" t="n">
        <v>2.849</v>
      </c>
      <c r="D224" t="n">
        <v>57.5</v>
      </c>
      <c r="E224" t="n">
        <v>15.3</v>
      </c>
      <c r="F224" t="n">
        <v>10.7</v>
      </c>
      <c r="G224" t="n">
        <v>16.5</v>
      </c>
      <c r="H224">
        <f>C224*D224</f>
        <v/>
      </c>
      <c r="I224">
        <f>C224*E224</f>
        <v/>
      </c>
      <c r="J224">
        <f>C224*F224</f>
        <v/>
      </c>
      <c r="K224">
        <f>C224*G224</f>
        <v/>
      </c>
      <c r="L224">
        <f>D224+E224+F224+G224</f>
        <v/>
      </c>
    </row>
    <row r="225">
      <c r="A225" s="4" t="n">
        <v>43313</v>
      </c>
      <c r="B225" t="inlineStr">
        <is>
          <t>Aug-18</t>
        </is>
      </c>
      <c r="C225" t="n">
        <v>2.836</v>
      </c>
      <c r="D225" t="n">
        <v>56.9</v>
      </c>
      <c r="E225" t="n">
        <v>15.1</v>
      </c>
      <c r="F225" t="n">
        <v>11.5</v>
      </c>
      <c r="G225" t="n">
        <v>16.6</v>
      </c>
      <c r="H225">
        <f>C225*D225</f>
        <v/>
      </c>
      <c r="I225">
        <f>C225*E225</f>
        <v/>
      </c>
      <c r="J225">
        <f>C225*F225</f>
        <v/>
      </c>
      <c r="K225">
        <f>C225*G225</f>
        <v/>
      </c>
      <c r="L225">
        <f>D225+E225+F225+G225</f>
        <v/>
      </c>
    </row>
    <row r="226">
      <c r="A226" s="4" t="n">
        <v>43344</v>
      </c>
      <c r="B226" t="inlineStr">
        <is>
          <t>Sept-18</t>
        </is>
      </c>
      <c r="C226" t="n">
        <v>2.836</v>
      </c>
      <c r="D226" t="n">
        <v>50.5</v>
      </c>
      <c r="E226" t="n">
        <v>16.7</v>
      </c>
      <c r="F226" t="n">
        <v>16.1</v>
      </c>
      <c r="G226" t="n">
        <v>16.7</v>
      </c>
      <c r="H226">
        <f>C226*D226</f>
        <v/>
      </c>
      <c r="I226">
        <f>C226*E226</f>
        <v/>
      </c>
      <c r="J226">
        <f>C226*F226</f>
        <v/>
      </c>
      <c r="K226">
        <f>C226*G226</f>
        <v/>
      </c>
      <c r="L226">
        <f>D226+E226+F226+G226</f>
        <v/>
      </c>
    </row>
    <row r="227">
      <c r="A227" s="4" t="n">
        <v>43374</v>
      </c>
      <c r="B227" t="inlineStr">
        <is>
          <t>Oct-18</t>
        </is>
      </c>
      <c r="C227" t="n">
        <v>2.86</v>
      </c>
      <c r="D227" t="n">
        <v>56.7</v>
      </c>
      <c r="E227" t="n">
        <v>13.5</v>
      </c>
      <c r="F227" t="n">
        <v>13.3</v>
      </c>
      <c r="G227" t="n">
        <v>16.4</v>
      </c>
      <c r="H227">
        <f>C227*D227</f>
        <v/>
      </c>
      <c r="I227">
        <f>C227*E227</f>
        <v/>
      </c>
      <c r="J227">
        <f>C227*F227</f>
        <v/>
      </c>
      <c r="K227">
        <f>C227*G227</f>
        <v/>
      </c>
      <c r="L227">
        <f>D227+E227+F227+G227</f>
        <v/>
      </c>
    </row>
    <row r="228">
      <c r="A228" s="4" t="n">
        <v>43405</v>
      </c>
      <c r="B228" t="inlineStr">
        <is>
          <t>Nov-18</t>
        </is>
      </c>
      <c r="C228" t="n">
        <v>2.647</v>
      </c>
      <c r="D228" t="n">
        <v>54.2</v>
      </c>
      <c r="E228" t="n">
        <v>5.6</v>
      </c>
      <c r="F228" t="n">
        <v>22.4</v>
      </c>
      <c r="G228" t="n">
        <v>17.8</v>
      </c>
      <c r="H228">
        <f>C228*D228</f>
        <v/>
      </c>
      <c r="I228">
        <f>C228*E228</f>
        <v/>
      </c>
      <c r="J228">
        <f>C228*F228</f>
        <v/>
      </c>
      <c r="K228">
        <f>C228*G228</f>
        <v/>
      </c>
      <c r="L228">
        <f>D228+E228+F228+G228</f>
        <v/>
      </c>
    </row>
    <row r="229">
      <c r="A229" s="4" t="n">
        <v>43435</v>
      </c>
      <c r="B229" t="inlineStr">
        <is>
          <t>Dec-18</t>
        </is>
      </c>
      <c r="C229" t="n">
        <v>2.366</v>
      </c>
      <c r="D229" t="n">
        <v>54.1</v>
      </c>
      <c r="E229" t="n">
        <v>4.8</v>
      </c>
      <c r="F229" t="n">
        <v>21.3</v>
      </c>
      <c r="G229" t="n">
        <v>19.9</v>
      </c>
      <c r="H229">
        <f>C229*D229</f>
        <v/>
      </c>
      <c r="I229">
        <f>C229*E229</f>
        <v/>
      </c>
      <c r="J229">
        <f>C229*F229</f>
        <v/>
      </c>
      <c r="K229">
        <f>C229*G229</f>
        <v/>
      </c>
      <c r="L229">
        <f>D229+E229+F229+G229</f>
        <v/>
      </c>
    </row>
    <row r="230">
      <c r="A230" s="4" t="n">
        <v>43466</v>
      </c>
      <c r="B230" t="inlineStr">
        <is>
          <t>Jan-19</t>
        </is>
      </c>
      <c r="C230" t="n">
        <v>2.248</v>
      </c>
      <c r="D230" t="n">
        <v>52.5</v>
      </c>
      <c r="E230" t="n">
        <v>8.199999999999999</v>
      </c>
      <c r="F230" t="n">
        <v>18.3</v>
      </c>
      <c r="G230" t="n">
        <v>20.9</v>
      </c>
      <c r="H230">
        <f>C230*D230</f>
        <v/>
      </c>
      <c r="I230">
        <f>C230*E230</f>
        <v/>
      </c>
      <c r="J230">
        <f>C230*F230</f>
        <v/>
      </c>
      <c r="K230">
        <f>C230*G230</f>
        <v/>
      </c>
      <c r="L230">
        <f>D230+E230+F230+G230</f>
        <v/>
      </c>
    </row>
    <row r="231">
      <c r="A231" s="4" t="n">
        <v>43497</v>
      </c>
      <c r="B231" t="inlineStr">
        <is>
          <t>Feb-19</t>
        </is>
      </c>
      <c r="C231" t="n">
        <v>2.309</v>
      </c>
      <c r="D231" t="n">
        <v>59.2</v>
      </c>
      <c r="E231" t="n">
        <v>6.6</v>
      </c>
      <c r="F231" t="n">
        <v>13.8</v>
      </c>
      <c r="G231" t="n">
        <v>20.4</v>
      </c>
      <c r="H231">
        <f>C231*D231</f>
        <v/>
      </c>
      <c r="I231">
        <f>C231*E231</f>
        <v/>
      </c>
      <c r="J231">
        <f>C231*F231</f>
        <v/>
      </c>
      <c r="K231">
        <f>C231*G231</f>
        <v/>
      </c>
      <c r="L231">
        <f>D231+E231+F231+G231</f>
        <v/>
      </c>
    </row>
    <row r="232">
      <c r="A232" s="4" t="n">
        <v>43525</v>
      </c>
      <c r="B232" t="inlineStr">
        <is>
          <t>Mar-19</t>
        </is>
      </c>
      <c r="C232" t="n">
        <v>2.516</v>
      </c>
      <c r="D232" t="n">
        <v>57.3</v>
      </c>
      <c r="E232" t="n">
        <v>15.6</v>
      </c>
      <c r="F232" t="n">
        <v>8.4</v>
      </c>
      <c r="G232" t="n">
        <v>18.7</v>
      </c>
      <c r="H232">
        <f>C232*D232</f>
        <v/>
      </c>
      <c r="I232">
        <f>C232*E232</f>
        <v/>
      </c>
      <c r="J232">
        <f>C232*F232</f>
        <v/>
      </c>
      <c r="K232">
        <f>C232*G232</f>
        <v/>
      </c>
      <c r="L232">
        <f>D232+E232+F232+G232</f>
        <v/>
      </c>
    </row>
    <row r="233">
      <c r="A233" s="4" t="n">
        <v>43556</v>
      </c>
      <c r="B233" t="inlineStr">
        <is>
          <t>Apr-19</t>
        </is>
      </c>
      <c r="C233" t="n">
        <v>2.798</v>
      </c>
      <c r="D233" t="n">
        <v>56.3</v>
      </c>
      <c r="E233" t="n">
        <v>18.9</v>
      </c>
      <c r="F233" t="n">
        <v>8</v>
      </c>
      <c r="G233" t="n">
        <v>16.8</v>
      </c>
      <c r="H233">
        <f>C233*D233</f>
        <v/>
      </c>
      <c r="I233">
        <f>C233*E233</f>
        <v/>
      </c>
      <c r="J233">
        <f>C233*F233</f>
        <v/>
      </c>
      <c r="K233">
        <f>C233*G233</f>
        <v/>
      </c>
      <c r="L233">
        <f>D233+E233+F233+G233</f>
        <v/>
      </c>
    </row>
    <row r="234">
      <c r="A234" s="4" t="n">
        <v>43586</v>
      </c>
      <c r="B234" t="inlineStr">
        <is>
          <t>May-19</t>
        </is>
      </c>
      <c r="C234" t="n">
        <v>2.859</v>
      </c>
      <c r="D234" t="n">
        <v>53.8</v>
      </c>
      <c r="E234" t="n">
        <v>16.1</v>
      </c>
      <c r="F234" t="n">
        <v>13.7</v>
      </c>
      <c r="G234" t="n">
        <v>16.5</v>
      </c>
      <c r="H234">
        <f>C234*D234</f>
        <v/>
      </c>
      <c r="I234">
        <f>C234*E234</f>
        <v/>
      </c>
      <c r="J234">
        <f>C234*F234</f>
        <v/>
      </c>
      <c r="K234">
        <f>C234*G234</f>
        <v/>
      </c>
      <c r="L234">
        <f>D234+E234+F234+G234</f>
        <v/>
      </c>
    </row>
    <row r="235">
      <c r="A235" s="4" t="n">
        <v>43617</v>
      </c>
      <c r="B235" t="inlineStr">
        <is>
          <t>Jun-19</t>
        </is>
      </c>
      <c r="C235" t="n">
        <v>2.716</v>
      </c>
      <c r="D235" t="n">
        <v>52.5</v>
      </c>
      <c r="E235" t="n">
        <v>12.2</v>
      </c>
      <c r="F235" t="n">
        <v>18</v>
      </c>
      <c r="G235" t="n">
        <v>17.3</v>
      </c>
      <c r="H235">
        <f>C235*D235</f>
        <v/>
      </c>
      <c r="I235">
        <f>C235*E235</f>
        <v/>
      </c>
      <c r="J235">
        <f>C235*F235</f>
        <v/>
      </c>
      <c r="K235">
        <f>C235*G235</f>
        <v/>
      </c>
      <c r="L235">
        <f>D235+E235+F235+G235</f>
        <v/>
      </c>
    </row>
    <row r="236">
      <c r="A236" s="4" t="n">
        <v>43647</v>
      </c>
      <c r="B236" t="inlineStr">
        <is>
          <t>Jul-19</t>
        </is>
      </c>
      <c r="C236" t="n">
        <v>2.74</v>
      </c>
      <c r="D236" t="n">
        <v>52.1</v>
      </c>
      <c r="E236" t="n">
        <v>16.2</v>
      </c>
      <c r="F236" t="n">
        <v>14.1</v>
      </c>
      <c r="G236" t="n">
        <v>17.5</v>
      </c>
      <c r="H236">
        <f>C236*D236</f>
        <v/>
      </c>
      <c r="I236">
        <f>C236*E236</f>
        <v/>
      </c>
      <c r="J236">
        <f>C236*F236</f>
        <v/>
      </c>
      <c r="K236">
        <f>C236*G236</f>
        <v/>
      </c>
      <c r="L236">
        <f>D236+E236+F236+G236</f>
        <v/>
      </c>
    </row>
    <row r="237">
      <c r="A237" s="4" t="n">
        <v>43678</v>
      </c>
      <c r="B237" t="inlineStr">
        <is>
          <t>Aug-19</t>
        </is>
      </c>
      <c r="C237" t="n">
        <v>2.621</v>
      </c>
      <c r="D237" t="n">
        <v>52.9</v>
      </c>
      <c r="E237" t="n">
        <v>11.8</v>
      </c>
      <c r="F237" t="n">
        <v>16.9</v>
      </c>
      <c r="G237" t="n">
        <v>18.3</v>
      </c>
      <c r="H237">
        <f>C237*D237</f>
        <v/>
      </c>
      <c r="I237">
        <f>C237*E237</f>
        <v/>
      </c>
      <c r="J237">
        <f>C237*F237</f>
        <v/>
      </c>
      <c r="K237">
        <f>C237*G237</f>
        <v/>
      </c>
      <c r="L237">
        <f>D237+E237+F237+G237</f>
        <v/>
      </c>
    </row>
    <row r="238">
      <c r="A238" s="4" t="n">
        <v>43709</v>
      </c>
      <c r="B238" t="inlineStr">
        <is>
          <t>Sept-19</t>
        </is>
      </c>
      <c r="C238" t="n">
        <v>2.592</v>
      </c>
      <c r="D238" t="n">
        <v>53.6</v>
      </c>
      <c r="E238" t="n">
        <v>12.9</v>
      </c>
      <c r="F238" t="n">
        <v>14.9</v>
      </c>
      <c r="G238" t="n">
        <v>18.5</v>
      </c>
      <c r="H238">
        <f>C238*D238</f>
        <v/>
      </c>
      <c r="I238">
        <f>C238*E238</f>
        <v/>
      </c>
      <c r="J238">
        <f>C238*F238</f>
        <v/>
      </c>
      <c r="K238">
        <f>C238*G238</f>
        <v/>
      </c>
      <c r="L238">
        <f>D238+E238+F238+G238</f>
        <v/>
      </c>
    </row>
    <row r="239">
      <c r="A239" s="4" t="n">
        <v>43739</v>
      </c>
      <c r="B239" t="inlineStr">
        <is>
          <t>Oct-19</t>
        </is>
      </c>
      <c r="C239" t="n">
        <v>2.627</v>
      </c>
      <c r="D239" t="n">
        <v>50.8</v>
      </c>
      <c r="E239" t="n">
        <v>14.9</v>
      </c>
      <c r="F239" t="n">
        <v>16</v>
      </c>
      <c r="G239" t="n">
        <v>18.3</v>
      </c>
      <c r="H239">
        <f>C239*D239</f>
        <v/>
      </c>
      <c r="I239">
        <f>C239*E239</f>
        <v/>
      </c>
      <c r="J239">
        <f>C239*F239</f>
        <v/>
      </c>
      <c r="K239">
        <f>C239*G239</f>
        <v/>
      </c>
      <c r="L239">
        <f>D239+E239+F239+G239</f>
        <v/>
      </c>
    </row>
    <row r="240">
      <c r="A240" s="4" t="n">
        <v>43770</v>
      </c>
      <c r="B240" t="inlineStr">
        <is>
          <t>Nov-19</t>
        </is>
      </c>
      <c r="C240" t="n">
        <v>2.598</v>
      </c>
      <c r="D240" t="n">
        <v>52.2</v>
      </c>
      <c r="E240" t="n">
        <v>11.3</v>
      </c>
      <c r="F240" t="n">
        <v>17.9</v>
      </c>
      <c r="G240" t="n">
        <v>18.5</v>
      </c>
      <c r="H240">
        <f>C240*D240</f>
        <v/>
      </c>
      <c r="I240">
        <f>C240*E240</f>
        <v/>
      </c>
      <c r="J240">
        <f>C240*F240</f>
        <v/>
      </c>
      <c r="K240">
        <f>C240*G240</f>
        <v/>
      </c>
      <c r="L240">
        <f>D240+E240+F240+G240</f>
        <v/>
      </c>
    </row>
    <row r="241">
      <c r="A241" s="4" t="n">
        <v>43800</v>
      </c>
      <c r="B241" t="inlineStr">
        <is>
          <t>Dec-19</t>
        </is>
      </c>
      <c r="C241" t="n">
        <v>2.555</v>
      </c>
      <c r="D241" t="n">
        <v>56.1</v>
      </c>
      <c r="E241" t="n">
        <v>7</v>
      </c>
      <c r="F241" t="n">
        <v>18</v>
      </c>
      <c r="G241" t="n">
        <v>18.8</v>
      </c>
      <c r="H241">
        <f>C241*D241</f>
        <v/>
      </c>
      <c r="I241">
        <f>C241*E241</f>
        <v/>
      </c>
      <c r="J241">
        <f>C241*F241</f>
        <v/>
      </c>
      <c r="K241">
        <f>C241*G241</f>
        <v/>
      </c>
      <c r="L241">
        <f>D241+E241+F241+G241</f>
        <v/>
      </c>
    </row>
    <row r="242">
      <c r="A242" s="4" t="n">
        <v>43831</v>
      </c>
      <c r="B242" t="inlineStr">
        <is>
          <t>Jan-20</t>
        </is>
      </c>
      <c r="C242" t="n">
        <v>2.548</v>
      </c>
      <c r="D242" t="n">
        <v>54.1</v>
      </c>
      <c r="E242" t="n">
        <v>9</v>
      </c>
      <c r="F242" t="n">
        <v>17.9</v>
      </c>
      <c r="G242" t="n">
        <v>18.9</v>
      </c>
      <c r="H242">
        <f>C242*D242</f>
        <v/>
      </c>
      <c r="I242">
        <f>C242*E242</f>
        <v/>
      </c>
      <c r="J242">
        <f>C242*F242</f>
        <v/>
      </c>
      <c r="K242">
        <f>C242*G242</f>
        <v/>
      </c>
      <c r="L242">
        <f>D242+E242+F242+G242</f>
        <v/>
      </c>
    </row>
    <row r="243">
      <c r="A243" s="4" t="n">
        <v>43862</v>
      </c>
      <c r="B243" t="inlineStr">
        <is>
          <t>Feb-20</t>
        </is>
      </c>
      <c r="C243" t="n">
        <v>2.442</v>
      </c>
      <c r="D243" t="n">
        <v>50.7</v>
      </c>
      <c r="E243" t="n">
        <v>11.8</v>
      </c>
      <c r="F243" t="n">
        <v>17.8</v>
      </c>
      <c r="G243" t="n">
        <v>19.7</v>
      </c>
      <c r="H243">
        <f>C243*D243</f>
        <v/>
      </c>
      <c r="I243">
        <f>C243*E243</f>
        <v/>
      </c>
      <c r="J243">
        <f>C243*F243</f>
        <v/>
      </c>
      <c r="K243">
        <f>C243*G243</f>
        <v/>
      </c>
      <c r="L243">
        <f>D243+E243+F243+G243</f>
        <v/>
      </c>
    </row>
    <row r="244">
      <c r="A244" s="4" t="n">
        <v>43891</v>
      </c>
      <c r="B244" t="inlineStr">
        <is>
          <t>Mar-20</t>
        </is>
      </c>
      <c r="C244" t="n">
        <v>2.234</v>
      </c>
      <c r="D244" t="n">
        <v>34.9</v>
      </c>
      <c r="E244" t="n">
        <v>2.1</v>
      </c>
      <c r="F244" t="n">
        <v>41.5</v>
      </c>
      <c r="G244" t="n">
        <v>21.6</v>
      </c>
      <c r="H244">
        <f>C244*D244</f>
        <v/>
      </c>
      <c r="I244">
        <f>C244*E244</f>
        <v/>
      </c>
      <c r="J244">
        <f>C244*F244</f>
        <v/>
      </c>
      <c r="K244">
        <f>C244*G244</f>
        <v/>
      </c>
      <c r="L244">
        <f>D244+E244+F244+G244</f>
        <v/>
      </c>
    </row>
    <row r="245">
      <c r="A245" s="4" t="n">
        <v>43922</v>
      </c>
      <c r="B245" t="inlineStr">
        <is>
          <t>Apr-20</t>
        </is>
      </c>
      <c r="C245" t="n">
        <v>1.841</v>
      </c>
      <c r="D245" t="n">
        <v>25.4</v>
      </c>
      <c r="E245" t="n">
        <v>2.1</v>
      </c>
      <c r="F245" t="n">
        <v>46.4</v>
      </c>
      <c r="G245" t="n">
        <v>26.2</v>
      </c>
      <c r="H245">
        <f>C245*D245</f>
        <v/>
      </c>
      <c r="I245">
        <f>C245*E245</f>
        <v/>
      </c>
      <c r="J245">
        <f>C245*F245</f>
        <v/>
      </c>
      <c r="K245">
        <f>C245*G245</f>
        <v/>
      </c>
      <c r="L245">
        <f>D245+E245+F245+G245</f>
        <v/>
      </c>
    </row>
    <row r="246">
      <c r="A246" s="4" t="n">
        <v>43952</v>
      </c>
      <c r="B246" t="inlineStr">
        <is>
          <t>May-20</t>
        </is>
      </c>
      <c r="C246" t="n">
        <v>1.87</v>
      </c>
      <c r="D246" t="n">
        <v>34.1</v>
      </c>
      <c r="E246" t="n">
        <v>13.7</v>
      </c>
      <c r="F246" t="n">
        <v>26.4</v>
      </c>
      <c r="G246" t="n">
        <v>25.8</v>
      </c>
      <c r="H246">
        <f>C246*D246</f>
        <v/>
      </c>
      <c r="I246">
        <f>C246*E246</f>
        <v/>
      </c>
      <c r="J246">
        <f>C246*F246</f>
        <v/>
      </c>
      <c r="K246">
        <f>C246*G246</f>
        <v/>
      </c>
      <c r="L246">
        <f>D246+E246+F246+G246</f>
        <v/>
      </c>
    </row>
    <row r="247">
      <c r="A247" s="4" t="n">
        <v>43983</v>
      </c>
      <c r="B247" t="inlineStr">
        <is>
          <t>Jun-20</t>
        </is>
      </c>
      <c r="C247" t="n">
        <v>2.082</v>
      </c>
      <c r="D247" t="n">
        <v>38.6</v>
      </c>
      <c r="E247" t="n">
        <v>16.8</v>
      </c>
      <c r="F247" t="n">
        <v>21.4</v>
      </c>
      <c r="G247" t="n">
        <v>23.1</v>
      </c>
      <c r="H247">
        <f>C247*D247</f>
        <v/>
      </c>
      <c r="I247">
        <f>C247*E247</f>
        <v/>
      </c>
      <c r="J247">
        <f>C247*F247</f>
        <v/>
      </c>
      <c r="K247">
        <f>C247*G247</f>
        <v/>
      </c>
      <c r="L247">
        <f>D247+E247+F247+G247</f>
        <v/>
      </c>
    </row>
    <row r="248">
      <c r="A248" s="4" t="n">
        <v>44013</v>
      </c>
      <c r="B248" t="inlineStr">
        <is>
          <t>Jul-20</t>
        </is>
      </c>
      <c r="C248" t="n">
        <v>2.183</v>
      </c>
      <c r="D248" t="n">
        <v>44.4</v>
      </c>
      <c r="E248" t="n">
        <v>11.1</v>
      </c>
      <c r="F248" t="n">
        <v>22.4</v>
      </c>
      <c r="G248" t="n">
        <v>22.1</v>
      </c>
      <c r="H248">
        <f>C248*D248</f>
        <v/>
      </c>
      <c r="I248">
        <f>C248*E248</f>
        <v/>
      </c>
      <c r="J248">
        <f>C248*F248</f>
        <v/>
      </c>
      <c r="K248">
        <f>C248*G248</f>
        <v/>
      </c>
      <c r="L248">
        <f>D248+E248+F248+G248</f>
        <v/>
      </c>
    </row>
    <row r="249">
      <c r="A249" s="4" t="n">
        <v>44044</v>
      </c>
      <c r="B249" t="inlineStr">
        <is>
          <t>Aug-20</t>
        </is>
      </c>
      <c r="C249" t="n">
        <v>2.182</v>
      </c>
      <c r="D249" t="n">
        <v>45.5</v>
      </c>
      <c r="E249" t="n">
        <v>12.5</v>
      </c>
      <c r="F249" t="n">
        <v>20</v>
      </c>
      <c r="G249" t="n">
        <v>22.1</v>
      </c>
      <c r="H249">
        <f>C249*D249</f>
        <v/>
      </c>
      <c r="I249">
        <f>C249*E249</f>
        <v/>
      </c>
      <c r="J249">
        <f>C249*F249</f>
        <v/>
      </c>
      <c r="K249">
        <f>C249*G249</f>
        <v/>
      </c>
      <c r="L249">
        <f>D249+E249+F249+G249</f>
        <v/>
      </c>
    </row>
    <row r="250">
      <c r="A250" s="4" t="n">
        <v>44075</v>
      </c>
      <c r="B250" t="inlineStr">
        <is>
          <t>Sept-20</t>
        </is>
      </c>
      <c r="C250" t="n">
        <v>2.183</v>
      </c>
      <c r="D250" t="n">
        <v>43.9</v>
      </c>
      <c r="E250" t="n">
        <v>10.5</v>
      </c>
      <c r="F250" t="n">
        <v>23.5</v>
      </c>
      <c r="G250" t="n">
        <v>22.1</v>
      </c>
      <c r="H250">
        <f>C250*D250</f>
        <v/>
      </c>
      <c r="I250">
        <f>C250*E250</f>
        <v/>
      </c>
      <c r="J250">
        <f>C250*F250</f>
        <v/>
      </c>
      <c r="K250">
        <f>C250*G250</f>
        <v/>
      </c>
      <c r="L250">
        <f>D250+E250+F250+G250</f>
        <v/>
      </c>
    </row>
    <row r="251">
      <c r="A251" s="4" t="n">
        <v>44105</v>
      </c>
      <c r="B251" t="inlineStr">
        <is>
          <t>Oct-20</t>
        </is>
      </c>
      <c r="C251" t="n">
        <v>2.158</v>
      </c>
      <c r="D251" t="n">
        <v>43.3</v>
      </c>
      <c r="E251" t="n">
        <v>9.9</v>
      </c>
      <c r="F251" t="n">
        <v>24.4</v>
      </c>
      <c r="G251" t="n">
        <v>22.4</v>
      </c>
      <c r="H251">
        <f>C251*D251</f>
        <v/>
      </c>
      <c r="I251">
        <f>C251*E251</f>
        <v/>
      </c>
      <c r="J251">
        <f>C251*F251</f>
        <v/>
      </c>
      <c r="K251">
        <f>C251*G251</f>
        <v/>
      </c>
      <c r="L251">
        <f>D251+E251+F251+G251</f>
        <v/>
      </c>
    </row>
    <row r="252">
      <c r="A252" s="4" t="n">
        <v>44136</v>
      </c>
      <c r="B252" t="inlineStr">
        <is>
          <t>Nov-20</t>
        </is>
      </c>
      <c r="C252" t="n">
        <v>2.108</v>
      </c>
      <c r="D252" t="n">
        <v>46</v>
      </c>
      <c r="E252" t="n">
        <v>8.5</v>
      </c>
      <c r="F252" t="n">
        <v>22.6</v>
      </c>
      <c r="G252" t="n">
        <v>22.9</v>
      </c>
      <c r="H252">
        <f>C252*D252</f>
        <v/>
      </c>
      <c r="I252">
        <f>C252*E252</f>
        <v/>
      </c>
      <c r="J252">
        <f>C252*F252</f>
        <v/>
      </c>
      <c r="K252">
        <f>C252*G252</f>
        <v/>
      </c>
      <c r="L252">
        <f>D252+E252+F252+G252</f>
        <v/>
      </c>
    </row>
    <row r="253">
      <c r="A253" s="4" t="n">
        <v>44166</v>
      </c>
      <c r="B253" t="inlineStr">
        <is>
          <t>Dec-20</t>
        </is>
      </c>
      <c r="C253" t="n">
        <v>2.195</v>
      </c>
      <c r="D253" t="n">
        <v>49.1</v>
      </c>
      <c r="E253" t="n">
        <v>10.3</v>
      </c>
      <c r="F253" t="n">
        <v>18.6</v>
      </c>
      <c r="G253" t="n">
        <v>22</v>
      </c>
      <c r="H253">
        <f>C253*D253</f>
        <v/>
      </c>
      <c r="I253">
        <f>C253*E253</f>
        <v/>
      </c>
      <c r="J253">
        <f>C253*F253</f>
        <v/>
      </c>
      <c r="K253">
        <f>C253*G253</f>
        <v/>
      </c>
      <c r="L253">
        <f>D253+E253+F253+G253</f>
        <v/>
      </c>
    </row>
    <row r="254">
      <c r="A254" s="4" t="n">
        <v>44197</v>
      </c>
      <c r="B254" t="inlineStr">
        <is>
          <t>Jan-21</t>
        </is>
      </c>
      <c r="C254" t="n">
        <v>2.334</v>
      </c>
      <c r="D254" t="n">
        <v>52.3</v>
      </c>
      <c r="E254" t="n">
        <v>12.2</v>
      </c>
      <c r="F254" t="n">
        <v>14.7</v>
      </c>
      <c r="G254" t="n">
        <v>20.8</v>
      </c>
      <c r="H254">
        <f>C254*D254</f>
        <v/>
      </c>
      <c r="I254">
        <f>C254*E254</f>
        <v/>
      </c>
      <c r="J254">
        <f>C254*F254</f>
        <v/>
      </c>
      <c r="K254">
        <f>C254*G254</f>
        <v/>
      </c>
      <c r="L254">
        <f>D254+E254+F254+G254</f>
        <v/>
      </c>
    </row>
    <row r="255">
      <c r="A255" s="4" t="n">
        <v>44228</v>
      </c>
      <c r="B255" t="inlineStr">
        <is>
          <t>Feb-21</t>
        </is>
      </c>
      <c r="C255" t="n">
        <v>2.501</v>
      </c>
      <c r="D255" t="n">
        <v>55.5</v>
      </c>
      <c r="E255" t="n">
        <v>13</v>
      </c>
      <c r="F255" t="n">
        <v>12.2</v>
      </c>
      <c r="G255" t="n">
        <v>19.4</v>
      </c>
      <c r="H255">
        <f>C255*D255</f>
        <v/>
      </c>
      <c r="I255">
        <f>C255*E255</f>
        <v/>
      </c>
      <c r="J255">
        <f>C255*F255</f>
        <v/>
      </c>
      <c r="K255">
        <f>C255*G255</f>
        <v/>
      </c>
      <c r="L255">
        <f>D255+E255+F255+G255</f>
        <v/>
      </c>
    </row>
    <row r="256">
      <c r="A256" s="4" t="n">
        <v>44256</v>
      </c>
      <c r="B256" t="inlineStr">
        <is>
          <t>Mar-21</t>
        </is>
      </c>
      <c r="C256" t="n">
        <v>2.81</v>
      </c>
      <c r="D256" t="n">
        <v>52.7</v>
      </c>
      <c r="E256" t="n">
        <v>14.6</v>
      </c>
      <c r="F256" t="n">
        <v>15.5</v>
      </c>
      <c r="G256" t="n">
        <v>17.2</v>
      </c>
      <c r="H256">
        <f>C256*D256</f>
        <v/>
      </c>
      <c r="I256">
        <f>C256*E256</f>
        <v/>
      </c>
      <c r="J256">
        <f>C256*F256</f>
        <v/>
      </c>
      <c r="K256">
        <f>C256*G256</f>
        <v/>
      </c>
      <c r="L256">
        <f>D256+E256+F256+G256</f>
        <v/>
      </c>
    </row>
    <row r="257">
      <c r="A257" s="4" t="n">
        <v>44287</v>
      </c>
      <c r="B257" t="inlineStr">
        <is>
          <t>Apr-21</t>
        </is>
      </c>
      <c r="C257" t="n">
        <v>2.858</v>
      </c>
      <c r="D257" t="n">
        <v>51.5</v>
      </c>
      <c r="E257" t="n">
        <v>18.1</v>
      </c>
      <c r="F257" t="n">
        <v>13.5</v>
      </c>
      <c r="G257" t="n">
        <v>17</v>
      </c>
      <c r="H257">
        <f>C257*D257</f>
        <v/>
      </c>
      <c r="I257">
        <f>C257*E257</f>
        <v/>
      </c>
      <c r="J257">
        <f>C257*F257</f>
        <v/>
      </c>
      <c r="K257">
        <f>C257*G257</f>
        <v/>
      </c>
      <c r="L257">
        <f>D257+E257+F257+G257</f>
        <v/>
      </c>
    </row>
    <row r="258">
      <c r="A258" s="4" t="n">
        <v>44317</v>
      </c>
      <c r="B258" t="inlineStr">
        <is>
          <t>May-21</t>
        </is>
      </c>
      <c r="C258" t="n">
        <v>2.985</v>
      </c>
      <c r="D258" t="n">
        <v>51.7</v>
      </c>
      <c r="E258" t="n">
        <v>18.5</v>
      </c>
      <c r="F258" t="n">
        <v>13.5</v>
      </c>
      <c r="G258" t="n">
        <v>16.2</v>
      </c>
      <c r="H258">
        <f>C258*D258</f>
        <v/>
      </c>
      <c r="I258">
        <f>C258*E258</f>
        <v/>
      </c>
      <c r="J258">
        <f>C258*F258</f>
        <v/>
      </c>
      <c r="K258">
        <f>C258*G258</f>
        <v/>
      </c>
      <c r="L258">
        <f>D258+E258+F258+G258</f>
        <v/>
      </c>
    </row>
    <row r="259">
      <c r="A259" s="4" t="n">
        <v>44348</v>
      </c>
      <c r="B259" t="inlineStr">
        <is>
          <t>Jun-21</t>
        </is>
      </c>
      <c r="C259" t="n">
        <v>3.064</v>
      </c>
      <c r="D259" t="n">
        <v>54.7</v>
      </c>
      <c r="E259" t="n">
        <v>16.4</v>
      </c>
      <c r="F259" t="n">
        <v>13.1</v>
      </c>
      <c r="G259" t="n">
        <v>15.8</v>
      </c>
      <c r="H259">
        <f>C259*D259</f>
        <v/>
      </c>
      <c r="I259">
        <f>C259*E259</f>
        <v/>
      </c>
      <c r="J259">
        <f>C259*F259</f>
        <v/>
      </c>
      <c r="K259">
        <f>C259*G259</f>
        <v/>
      </c>
      <c r="L259">
        <f>D259+E259+F259+G259</f>
        <v/>
      </c>
    </row>
    <row r="260">
      <c r="A260" s="4" t="n">
        <v>44378</v>
      </c>
      <c r="B260" t="inlineStr">
        <is>
          <t>Jul-21</t>
        </is>
      </c>
      <c r="C260" t="n">
        <v>3.136</v>
      </c>
      <c r="D260" t="n">
        <v>54.9</v>
      </c>
      <c r="E260" t="n">
        <v>17</v>
      </c>
      <c r="F260" t="n">
        <v>12.5</v>
      </c>
      <c r="G260" t="n">
        <v>15.6</v>
      </c>
      <c r="H260">
        <f>C260*D260</f>
        <v/>
      </c>
      <c r="I260">
        <f>C260*E260</f>
        <v/>
      </c>
      <c r="J260">
        <f>C260*F260</f>
        <v/>
      </c>
      <c r="K260">
        <f>C260*G260</f>
        <v/>
      </c>
      <c r="L260">
        <f>D260+E260+F260+G260</f>
        <v/>
      </c>
    </row>
    <row r="261">
      <c r="A261" s="4" t="n">
        <v>44409</v>
      </c>
      <c r="B261" t="inlineStr">
        <is>
          <t>Aug-21</t>
        </is>
      </c>
      <c r="C261" t="n">
        <v>3.158</v>
      </c>
      <c r="D261" t="n">
        <v>51.8</v>
      </c>
      <c r="E261" t="n">
        <v>19.3</v>
      </c>
      <c r="F261" t="n">
        <v>13.4</v>
      </c>
      <c r="G261" t="n">
        <v>15.5</v>
      </c>
      <c r="H261">
        <f>C261*D261</f>
        <v/>
      </c>
      <c r="I261">
        <f>C261*E261</f>
        <v/>
      </c>
      <c r="J261">
        <f>C261*F261</f>
        <v/>
      </c>
      <c r="K261">
        <f>C261*G261</f>
        <v/>
      </c>
      <c r="L261">
        <f>D261+E261+F261+G261</f>
        <v/>
      </c>
    </row>
    <row r="262">
      <c r="A262" s="4" t="n">
        <v>44440</v>
      </c>
      <c r="B262" t="inlineStr">
        <is>
          <t>Sept-21</t>
        </is>
      </c>
      <c r="C262" t="n">
        <v>3.175</v>
      </c>
      <c r="D262" t="n">
        <v>52.9</v>
      </c>
      <c r="E262" t="n">
        <v>16.5</v>
      </c>
      <c r="F262" t="n">
        <v>15.1</v>
      </c>
      <c r="G262" t="n">
        <v>15.4</v>
      </c>
      <c r="H262">
        <f>C262*D262</f>
        <v/>
      </c>
      <c r="I262">
        <f>C262*E262</f>
        <v/>
      </c>
      <c r="J262">
        <f>C262*F262</f>
        <v/>
      </c>
      <c r="K262">
        <f>C262*G262</f>
        <v/>
      </c>
      <c r="L262">
        <f>D262+E262+F262+G262</f>
        <v/>
      </c>
    </row>
    <row r="263">
      <c r="A263" s="4" t="n">
        <v>44470</v>
      </c>
      <c r="B263" t="inlineStr">
        <is>
          <t>Oct-21</t>
        </is>
      </c>
      <c r="C263" t="n">
        <v>3.291</v>
      </c>
      <c r="D263" t="n">
        <v>57</v>
      </c>
      <c r="E263" t="n">
        <v>16.8</v>
      </c>
      <c r="F263" t="n">
        <v>11.2</v>
      </c>
      <c r="G263" t="n">
        <v>14.9</v>
      </c>
      <c r="H263">
        <f>C263*D263</f>
        <v/>
      </c>
      <c r="I263">
        <f>C263*E263</f>
        <v/>
      </c>
      <c r="J263">
        <f>C263*F263</f>
        <v/>
      </c>
      <c r="K263">
        <f>C263*G263</f>
        <v/>
      </c>
      <c r="L263">
        <f>D263+E263+F263+G263</f>
        <v/>
      </c>
    </row>
    <row r="264">
      <c r="A264" s="4" t="n">
        <v>44501</v>
      </c>
      <c r="B264" t="inlineStr">
        <is>
          <t>Nov-21</t>
        </is>
      </c>
      <c r="C264" t="n">
        <v>3.395</v>
      </c>
      <c r="D264" t="n">
        <v>54.7</v>
      </c>
      <c r="E264" t="n">
        <v>13</v>
      </c>
      <c r="F264" t="n">
        <v>17.8</v>
      </c>
      <c r="G264" t="n">
        <v>14.4</v>
      </c>
      <c r="H264">
        <f>C264*D264</f>
        <v/>
      </c>
      <c r="I264">
        <f>C264*E264</f>
        <v/>
      </c>
      <c r="J264">
        <f>C264*F264</f>
        <v/>
      </c>
      <c r="K264">
        <f>C264*G264</f>
        <v/>
      </c>
      <c r="L264">
        <f>D264+E264+F264+G264</f>
        <v/>
      </c>
    </row>
    <row r="265">
      <c r="A265" s="4" t="n">
        <v>44531</v>
      </c>
      <c r="B265" t="inlineStr">
        <is>
          <t>Dec-21</t>
        </is>
      </c>
      <c r="C265" t="n">
        <v>3.307</v>
      </c>
      <c r="D265" t="n">
        <v>53.1</v>
      </c>
      <c r="E265" t="n">
        <v>11.5</v>
      </c>
      <c r="F265" t="n">
        <v>20.5</v>
      </c>
      <c r="G265" t="n">
        <v>14.8</v>
      </c>
      <c r="H265">
        <f>C265*D265</f>
        <v/>
      </c>
      <c r="I265">
        <f>C265*E265</f>
        <v/>
      </c>
      <c r="J265">
        <f>C265*F265</f>
        <v/>
      </c>
      <c r="K265">
        <f>C265*G265</f>
        <v/>
      </c>
      <c r="L265">
        <f>D265+E265+F265+G265</f>
        <v/>
      </c>
    </row>
    <row r="266">
      <c r="A266" s="4" t="n">
        <v>44562</v>
      </c>
      <c r="B266" t="inlineStr">
        <is>
          <t>Jan-22</t>
        </is>
      </c>
      <c r="C266" t="n">
        <v>3.315</v>
      </c>
      <c r="D266" t="n">
        <v>57.5</v>
      </c>
      <c r="E266" t="n">
        <v>14.6</v>
      </c>
      <c r="F266" t="n">
        <v>13</v>
      </c>
      <c r="G266" t="n">
        <v>14.9</v>
      </c>
      <c r="H266">
        <f>C266*D266</f>
        <v/>
      </c>
      <c r="I266">
        <f>C266*E266</f>
        <v/>
      </c>
      <c r="J266">
        <f>C266*F266</f>
        <v/>
      </c>
      <c r="K266">
        <f>C266*G266</f>
        <v/>
      </c>
      <c r="L266">
        <f>D266+E266+F266+G266</f>
        <v/>
      </c>
    </row>
    <row r="267">
      <c r="A267" s="4" t="n">
        <v>44593</v>
      </c>
      <c r="B267" t="inlineStr">
        <is>
          <t>Feb-22</t>
        </is>
      </c>
      <c r="C267" t="n">
        <v>3.517</v>
      </c>
      <c r="D267" t="n">
        <v>60.5</v>
      </c>
      <c r="E267" t="n">
        <v>14.2</v>
      </c>
      <c r="F267" t="n">
        <v>11.2</v>
      </c>
      <c r="G267" t="n">
        <v>14.1</v>
      </c>
      <c r="H267">
        <f>C267*D267</f>
        <v/>
      </c>
      <c r="I267">
        <f>C267*E267</f>
        <v/>
      </c>
      <c r="J267">
        <f>C267*F267</f>
        <v/>
      </c>
      <c r="K267">
        <f>C267*G267</f>
        <v/>
      </c>
      <c r="L267">
        <f>D267+E267+F267+G267</f>
        <v/>
      </c>
    </row>
    <row r="268">
      <c r="A268" s="4" t="n">
        <v>44621</v>
      </c>
      <c r="B268" t="inlineStr">
        <is>
          <t>Mar-22</t>
        </is>
      </c>
      <c r="C268" t="n">
        <v>4.222</v>
      </c>
      <c r="D268" t="n">
        <v>58.7</v>
      </c>
      <c r="E268" t="n">
        <v>17.5</v>
      </c>
      <c r="F268" t="n">
        <v>12.1</v>
      </c>
      <c r="G268" t="n">
        <v>11.7</v>
      </c>
      <c r="H268">
        <f>C268*D268</f>
        <v/>
      </c>
      <c r="I268">
        <f>C268*E268</f>
        <v/>
      </c>
      <c r="J268">
        <f>C268*F268</f>
        <v/>
      </c>
      <c r="K268">
        <f>C268*G268</f>
        <v/>
      </c>
      <c r="L268">
        <f>D268+E268+F268+G268</f>
        <v/>
      </c>
    </row>
    <row r="269">
      <c r="A269" s="4" t="n">
        <v>44652</v>
      </c>
      <c r="B269" t="inlineStr">
        <is>
          <t>Apr-22</t>
        </is>
      </c>
      <c r="C269" t="n">
        <v>4.109</v>
      </c>
      <c r="D269" t="n">
        <v>60.4</v>
      </c>
      <c r="E269" t="n">
        <v>17.1</v>
      </c>
      <c r="F269" t="n">
        <v>10.5</v>
      </c>
      <c r="G269" t="n">
        <v>12</v>
      </c>
      <c r="H269">
        <f>C269*D269</f>
        <v/>
      </c>
      <c r="I269">
        <f>C269*E269</f>
        <v/>
      </c>
      <c r="J269">
        <f>C269*F269</f>
        <v/>
      </c>
      <c r="K269">
        <f>C269*G269</f>
        <v/>
      </c>
      <c r="L269">
        <f>D269+E269+F269+G269</f>
        <v/>
      </c>
    </row>
    <row r="270">
      <c r="A270" s="4" t="n">
        <v>44682</v>
      </c>
      <c r="B270" t="inlineStr">
        <is>
          <t>May-22</t>
        </is>
      </c>
      <c r="C270" t="n">
        <v>4.444</v>
      </c>
      <c r="D270" t="n">
        <v>58.9</v>
      </c>
      <c r="E270" t="n">
        <v>25.5</v>
      </c>
      <c r="F270" t="n">
        <v>4.5</v>
      </c>
      <c r="G270" t="n">
        <v>11.1</v>
      </c>
      <c r="H270">
        <f>C270*D270</f>
        <v/>
      </c>
      <c r="I270">
        <f>C270*E270</f>
        <v/>
      </c>
      <c r="J270">
        <f>C270*F270</f>
        <v/>
      </c>
      <c r="K270">
        <f>C270*G270</f>
        <v/>
      </c>
      <c r="L270">
        <f>D270+E270+F270+G270</f>
        <v/>
      </c>
    </row>
    <row r="271">
      <c r="A271" s="4" t="n">
        <v>44713</v>
      </c>
      <c r="B271" t="inlineStr">
        <is>
          <t>Jun-22</t>
        </is>
      </c>
      <c r="C271" t="n">
        <v>4.929</v>
      </c>
      <c r="D271" t="n">
        <v>55.1</v>
      </c>
      <c r="E271" t="n">
        <v>27.3</v>
      </c>
      <c r="F271" t="n">
        <v>7.6</v>
      </c>
      <c r="G271" t="n">
        <v>10</v>
      </c>
      <c r="H271">
        <f>C271*D271</f>
        <v/>
      </c>
      <c r="I271">
        <f>C271*E271</f>
        <v/>
      </c>
      <c r="J271">
        <f>C271*F271</f>
        <v/>
      </c>
      <c r="K271">
        <f>C271*G271</f>
        <v/>
      </c>
      <c r="L271">
        <f>D271+E271+F271+G271</f>
        <v/>
      </c>
    </row>
    <row r="272">
      <c r="A272" s="4" t="n">
        <v>44743</v>
      </c>
      <c r="B272" t="inlineStr">
        <is>
          <t>Jul-22</t>
        </is>
      </c>
      <c r="C272" t="n">
        <v>4.559</v>
      </c>
      <c r="D272" t="n">
        <v>54.2</v>
      </c>
      <c r="E272" t="n">
        <v>17.9</v>
      </c>
      <c r="F272" t="n">
        <v>16.9</v>
      </c>
      <c r="G272" t="n">
        <v>11</v>
      </c>
      <c r="H272">
        <f>C272*D272</f>
        <v/>
      </c>
      <c r="I272">
        <f>C272*E272</f>
        <v/>
      </c>
      <c r="J272">
        <f>C272*F272</f>
        <v/>
      </c>
      <c r="K272">
        <f>C272*G272</f>
        <v/>
      </c>
      <c r="L272">
        <f>D272+E272+F272+G272</f>
        <v/>
      </c>
    </row>
    <row r="273">
      <c r="A273" s="4" t="n">
        <v>44774</v>
      </c>
      <c r="B273" t="inlineStr">
        <is>
          <t>Aug-22</t>
        </is>
      </c>
      <c r="C273" t="n">
        <v>3.975</v>
      </c>
      <c r="D273" t="n">
        <v>57</v>
      </c>
      <c r="E273" t="n">
        <v>15.3</v>
      </c>
      <c r="F273" t="n">
        <v>15.1</v>
      </c>
      <c r="G273" t="n">
        <v>12.6</v>
      </c>
      <c r="H273">
        <f>C273*D273</f>
        <v/>
      </c>
      <c r="I273">
        <f>C273*E273</f>
        <v/>
      </c>
      <c r="J273">
        <f>C273*F273</f>
        <v/>
      </c>
      <c r="K273">
        <f>C273*G273</f>
        <v/>
      </c>
      <c r="L273">
        <f>D273+E273+F273+G273</f>
        <v/>
      </c>
    </row>
    <row r="274">
      <c r="A274" s="4" t="n">
        <v>44805</v>
      </c>
      <c r="B274" t="inlineStr">
        <is>
          <t>Sep-22</t>
        </is>
      </c>
      <c r="C274" t="n">
        <v>3.7</v>
      </c>
      <c r="D274" t="n">
        <v>56.3</v>
      </c>
      <c r="E274" t="n">
        <v>19.5</v>
      </c>
      <c r="F274" t="n">
        <v>10.7</v>
      </c>
      <c r="G274" t="n">
        <v>13.5</v>
      </c>
      <c r="H274">
        <f>C274*D274</f>
        <v/>
      </c>
      <c r="I274">
        <f>C274*E274</f>
        <v/>
      </c>
      <c r="J274">
        <f>C274*F274</f>
        <v/>
      </c>
      <c r="K274">
        <f>C274*G274</f>
        <v/>
      </c>
      <c r="L274">
        <f>D274+E274+F274+G274</f>
        <v/>
      </c>
    </row>
    <row r="275">
      <c r="A275" s="4" t="n">
        <v>44835</v>
      </c>
      <c r="B275" t="inlineStr">
        <is>
          <t>Oct-22</t>
        </is>
      </c>
      <c r="C275" t="n">
        <v>3.815</v>
      </c>
      <c r="D275" t="n">
        <v>53.9</v>
      </c>
      <c r="E275" t="n">
        <v>21.7</v>
      </c>
      <c r="F275" t="n">
        <v>11.3</v>
      </c>
      <c r="G275" t="n">
        <v>13.1</v>
      </c>
      <c r="H275">
        <f>C275*D275</f>
        <v/>
      </c>
      <c r="I275">
        <f>C275*E275</f>
        <v/>
      </c>
      <c r="J275">
        <f>C275*F275</f>
        <v/>
      </c>
      <c r="K275">
        <f>C275*G275</f>
        <v/>
      </c>
      <c r="L275">
        <f>D275+E275+F275+G275</f>
        <v/>
      </c>
    </row>
    <row r="276">
      <c r="A276" s="4" t="n">
        <v>44866</v>
      </c>
      <c r="B276" t="inlineStr">
        <is>
          <t>Nov-22</t>
        </is>
      </c>
      <c r="C276" t="n">
        <v>3.685</v>
      </c>
      <c r="D276" t="n">
        <v>55.2</v>
      </c>
      <c r="E276" t="n">
        <v>13.3</v>
      </c>
      <c r="F276" t="n">
        <v>17.9</v>
      </c>
      <c r="G276" t="n">
        <v>13.6</v>
      </c>
      <c r="H276">
        <f>C276*D276</f>
        <v/>
      </c>
      <c r="I276">
        <f>C276*E276</f>
        <v/>
      </c>
      <c r="J276">
        <f>C276*F276</f>
        <v/>
      </c>
      <c r="K276">
        <f>C276*G276</f>
        <v/>
      </c>
      <c r="L276">
        <f>D276+E276+F276+G276</f>
        <v/>
      </c>
    </row>
    <row r="277">
      <c r="A277" s="4" t="n">
        <v>44896</v>
      </c>
      <c r="B277" t="inlineStr">
        <is>
          <t>Dec-22</t>
        </is>
      </c>
      <c r="C277" t="n">
        <v>3.21</v>
      </c>
      <c r="D277" t="n">
        <v>57.8</v>
      </c>
      <c r="E277" t="n">
        <v>8.9</v>
      </c>
      <c r="F277" t="n">
        <v>17.8</v>
      </c>
      <c r="G277" t="n">
        <v>15.6</v>
      </c>
      <c r="H277">
        <f>C277*D277</f>
        <v/>
      </c>
      <c r="I277">
        <f>C277*E277</f>
        <v/>
      </c>
      <c r="J277">
        <f>C277*F277</f>
        <v/>
      </c>
      <c r="K277">
        <f>C277*G277</f>
        <v/>
      </c>
      <c r="L277">
        <f>D277+E277+F277+G277</f>
        <v/>
      </c>
    </row>
    <row r="278">
      <c r="A278" s="4" t="n">
        <v>44927</v>
      </c>
      <c r="B278" t="inlineStr">
        <is>
          <t>Jan-23</t>
        </is>
      </c>
      <c r="C278" t="n">
        <v>3.339</v>
      </c>
      <c r="D278" t="n">
        <v>54.5</v>
      </c>
      <c r="E278" t="n">
        <v>20.2</v>
      </c>
      <c r="F278" t="n">
        <v>10.4</v>
      </c>
      <c r="G278" t="n">
        <v>15</v>
      </c>
      <c r="H278">
        <f>C278*D278</f>
        <v/>
      </c>
      <c r="I278">
        <f>C278*E278</f>
        <v/>
      </c>
      <c r="J278">
        <f>C278*F278</f>
        <v/>
      </c>
      <c r="K278">
        <f>C278*G278</f>
        <v/>
      </c>
      <c r="L278">
        <f>D278+E278+F278+G278</f>
        <v/>
      </c>
    </row>
    <row r="279">
      <c r="A279" s="4" t="n">
        <v>44958</v>
      </c>
      <c r="B279" t="inlineStr">
        <is>
          <t>Feb-23</t>
        </is>
      </c>
      <c r="C279" t="n">
        <v>3.389</v>
      </c>
      <c r="D279" t="n">
        <v>52.8</v>
      </c>
      <c r="E279" t="n">
        <v>19.7</v>
      </c>
      <c r="F279" t="n">
        <v>12.7</v>
      </c>
      <c r="G279" t="n">
        <v>14.8</v>
      </c>
      <c r="H279">
        <f>C279*D279</f>
        <v/>
      </c>
      <c r="I279">
        <f>C279*E279</f>
        <v/>
      </c>
      <c r="J279">
        <f>C279*F279</f>
        <v/>
      </c>
      <c r="K279">
        <f>C279*G279</f>
        <v/>
      </c>
      <c r="L279">
        <f>D279+E279+F279+G279</f>
        <v/>
      </c>
    </row>
    <row r="280">
      <c r="A280" s="4" t="n">
        <v>44986</v>
      </c>
      <c r="B280" t="inlineStr">
        <is>
          <t>Mar-23</t>
        </is>
      </c>
      <c r="C280" t="n">
        <v>3.422</v>
      </c>
      <c r="D280" t="n">
        <v>50.4</v>
      </c>
      <c r="E280" t="n">
        <v>23.5</v>
      </c>
      <c r="F280" t="n">
        <v>11.4</v>
      </c>
      <c r="G280" t="n">
        <v>14.7</v>
      </c>
      <c r="H280">
        <f>C280*D280</f>
        <v/>
      </c>
      <c r="I280">
        <f>C280*E280</f>
        <v/>
      </c>
      <c r="J280">
        <f>C280*F280</f>
        <v/>
      </c>
      <c r="K280">
        <f>C280*G280</f>
        <v/>
      </c>
      <c r="L280">
        <f>D280+E280+F280+G280</f>
        <v/>
      </c>
    </row>
    <row r="281">
      <c r="A281" s="4" t="n">
        <v>45017</v>
      </c>
      <c r="B281" t="inlineStr">
        <is>
          <t>Apr-23</t>
        </is>
      </c>
      <c r="C281" t="n">
        <v>3.603</v>
      </c>
      <c r="D281" t="n">
        <v>51.1</v>
      </c>
      <c r="E281" t="n">
        <v>22.6</v>
      </c>
      <c r="F281" t="n">
        <v>12.4</v>
      </c>
      <c r="G281" t="n">
        <v>14</v>
      </c>
      <c r="H281">
        <f>C281*D281</f>
        <v/>
      </c>
      <c r="I281">
        <f>C281*E281</f>
        <v/>
      </c>
      <c r="J281">
        <f>C281*F281</f>
        <v/>
      </c>
      <c r="K281">
        <f>C281*G281</f>
        <v/>
      </c>
      <c r="L281">
        <f>D281+E281+F281+G281</f>
        <v/>
      </c>
    </row>
    <row r="282">
      <c r="A282" s="4" t="n">
        <v>45047</v>
      </c>
      <c r="B282" t="inlineStr">
        <is>
          <t>May-23</t>
        </is>
      </c>
      <c r="C282" t="n">
        <v>3.555</v>
      </c>
      <c r="D282" t="n">
        <v>49.4</v>
      </c>
      <c r="E282" t="n">
        <v>21.1</v>
      </c>
      <c r="F282" t="n">
        <v>15.3</v>
      </c>
      <c r="G282" t="n">
        <v>14.2</v>
      </c>
      <c r="H282">
        <f>C282*D282</f>
        <v/>
      </c>
      <c r="I282">
        <f>C282*E282</f>
        <v/>
      </c>
      <c r="J282">
        <f>C282*F282</f>
        <v/>
      </c>
      <c r="K282">
        <f>C282*G282</f>
        <v/>
      </c>
      <c r="L282">
        <f>D282+E282+F282+G282</f>
        <v/>
      </c>
    </row>
    <row r="283">
      <c r="A283" s="4" t="n">
        <v>45078</v>
      </c>
      <c r="B283" t="inlineStr">
        <is>
          <t>Jun-23</t>
        </is>
      </c>
      <c r="C283" t="n">
        <v>3.571</v>
      </c>
      <c r="D283" t="n">
        <v>47.3</v>
      </c>
      <c r="E283" t="n">
        <v>24.2</v>
      </c>
      <c r="F283" t="n">
        <v>14.4</v>
      </c>
      <c r="G283" t="n">
        <v>14.1</v>
      </c>
      <c r="H283">
        <f>C283*D283</f>
        <v/>
      </c>
      <c r="I283">
        <f>C283*E283</f>
        <v/>
      </c>
      <c r="J283">
        <f>C283*F283</f>
        <v/>
      </c>
      <c r="K283">
        <f>C283*G283</f>
        <v/>
      </c>
      <c r="L283">
        <f>D283+E283+F283+G283</f>
        <v/>
      </c>
    </row>
    <row r="284">
      <c r="A284" s="4" t="n">
        <v>45108</v>
      </c>
      <c r="B284" t="inlineStr">
        <is>
          <t>Jul-23</t>
        </is>
      </c>
      <c r="C284" t="n">
        <v>3.597</v>
      </c>
      <c r="D284" t="n">
        <v>50.2</v>
      </c>
      <c r="E284" t="n">
        <v>24.9</v>
      </c>
      <c r="F284" t="n">
        <v>10.8</v>
      </c>
      <c r="G284" t="n">
        <v>14.1</v>
      </c>
      <c r="H284">
        <f>C284*D284</f>
        <v/>
      </c>
      <c r="I284">
        <f>C284*E284</f>
        <v/>
      </c>
      <c r="J284">
        <f>C284*F284</f>
        <v/>
      </c>
      <c r="K284">
        <f>C284*G284</f>
        <v/>
      </c>
      <c r="L284">
        <f>D284+E284+F284+G284</f>
        <v/>
      </c>
    </row>
    <row r="285">
      <c r="A285" s="4" t="n">
        <v>45139</v>
      </c>
      <c r="B285" t="inlineStr">
        <is>
          <t>Aug-23</t>
        </is>
      </c>
      <c r="C285" t="n">
        <v>3.84</v>
      </c>
      <c r="D285" t="n">
        <v>50.2</v>
      </c>
      <c r="E285" t="n">
        <v>25.3</v>
      </c>
      <c r="F285" t="n">
        <v>11.3</v>
      </c>
      <c r="G285" t="n">
        <v>13.2</v>
      </c>
      <c r="H285">
        <f>C285*D285</f>
        <v/>
      </c>
      <c r="I285">
        <f>C285*E285</f>
        <v/>
      </c>
      <c r="J285">
        <f>C285*F285</f>
        <v/>
      </c>
      <c r="K285">
        <f>C285*G285</f>
        <v/>
      </c>
      <c r="L285">
        <f>D285+E285+F285+G285</f>
        <v/>
      </c>
    </row>
    <row r="286">
      <c r="A286" s="4" t="n">
        <v>45170</v>
      </c>
      <c r="B286" t="inlineStr">
        <is>
          <t>Sep-23</t>
        </is>
      </c>
      <c r="C286" t="n">
        <v>3.836</v>
      </c>
      <c r="D286" t="n">
        <v>55</v>
      </c>
      <c r="E286" t="n">
        <v>19.4</v>
      </c>
      <c r="F286" t="n">
        <v>12.3</v>
      </c>
      <c r="G286" t="n">
        <v>13.2</v>
      </c>
      <c r="H286">
        <f>C286*D286</f>
        <v/>
      </c>
      <c r="I286">
        <f>C286*E286</f>
        <v/>
      </c>
      <c r="J286">
        <f>C286*F286</f>
        <v/>
      </c>
      <c r="K286">
        <f>C286*G286</f>
        <v/>
      </c>
      <c r="L286">
        <f>D286+E286+F286+G286</f>
        <v/>
      </c>
    </row>
    <row r="287">
      <c r="A287" s="4" t="n">
        <v>45200</v>
      </c>
      <c r="B287" t="inlineStr">
        <is>
          <t>Oct-23</t>
        </is>
      </c>
      <c r="C287" t="n">
        <v>3.613</v>
      </c>
      <c r="D287" t="n">
        <v>57.2</v>
      </c>
      <c r="E287" t="n">
        <v>7.3</v>
      </c>
      <c r="F287" t="n">
        <v>21.5</v>
      </c>
      <c r="G287" t="n">
        <v>14</v>
      </c>
      <c r="H287">
        <f>C287*D287</f>
        <v/>
      </c>
      <c r="I287">
        <f>C287*E287</f>
        <v/>
      </c>
      <c r="J287">
        <f>C287*F287</f>
        <v/>
      </c>
      <c r="K287">
        <f>C287*G287</f>
        <v/>
      </c>
      <c r="L287">
        <f>D287+E287+F287+G287</f>
        <v/>
      </c>
    </row>
    <row r="288">
      <c r="A288" s="4" t="n">
        <v>45231</v>
      </c>
      <c r="B288" t="inlineStr">
        <is>
          <t>Nov-23</t>
        </is>
      </c>
      <c r="C288" t="n">
        <v>3.318</v>
      </c>
      <c r="D288" t="n">
        <v>57</v>
      </c>
      <c r="E288" t="n">
        <v>8.1</v>
      </c>
      <c r="F288" t="n">
        <v>19.6</v>
      </c>
      <c r="G288" t="n">
        <v>15.3</v>
      </c>
      <c r="H288">
        <f>C288*D288</f>
        <v/>
      </c>
      <c r="I288">
        <f>C288*E288</f>
        <v/>
      </c>
      <c r="J288">
        <f>C288*F288</f>
        <v/>
      </c>
      <c r="K288">
        <f>C288*G288</f>
        <v/>
      </c>
      <c r="L288">
        <f>D288+E288+F288+G288</f>
        <v/>
      </c>
    </row>
    <row r="289">
      <c r="A289" s="4" t="n">
        <v>45261</v>
      </c>
      <c r="B289" t="inlineStr">
        <is>
          <t>Dec-23</t>
        </is>
      </c>
      <c r="C289" t="n">
        <v>3.134</v>
      </c>
      <c r="D289" t="n">
        <v>56.2</v>
      </c>
      <c r="E289" t="n">
        <v>8.300000000000001</v>
      </c>
      <c r="F289" t="n">
        <v>19.4</v>
      </c>
      <c r="G289" t="n">
        <v>16.2</v>
      </c>
      <c r="H289">
        <f>C289*D289</f>
        <v/>
      </c>
      <c r="I289">
        <f>C289*E289</f>
        <v/>
      </c>
      <c r="J289">
        <f>C289*F289</f>
        <v/>
      </c>
      <c r="K289">
        <f>C289*G289</f>
        <v/>
      </c>
      <c r="L289">
        <f>D289+E289+F289+G289</f>
        <v/>
      </c>
    </row>
    <row r="290">
      <c r="A290" s="4" t="n">
        <v>45292</v>
      </c>
      <c r="B290" t="inlineStr">
        <is>
          <t>Jan-24</t>
        </is>
      </c>
      <c r="C290" t="n">
        <v>3.075</v>
      </c>
      <c r="D290" t="n">
        <v>56.7</v>
      </c>
      <c r="E290" t="n">
        <v>10.7</v>
      </c>
      <c r="F290" t="n">
        <v>16.1</v>
      </c>
      <c r="G290" t="n">
        <v>16.5</v>
      </c>
      <c r="H290">
        <f>C290*D290</f>
        <v/>
      </c>
      <c r="I290">
        <f>C290*E290</f>
        <v/>
      </c>
      <c r="J290">
        <f>C290*F290</f>
        <v/>
      </c>
      <c r="K290">
        <f>C290*G290</f>
        <v/>
      </c>
      <c r="L290">
        <f>D290+E290+F290+G290</f>
        <v/>
      </c>
    </row>
    <row r="291">
      <c r="A291" s="4" t="n">
        <v>45323</v>
      </c>
      <c r="B291" t="inlineStr">
        <is>
          <t>Feb-24</t>
        </is>
      </c>
      <c r="C291" t="n">
        <v>3.212</v>
      </c>
      <c r="D291" t="n">
        <v>56.6</v>
      </c>
      <c r="E291" t="n">
        <v>14.3</v>
      </c>
      <c r="F291" t="n">
        <v>13.3</v>
      </c>
      <c r="G291" t="n">
        <v>15.8</v>
      </c>
      <c r="H291">
        <f>C291*D291</f>
        <v/>
      </c>
      <c r="I291">
        <f>C291*E291</f>
        <v/>
      </c>
      <c r="J291">
        <f>C291*F291</f>
        <v/>
      </c>
      <c r="K291">
        <f>C291*G291</f>
        <v/>
      </c>
      <c r="L291">
        <f>D291+E291+F291+G291</f>
        <v/>
      </c>
    </row>
    <row r="292">
      <c r="A292" s="4" t="n">
        <v>45352</v>
      </c>
      <c r="B292" t="inlineStr">
        <is>
          <t>Mar-24</t>
        </is>
      </c>
      <c r="C292" t="n">
        <v>3.426</v>
      </c>
      <c r="D292" t="n">
        <v>55.6</v>
      </c>
      <c r="E292" t="n">
        <v>19.1</v>
      </c>
      <c r="F292" t="n">
        <v>10.4</v>
      </c>
      <c r="G292" t="n">
        <v>14.8</v>
      </c>
      <c r="H292">
        <f>C292*D292</f>
        <v/>
      </c>
      <c r="I292">
        <f>C292*E292</f>
        <v/>
      </c>
      <c r="J292">
        <f>C292*F292</f>
        <v/>
      </c>
      <c r="K292">
        <f>C292*G292</f>
        <v/>
      </c>
      <c r="L292">
        <f>D292+E292+F292+G292</f>
        <v/>
      </c>
    </row>
    <row r="293">
      <c r="A293" s="4" t="n">
        <v>45383</v>
      </c>
      <c r="B293" t="inlineStr">
        <is>
          <t>Apr-24</t>
        </is>
      </c>
      <c r="C293" t="n">
        <v>3.611</v>
      </c>
      <c r="D293" t="n">
        <v>55.3</v>
      </c>
      <c r="E293" t="n">
        <v>19</v>
      </c>
      <c r="F293" t="n">
        <v>11.6</v>
      </c>
      <c r="G293" t="n">
        <v>14.1</v>
      </c>
      <c r="H293">
        <f>C293*D293</f>
        <v/>
      </c>
      <c r="I293">
        <f>C293*E293</f>
        <v/>
      </c>
      <c r="J293">
        <f>C293*F293</f>
        <v/>
      </c>
      <c r="K293">
        <f>C293*G293</f>
        <v/>
      </c>
      <c r="L293">
        <f>D293+E293+F293+G293</f>
        <v/>
      </c>
    </row>
    <row r="294">
      <c r="A294" s="4" t="n">
        <v>45413</v>
      </c>
      <c r="B294" t="inlineStr">
        <is>
          <t>May-24</t>
        </is>
      </c>
      <c r="C294" t="n">
        <v>3.603</v>
      </c>
      <c r="D294" t="n">
        <v>53.5</v>
      </c>
      <c r="E294" t="n">
        <v>14.8</v>
      </c>
      <c r="F294" t="n">
        <v>17.5</v>
      </c>
      <c r="G294" t="n">
        <v>14.1</v>
      </c>
      <c r="H294">
        <f>C294*D294</f>
        <v/>
      </c>
      <c r="I294">
        <f>C294*E294</f>
        <v/>
      </c>
      <c r="J294">
        <f>C294*F294</f>
        <v/>
      </c>
      <c r="K294">
        <f>C294*G294</f>
        <v/>
      </c>
      <c r="L294">
        <f>D294+E294+F294+G294</f>
        <v/>
      </c>
    </row>
    <row r="295">
      <c r="A295" s="4" t="n">
        <v>45444</v>
      </c>
      <c r="B295" t="inlineStr">
        <is>
          <t>Jun-24</t>
        </is>
      </c>
      <c r="C295" t="n">
        <v>3.455</v>
      </c>
      <c r="D295" t="n">
        <v>55</v>
      </c>
      <c r="E295" t="n">
        <v>12.4</v>
      </c>
      <c r="F295" t="n">
        <v>17.8</v>
      </c>
      <c r="G295" t="n">
        <v>14.7</v>
      </c>
      <c r="H295">
        <f>C295*D295</f>
        <v/>
      </c>
      <c r="I295">
        <f>C295*E295</f>
        <v/>
      </c>
      <c r="J295">
        <f>C295*F295</f>
        <v/>
      </c>
      <c r="K295">
        <f>C295*G295</f>
        <v/>
      </c>
      <c r="L295">
        <f>D295+E295+F295+G295</f>
        <v/>
      </c>
    </row>
    <row r="296">
      <c r="A296" s="4" t="n">
        <v>45474</v>
      </c>
      <c r="B296" t="inlineStr">
        <is>
          <t>July-24</t>
        </is>
      </c>
      <c r="C296" t="n">
        <v>3.484</v>
      </c>
      <c r="D296" t="n">
        <v>55.6</v>
      </c>
      <c r="E296" t="n">
        <v>13.4</v>
      </c>
      <c r="F296" t="n">
        <v>16.3</v>
      </c>
      <c r="G296" t="n">
        <v>14.6</v>
      </c>
      <c r="H296">
        <f>C296*D296</f>
        <v/>
      </c>
      <c r="I296">
        <f>C296*E296</f>
        <v/>
      </c>
      <c r="J296">
        <f>C296*F296</f>
        <v/>
      </c>
      <c r="K296">
        <f>C296*G296</f>
        <v/>
      </c>
      <c r="L296">
        <f>D296+E296+F296+G296</f>
        <v/>
      </c>
    </row>
    <row r="297">
      <c r="A297" s="4" t="n">
        <v>45505</v>
      </c>
      <c r="B297" t="inlineStr">
        <is>
          <t>Aug-24</t>
        </is>
      </c>
      <c r="C297" t="n">
        <v>3.389</v>
      </c>
      <c r="D297" t="n">
        <v>54.7</v>
      </c>
      <c r="E297" t="n">
        <v>13.2</v>
      </c>
      <c r="F297" t="n">
        <v>17.1</v>
      </c>
      <c r="G297" t="n">
        <v>15.1</v>
      </c>
      <c r="H297">
        <f>C297*D297</f>
        <v/>
      </c>
      <c r="I297">
        <f>C297*E297</f>
        <v/>
      </c>
      <c r="J297">
        <f>C297*F297</f>
        <v/>
      </c>
      <c r="K297">
        <f>C297*G297</f>
        <v/>
      </c>
      <c r="L297">
        <f>D297+E297+F297+G297</f>
        <v/>
      </c>
    </row>
    <row r="298">
      <c r="A298" s="4" t="n">
        <v>45536</v>
      </c>
      <c r="B298" t="inlineStr">
        <is>
          <t>Sep-24</t>
        </is>
      </c>
      <c r="C298" t="n">
        <v>3.214</v>
      </c>
      <c r="D298" t="n">
        <v>53.2</v>
      </c>
      <c r="E298" t="n">
        <v>10.9</v>
      </c>
      <c r="F298" t="n">
        <v>20</v>
      </c>
      <c r="G298" t="n">
        <v>15.9</v>
      </c>
      <c r="H298">
        <f>C298*D298</f>
        <v/>
      </c>
      <c r="I298">
        <f>C298*E298</f>
        <v/>
      </c>
      <c r="J298">
        <f>C298*F298</f>
        <v/>
      </c>
      <c r="K298">
        <f>C298*G298</f>
        <v/>
      </c>
      <c r="L298">
        <f>D298+E298+F298+G298</f>
        <v/>
      </c>
    </row>
    <row r="299">
      <c r="A299" s="4" t="n">
        <v>45566</v>
      </c>
      <c r="B299" t="inlineStr">
        <is>
          <t>Oct-24</t>
        </is>
      </c>
      <c r="C299" t="n">
        <v>3.137</v>
      </c>
      <c r="D299" t="n">
        <v>54.9</v>
      </c>
      <c r="E299" t="n">
        <v>10.9</v>
      </c>
      <c r="F299" t="n">
        <v>18</v>
      </c>
      <c r="G299" t="n">
        <v>16.3</v>
      </c>
      <c r="H299">
        <f>C299*D299</f>
        <v/>
      </c>
      <c r="I299">
        <f>C299*E299</f>
        <v/>
      </c>
      <c r="J299">
        <f>C299*F299</f>
        <v/>
      </c>
      <c r="K299">
        <f>C299*G299</f>
        <v/>
      </c>
      <c r="L299">
        <f>D299+E299+F299+G299</f>
        <v/>
      </c>
    </row>
    <row r="300">
      <c r="A300" s="4" t="n">
        <v>45597</v>
      </c>
      <c r="B300" t="inlineStr">
        <is>
          <t>Nov-24</t>
        </is>
      </c>
      <c r="C300" t="n">
        <v>3.053</v>
      </c>
      <c r="D300" t="n">
        <v>55.8</v>
      </c>
      <c r="E300" t="n">
        <v>8.699999999999999</v>
      </c>
      <c r="F300" t="n">
        <v>18.7</v>
      </c>
      <c r="G300" t="n">
        <v>16.7</v>
      </c>
      <c r="H300">
        <f>C300*D300</f>
        <v/>
      </c>
      <c r="I300">
        <f>C300*E300</f>
        <v/>
      </c>
      <c r="J300">
        <f>C300*F300</f>
        <v/>
      </c>
      <c r="K300">
        <f>C300*G300</f>
        <v/>
      </c>
      <c r="L300">
        <f>D300+E300+F300+G300</f>
        <v/>
      </c>
    </row>
    <row r="301">
      <c r="A301" s="4" t="n">
        <v>45627</v>
      </c>
      <c r="B301" t="inlineStr">
        <is>
          <t>Dec-24</t>
        </is>
      </c>
      <c r="C301" t="n">
        <v>3.018</v>
      </c>
      <c r="D301" t="n">
        <v>55.8</v>
      </c>
      <c r="E301" t="n">
        <v>7.7</v>
      </c>
      <c r="F301" t="n">
        <v>19.6</v>
      </c>
      <c r="G301" t="n">
        <v>16.9</v>
      </c>
      <c r="H301">
        <f>C301*D301</f>
        <v/>
      </c>
      <c r="I301">
        <f>C301*E301</f>
        <v/>
      </c>
      <c r="J301">
        <f>C301*F301</f>
        <v/>
      </c>
      <c r="K301">
        <f>C301*G301</f>
        <v/>
      </c>
      <c r="L301">
        <f>D301+E301+F301+G301</f>
        <v/>
      </c>
    </row>
    <row r="302">
      <c r="A302" s="4" t="n">
        <v>45658</v>
      </c>
      <c r="B302" t="inlineStr">
        <is>
          <t>Jan-25</t>
        </is>
      </c>
      <c r="C302" t="n">
        <v>3.076</v>
      </c>
      <c r="D302" t="n">
        <v>58</v>
      </c>
      <c r="E302" t="n">
        <v>9.199999999999999</v>
      </c>
      <c r="F302" t="n">
        <v>16.3</v>
      </c>
      <c r="G302" t="n">
        <v>16.6</v>
      </c>
      <c r="H302">
        <f>C302*D302</f>
        <v/>
      </c>
      <c r="I302">
        <f>C302*E302</f>
        <v/>
      </c>
      <c r="J302">
        <f>C302*F302</f>
        <v/>
      </c>
      <c r="K302">
        <f>C302*G302</f>
        <v/>
      </c>
      <c r="L302">
        <f>D302+E302+F302+G302</f>
        <v/>
      </c>
    </row>
    <row r="303">
      <c r="A303" s="4" t="n">
        <v>45689</v>
      </c>
      <c r="B303" t="inlineStr">
        <is>
          <t>Feb-25</t>
        </is>
      </c>
      <c r="C303" t="n">
        <v>3.121</v>
      </c>
      <c r="D303" t="n">
        <v>57.5</v>
      </c>
      <c r="E303" t="n">
        <v>10</v>
      </c>
      <c r="F303" t="n">
        <v>16.2</v>
      </c>
      <c r="G303" t="n">
        <v>16.4</v>
      </c>
      <c r="H303">
        <f>C303*D303</f>
        <v/>
      </c>
      <c r="I303">
        <f>C303*E303</f>
        <v/>
      </c>
      <c r="J303">
        <f>C303*F303</f>
        <v/>
      </c>
      <c r="K303">
        <f>C303*G303</f>
        <v/>
      </c>
      <c r="L303">
        <f>D303+E303+F303+G303</f>
        <v/>
      </c>
    </row>
    <row r="304">
      <c r="A304" s="4" t="n">
        <v>45717</v>
      </c>
      <c r="B304" t="inlineStr">
        <is>
          <t>Mar-25</t>
        </is>
      </c>
      <c r="C304" t="n">
        <v>3.096</v>
      </c>
      <c r="D304" t="n">
        <v>53.6</v>
      </c>
      <c r="E304" t="n">
        <v>13.7</v>
      </c>
      <c r="F304" t="n">
        <v>16.2</v>
      </c>
      <c r="G304" t="n">
        <v>16.5</v>
      </c>
      <c r="H304">
        <f>C304*D304</f>
        <v/>
      </c>
      <c r="I304">
        <f>C304*E304</f>
        <v/>
      </c>
      <c r="J304">
        <f>C304*F304</f>
        <v/>
      </c>
      <c r="K304">
        <f>C304*G304</f>
        <v/>
      </c>
      <c r="L304">
        <f>D304+E304+F304+G304</f>
        <v/>
      </c>
    </row>
    <row r="305">
      <c r="A305" s="4" t="n">
        <v>45748</v>
      </c>
      <c r="B305" t="inlineStr">
        <is>
          <t>Apr-25</t>
        </is>
      </c>
      <c r="C305" t="n">
        <v>3.171</v>
      </c>
      <c r="D305" t="n">
        <v>49.1</v>
      </c>
      <c r="E305" t="n">
        <v>16.3</v>
      </c>
      <c r="F305" t="n">
        <v>18.5</v>
      </c>
      <c r="G305" t="n">
        <v>16.1</v>
      </c>
      <c r="H305">
        <f>C305*D305</f>
        <v/>
      </c>
      <c r="I305">
        <f>C305*E305</f>
        <v/>
      </c>
      <c r="J305">
        <f>C305*F305</f>
        <v/>
      </c>
      <c r="K305">
        <f>C305*G305</f>
        <v/>
      </c>
      <c r="L305">
        <f>D305+E305+F305+G305</f>
        <v/>
      </c>
    </row>
    <row r="306">
      <c r="A306" s="4" t="n">
        <v>45778</v>
      </c>
      <c r="B306" t="inlineStr">
        <is>
          <t>May-25</t>
        </is>
      </c>
      <c r="C306" t="n">
        <v>3.15</v>
      </c>
      <c r="D306" t="n">
        <v>50</v>
      </c>
      <c r="E306" t="n">
        <v>16.6</v>
      </c>
      <c r="F306" t="n">
        <v>17.2</v>
      </c>
      <c r="G306" t="n">
        <v>16.2</v>
      </c>
      <c r="H306">
        <f>C306*D306</f>
        <v/>
      </c>
      <c r="I306">
        <f>C306*E306</f>
        <v/>
      </c>
      <c r="J306">
        <f>C306*F306</f>
        <v/>
      </c>
      <c r="K306">
        <f>C306*G306</f>
        <v/>
      </c>
      <c r="L306">
        <f>D306+E306+F306+G306</f>
        <v/>
      </c>
    </row>
    <row r="307">
      <c r="A307" s="4" t="n">
        <v>45809</v>
      </c>
      <c r="B307" t="inlineStr">
        <is>
          <t>Jun-25</t>
        </is>
      </c>
      <c r="C307" t="n">
        <v>3.125</v>
      </c>
      <c r="D307" t="n">
        <v>51.9</v>
      </c>
      <c r="E307" t="n">
        <v>15.7</v>
      </c>
      <c r="F307" t="n">
        <v>16.1</v>
      </c>
      <c r="G307" t="n">
        <v>16.3</v>
      </c>
      <c r="H307">
        <f>C307*D307</f>
        <v/>
      </c>
      <c r="I307">
        <f>C307*E307</f>
        <v/>
      </c>
      <c r="J307">
        <f>C307*F307</f>
        <v/>
      </c>
      <c r="K307">
        <f>C307*G307</f>
        <v/>
      </c>
      <c r="L307">
        <f>D307+E307+F307+G307</f>
        <v/>
      </c>
    </row>
    <row r="308">
      <c r="A308" s="4" t="n">
        <v>45839</v>
      </c>
      <c r="B308" t="inlineStr">
        <is>
          <t>Jul-25</t>
        </is>
      </c>
      <c r="C308" t="n">
        <v>3.125</v>
      </c>
      <c r="D308" t="n">
        <v>52.1</v>
      </c>
      <c r="E308" t="n">
        <v>16.1</v>
      </c>
      <c r="F308" t="n">
        <v>15.4</v>
      </c>
      <c r="G308" t="n">
        <v>16.5</v>
      </c>
      <c r="H308">
        <f>C308*D308</f>
        <v/>
      </c>
      <c r="I308">
        <f>C308*E308</f>
        <v/>
      </c>
      <c r="J308">
        <f>C308*F308</f>
        <v/>
      </c>
      <c r="K308">
        <f>C308*G308</f>
        <v/>
      </c>
      <c r="L308">
        <f>D308+E308+F308+G308</f>
        <v/>
      </c>
    </row>
    <row r="309">
      <c r="A309" s="4" t="n">
        <v>45870</v>
      </c>
      <c r="B309" t="inlineStr">
        <is>
          <t>Aug-25</t>
        </is>
      </c>
      <c r="C309" t="n">
        <v>3.133</v>
      </c>
      <c r="D309" t="n">
        <v>50.5</v>
      </c>
      <c r="E309" t="n">
        <v>17.6</v>
      </c>
      <c r="F309" t="n">
        <v>15.5</v>
      </c>
      <c r="G309" t="n">
        <v>16.4</v>
      </c>
      <c r="H309">
        <f>C309*D309</f>
        <v/>
      </c>
      <c r="I309">
        <f>C309*E309</f>
        <v/>
      </c>
      <c r="J309">
        <f>C309*F309</f>
        <v/>
      </c>
      <c r="K309">
        <f>C309*G309</f>
        <v/>
      </c>
      <c r="L309">
        <f>D309+E309+F309+G309</f>
        <v/>
      </c>
    </row>
    <row r="310">
      <c r="A310" s="4" t="n">
        <v>45901</v>
      </c>
      <c r="B310" t="inlineStr">
        <is>
          <t>Sep-25</t>
        </is>
      </c>
      <c r="C310" t="n">
        <v>3.166</v>
      </c>
      <c r="D310" t="n">
        <v>48.3</v>
      </c>
      <c r="E310" t="n">
        <v>17.7</v>
      </c>
      <c r="F310" t="n">
        <v>17.8</v>
      </c>
      <c r="G310" t="n">
        <v>16.3</v>
      </c>
      <c r="H310">
        <f>C310*D310</f>
        <v/>
      </c>
      <c r="I310">
        <f>C310*E310</f>
        <v/>
      </c>
      <c r="J310">
        <f>C310*F310</f>
        <v/>
      </c>
      <c r="K310">
        <f>C310*G310</f>
        <v/>
      </c>
      <c r="L310">
        <f>D310+E310+F310+G310</f>
        <v/>
      </c>
    </row>
    <row r="311">
      <c r="A311" s="4" t="n">
        <v>45931</v>
      </c>
      <c r="B311" t="inlineStr">
        <is>
          <t>Oct-25</t>
        </is>
      </c>
      <c r="C311" t="n">
        <v>3.06</v>
      </c>
      <c r="D311" t="n">
        <v>49.1</v>
      </c>
      <c r="E311" t="n">
        <v>13.5</v>
      </c>
      <c r="F311" t="n">
        <v>20.6</v>
      </c>
      <c r="G311" t="n">
        <v>16.8</v>
      </c>
      <c r="H311">
        <f>C311*D311</f>
        <v/>
      </c>
      <c r="I311">
        <f>C311*E311</f>
        <v/>
      </c>
      <c r="J311">
        <f>C311*F311</f>
        <v/>
      </c>
      <c r="K311">
        <f>C311*G311</f>
        <v/>
      </c>
      <c r="L311">
        <f>D311+E311+F311+G311</f>
        <v/>
      </c>
    </row>
    <row r="312">
      <c r="A312" s="4" t="n">
        <v>45962</v>
      </c>
      <c r="B312" t="inlineStr">
        <is>
          <t>Nov-25</t>
        </is>
      </c>
      <c r="C312" t="n">
        <v>3.05</v>
      </c>
      <c r="D312" t="n">
        <v>47.3</v>
      </c>
      <c r="E312" t="n">
        <v>15.8</v>
      </c>
      <c r="F312" t="n">
        <v>20</v>
      </c>
      <c r="G312" t="n">
        <v>16.9</v>
      </c>
      <c r="H312">
        <f>C312*D312</f>
        <v/>
      </c>
      <c r="I312">
        <f>C312*E312</f>
        <v/>
      </c>
      <c r="J312">
        <f>C312*F312</f>
        <v/>
      </c>
      <c r="K312">
        <f>C312*G312</f>
        <v/>
      </c>
      <c r="L312">
        <f>D312+E312+F312+G312</f>
        <v/>
      </c>
    </row>
    <row r="313">
      <c r="A313" s="4" t="n">
        <v>45992</v>
      </c>
      <c r="B313" t="inlineStr">
        <is>
          <t>Dec-25</t>
        </is>
      </c>
      <c r="C313" t="n">
        <v>2.894</v>
      </c>
      <c r="D313" t="n">
        <v>49.1</v>
      </c>
      <c r="E313" t="n">
        <v>9.199999999999999</v>
      </c>
      <c r="F313" t="n">
        <v>23.9</v>
      </c>
      <c r="G313" t="n">
        <v>17.8</v>
      </c>
      <c r="H313">
        <f>C313*D313</f>
        <v/>
      </c>
      <c r="I313">
        <f>C313*E313</f>
        <v/>
      </c>
      <c r="J313">
        <f>C313*F313</f>
        <v/>
      </c>
      <c r="K313">
        <f>C313*G313</f>
        <v/>
      </c>
      <c r="L313">
        <f>D313+E313+F313+G313</f>
        <v/>
      </c>
    </row>
    <row r="314">
      <c r="A314" s="4" t="n">
        <v>46023</v>
      </c>
      <c r="B314" t="inlineStr">
        <is>
          <t>Jan-26</t>
        </is>
      </c>
      <c r="C314" t="n">
        <v>2.809</v>
      </c>
      <c r="D314" t="n">
        <v>50.6</v>
      </c>
      <c r="E314" t="n">
        <v>19.7</v>
      </c>
      <c r="F314" t="n">
        <v>11.4</v>
      </c>
      <c r="G314" t="n">
        <v>18.4</v>
      </c>
      <c r="H314">
        <f>C314*D314</f>
        <v/>
      </c>
      <c r="I314">
        <f>C314*E314</f>
        <v/>
      </c>
      <c r="J314">
        <f>C314*F314</f>
        <v/>
      </c>
      <c r="K314">
        <f>C314*G314</f>
        <v/>
      </c>
      <c r="L314">
        <f>D314+E314+F314+G314</f>
        <v/>
      </c>
    </row>
    <row r="315">
      <c r="A315" s="4" t="n">
        <v>46054</v>
      </c>
      <c r="B315" t="inlineStr">
        <is>
          <t>Feb-26</t>
        </is>
      </c>
      <c r="C315" t="n">
        <v>2.908</v>
      </c>
      <c r="D315" t="n">
        <v>52</v>
      </c>
      <c r="E315" t="n">
        <v>17</v>
      </c>
      <c r="F315" t="n">
        <v>13.3</v>
      </c>
      <c r="G315" t="n">
        <v>17.8</v>
      </c>
      <c r="H315">
        <f>C315*D315</f>
        <v/>
      </c>
      <c r="I315">
        <f>C315*E315</f>
        <v/>
      </c>
      <c r="J315">
        <f>C315*F315</f>
        <v/>
      </c>
      <c r="K315">
        <f>C315*G315</f>
        <v/>
      </c>
      <c r="L315">
        <f>D315+E315+F315+G315</f>
        <v/>
      </c>
    </row>
    <row r="316">
      <c r="A316" s="4" t="n">
        <v>46082</v>
      </c>
      <c r="B316" t="inlineStr">
        <is>
          <t>Mar-26</t>
        </is>
      </c>
      <c r="C316" t="n">
        <v>3.638</v>
      </c>
      <c r="D316" t="n">
        <v>56.9</v>
      </c>
      <c r="E316" t="n">
        <v>21.3</v>
      </c>
      <c r="F316" t="n">
        <v>7.6</v>
      </c>
      <c r="G316" t="n">
        <v>14.2</v>
      </c>
      <c r="H316">
        <f>C316*D316</f>
        <v/>
      </c>
      <c r="I316">
        <f>C316*E316</f>
        <v/>
      </c>
      <c r="J316">
        <f>C316*F316</f>
        <v/>
      </c>
      <c r="K316">
        <f>C316*G316</f>
        <v/>
      </c>
      <c r="L316">
        <f>D316+E316+F316+G316</f>
        <v/>
      </c>
    </row>
    <row r="317">
      <c r="A317" s="4" t="n">
        <v>46113</v>
      </c>
      <c r="B317" t="inlineStr">
        <is>
          <t>Apr-26</t>
        </is>
      </c>
      <c r="C317" t="n">
        <v>4.103</v>
      </c>
      <c r="D317" t="n">
        <v>57.1</v>
      </c>
      <c r="E317" t="n">
        <v>16.6</v>
      </c>
      <c r="F317" t="n">
        <v>13.7</v>
      </c>
      <c r="G317" t="n">
        <v>12.6</v>
      </c>
      <c r="H317">
        <f>C317*D317</f>
        <v/>
      </c>
      <c r="I317">
        <f>C317*E317</f>
        <v/>
      </c>
      <c r="J317">
        <f>C317*F317</f>
        <v/>
      </c>
      <c r="K317">
        <f>C317*G317</f>
        <v/>
      </c>
      <c r="L317">
        <f>D317+E317+F317+G317</f>
        <v/>
      </c>
    </row>
    <row r="318">
      <c r="A318" s="4" t="n">
        <v>46143</v>
      </c>
      <c r="B318" t="inlineStr">
        <is>
          <t>May-26</t>
        </is>
      </c>
      <c r="C318" t="n">
        <v>4.479</v>
      </c>
      <c r="D318" t="n">
        <v>51.9</v>
      </c>
      <c r="E318" t="n">
        <v>21.7</v>
      </c>
      <c r="F318" t="n">
        <v>14.8</v>
      </c>
      <c r="G318" t="n">
        <v>11.5</v>
      </c>
      <c r="H318">
        <f>C318*D318</f>
        <v/>
      </c>
      <c r="I318">
        <f>C318*E318</f>
        <v/>
      </c>
      <c r="J318">
        <f>C318*F318</f>
        <v/>
      </c>
      <c r="K318">
        <f>C318*G318</f>
        <v/>
      </c>
      <c r="L318">
        <f>D318+E318+F318+G318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8" customWidth="1" min="3" max="3"/>
    <col width="20" customWidth="1" min="4" max="4"/>
    <col width="8" customWidth="1" min="5" max="5"/>
    <col width="8" customWidth="1" min="6" max="6"/>
    <col width="22" customWidth="1" min="7" max="7"/>
    <col width="34" customWidth="1" min="8" max="8"/>
    <col width="60" customWidth="1" min="9" max="9"/>
    <col width="16" customWidth="1" min="10" max="10"/>
  </cols>
  <sheetData>
    <row r="1">
      <c r="A1" s="5" t="inlineStr">
        <is>
          <t>Source: SEC EDGAR XBRL company facts (data.sec.gov/api/xbrl/companyfacts). Values exactly as tagged in each filing. Suncor files IFRS in CAD, company-wide (oil sands + refining); Commerce City is not reported separately. PBF and HF Sinclair 2026 H1 as filed in Q2 10-Qs.</t>
        </is>
      </c>
    </row>
    <row r="2" ht="60" customHeight="1">
      <c r="A2" s="1" t="inlineStr">
        <is>
          <t>Company</t>
        </is>
      </c>
      <c r="B2" s="1" t="inlineStr">
        <is>
          <t>Metric</t>
        </is>
      </c>
      <c r="C2" s="1" t="inlineStr">
        <is>
          <t>Period (calendar year unless noted)</t>
        </is>
      </c>
      <c r="D2" s="1" t="inlineStr">
        <is>
          <t>Value as reported (units of currency)</t>
        </is>
      </c>
      <c r="E2" s="1" t="inlineStr">
        <is>
          <t>Currency</t>
        </is>
      </c>
      <c r="F2" s="1" t="inlineStr">
        <is>
          <t>SEC form</t>
        </is>
      </c>
      <c r="G2" s="1" t="inlineStr">
        <is>
          <t>Accession no.</t>
        </is>
      </c>
      <c r="H2" s="1" t="inlineStr">
        <is>
          <t>XBRL tag</t>
        </is>
      </c>
      <c r="I2" s="1" t="inlineStr">
        <is>
          <t>Filing URL</t>
        </is>
      </c>
      <c r="J2" s="2" t="inlineStr">
        <is>
          <t>Value, $ billions [formula]</t>
        </is>
      </c>
    </row>
    <row r="3">
      <c r="A3" t="inlineStr">
        <is>
          <t>Valero Energy</t>
        </is>
      </c>
      <c r="B3" t="inlineStr">
        <is>
          <t>Net income attributable to company</t>
        </is>
      </c>
      <c r="C3" t="inlineStr">
        <is>
          <t>2026 H1 (Jan-Jun)</t>
        </is>
      </c>
      <c r="D3" t="n">
        <v>4983000000</v>
      </c>
      <c r="E3" t="inlineStr">
        <is>
          <t>USD</t>
        </is>
      </c>
      <c r="F3" t="inlineStr">
        <is>
          <t>10-Q</t>
        </is>
      </c>
      <c r="G3" t="inlineStr">
        <is>
          <t>0001628280-26-050937</t>
        </is>
      </c>
      <c r="H3" t="inlineStr">
        <is>
          <t>NetIncomeLoss</t>
        </is>
      </c>
      <c r="I3" t="inlineStr">
        <is>
          <t>https://www.sec.gov/Archives/edgar/data/1035002/000162828026050937/</t>
        </is>
      </c>
      <c r="J3">
        <f>D3/1e9</f>
        <v/>
      </c>
    </row>
    <row r="4">
      <c r="A4" t="inlineStr">
        <is>
          <t>Valero Energy</t>
        </is>
      </c>
      <c r="B4" t="inlineStr">
        <is>
          <t>Net income attributable to company</t>
        </is>
      </c>
      <c r="C4" t="inlineStr">
        <is>
          <t>2008</t>
        </is>
      </c>
      <c r="D4" t="n">
        <v>-1131000000</v>
      </c>
      <c r="E4" t="inlineStr">
        <is>
          <t>USD</t>
        </is>
      </c>
      <c r="F4" t="inlineStr">
        <is>
          <t>10-K</t>
        </is>
      </c>
      <c r="G4" t="inlineStr">
        <is>
          <t>0001035002-11-000013</t>
        </is>
      </c>
      <c r="H4" t="inlineStr">
        <is>
          <t>NetIncomeLoss</t>
        </is>
      </c>
      <c r="I4" t="inlineStr">
        <is>
          <t>https://www.sec.gov/Archives/edgar/data/1035002/000103500211000013/</t>
        </is>
      </c>
      <c r="J4">
        <f>D4/1e9</f>
        <v/>
      </c>
    </row>
    <row r="5">
      <c r="A5" t="inlineStr">
        <is>
          <t>Valero Energy</t>
        </is>
      </c>
      <c r="B5" t="inlineStr">
        <is>
          <t>Net income attributable to company</t>
        </is>
      </c>
      <c r="C5" t="inlineStr">
        <is>
          <t>2012</t>
        </is>
      </c>
      <c r="D5" t="n">
        <v>2083000000</v>
      </c>
      <c r="E5" t="inlineStr">
        <is>
          <t>USD</t>
        </is>
      </c>
      <c r="F5" t="inlineStr">
        <is>
          <t>10-K</t>
        </is>
      </c>
      <c r="G5" t="inlineStr">
        <is>
          <t>0001035002-15-000009</t>
        </is>
      </c>
      <c r="H5" t="inlineStr">
        <is>
          <t>NetIncomeLoss</t>
        </is>
      </c>
      <c r="I5" t="inlineStr">
        <is>
          <t>https://www.sec.gov/Archives/edgar/data/1035002/000103500215000009/</t>
        </is>
      </c>
      <c r="J5">
        <f>D5/1e9</f>
        <v/>
      </c>
    </row>
    <row r="6">
      <c r="A6" t="inlineStr">
        <is>
          <t>Valero Energy</t>
        </is>
      </c>
      <c r="B6" t="inlineStr">
        <is>
          <t>Net income attributable to company</t>
        </is>
      </c>
      <c r="C6" t="inlineStr">
        <is>
          <t>2013</t>
        </is>
      </c>
      <c r="D6" t="n">
        <v>2720000000</v>
      </c>
      <c r="E6" t="inlineStr">
        <is>
          <t>USD</t>
        </is>
      </c>
      <c r="F6" t="inlineStr">
        <is>
          <t>10-K</t>
        </is>
      </c>
      <c r="G6" t="inlineStr">
        <is>
          <t>0001035002-16-000069</t>
        </is>
      </c>
      <c r="H6" t="inlineStr">
        <is>
          <t>NetIncomeLoss</t>
        </is>
      </c>
      <c r="I6" t="inlineStr">
        <is>
          <t>https://www.sec.gov/Archives/edgar/data/1035002/000103500216000069/</t>
        </is>
      </c>
      <c r="J6">
        <f>D6/1e9</f>
        <v/>
      </c>
    </row>
    <row r="7">
      <c r="A7" t="inlineStr">
        <is>
          <t>Valero Energy</t>
        </is>
      </c>
      <c r="B7" t="inlineStr">
        <is>
          <t>Net income attributable to company</t>
        </is>
      </c>
      <c r="C7" t="inlineStr">
        <is>
          <t>2014</t>
        </is>
      </c>
      <c r="D7" t="n">
        <v>3630000000</v>
      </c>
      <c r="E7" t="inlineStr">
        <is>
          <t>USD</t>
        </is>
      </c>
      <c r="F7" t="inlineStr">
        <is>
          <t>10-K</t>
        </is>
      </c>
      <c r="G7" t="inlineStr">
        <is>
          <t>0001035002-17-000009</t>
        </is>
      </c>
      <c r="H7" t="inlineStr">
        <is>
          <t>NetIncomeLoss</t>
        </is>
      </c>
      <c r="I7" t="inlineStr">
        <is>
          <t>https://www.sec.gov/Archives/edgar/data/1035002/000103500217000009/</t>
        </is>
      </c>
      <c r="J7">
        <f>D7/1e9</f>
        <v/>
      </c>
    </row>
    <row r="8">
      <c r="A8" t="inlineStr">
        <is>
          <t>Valero Energy</t>
        </is>
      </c>
      <c r="B8" t="inlineStr">
        <is>
          <t>Net income attributable to company</t>
        </is>
      </c>
      <c r="C8" t="inlineStr">
        <is>
          <t>2015</t>
        </is>
      </c>
      <c r="D8" t="n">
        <v>3990000000</v>
      </c>
      <c r="E8" t="inlineStr">
        <is>
          <t>USD</t>
        </is>
      </c>
      <c r="F8" t="inlineStr">
        <is>
          <t>10-K</t>
        </is>
      </c>
      <c r="G8" t="inlineStr">
        <is>
          <t>0001035002-18-000010</t>
        </is>
      </c>
      <c r="H8" t="inlineStr">
        <is>
          <t>NetIncomeLoss</t>
        </is>
      </c>
      <c r="I8" t="inlineStr">
        <is>
          <t>https://www.sec.gov/Archives/edgar/data/1035002/000103500218000010/</t>
        </is>
      </c>
      <c r="J8">
        <f>D8/1e9</f>
        <v/>
      </c>
    </row>
    <row r="9">
      <c r="A9" t="inlineStr">
        <is>
          <t>Valero Energy</t>
        </is>
      </c>
      <c r="B9" t="inlineStr">
        <is>
          <t>Net income attributable to company</t>
        </is>
      </c>
      <c r="C9" t="inlineStr">
        <is>
          <t>2016</t>
        </is>
      </c>
      <c r="D9" t="n">
        <v>2289000000</v>
      </c>
      <c r="E9" t="inlineStr">
        <is>
          <t>USD</t>
        </is>
      </c>
      <c r="F9" t="inlineStr">
        <is>
          <t>10-K</t>
        </is>
      </c>
      <c r="G9" t="inlineStr">
        <is>
          <t>0001035002-19-000008</t>
        </is>
      </c>
      <c r="H9" t="inlineStr">
        <is>
          <t>NetIncomeLoss</t>
        </is>
      </c>
      <c r="I9" t="inlineStr">
        <is>
          <t>https://www.sec.gov/Archives/edgar/data/1035002/000103500219000008/</t>
        </is>
      </c>
      <c r="J9">
        <f>D9/1e9</f>
        <v/>
      </c>
    </row>
    <row r="10">
      <c r="A10" t="inlineStr">
        <is>
          <t>Valero Energy</t>
        </is>
      </c>
      <c r="B10" t="inlineStr">
        <is>
          <t>Net income attributable to company</t>
        </is>
      </c>
      <c r="C10" t="inlineStr">
        <is>
          <t>2017</t>
        </is>
      </c>
      <c r="D10" t="n">
        <v>4065000000</v>
      </c>
      <c r="E10" t="inlineStr">
        <is>
          <t>USD</t>
        </is>
      </c>
      <c r="F10" t="inlineStr">
        <is>
          <t>10-K</t>
        </is>
      </c>
      <c r="G10" t="inlineStr">
        <is>
          <t>0001035002-20-000007</t>
        </is>
      </c>
      <c r="H10" t="inlineStr">
        <is>
          <t>NetIncomeLoss</t>
        </is>
      </c>
      <c r="I10" t="inlineStr">
        <is>
          <t>https://www.sec.gov/Archives/edgar/data/1035002/000103500220000007/</t>
        </is>
      </c>
      <c r="J10">
        <f>D10/1e9</f>
        <v/>
      </c>
    </row>
    <row r="11">
      <c r="A11" t="inlineStr">
        <is>
          <t>Valero Energy</t>
        </is>
      </c>
      <c r="B11" t="inlineStr">
        <is>
          <t>Net income attributable to company</t>
        </is>
      </c>
      <c r="C11" t="inlineStr">
        <is>
          <t>2018</t>
        </is>
      </c>
      <c r="D11" t="n">
        <v>3122000000</v>
      </c>
      <c r="E11" t="inlineStr">
        <is>
          <t>USD</t>
        </is>
      </c>
      <c r="F11" t="inlineStr">
        <is>
          <t>10-K</t>
        </is>
      </c>
      <c r="G11" t="inlineStr">
        <is>
          <t>0001035002-21-000051</t>
        </is>
      </c>
      <c r="H11" t="inlineStr">
        <is>
          <t>NetIncomeLoss</t>
        </is>
      </c>
      <c r="I11" t="inlineStr">
        <is>
          <t>https://www.sec.gov/Archives/edgar/data/1035002/000103500221000051/</t>
        </is>
      </c>
      <c r="J11">
        <f>D11/1e9</f>
        <v/>
      </c>
    </row>
    <row r="12">
      <c r="A12" t="inlineStr">
        <is>
          <t>Valero Energy</t>
        </is>
      </c>
      <c r="B12" t="inlineStr">
        <is>
          <t>Net income attributable to company</t>
        </is>
      </c>
      <c r="C12" t="inlineStr">
        <is>
          <t>2019</t>
        </is>
      </c>
      <c r="D12" t="n">
        <v>2422000000</v>
      </c>
      <c r="E12" t="inlineStr">
        <is>
          <t>USD</t>
        </is>
      </c>
      <c r="F12" t="inlineStr">
        <is>
          <t>10-K</t>
        </is>
      </c>
      <c r="G12" t="inlineStr">
        <is>
          <t>0001035002-22-000007</t>
        </is>
      </c>
      <c r="H12" t="inlineStr">
        <is>
          <t>NetIncomeLoss</t>
        </is>
      </c>
      <c r="I12" t="inlineStr">
        <is>
          <t>https://www.sec.gov/Archives/edgar/data/1035002/000103500222000007/</t>
        </is>
      </c>
      <c r="J12">
        <f>D12/1e9</f>
        <v/>
      </c>
    </row>
    <row r="13">
      <c r="A13" t="inlineStr">
        <is>
          <t>Valero Energy</t>
        </is>
      </c>
      <c r="B13" t="inlineStr">
        <is>
          <t>Net income attributable to company</t>
        </is>
      </c>
      <c r="C13" t="inlineStr">
        <is>
          <t>2020</t>
        </is>
      </c>
      <c r="D13" t="n">
        <v>-1421000000</v>
      </c>
      <c r="E13" t="inlineStr">
        <is>
          <t>USD</t>
        </is>
      </c>
      <c r="F13" t="inlineStr">
        <is>
          <t>10-K</t>
        </is>
      </c>
      <c r="G13" t="inlineStr">
        <is>
          <t>0001035002-23-000027</t>
        </is>
      </c>
      <c r="H13" t="inlineStr">
        <is>
          <t>NetIncomeLoss</t>
        </is>
      </c>
      <c r="I13" t="inlineStr">
        <is>
          <t>https://www.sec.gov/Archives/edgar/data/1035002/000103500223000027/</t>
        </is>
      </c>
      <c r="J13">
        <f>D13/1e9</f>
        <v/>
      </c>
    </row>
    <row r="14">
      <c r="A14" t="inlineStr">
        <is>
          <t>Valero Energy</t>
        </is>
      </c>
      <c r="B14" t="inlineStr">
        <is>
          <t>Net income attributable to company</t>
        </is>
      </c>
      <c r="C14" t="inlineStr">
        <is>
          <t>2021</t>
        </is>
      </c>
      <c r="D14" t="n">
        <v>930000000</v>
      </c>
      <c r="E14" t="inlineStr">
        <is>
          <t>USD</t>
        </is>
      </c>
      <c r="F14" t="inlineStr">
        <is>
          <t>10-K</t>
        </is>
      </c>
      <c r="G14" t="inlineStr">
        <is>
          <t>0001035002-24-000007</t>
        </is>
      </c>
      <c r="H14" t="inlineStr">
        <is>
          <t>NetIncomeLoss</t>
        </is>
      </c>
      <c r="I14" t="inlineStr">
        <is>
          <t>https://www.sec.gov/Archives/edgar/data/1035002/000103500224000007/</t>
        </is>
      </c>
      <c r="J14">
        <f>D14/1e9</f>
        <v/>
      </c>
    </row>
    <row r="15">
      <c r="A15" t="inlineStr">
        <is>
          <t>Valero Energy</t>
        </is>
      </c>
      <c r="B15" t="inlineStr">
        <is>
          <t>Net income attributable to company</t>
        </is>
      </c>
      <c r="C15" t="inlineStr">
        <is>
          <t>2022</t>
        </is>
      </c>
      <c r="D15" t="n">
        <v>11528000000</v>
      </c>
      <c r="E15" t="inlineStr">
        <is>
          <t>USD</t>
        </is>
      </c>
      <c r="F15" t="inlineStr">
        <is>
          <t>10-K</t>
        </is>
      </c>
      <c r="G15" t="inlineStr">
        <is>
          <t>0001035002-25-000005</t>
        </is>
      </c>
      <c r="H15" t="inlineStr">
        <is>
          <t>NetIncomeLoss</t>
        </is>
      </c>
      <c r="I15" t="inlineStr">
        <is>
          <t>https://www.sec.gov/Archives/edgar/data/1035002/000103500225000005/</t>
        </is>
      </c>
      <c r="J15">
        <f>D15/1e9</f>
        <v/>
      </c>
    </row>
    <row r="16">
      <c r="A16" t="inlineStr">
        <is>
          <t>Valero Energy</t>
        </is>
      </c>
      <c r="B16" t="inlineStr">
        <is>
          <t>Net income attributable to company</t>
        </is>
      </c>
      <c r="C16" t="inlineStr">
        <is>
          <t>2023</t>
        </is>
      </c>
      <c r="D16" t="n">
        <v>8835000000</v>
      </c>
      <c r="E16" t="inlineStr">
        <is>
          <t>USD</t>
        </is>
      </c>
      <c r="F16" t="inlineStr">
        <is>
          <t>10-K</t>
        </is>
      </c>
      <c r="G16" t="inlineStr">
        <is>
          <t>0001628280-26-011499</t>
        </is>
      </c>
      <c r="H16" t="inlineStr">
        <is>
          <t>NetIncomeLoss</t>
        </is>
      </c>
      <c r="I16" t="inlineStr">
        <is>
          <t>https://www.sec.gov/Archives/edgar/data/1035002/000162828026011499/</t>
        </is>
      </c>
      <c r="J16">
        <f>D16/1e9</f>
        <v/>
      </c>
    </row>
    <row r="17">
      <c r="A17" t="inlineStr">
        <is>
          <t>Valero Energy</t>
        </is>
      </c>
      <c r="B17" t="inlineStr">
        <is>
          <t>Net income attributable to company</t>
        </is>
      </c>
      <c r="C17" t="inlineStr">
        <is>
          <t>2024</t>
        </is>
      </c>
      <c r="D17" t="n">
        <v>2770000000</v>
      </c>
      <c r="E17" t="inlineStr">
        <is>
          <t>USD</t>
        </is>
      </c>
      <c r="F17" t="inlineStr">
        <is>
          <t>10-K</t>
        </is>
      </c>
      <c r="G17" t="inlineStr">
        <is>
          <t>0001628280-26-011499</t>
        </is>
      </c>
      <c r="H17" t="inlineStr">
        <is>
          <t>NetIncomeLoss</t>
        </is>
      </c>
      <c r="I17" t="inlineStr">
        <is>
          <t>https://www.sec.gov/Archives/edgar/data/1035002/000162828026011499/</t>
        </is>
      </c>
      <c r="J17">
        <f>D17/1e9</f>
        <v/>
      </c>
    </row>
    <row r="18">
      <c r="A18" t="inlineStr">
        <is>
          <t>Valero Energy</t>
        </is>
      </c>
      <c r="B18" t="inlineStr">
        <is>
          <t>Net income attributable to company</t>
        </is>
      </c>
      <c r="C18" t="inlineStr">
        <is>
          <t>2025</t>
        </is>
      </c>
      <c r="D18" t="n">
        <v>2348000000</v>
      </c>
      <c r="E18" t="inlineStr">
        <is>
          <t>USD</t>
        </is>
      </c>
      <c r="F18" t="inlineStr">
        <is>
          <t>10-K</t>
        </is>
      </c>
      <c r="G18" t="inlineStr">
        <is>
          <t>0001628280-26-011499</t>
        </is>
      </c>
      <c r="H18" t="inlineStr">
        <is>
          <t>NetIncomeLoss</t>
        </is>
      </c>
      <c r="I18" t="inlineStr">
        <is>
          <t>https://www.sec.gov/Archives/edgar/data/1035002/000162828026011499/</t>
        </is>
      </c>
      <c r="J18">
        <f>D18/1e9</f>
        <v/>
      </c>
    </row>
    <row r="19">
      <c r="A19" t="inlineStr">
        <is>
          <t>Valero Energy</t>
        </is>
      </c>
      <c r="B19" t="inlineStr">
        <is>
          <t>Net income attributable to company</t>
        </is>
      </c>
      <c r="C19" t="inlineStr">
        <is>
          <t>2025Q2</t>
        </is>
      </c>
      <c r="D19" t="n">
        <v>714000000</v>
      </c>
      <c r="E19" t="inlineStr">
        <is>
          <t>USD</t>
        </is>
      </c>
      <c r="F19" t="inlineStr">
        <is>
          <t>10-Q</t>
        </is>
      </c>
      <c r="G19" t="inlineStr">
        <is>
          <t>0001628280-26-050937</t>
        </is>
      </c>
      <c r="H19" t="inlineStr">
        <is>
          <t>NetIncomeLoss</t>
        </is>
      </c>
      <c r="I19" t="inlineStr">
        <is>
          <t>https://www.sec.gov/Archives/edgar/data/1035002/000162828026050937/</t>
        </is>
      </c>
      <c r="J19">
        <f>D19/1e9</f>
        <v/>
      </c>
    </row>
    <row r="20">
      <c r="A20" t="inlineStr">
        <is>
          <t>Valero Energy</t>
        </is>
      </c>
      <c r="B20" t="inlineStr">
        <is>
          <t>Net income attributable to company</t>
        </is>
      </c>
      <c r="C20" t="inlineStr">
        <is>
          <t>2026Q2</t>
        </is>
      </c>
      <c r="D20" t="n">
        <v>3720000000</v>
      </c>
      <c r="E20" t="inlineStr">
        <is>
          <t>USD</t>
        </is>
      </c>
      <c r="F20" t="inlineStr">
        <is>
          <t>10-Q</t>
        </is>
      </c>
      <c r="G20" t="inlineStr">
        <is>
          <t>0001628280-26-050937</t>
        </is>
      </c>
      <c r="H20" t="inlineStr">
        <is>
          <t>NetIncomeLoss</t>
        </is>
      </c>
      <c r="I20" t="inlineStr">
        <is>
          <t>https://www.sec.gov/Archives/edgar/data/1035002/000162828026050937/</t>
        </is>
      </c>
      <c r="J20">
        <f>D20/1e9</f>
        <v/>
      </c>
    </row>
    <row r="21">
      <c r="A21" t="inlineStr">
        <is>
          <t>Valero Energy</t>
        </is>
      </c>
      <c r="B21" t="inlineStr">
        <is>
          <t>Share buybacks (cash paid)</t>
        </is>
      </c>
      <c r="C21" t="inlineStr">
        <is>
          <t>2026 H1 (Jan-Jun)</t>
        </is>
      </c>
      <c r="D21" t="n">
        <v>2836000000</v>
      </c>
      <c r="E21" t="inlineStr">
        <is>
          <t>USD</t>
        </is>
      </c>
      <c r="F21" t="inlineStr">
        <is>
          <t>10-Q</t>
        </is>
      </c>
      <c r="G21" t="inlineStr">
        <is>
          <t>0001628280-26-050937</t>
        </is>
      </c>
      <c r="H21" t="inlineStr">
        <is>
          <t>PaymentsForRepurchaseOfCommonStock</t>
        </is>
      </c>
      <c r="I21" t="inlineStr">
        <is>
          <t>https://www.sec.gov/Archives/edgar/data/1035002/000162828026050937/</t>
        </is>
      </c>
      <c r="J21">
        <f>D21/1e9</f>
        <v/>
      </c>
    </row>
    <row r="22">
      <c r="A22" t="inlineStr">
        <is>
          <t>Valero Energy</t>
        </is>
      </c>
      <c r="B22" t="inlineStr">
        <is>
          <t>Share buybacks (cash paid)</t>
        </is>
      </c>
      <c r="C22" t="inlineStr">
        <is>
          <t>2008</t>
        </is>
      </c>
      <c r="D22" t="n">
        <v>955000000</v>
      </c>
      <c r="E22" t="inlineStr">
        <is>
          <t>USD</t>
        </is>
      </c>
      <c r="F22" t="inlineStr">
        <is>
          <t>10-K</t>
        </is>
      </c>
      <c r="G22" t="inlineStr">
        <is>
          <t>0001035002-11-000013</t>
        </is>
      </c>
      <c r="H22" t="inlineStr">
        <is>
          <t>PaymentsForRepurchaseOfCommonStock</t>
        </is>
      </c>
      <c r="I22" t="inlineStr">
        <is>
          <t>https://www.sec.gov/Archives/edgar/data/1035002/000103500211000013/</t>
        </is>
      </c>
      <c r="J22">
        <f>D22/1e9</f>
        <v/>
      </c>
    </row>
    <row r="23">
      <c r="A23" t="inlineStr">
        <is>
          <t>Valero Energy</t>
        </is>
      </c>
      <c r="B23" t="inlineStr">
        <is>
          <t>Share buybacks (cash paid)</t>
        </is>
      </c>
      <c r="C23" t="inlineStr">
        <is>
          <t>2012</t>
        </is>
      </c>
      <c r="D23" t="n">
        <v>281000000</v>
      </c>
      <c r="E23" t="inlineStr">
        <is>
          <t>USD</t>
        </is>
      </c>
      <c r="F23" t="inlineStr">
        <is>
          <t>10-K</t>
        </is>
      </c>
      <c r="G23" t="inlineStr">
        <is>
          <t>0001035002-15-000009</t>
        </is>
      </c>
      <c r="H23" t="inlineStr">
        <is>
          <t>PaymentsForRepurchaseOfCommonStock</t>
        </is>
      </c>
      <c r="I23" t="inlineStr">
        <is>
          <t>https://www.sec.gov/Archives/edgar/data/1035002/000103500215000009/</t>
        </is>
      </c>
      <c r="J23">
        <f>D23/1e9</f>
        <v/>
      </c>
    </row>
    <row r="24">
      <c r="A24" t="inlineStr">
        <is>
          <t>Valero Energy</t>
        </is>
      </c>
      <c r="B24" t="inlineStr">
        <is>
          <t>Share buybacks (cash paid)</t>
        </is>
      </c>
      <c r="C24" t="inlineStr">
        <is>
          <t>2013</t>
        </is>
      </c>
      <c r="D24" t="n">
        <v>928000000</v>
      </c>
      <c r="E24" t="inlineStr">
        <is>
          <t>USD</t>
        </is>
      </c>
      <c r="F24" t="inlineStr">
        <is>
          <t>10-K</t>
        </is>
      </c>
      <c r="G24" t="inlineStr">
        <is>
          <t>0001035002-16-000069</t>
        </is>
      </c>
      <c r="H24" t="inlineStr">
        <is>
          <t>PaymentsForRepurchaseOfCommonStock</t>
        </is>
      </c>
      <c r="I24" t="inlineStr">
        <is>
          <t>https://www.sec.gov/Archives/edgar/data/1035002/000103500216000069/</t>
        </is>
      </c>
      <c r="J24">
        <f>D24/1e9</f>
        <v/>
      </c>
    </row>
    <row r="25">
      <c r="A25" t="inlineStr">
        <is>
          <t>Valero Energy</t>
        </is>
      </c>
      <c r="B25" t="inlineStr">
        <is>
          <t>Share buybacks (cash paid)</t>
        </is>
      </c>
      <c r="C25" t="inlineStr">
        <is>
          <t>2014</t>
        </is>
      </c>
      <c r="D25" t="n">
        <v>1296000000</v>
      </c>
      <c r="E25" t="inlineStr">
        <is>
          <t>USD</t>
        </is>
      </c>
      <c r="F25" t="inlineStr">
        <is>
          <t>10-K</t>
        </is>
      </c>
      <c r="G25" t="inlineStr">
        <is>
          <t>0001035002-17-000009</t>
        </is>
      </c>
      <c r="H25" t="inlineStr">
        <is>
          <t>PaymentsForRepurchaseOfCommonStock</t>
        </is>
      </c>
      <c r="I25" t="inlineStr">
        <is>
          <t>https://www.sec.gov/Archives/edgar/data/1035002/000103500217000009/</t>
        </is>
      </c>
      <c r="J25">
        <f>D25/1e9</f>
        <v/>
      </c>
    </row>
    <row r="26">
      <c r="A26" t="inlineStr">
        <is>
          <t>Valero Energy</t>
        </is>
      </c>
      <c r="B26" t="inlineStr">
        <is>
          <t>Share buybacks (cash paid)</t>
        </is>
      </c>
      <c r="C26" t="inlineStr">
        <is>
          <t>2015</t>
        </is>
      </c>
      <c r="D26" t="n">
        <v>2838000000</v>
      </c>
      <c r="E26" t="inlineStr">
        <is>
          <t>USD</t>
        </is>
      </c>
      <c r="F26" t="inlineStr">
        <is>
          <t>10-K</t>
        </is>
      </c>
      <c r="G26" t="inlineStr">
        <is>
          <t>0001035002-18-000010</t>
        </is>
      </c>
      <c r="H26" t="inlineStr">
        <is>
          <t>PaymentsForRepurchaseOfCommonStock</t>
        </is>
      </c>
      <c r="I26" t="inlineStr">
        <is>
          <t>https://www.sec.gov/Archives/edgar/data/1035002/000103500218000010/</t>
        </is>
      </c>
      <c r="J26">
        <f>D26/1e9</f>
        <v/>
      </c>
    </row>
    <row r="27">
      <c r="A27" t="inlineStr">
        <is>
          <t>Valero Energy</t>
        </is>
      </c>
      <c r="B27" t="inlineStr">
        <is>
          <t>Share buybacks (cash paid)</t>
        </is>
      </c>
      <c r="C27" t="inlineStr">
        <is>
          <t>2016</t>
        </is>
      </c>
      <c r="D27" t="n">
        <v>1336000000</v>
      </c>
      <c r="E27" t="inlineStr">
        <is>
          <t>USD</t>
        </is>
      </c>
      <c r="F27" t="inlineStr">
        <is>
          <t>10-K</t>
        </is>
      </c>
      <c r="G27" t="inlineStr">
        <is>
          <t>0001035002-19-000008</t>
        </is>
      </c>
      <c r="H27" t="inlineStr">
        <is>
          <t>PaymentsForRepurchaseOfCommonStock</t>
        </is>
      </c>
      <c r="I27" t="inlineStr">
        <is>
          <t>https://www.sec.gov/Archives/edgar/data/1035002/000103500219000008/</t>
        </is>
      </c>
      <c r="J27">
        <f>D27/1e9</f>
        <v/>
      </c>
    </row>
    <row r="28">
      <c r="A28" t="inlineStr">
        <is>
          <t>Valero Energy</t>
        </is>
      </c>
      <c r="B28" t="inlineStr">
        <is>
          <t>Share buybacks (cash paid)</t>
        </is>
      </c>
      <c r="C28" t="inlineStr">
        <is>
          <t>2017</t>
        </is>
      </c>
      <c r="D28" t="n">
        <v>1372000000</v>
      </c>
      <c r="E28" t="inlineStr">
        <is>
          <t>USD</t>
        </is>
      </c>
      <c r="F28" t="inlineStr">
        <is>
          <t>10-K</t>
        </is>
      </c>
      <c r="G28" t="inlineStr">
        <is>
          <t>0001035002-20-000007</t>
        </is>
      </c>
      <c r="H28" t="inlineStr">
        <is>
          <t>PaymentsForRepurchaseOfCommonStock</t>
        </is>
      </c>
      <c r="I28" t="inlineStr">
        <is>
          <t>https://www.sec.gov/Archives/edgar/data/1035002/000103500220000007/</t>
        </is>
      </c>
      <c r="J28">
        <f>D28/1e9</f>
        <v/>
      </c>
    </row>
    <row r="29">
      <c r="A29" t="inlineStr">
        <is>
          <t>Valero Energy</t>
        </is>
      </c>
      <c r="B29" t="inlineStr">
        <is>
          <t>Share buybacks (cash paid)</t>
        </is>
      </c>
      <c r="C29" t="inlineStr">
        <is>
          <t>2018</t>
        </is>
      </c>
      <c r="D29" t="n">
        <v>1708000000</v>
      </c>
      <c r="E29" t="inlineStr">
        <is>
          <t>USD</t>
        </is>
      </c>
      <c r="F29" t="inlineStr">
        <is>
          <t>10-K</t>
        </is>
      </c>
      <c r="G29" t="inlineStr">
        <is>
          <t>0001035002-21-000051</t>
        </is>
      </c>
      <c r="H29" t="inlineStr">
        <is>
          <t>PaymentsForRepurchaseOfCommonStock</t>
        </is>
      </c>
      <c r="I29" t="inlineStr">
        <is>
          <t>https://www.sec.gov/Archives/edgar/data/1035002/000103500221000051/</t>
        </is>
      </c>
      <c r="J29">
        <f>D29/1e9</f>
        <v/>
      </c>
    </row>
    <row r="30">
      <c r="A30" t="inlineStr">
        <is>
          <t>Valero Energy</t>
        </is>
      </c>
      <c r="B30" t="inlineStr">
        <is>
          <t>Share buybacks (cash paid)</t>
        </is>
      </c>
      <c r="C30" t="inlineStr">
        <is>
          <t>2019</t>
        </is>
      </c>
      <c r="D30" t="n">
        <v>777000000</v>
      </c>
      <c r="E30" t="inlineStr">
        <is>
          <t>USD</t>
        </is>
      </c>
      <c r="F30" t="inlineStr">
        <is>
          <t>10-K</t>
        </is>
      </c>
      <c r="G30" t="inlineStr">
        <is>
          <t>0001035002-22-000007</t>
        </is>
      </c>
      <c r="H30" t="inlineStr">
        <is>
          <t>PaymentsForRepurchaseOfCommonStock</t>
        </is>
      </c>
      <c r="I30" t="inlineStr">
        <is>
          <t>https://www.sec.gov/Archives/edgar/data/1035002/000103500222000007/</t>
        </is>
      </c>
      <c r="J30">
        <f>D30/1e9</f>
        <v/>
      </c>
    </row>
    <row r="31">
      <c r="A31" t="inlineStr">
        <is>
          <t>Valero Energy</t>
        </is>
      </c>
      <c r="B31" t="inlineStr">
        <is>
          <t>Share buybacks (cash paid)</t>
        </is>
      </c>
      <c r="C31" t="inlineStr">
        <is>
          <t>2020</t>
        </is>
      </c>
      <c r="D31" t="n">
        <v>156000000</v>
      </c>
      <c r="E31" t="inlineStr">
        <is>
          <t>USD</t>
        </is>
      </c>
      <c r="F31" t="inlineStr">
        <is>
          <t>10-K</t>
        </is>
      </c>
      <c r="G31" t="inlineStr">
        <is>
          <t>0001035002-23-000027</t>
        </is>
      </c>
      <c r="H31" t="inlineStr">
        <is>
          <t>PaymentsForRepurchaseOfCommonStock</t>
        </is>
      </c>
      <c r="I31" t="inlineStr">
        <is>
          <t>https://www.sec.gov/Archives/edgar/data/1035002/000103500223000027/</t>
        </is>
      </c>
      <c r="J31">
        <f>D31/1e9</f>
        <v/>
      </c>
    </row>
    <row r="32">
      <c r="A32" t="inlineStr">
        <is>
          <t>Valero Energy</t>
        </is>
      </c>
      <c r="B32" t="inlineStr">
        <is>
          <t>Share buybacks (cash paid)</t>
        </is>
      </c>
      <c r="C32" t="inlineStr">
        <is>
          <t>2021</t>
        </is>
      </c>
      <c r="D32" t="n">
        <v>27000000</v>
      </c>
      <c r="E32" t="inlineStr">
        <is>
          <t>USD</t>
        </is>
      </c>
      <c r="F32" t="inlineStr">
        <is>
          <t>10-K</t>
        </is>
      </c>
      <c r="G32" t="inlineStr">
        <is>
          <t>0001035002-24-000007</t>
        </is>
      </c>
      <c r="H32" t="inlineStr">
        <is>
          <t>PaymentsForRepurchaseOfCommonStock</t>
        </is>
      </c>
      <c r="I32" t="inlineStr">
        <is>
          <t>https://www.sec.gov/Archives/edgar/data/1035002/000103500224000007/</t>
        </is>
      </c>
      <c r="J32">
        <f>D32/1e9</f>
        <v/>
      </c>
    </row>
    <row r="33">
      <c r="A33" t="inlineStr">
        <is>
          <t>Valero Energy</t>
        </is>
      </c>
      <c r="B33" t="inlineStr">
        <is>
          <t>Share buybacks (cash paid)</t>
        </is>
      </c>
      <c r="C33" t="inlineStr">
        <is>
          <t>2022</t>
        </is>
      </c>
      <c r="D33" t="n">
        <v>4577000000</v>
      </c>
      <c r="E33" t="inlineStr">
        <is>
          <t>USD</t>
        </is>
      </c>
      <c r="F33" t="inlineStr">
        <is>
          <t>10-K</t>
        </is>
      </c>
      <c r="G33" t="inlineStr">
        <is>
          <t>0001035002-25-000005</t>
        </is>
      </c>
      <c r="H33" t="inlineStr">
        <is>
          <t>PaymentsForRepurchaseOfCommonStock</t>
        </is>
      </c>
      <c r="I33" t="inlineStr">
        <is>
          <t>https://www.sec.gov/Archives/edgar/data/1035002/000103500225000005/</t>
        </is>
      </c>
      <c r="J33">
        <f>D33/1e9</f>
        <v/>
      </c>
    </row>
    <row r="34">
      <c r="A34" t="inlineStr">
        <is>
          <t>Valero Energy</t>
        </is>
      </c>
      <c r="B34" t="inlineStr">
        <is>
          <t>Share buybacks (cash paid)</t>
        </is>
      </c>
      <c r="C34" t="inlineStr">
        <is>
          <t>2023</t>
        </is>
      </c>
      <c r="D34" t="n">
        <v>5136000000</v>
      </c>
      <c r="E34" t="inlineStr">
        <is>
          <t>USD</t>
        </is>
      </c>
      <c r="F34" t="inlineStr">
        <is>
          <t>10-K</t>
        </is>
      </c>
      <c r="G34" t="inlineStr">
        <is>
          <t>0001628280-26-011499</t>
        </is>
      </c>
      <c r="H34" t="inlineStr">
        <is>
          <t>PaymentsForRepurchaseOfCommonStock</t>
        </is>
      </c>
      <c r="I34" t="inlineStr">
        <is>
          <t>https://www.sec.gov/Archives/edgar/data/1035002/000162828026011499/</t>
        </is>
      </c>
      <c r="J34">
        <f>D34/1e9</f>
        <v/>
      </c>
    </row>
    <row r="35">
      <c r="A35" t="inlineStr">
        <is>
          <t>Valero Energy</t>
        </is>
      </c>
      <c r="B35" t="inlineStr">
        <is>
          <t>Share buybacks (cash paid)</t>
        </is>
      </c>
      <c r="C35" t="inlineStr">
        <is>
          <t>2024</t>
        </is>
      </c>
      <c r="D35" t="n">
        <v>2875000000</v>
      </c>
      <c r="E35" t="inlineStr">
        <is>
          <t>USD</t>
        </is>
      </c>
      <c r="F35" t="inlineStr">
        <is>
          <t>10-K</t>
        </is>
      </c>
      <c r="G35" t="inlineStr">
        <is>
          <t>0001628280-26-011499</t>
        </is>
      </c>
      <c r="H35" t="inlineStr">
        <is>
          <t>PaymentsForRepurchaseOfCommonStock</t>
        </is>
      </c>
      <c r="I35" t="inlineStr">
        <is>
          <t>https://www.sec.gov/Archives/edgar/data/1035002/000162828026011499/</t>
        </is>
      </c>
      <c r="J35">
        <f>D35/1e9</f>
        <v/>
      </c>
    </row>
    <row r="36">
      <c r="A36" t="inlineStr">
        <is>
          <t>Valero Energy</t>
        </is>
      </c>
      <c r="B36" t="inlineStr">
        <is>
          <t>Share buybacks (cash paid)</t>
        </is>
      </c>
      <c r="C36" t="inlineStr">
        <is>
          <t>2025</t>
        </is>
      </c>
      <c r="D36" t="n">
        <v>2598000000</v>
      </c>
      <c r="E36" t="inlineStr">
        <is>
          <t>USD</t>
        </is>
      </c>
      <c r="F36" t="inlineStr">
        <is>
          <t>10-K</t>
        </is>
      </c>
      <c r="G36" t="inlineStr">
        <is>
          <t>0001628280-26-011499</t>
        </is>
      </c>
      <c r="H36" t="inlineStr">
        <is>
          <t>PaymentsForRepurchaseOfCommonStock</t>
        </is>
      </c>
      <c r="I36" t="inlineStr">
        <is>
          <t>https://www.sec.gov/Archives/edgar/data/1035002/000162828026011499/</t>
        </is>
      </c>
      <c r="J36">
        <f>D36/1e9</f>
        <v/>
      </c>
    </row>
    <row r="37">
      <c r="A37" t="inlineStr">
        <is>
          <t>Valero Energy</t>
        </is>
      </c>
      <c r="B37" t="inlineStr">
        <is>
          <t>Dividends paid to common (cash)</t>
        </is>
      </c>
      <c r="C37" t="inlineStr">
        <is>
          <t>2026 H1 (Jan-Jun)</t>
        </is>
      </c>
      <c r="D37" t="n">
        <v>714000000</v>
      </c>
      <c r="E37" t="inlineStr">
        <is>
          <t>USD</t>
        </is>
      </c>
      <c r="F37" t="inlineStr">
        <is>
          <t>10-Q</t>
        </is>
      </c>
      <c r="G37" t="inlineStr">
        <is>
          <t>0001628280-26-050937</t>
        </is>
      </c>
      <c r="H37" t="inlineStr">
        <is>
          <t>PaymentsOfDividendsCommonStock</t>
        </is>
      </c>
      <c r="I37" t="inlineStr">
        <is>
          <t>https://www.sec.gov/Archives/edgar/data/1035002/000162828026050937/</t>
        </is>
      </c>
      <c r="J37">
        <f>D37/1e9</f>
        <v/>
      </c>
    </row>
    <row r="38">
      <c r="A38" t="inlineStr">
        <is>
          <t>Valero Energy</t>
        </is>
      </c>
      <c r="B38" t="inlineStr">
        <is>
          <t>Dividends paid to common (cash)</t>
        </is>
      </c>
      <c r="C38" t="inlineStr">
        <is>
          <t>2008</t>
        </is>
      </c>
      <c r="D38" t="n">
        <v>299000000</v>
      </c>
      <c r="E38" t="inlineStr">
        <is>
          <t>USD</t>
        </is>
      </c>
      <c r="F38" t="inlineStr">
        <is>
          <t>10-K</t>
        </is>
      </c>
      <c r="G38" t="inlineStr">
        <is>
          <t>0001035002-11-000013</t>
        </is>
      </c>
      <c r="H38" t="inlineStr">
        <is>
          <t>PaymentsOfDividendsCommonStock</t>
        </is>
      </c>
      <c r="I38" t="inlineStr">
        <is>
          <t>https://www.sec.gov/Archives/edgar/data/1035002/000103500211000013/</t>
        </is>
      </c>
      <c r="J38">
        <f>D38/1e9</f>
        <v/>
      </c>
    </row>
    <row r="39">
      <c r="A39" t="inlineStr">
        <is>
          <t>Valero Energy</t>
        </is>
      </c>
      <c r="B39" t="inlineStr">
        <is>
          <t>Dividends paid to common (cash)</t>
        </is>
      </c>
      <c r="C39" t="inlineStr">
        <is>
          <t>2012</t>
        </is>
      </c>
      <c r="D39" t="n">
        <v>360000000</v>
      </c>
      <c r="E39" t="inlineStr">
        <is>
          <t>USD</t>
        </is>
      </c>
      <c r="F39" t="inlineStr">
        <is>
          <t>10-K</t>
        </is>
      </c>
      <c r="G39" t="inlineStr">
        <is>
          <t>0001035002-15-000009</t>
        </is>
      </c>
      <c r="H39" t="inlineStr">
        <is>
          <t>PaymentsOfDividendsCommonStock</t>
        </is>
      </c>
      <c r="I39" t="inlineStr">
        <is>
          <t>https://www.sec.gov/Archives/edgar/data/1035002/000103500215000009/</t>
        </is>
      </c>
      <c r="J39">
        <f>D39/1e9</f>
        <v/>
      </c>
    </row>
    <row r="40">
      <c r="A40" t="inlineStr">
        <is>
          <t>Valero Energy</t>
        </is>
      </c>
      <c r="B40" t="inlineStr">
        <is>
          <t>Dividends paid to common (cash)</t>
        </is>
      </c>
      <c r="C40" t="inlineStr">
        <is>
          <t>2013</t>
        </is>
      </c>
      <c r="D40" t="n">
        <v>462000000</v>
      </c>
      <c r="E40" t="inlineStr">
        <is>
          <t>USD</t>
        </is>
      </c>
      <c r="F40" t="inlineStr">
        <is>
          <t>10-K</t>
        </is>
      </c>
      <c r="G40" t="inlineStr">
        <is>
          <t>0001035002-16-000069</t>
        </is>
      </c>
      <c r="H40" t="inlineStr">
        <is>
          <t>PaymentsOfDividendsCommonStock</t>
        </is>
      </c>
      <c r="I40" t="inlineStr">
        <is>
          <t>https://www.sec.gov/Archives/edgar/data/1035002/000103500216000069/</t>
        </is>
      </c>
      <c r="J40">
        <f>D40/1e9</f>
        <v/>
      </c>
    </row>
    <row r="41">
      <c r="A41" t="inlineStr">
        <is>
          <t>Valero Energy</t>
        </is>
      </c>
      <c r="B41" t="inlineStr">
        <is>
          <t>Dividends paid to common (cash)</t>
        </is>
      </c>
      <c r="C41" t="inlineStr">
        <is>
          <t>2014</t>
        </is>
      </c>
      <c r="D41" t="n">
        <v>554000000</v>
      </c>
      <c r="E41" t="inlineStr">
        <is>
          <t>USD</t>
        </is>
      </c>
      <c r="F41" t="inlineStr">
        <is>
          <t>10-K</t>
        </is>
      </c>
      <c r="G41" t="inlineStr">
        <is>
          <t>0001035002-17-000009</t>
        </is>
      </c>
      <c r="H41" t="inlineStr">
        <is>
          <t>PaymentsOfDividendsCommonStock</t>
        </is>
      </c>
      <c r="I41" t="inlineStr">
        <is>
          <t>https://www.sec.gov/Archives/edgar/data/1035002/000103500217000009/</t>
        </is>
      </c>
      <c r="J41">
        <f>D41/1e9</f>
        <v/>
      </c>
    </row>
    <row r="42">
      <c r="A42" t="inlineStr">
        <is>
          <t>Valero Energy</t>
        </is>
      </c>
      <c r="B42" t="inlineStr">
        <is>
          <t>Dividends paid to common (cash)</t>
        </is>
      </c>
      <c r="C42" t="inlineStr">
        <is>
          <t>2015</t>
        </is>
      </c>
      <c r="D42" t="n">
        <v>848000000</v>
      </c>
      <c r="E42" t="inlineStr">
        <is>
          <t>USD</t>
        </is>
      </c>
      <c r="F42" t="inlineStr">
        <is>
          <t>10-K</t>
        </is>
      </c>
      <c r="G42" t="inlineStr">
        <is>
          <t>0001035002-18-000010</t>
        </is>
      </c>
      <c r="H42" t="inlineStr">
        <is>
          <t>PaymentsOfDividendsCommonStock</t>
        </is>
      </c>
      <c r="I42" t="inlineStr">
        <is>
          <t>https://www.sec.gov/Archives/edgar/data/1035002/000103500218000010/</t>
        </is>
      </c>
      <c r="J42">
        <f>D42/1e9</f>
        <v/>
      </c>
    </row>
    <row r="43">
      <c r="A43" t="inlineStr">
        <is>
          <t>Valero Energy</t>
        </is>
      </c>
      <c r="B43" t="inlineStr">
        <is>
          <t>Dividends paid to common (cash)</t>
        </is>
      </c>
      <c r="C43" t="inlineStr">
        <is>
          <t>2016</t>
        </is>
      </c>
      <c r="D43" t="n">
        <v>1111000000</v>
      </c>
      <c r="E43" t="inlineStr">
        <is>
          <t>USD</t>
        </is>
      </c>
      <c r="F43" t="inlineStr">
        <is>
          <t>10-K</t>
        </is>
      </c>
      <c r="G43" t="inlineStr">
        <is>
          <t>0001035002-19-000008</t>
        </is>
      </c>
      <c r="H43" t="inlineStr">
        <is>
          <t>PaymentsOfDividendsCommonStock</t>
        </is>
      </c>
      <c r="I43" t="inlineStr">
        <is>
          <t>https://www.sec.gov/Archives/edgar/data/1035002/000103500219000008/</t>
        </is>
      </c>
      <c r="J43">
        <f>D43/1e9</f>
        <v/>
      </c>
    </row>
    <row r="44">
      <c r="A44" t="inlineStr">
        <is>
          <t>Valero Energy</t>
        </is>
      </c>
      <c r="B44" t="inlineStr">
        <is>
          <t>Dividends paid to common (cash)</t>
        </is>
      </c>
      <c r="C44" t="inlineStr">
        <is>
          <t>2017</t>
        </is>
      </c>
      <c r="D44" t="n">
        <v>1242000000</v>
      </c>
      <c r="E44" t="inlineStr">
        <is>
          <t>USD</t>
        </is>
      </c>
      <c r="F44" t="inlineStr">
        <is>
          <t>10-K</t>
        </is>
      </c>
      <c r="G44" t="inlineStr">
        <is>
          <t>0001035002-20-000007</t>
        </is>
      </c>
      <c r="H44" t="inlineStr">
        <is>
          <t>PaymentsOfDividendsCommonStock</t>
        </is>
      </c>
      <c r="I44" t="inlineStr">
        <is>
          <t>https://www.sec.gov/Archives/edgar/data/1035002/000103500220000007/</t>
        </is>
      </c>
      <c r="J44">
        <f>D44/1e9</f>
        <v/>
      </c>
    </row>
    <row r="45">
      <c r="A45" t="inlineStr">
        <is>
          <t>Valero Energy</t>
        </is>
      </c>
      <c r="B45" t="inlineStr">
        <is>
          <t>Dividends paid to common (cash)</t>
        </is>
      </c>
      <c r="C45" t="inlineStr">
        <is>
          <t>2018</t>
        </is>
      </c>
      <c r="D45" t="n">
        <v>1369000000</v>
      </c>
      <c r="E45" t="inlineStr">
        <is>
          <t>USD</t>
        </is>
      </c>
      <c r="F45" t="inlineStr">
        <is>
          <t>10-K</t>
        </is>
      </c>
      <c r="G45" t="inlineStr">
        <is>
          <t>0001035002-21-000051</t>
        </is>
      </c>
      <c r="H45" t="inlineStr">
        <is>
          <t>PaymentsOfDividendsCommonStock</t>
        </is>
      </c>
      <c r="I45" t="inlineStr">
        <is>
          <t>https://www.sec.gov/Archives/edgar/data/1035002/000103500221000051/</t>
        </is>
      </c>
      <c r="J45">
        <f>D45/1e9</f>
        <v/>
      </c>
    </row>
    <row r="46">
      <c r="A46" t="inlineStr">
        <is>
          <t>Valero Energy</t>
        </is>
      </c>
      <c r="B46" t="inlineStr">
        <is>
          <t>Dividends paid to common (cash)</t>
        </is>
      </c>
      <c r="C46" t="inlineStr">
        <is>
          <t>2019</t>
        </is>
      </c>
      <c r="D46" t="n">
        <v>1492000000</v>
      </c>
      <c r="E46" t="inlineStr">
        <is>
          <t>USD</t>
        </is>
      </c>
      <c r="F46" t="inlineStr">
        <is>
          <t>10-K</t>
        </is>
      </c>
      <c r="G46" t="inlineStr">
        <is>
          <t>0001035002-22-000007</t>
        </is>
      </c>
      <c r="H46" t="inlineStr">
        <is>
          <t>PaymentsOfDividendsCommonStock</t>
        </is>
      </c>
      <c r="I46" t="inlineStr">
        <is>
          <t>https://www.sec.gov/Archives/edgar/data/1035002/000103500222000007/</t>
        </is>
      </c>
      <c r="J46">
        <f>D46/1e9</f>
        <v/>
      </c>
    </row>
    <row r="47">
      <c r="A47" t="inlineStr">
        <is>
          <t>Valero Energy</t>
        </is>
      </c>
      <c r="B47" t="inlineStr">
        <is>
          <t>Dividends paid to common (cash)</t>
        </is>
      </c>
      <c r="C47" t="inlineStr">
        <is>
          <t>2020</t>
        </is>
      </c>
      <c r="D47" t="n">
        <v>1600000000</v>
      </c>
      <c r="E47" t="inlineStr">
        <is>
          <t>USD</t>
        </is>
      </c>
      <c r="F47" t="inlineStr">
        <is>
          <t>10-K</t>
        </is>
      </c>
      <c r="G47" t="inlineStr">
        <is>
          <t>0001035002-23-000027</t>
        </is>
      </c>
      <c r="H47" t="inlineStr">
        <is>
          <t>PaymentsOfDividendsCommonStock</t>
        </is>
      </c>
      <c r="I47" t="inlineStr">
        <is>
          <t>https://www.sec.gov/Archives/edgar/data/1035002/000103500223000027/</t>
        </is>
      </c>
      <c r="J47">
        <f>D47/1e9</f>
        <v/>
      </c>
    </row>
    <row r="48">
      <c r="A48" t="inlineStr">
        <is>
          <t>Valero Energy</t>
        </is>
      </c>
      <c r="B48" t="inlineStr">
        <is>
          <t>Dividends paid to common (cash)</t>
        </is>
      </c>
      <c r="C48" t="inlineStr">
        <is>
          <t>2021</t>
        </is>
      </c>
      <c r="D48" t="n">
        <v>1602000000</v>
      </c>
      <c r="E48" t="inlineStr">
        <is>
          <t>USD</t>
        </is>
      </c>
      <c r="F48" t="inlineStr">
        <is>
          <t>10-K</t>
        </is>
      </c>
      <c r="G48" t="inlineStr">
        <is>
          <t>0001035002-24-000007</t>
        </is>
      </c>
      <c r="H48" t="inlineStr">
        <is>
          <t>PaymentsOfDividendsCommonStock</t>
        </is>
      </c>
      <c r="I48" t="inlineStr">
        <is>
          <t>https://www.sec.gov/Archives/edgar/data/1035002/000103500224000007/</t>
        </is>
      </c>
      <c r="J48">
        <f>D48/1e9</f>
        <v/>
      </c>
    </row>
    <row r="49">
      <c r="A49" t="inlineStr">
        <is>
          <t>Valero Energy</t>
        </is>
      </c>
      <c r="B49" t="inlineStr">
        <is>
          <t>Dividends paid to common (cash)</t>
        </is>
      </c>
      <c r="C49" t="inlineStr">
        <is>
          <t>2022</t>
        </is>
      </c>
      <c r="D49" t="n">
        <v>1562000000</v>
      </c>
      <c r="E49" t="inlineStr">
        <is>
          <t>USD</t>
        </is>
      </c>
      <c r="F49" t="inlineStr">
        <is>
          <t>10-K</t>
        </is>
      </c>
      <c r="G49" t="inlineStr">
        <is>
          <t>0001035002-25-000005</t>
        </is>
      </c>
      <c r="H49" t="inlineStr">
        <is>
          <t>PaymentsOfDividendsCommonStock</t>
        </is>
      </c>
      <c r="I49" t="inlineStr">
        <is>
          <t>https://www.sec.gov/Archives/edgar/data/1035002/000103500225000005/</t>
        </is>
      </c>
      <c r="J49">
        <f>D49/1e9</f>
        <v/>
      </c>
    </row>
    <row r="50">
      <c r="A50" t="inlineStr">
        <is>
          <t>Valero Energy</t>
        </is>
      </c>
      <c r="B50" t="inlineStr">
        <is>
          <t>Dividends paid to common (cash)</t>
        </is>
      </c>
      <c r="C50" t="inlineStr">
        <is>
          <t>2023</t>
        </is>
      </c>
      <c r="D50" t="n">
        <v>1452000000</v>
      </c>
      <c r="E50" t="inlineStr">
        <is>
          <t>USD</t>
        </is>
      </c>
      <c r="F50" t="inlineStr">
        <is>
          <t>10-K</t>
        </is>
      </c>
      <c r="G50" t="inlineStr">
        <is>
          <t>0001628280-26-011499</t>
        </is>
      </c>
      <c r="H50" t="inlineStr">
        <is>
          <t>PaymentsOfDividendsCommonStock</t>
        </is>
      </c>
      <c r="I50" t="inlineStr">
        <is>
          <t>https://www.sec.gov/Archives/edgar/data/1035002/000162828026011499/</t>
        </is>
      </c>
      <c r="J50">
        <f>D50/1e9</f>
        <v/>
      </c>
    </row>
    <row r="51">
      <c r="A51" t="inlineStr">
        <is>
          <t>Valero Energy</t>
        </is>
      </c>
      <c r="B51" t="inlineStr">
        <is>
          <t>Dividends paid to common (cash)</t>
        </is>
      </c>
      <c r="C51" t="inlineStr">
        <is>
          <t>2024</t>
        </is>
      </c>
      <c r="D51" t="n">
        <v>1384000000</v>
      </c>
      <c r="E51" t="inlineStr">
        <is>
          <t>USD</t>
        </is>
      </c>
      <c r="F51" t="inlineStr">
        <is>
          <t>10-K</t>
        </is>
      </c>
      <c r="G51" t="inlineStr">
        <is>
          <t>0001628280-26-011499</t>
        </is>
      </c>
      <c r="H51" t="inlineStr">
        <is>
          <t>PaymentsOfDividendsCommonStock</t>
        </is>
      </c>
      <c r="I51" t="inlineStr">
        <is>
          <t>https://www.sec.gov/Archives/edgar/data/1035002/000162828026011499/</t>
        </is>
      </c>
      <c r="J51">
        <f>D51/1e9</f>
        <v/>
      </c>
    </row>
    <row r="52">
      <c r="A52" t="inlineStr">
        <is>
          <t>Valero Energy</t>
        </is>
      </c>
      <c r="B52" t="inlineStr">
        <is>
          <t>Dividends paid to common (cash)</t>
        </is>
      </c>
      <c r="C52" t="inlineStr">
        <is>
          <t>2025</t>
        </is>
      </c>
      <c r="D52" t="n">
        <v>1405000000</v>
      </c>
      <c r="E52" t="inlineStr">
        <is>
          <t>USD</t>
        </is>
      </c>
      <c r="F52" t="inlineStr">
        <is>
          <t>10-K</t>
        </is>
      </c>
      <c r="G52" t="inlineStr">
        <is>
          <t>0001628280-26-011499</t>
        </is>
      </c>
      <c r="H52" t="inlineStr">
        <is>
          <t>PaymentsOfDividendsCommonStock</t>
        </is>
      </c>
      <c r="I52" t="inlineStr">
        <is>
          <t>https://www.sec.gov/Archives/edgar/data/1035002/000162828026011499/</t>
        </is>
      </c>
      <c r="J52">
        <f>D52/1e9</f>
        <v/>
      </c>
    </row>
    <row r="53">
      <c r="A53" t="inlineStr">
        <is>
          <t>Marathon Petroleum</t>
        </is>
      </c>
      <c r="B53" t="inlineStr">
        <is>
          <t>Net income attributable to company</t>
        </is>
      </c>
      <c r="C53" t="inlineStr">
        <is>
          <t>2026 H1 (Jan-Jun)</t>
        </is>
      </c>
      <c r="D53" t="n">
        <v>5649000000</v>
      </c>
      <c r="E53" t="inlineStr">
        <is>
          <t>USD</t>
        </is>
      </c>
      <c r="F53" t="inlineStr">
        <is>
          <t>10-Q</t>
        </is>
      </c>
      <c r="G53" t="inlineStr">
        <is>
          <t>0001510295-26-000061</t>
        </is>
      </c>
      <c r="H53" t="inlineStr">
        <is>
          <t>NetIncomeLoss</t>
        </is>
      </c>
      <c r="I53" t="inlineStr">
        <is>
          <t>https://www.sec.gov/Archives/edgar/data/1510295/000151029526000061/</t>
        </is>
      </c>
      <c r="J53">
        <f>D53/1e9</f>
        <v/>
      </c>
    </row>
    <row r="54">
      <c r="A54" t="inlineStr">
        <is>
          <t>Marathon Petroleum</t>
        </is>
      </c>
      <c r="B54" t="inlineStr">
        <is>
          <t>Net income attributable to company</t>
        </is>
      </c>
      <c r="C54" t="inlineStr">
        <is>
          <t>2012</t>
        </is>
      </c>
      <c r="D54" t="n">
        <v>3389000000</v>
      </c>
      <c r="E54" t="inlineStr">
        <is>
          <t>USD</t>
        </is>
      </c>
      <c r="F54" t="inlineStr">
        <is>
          <t>10-K</t>
        </is>
      </c>
      <c r="G54" t="inlineStr">
        <is>
          <t>0001510295-15-000007</t>
        </is>
      </c>
      <c r="H54" t="inlineStr">
        <is>
          <t>NetIncomeLoss</t>
        </is>
      </c>
      <c r="I54" t="inlineStr">
        <is>
          <t>https://www.sec.gov/Archives/edgar/data/1510295/000151029515000007/</t>
        </is>
      </c>
      <c r="J54">
        <f>D54/1e9</f>
        <v/>
      </c>
    </row>
    <row r="55">
      <c r="A55" t="inlineStr">
        <is>
          <t>Marathon Petroleum</t>
        </is>
      </c>
      <c r="B55" t="inlineStr">
        <is>
          <t>Net income attributable to company</t>
        </is>
      </c>
      <c r="C55" t="inlineStr">
        <is>
          <t>2013</t>
        </is>
      </c>
      <c r="D55" t="n">
        <v>2112000000</v>
      </c>
      <c r="E55" t="inlineStr">
        <is>
          <t>USD</t>
        </is>
      </c>
      <c r="F55" t="inlineStr">
        <is>
          <t>10-K</t>
        </is>
      </c>
      <c r="G55" t="inlineStr">
        <is>
          <t>0001510295-16-000078</t>
        </is>
      </c>
      <c r="H55" t="inlineStr">
        <is>
          <t>NetIncomeLoss</t>
        </is>
      </c>
      <c r="I55" t="inlineStr">
        <is>
          <t>https://www.sec.gov/Archives/edgar/data/1510295/000151029516000078/</t>
        </is>
      </c>
      <c r="J55">
        <f>D55/1e9</f>
        <v/>
      </c>
    </row>
    <row r="56">
      <c r="A56" t="inlineStr">
        <is>
          <t>Marathon Petroleum</t>
        </is>
      </c>
      <c r="B56" t="inlineStr">
        <is>
          <t>Net income attributable to company</t>
        </is>
      </c>
      <c r="C56" t="inlineStr">
        <is>
          <t>2014</t>
        </is>
      </c>
      <c r="D56" t="n">
        <v>2524000000</v>
      </c>
      <c r="E56" t="inlineStr">
        <is>
          <t>USD</t>
        </is>
      </c>
      <c r="F56" t="inlineStr">
        <is>
          <t>10-K</t>
        </is>
      </c>
      <c r="G56" t="inlineStr">
        <is>
          <t>0001510295-17-000017</t>
        </is>
      </c>
      <c r="H56" t="inlineStr">
        <is>
          <t>NetIncomeLoss</t>
        </is>
      </c>
      <c r="I56" t="inlineStr">
        <is>
          <t>https://www.sec.gov/Archives/edgar/data/1510295/000151029517000017/</t>
        </is>
      </c>
      <c r="J56">
        <f>D56/1e9</f>
        <v/>
      </c>
    </row>
    <row r="57">
      <c r="A57" t="inlineStr">
        <is>
          <t>Marathon Petroleum</t>
        </is>
      </c>
      <c r="B57" t="inlineStr">
        <is>
          <t>Net income attributable to company</t>
        </is>
      </c>
      <c r="C57" t="inlineStr">
        <is>
          <t>2015</t>
        </is>
      </c>
      <c r="D57" t="n">
        <v>2852000000</v>
      </c>
      <c r="E57" t="inlineStr">
        <is>
          <t>USD</t>
        </is>
      </c>
      <c r="F57" t="inlineStr">
        <is>
          <t>10-K</t>
        </is>
      </c>
      <c r="G57" t="inlineStr">
        <is>
          <t>0001510295-18-000024</t>
        </is>
      </c>
      <c r="H57" t="inlineStr">
        <is>
          <t>NetIncomeLoss</t>
        </is>
      </c>
      <c r="I57" t="inlineStr">
        <is>
          <t>https://www.sec.gov/Archives/edgar/data/1510295/000151029518000024/</t>
        </is>
      </c>
      <c r="J57">
        <f>D57/1e9</f>
        <v/>
      </c>
    </row>
    <row r="58">
      <c r="A58" t="inlineStr">
        <is>
          <t>Marathon Petroleum</t>
        </is>
      </c>
      <c r="B58" t="inlineStr">
        <is>
          <t>Net income attributable to company</t>
        </is>
      </c>
      <c r="C58" t="inlineStr">
        <is>
          <t>2016</t>
        </is>
      </c>
      <c r="D58" t="n">
        <v>1174000000</v>
      </c>
      <c r="E58" t="inlineStr">
        <is>
          <t>USD</t>
        </is>
      </c>
      <c r="F58" t="inlineStr">
        <is>
          <t>10-K</t>
        </is>
      </c>
      <c r="G58" t="inlineStr">
        <is>
          <t>0001510295-19-000014</t>
        </is>
      </c>
      <c r="H58" t="inlineStr">
        <is>
          <t>NetIncomeLoss</t>
        </is>
      </c>
      <c r="I58" t="inlineStr">
        <is>
          <t>https://www.sec.gov/Archives/edgar/data/1510295/000151029519000014/</t>
        </is>
      </c>
      <c r="J58">
        <f>D58/1e9</f>
        <v/>
      </c>
    </row>
    <row r="59">
      <c r="A59" t="inlineStr">
        <is>
          <t>Marathon Petroleum</t>
        </is>
      </c>
      <c r="B59" t="inlineStr">
        <is>
          <t>Net income attributable to company</t>
        </is>
      </c>
      <c r="C59" t="inlineStr">
        <is>
          <t>2017</t>
        </is>
      </c>
      <c r="D59" t="n">
        <v>3432000000</v>
      </c>
      <c r="E59" t="inlineStr">
        <is>
          <t>USD</t>
        </is>
      </c>
      <c r="F59" t="inlineStr">
        <is>
          <t>10-K</t>
        </is>
      </c>
      <c r="G59" t="inlineStr">
        <is>
          <t>0001510295-20-000006</t>
        </is>
      </c>
      <c r="H59" t="inlineStr">
        <is>
          <t>NetIncomeLoss</t>
        </is>
      </c>
      <c r="I59" t="inlineStr">
        <is>
          <t>https://www.sec.gov/Archives/edgar/data/1510295/000151029520000006/</t>
        </is>
      </c>
      <c r="J59">
        <f>D59/1e9</f>
        <v/>
      </c>
    </row>
    <row r="60">
      <c r="A60" t="inlineStr">
        <is>
          <t>Marathon Petroleum</t>
        </is>
      </c>
      <c r="B60" t="inlineStr">
        <is>
          <t>Net income attributable to company</t>
        </is>
      </c>
      <c r="C60" t="inlineStr">
        <is>
          <t>2018</t>
        </is>
      </c>
      <c r="D60" t="n">
        <v>2780000000</v>
      </c>
      <c r="E60" t="inlineStr">
        <is>
          <t>USD</t>
        </is>
      </c>
      <c r="F60" t="inlineStr">
        <is>
          <t>10-K</t>
        </is>
      </c>
      <c r="G60" t="inlineStr">
        <is>
          <t>0001510295-21-000027</t>
        </is>
      </c>
      <c r="H60" t="inlineStr">
        <is>
          <t>NetIncomeLoss</t>
        </is>
      </c>
      <c r="I60" t="inlineStr">
        <is>
          <t>https://www.sec.gov/Archives/edgar/data/1510295/000151029521000027/</t>
        </is>
      </c>
      <c r="J60">
        <f>D60/1e9</f>
        <v/>
      </c>
    </row>
    <row r="61">
      <c r="A61" t="inlineStr">
        <is>
          <t>Marathon Petroleum</t>
        </is>
      </c>
      <c r="B61" t="inlineStr">
        <is>
          <t>Net income attributable to company</t>
        </is>
      </c>
      <c r="C61" t="inlineStr">
        <is>
          <t>2019</t>
        </is>
      </c>
      <c r="D61" t="n">
        <v>2637000000</v>
      </c>
      <c r="E61" t="inlineStr">
        <is>
          <t>USD</t>
        </is>
      </c>
      <c r="F61" t="inlineStr">
        <is>
          <t>10-K</t>
        </is>
      </c>
      <c r="G61" t="inlineStr">
        <is>
          <t>0001510295-22-000011</t>
        </is>
      </c>
      <c r="H61" t="inlineStr">
        <is>
          <t>NetIncomeLoss</t>
        </is>
      </c>
      <c r="I61" t="inlineStr">
        <is>
          <t>https://www.sec.gov/Archives/edgar/data/1510295/000151029522000011/</t>
        </is>
      </c>
      <c r="J61">
        <f>D61/1e9</f>
        <v/>
      </c>
    </row>
    <row r="62">
      <c r="A62" t="inlineStr">
        <is>
          <t>Marathon Petroleum</t>
        </is>
      </c>
      <c r="B62" t="inlineStr">
        <is>
          <t>Net income attributable to company</t>
        </is>
      </c>
      <c r="C62" t="inlineStr">
        <is>
          <t>2020</t>
        </is>
      </c>
      <c r="D62" t="n">
        <v>-9826000000</v>
      </c>
      <c r="E62" t="inlineStr">
        <is>
          <t>USD</t>
        </is>
      </c>
      <c r="F62" t="inlineStr">
        <is>
          <t>10-K</t>
        </is>
      </c>
      <c r="G62" t="inlineStr">
        <is>
          <t>0001510295-23-000012</t>
        </is>
      </c>
      <c r="H62" t="inlineStr">
        <is>
          <t>NetIncomeLoss</t>
        </is>
      </c>
      <c r="I62" t="inlineStr">
        <is>
          <t>https://www.sec.gov/Archives/edgar/data/1510295/000151029523000012/</t>
        </is>
      </c>
      <c r="J62">
        <f>D62/1e9</f>
        <v/>
      </c>
    </row>
    <row r="63">
      <c r="A63" t="inlineStr">
        <is>
          <t>Marathon Petroleum</t>
        </is>
      </c>
      <c r="B63" t="inlineStr">
        <is>
          <t>Net income attributable to company</t>
        </is>
      </c>
      <c r="C63" t="inlineStr">
        <is>
          <t>2021</t>
        </is>
      </c>
      <c r="D63" t="n">
        <v>9738000000</v>
      </c>
      <c r="E63" t="inlineStr">
        <is>
          <t>USD</t>
        </is>
      </c>
      <c r="F63" t="inlineStr">
        <is>
          <t>10-K</t>
        </is>
      </c>
      <c r="G63" t="inlineStr">
        <is>
          <t>0001510295-24-000015</t>
        </is>
      </c>
      <c r="H63" t="inlineStr">
        <is>
          <t>NetIncomeLoss</t>
        </is>
      </c>
      <c r="I63" t="inlineStr">
        <is>
          <t>https://www.sec.gov/Archives/edgar/data/1510295/000151029524000015/</t>
        </is>
      </c>
      <c r="J63">
        <f>D63/1e9</f>
        <v/>
      </c>
    </row>
    <row r="64">
      <c r="A64" t="inlineStr">
        <is>
          <t>Marathon Petroleum</t>
        </is>
      </c>
      <c r="B64" t="inlineStr">
        <is>
          <t>Net income attributable to company</t>
        </is>
      </c>
      <c r="C64" t="inlineStr">
        <is>
          <t>2022</t>
        </is>
      </c>
      <c r="D64" t="n">
        <v>14516000000</v>
      </c>
      <c r="E64" t="inlineStr">
        <is>
          <t>USD</t>
        </is>
      </c>
      <c r="F64" t="inlineStr">
        <is>
          <t>10-K</t>
        </is>
      </c>
      <c r="G64" t="inlineStr">
        <is>
          <t>0001510295-25-000012</t>
        </is>
      </c>
      <c r="H64" t="inlineStr">
        <is>
          <t>NetIncomeLoss</t>
        </is>
      </c>
      <c r="I64" t="inlineStr">
        <is>
          <t>https://www.sec.gov/Archives/edgar/data/1510295/000151029525000012/</t>
        </is>
      </c>
      <c r="J64">
        <f>D64/1e9</f>
        <v/>
      </c>
    </row>
    <row r="65">
      <c r="A65" t="inlineStr">
        <is>
          <t>Marathon Petroleum</t>
        </is>
      </c>
      <c r="B65" t="inlineStr">
        <is>
          <t>Net income attributable to company</t>
        </is>
      </c>
      <c r="C65" t="inlineStr">
        <is>
          <t>2023</t>
        </is>
      </c>
      <c r="D65" t="n">
        <v>9681000000</v>
      </c>
      <c r="E65" t="inlineStr">
        <is>
          <t>USD</t>
        </is>
      </c>
      <c r="F65" t="inlineStr">
        <is>
          <t>10-K</t>
        </is>
      </c>
      <c r="G65" t="inlineStr">
        <is>
          <t>0001510295-26-000009</t>
        </is>
      </c>
      <c r="H65" t="inlineStr">
        <is>
          <t>NetIncomeLoss</t>
        </is>
      </c>
      <c r="I65" t="inlineStr">
        <is>
          <t>https://www.sec.gov/Archives/edgar/data/1510295/000151029526000009/</t>
        </is>
      </c>
      <c r="J65">
        <f>D65/1e9</f>
        <v/>
      </c>
    </row>
    <row r="66">
      <c r="A66" t="inlineStr">
        <is>
          <t>Marathon Petroleum</t>
        </is>
      </c>
      <c r="B66" t="inlineStr">
        <is>
          <t>Net income attributable to company</t>
        </is>
      </c>
      <c r="C66" t="inlineStr">
        <is>
          <t>2024</t>
        </is>
      </c>
      <c r="D66" t="n">
        <v>3445000000</v>
      </c>
      <c r="E66" t="inlineStr">
        <is>
          <t>USD</t>
        </is>
      </c>
      <c r="F66" t="inlineStr">
        <is>
          <t>10-K</t>
        </is>
      </c>
      <c r="G66" t="inlineStr">
        <is>
          <t>0001510295-26-000009</t>
        </is>
      </c>
      <c r="H66" t="inlineStr">
        <is>
          <t>NetIncomeLoss</t>
        </is>
      </c>
      <c r="I66" t="inlineStr">
        <is>
          <t>https://www.sec.gov/Archives/edgar/data/1510295/000151029526000009/</t>
        </is>
      </c>
      <c r="J66">
        <f>D66/1e9</f>
        <v/>
      </c>
    </row>
    <row r="67">
      <c r="A67" t="inlineStr">
        <is>
          <t>Marathon Petroleum</t>
        </is>
      </c>
      <c r="B67" t="inlineStr">
        <is>
          <t>Net income attributable to company</t>
        </is>
      </c>
      <c r="C67" t="inlineStr">
        <is>
          <t>2025</t>
        </is>
      </c>
      <c r="D67" t="n">
        <v>4047000000</v>
      </c>
      <c r="E67" t="inlineStr">
        <is>
          <t>USD</t>
        </is>
      </c>
      <c r="F67" t="inlineStr">
        <is>
          <t>10-K</t>
        </is>
      </c>
      <c r="G67" t="inlineStr">
        <is>
          <t>0001510295-26-000009</t>
        </is>
      </c>
      <c r="H67" t="inlineStr">
        <is>
          <t>NetIncomeLoss</t>
        </is>
      </c>
      <c r="I67" t="inlineStr">
        <is>
          <t>https://www.sec.gov/Archives/edgar/data/1510295/000151029526000009/</t>
        </is>
      </c>
      <c r="J67">
        <f>D67/1e9</f>
        <v/>
      </c>
    </row>
    <row r="68">
      <c r="A68" t="inlineStr">
        <is>
          <t>Marathon Petroleum</t>
        </is>
      </c>
      <c r="B68" t="inlineStr">
        <is>
          <t>Net income attributable to company</t>
        </is>
      </c>
      <c r="C68" t="inlineStr">
        <is>
          <t>2025Q2</t>
        </is>
      </c>
      <c r="D68" t="n">
        <v>1216000000</v>
      </c>
      <c r="E68" t="inlineStr">
        <is>
          <t>USD</t>
        </is>
      </c>
      <c r="F68" t="inlineStr">
        <is>
          <t>10-Q</t>
        </is>
      </c>
      <c r="G68" t="inlineStr">
        <is>
          <t>0001510295-26-000061</t>
        </is>
      </c>
      <c r="H68" t="inlineStr">
        <is>
          <t>NetIncomeLoss</t>
        </is>
      </c>
      <c r="I68" t="inlineStr">
        <is>
          <t>https://www.sec.gov/Archives/edgar/data/1510295/000151029526000061/</t>
        </is>
      </c>
      <c r="J68">
        <f>D68/1e9</f>
        <v/>
      </c>
    </row>
    <row r="69">
      <c r="A69" t="inlineStr">
        <is>
          <t>Marathon Petroleum</t>
        </is>
      </c>
      <c r="B69" t="inlineStr">
        <is>
          <t>Net income attributable to company</t>
        </is>
      </c>
      <c r="C69" t="inlineStr">
        <is>
          <t>2026Q2</t>
        </is>
      </c>
      <c r="D69" t="n">
        <v>5138000000</v>
      </c>
      <c r="E69" t="inlineStr">
        <is>
          <t>USD</t>
        </is>
      </c>
      <c r="F69" t="inlineStr">
        <is>
          <t>10-Q</t>
        </is>
      </c>
      <c r="G69" t="inlineStr">
        <is>
          <t>0001510295-26-000061</t>
        </is>
      </c>
      <c r="H69" t="inlineStr">
        <is>
          <t>NetIncomeLoss</t>
        </is>
      </c>
      <c r="I69" t="inlineStr">
        <is>
          <t>https://www.sec.gov/Archives/edgar/data/1510295/000151029526000061/</t>
        </is>
      </c>
      <c r="J69">
        <f>D69/1e9</f>
        <v/>
      </c>
    </row>
    <row r="70">
      <c r="A70" t="inlineStr">
        <is>
          <t>Marathon Petroleum</t>
        </is>
      </c>
      <c r="B70" t="inlineStr">
        <is>
          <t>Share buybacks (cash paid)</t>
        </is>
      </c>
      <c r="C70" t="inlineStr">
        <is>
          <t>2026 H1 (Jan-Jun)</t>
        </is>
      </c>
      <c r="D70" t="n">
        <v>3283000000</v>
      </c>
      <c r="E70" t="inlineStr">
        <is>
          <t>USD</t>
        </is>
      </c>
      <c r="F70" t="inlineStr">
        <is>
          <t>10-Q</t>
        </is>
      </c>
      <c r="G70" t="inlineStr">
        <is>
          <t>0001510295-26-000061</t>
        </is>
      </c>
      <c r="H70" t="inlineStr">
        <is>
          <t>PaymentsForRepurchaseOfCommonStock</t>
        </is>
      </c>
      <c r="I70" t="inlineStr">
        <is>
          <t>https://www.sec.gov/Archives/edgar/data/1510295/000151029526000061/</t>
        </is>
      </c>
      <c r="J70">
        <f>D70/1e9</f>
        <v/>
      </c>
    </row>
    <row r="71">
      <c r="A71" t="inlineStr">
        <is>
          <t>Marathon Petroleum</t>
        </is>
      </c>
      <c r="B71" t="inlineStr">
        <is>
          <t>Share buybacks (cash paid)</t>
        </is>
      </c>
      <c r="C71" t="inlineStr">
        <is>
          <t>2012</t>
        </is>
      </c>
      <c r="D71" t="n">
        <v>1350000000</v>
      </c>
      <c r="E71" t="inlineStr">
        <is>
          <t>USD</t>
        </is>
      </c>
      <c r="F71" t="inlineStr">
        <is>
          <t>10-K</t>
        </is>
      </c>
      <c r="G71" t="inlineStr">
        <is>
          <t>0001510295-15-000007</t>
        </is>
      </c>
      <c r="H71" t="inlineStr">
        <is>
          <t>PaymentsForRepurchaseOfCommonStock</t>
        </is>
      </c>
      <c r="I71" t="inlineStr">
        <is>
          <t>https://www.sec.gov/Archives/edgar/data/1510295/000151029515000007/</t>
        </is>
      </c>
      <c r="J71">
        <f>D71/1e9</f>
        <v/>
      </c>
    </row>
    <row r="72">
      <c r="A72" t="inlineStr">
        <is>
          <t>Marathon Petroleum</t>
        </is>
      </c>
      <c r="B72" t="inlineStr">
        <is>
          <t>Share buybacks (cash paid)</t>
        </is>
      </c>
      <c r="C72" t="inlineStr">
        <is>
          <t>2013</t>
        </is>
      </c>
      <c r="D72" t="n">
        <v>2793000000</v>
      </c>
      <c r="E72" t="inlineStr">
        <is>
          <t>USD</t>
        </is>
      </c>
      <c r="F72" t="inlineStr">
        <is>
          <t>10-K</t>
        </is>
      </c>
      <c r="G72" t="inlineStr">
        <is>
          <t>0001510295-16-000078</t>
        </is>
      </c>
      <c r="H72" t="inlineStr">
        <is>
          <t>PaymentsForRepurchaseOfCommonStock</t>
        </is>
      </c>
      <c r="I72" t="inlineStr">
        <is>
          <t>https://www.sec.gov/Archives/edgar/data/1510295/000151029516000078/</t>
        </is>
      </c>
      <c r="J72">
        <f>D72/1e9</f>
        <v/>
      </c>
    </row>
    <row r="73">
      <c r="A73" t="inlineStr">
        <is>
          <t>Marathon Petroleum</t>
        </is>
      </c>
      <c r="B73" t="inlineStr">
        <is>
          <t>Share buybacks (cash paid)</t>
        </is>
      </c>
      <c r="C73" t="inlineStr">
        <is>
          <t>2014</t>
        </is>
      </c>
      <c r="D73" t="n">
        <v>2131000000</v>
      </c>
      <c r="E73" t="inlineStr">
        <is>
          <t>USD</t>
        </is>
      </c>
      <c r="F73" t="inlineStr">
        <is>
          <t>10-K</t>
        </is>
      </c>
      <c r="G73" t="inlineStr">
        <is>
          <t>0001510295-17-000017</t>
        </is>
      </c>
      <c r="H73" t="inlineStr">
        <is>
          <t>PaymentsForRepurchaseOfCommonStock</t>
        </is>
      </c>
      <c r="I73" t="inlineStr">
        <is>
          <t>https://www.sec.gov/Archives/edgar/data/1510295/000151029517000017/</t>
        </is>
      </c>
      <c r="J73">
        <f>D73/1e9</f>
        <v/>
      </c>
    </row>
    <row r="74">
      <c r="A74" t="inlineStr">
        <is>
          <t>Marathon Petroleum</t>
        </is>
      </c>
      <c r="B74" t="inlineStr">
        <is>
          <t>Share buybacks (cash paid)</t>
        </is>
      </c>
      <c r="C74" t="inlineStr">
        <is>
          <t>2015</t>
        </is>
      </c>
      <c r="D74" t="n">
        <v>965000000</v>
      </c>
      <c r="E74" t="inlineStr">
        <is>
          <t>USD</t>
        </is>
      </c>
      <c r="F74" t="inlineStr">
        <is>
          <t>10-K</t>
        </is>
      </c>
      <c r="G74" t="inlineStr">
        <is>
          <t>0001510295-18-000024</t>
        </is>
      </c>
      <c r="H74" t="inlineStr">
        <is>
          <t>PaymentsForRepurchaseOfCommonStock</t>
        </is>
      </c>
      <c r="I74" t="inlineStr">
        <is>
          <t>https://www.sec.gov/Archives/edgar/data/1510295/000151029518000024/</t>
        </is>
      </c>
      <c r="J74">
        <f>D74/1e9</f>
        <v/>
      </c>
    </row>
    <row r="75">
      <c r="A75" t="inlineStr">
        <is>
          <t>Marathon Petroleum</t>
        </is>
      </c>
      <c r="B75" t="inlineStr">
        <is>
          <t>Share buybacks (cash paid)</t>
        </is>
      </c>
      <c r="C75" t="inlineStr">
        <is>
          <t>2016</t>
        </is>
      </c>
      <c r="D75" t="n">
        <v>197000000</v>
      </c>
      <c r="E75" t="inlineStr">
        <is>
          <t>USD</t>
        </is>
      </c>
      <c r="F75" t="inlineStr">
        <is>
          <t>10-K</t>
        </is>
      </c>
      <c r="G75" t="inlineStr">
        <is>
          <t>0001510295-19-000014</t>
        </is>
      </c>
      <c r="H75" t="inlineStr">
        <is>
          <t>PaymentsForRepurchaseOfCommonStock</t>
        </is>
      </c>
      <c r="I75" t="inlineStr">
        <is>
          <t>https://www.sec.gov/Archives/edgar/data/1510295/000151029519000014/</t>
        </is>
      </c>
      <c r="J75">
        <f>D75/1e9</f>
        <v/>
      </c>
    </row>
    <row r="76">
      <c r="A76" t="inlineStr">
        <is>
          <t>Marathon Petroleum</t>
        </is>
      </c>
      <c r="B76" t="inlineStr">
        <is>
          <t>Share buybacks (cash paid)</t>
        </is>
      </c>
      <c r="C76" t="inlineStr">
        <is>
          <t>2017</t>
        </is>
      </c>
      <c r="D76" t="n">
        <v>2372000000</v>
      </c>
      <c r="E76" t="inlineStr">
        <is>
          <t>USD</t>
        </is>
      </c>
      <c r="F76" t="inlineStr">
        <is>
          <t>10-K</t>
        </is>
      </c>
      <c r="G76" t="inlineStr">
        <is>
          <t>0001510295-20-000006</t>
        </is>
      </c>
      <c r="H76" t="inlineStr">
        <is>
          <t>PaymentsForRepurchaseOfCommonStock</t>
        </is>
      </c>
      <c r="I76" t="inlineStr">
        <is>
          <t>https://www.sec.gov/Archives/edgar/data/1510295/000151029520000006/</t>
        </is>
      </c>
      <c r="J76">
        <f>D76/1e9</f>
        <v/>
      </c>
    </row>
    <row r="77">
      <c r="A77" t="inlineStr">
        <is>
          <t>Marathon Petroleum</t>
        </is>
      </c>
      <c r="B77" t="inlineStr">
        <is>
          <t>Share buybacks (cash paid)</t>
        </is>
      </c>
      <c r="C77" t="inlineStr">
        <is>
          <t>2018</t>
        </is>
      </c>
      <c r="D77" t="n">
        <v>3287000000</v>
      </c>
      <c r="E77" t="inlineStr">
        <is>
          <t>USD</t>
        </is>
      </c>
      <c r="F77" t="inlineStr">
        <is>
          <t>10-K</t>
        </is>
      </c>
      <c r="G77" t="inlineStr">
        <is>
          <t>0001510295-21-000027</t>
        </is>
      </c>
      <c r="H77" t="inlineStr">
        <is>
          <t>PaymentsForRepurchaseOfCommonStock</t>
        </is>
      </c>
      <c r="I77" t="inlineStr">
        <is>
          <t>https://www.sec.gov/Archives/edgar/data/1510295/000151029521000027/</t>
        </is>
      </c>
      <c r="J77">
        <f>D77/1e9</f>
        <v/>
      </c>
    </row>
    <row r="78">
      <c r="A78" t="inlineStr">
        <is>
          <t>Marathon Petroleum</t>
        </is>
      </c>
      <c r="B78" t="inlineStr">
        <is>
          <t>Share buybacks (cash paid)</t>
        </is>
      </c>
      <c r="C78" t="inlineStr">
        <is>
          <t>2019</t>
        </is>
      </c>
      <c r="D78" t="n">
        <v>1950000000</v>
      </c>
      <c r="E78" t="inlineStr">
        <is>
          <t>USD</t>
        </is>
      </c>
      <c r="F78" t="inlineStr">
        <is>
          <t>10-K</t>
        </is>
      </c>
      <c r="G78" t="inlineStr">
        <is>
          <t>0001510295-22-000011</t>
        </is>
      </c>
      <c r="H78" t="inlineStr">
        <is>
          <t>PaymentsForRepurchaseOfCommonStock</t>
        </is>
      </c>
      <c r="I78" t="inlineStr">
        <is>
          <t>https://www.sec.gov/Archives/edgar/data/1510295/000151029522000011/</t>
        </is>
      </c>
      <c r="J78">
        <f>D78/1e9</f>
        <v/>
      </c>
    </row>
    <row r="79">
      <c r="A79" t="inlineStr">
        <is>
          <t>Marathon Petroleum</t>
        </is>
      </c>
      <c r="B79" t="inlineStr">
        <is>
          <t>Share buybacks (cash paid)</t>
        </is>
      </c>
      <c r="C79" t="inlineStr">
        <is>
          <t>2020</t>
        </is>
      </c>
      <c r="D79" t="n">
        <v>0</v>
      </c>
      <c r="E79" t="inlineStr">
        <is>
          <t>USD</t>
        </is>
      </c>
      <c r="F79" t="inlineStr">
        <is>
          <t>10-K</t>
        </is>
      </c>
      <c r="G79" t="inlineStr">
        <is>
          <t>0001510295-23-000012</t>
        </is>
      </c>
      <c r="H79" t="inlineStr">
        <is>
          <t>PaymentsForRepurchaseOfCommonStock</t>
        </is>
      </c>
      <c r="I79" t="inlineStr">
        <is>
          <t>https://www.sec.gov/Archives/edgar/data/1510295/000151029523000012/</t>
        </is>
      </c>
      <c r="J79">
        <f>D79/1e9</f>
        <v/>
      </c>
    </row>
    <row r="80">
      <c r="A80" t="inlineStr">
        <is>
          <t>Marathon Petroleum</t>
        </is>
      </c>
      <c r="B80" t="inlineStr">
        <is>
          <t>Share buybacks (cash paid)</t>
        </is>
      </c>
      <c r="C80" t="inlineStr">
        <is>
          <t>2021</t>
        </is>
      </c>
      <c r="D80" t="n">
        <v>4654000000</v>
      </c>
      <c r="E80" t="inlineStr">
        <is>
          <t>USD</t>
        </is>
      </c>
      <c r="F80" t="inlineStr">
        <is>
          <t>10-K</t>
        </is>
      </c>
      <c r="G80" t="inlineStr">
        <is>
          <t>0001510295-24-000015</t>
        </is>
      </c>
      <c r="H80" t="inlineStr">
        <is>
          <t>PaymentsForRepurchaseOfCommonStock</t>
        </is>
      </c>
      <c r="I80" t="inlineStr">
        <is>
          <t>https://www.sec.gov/Archives/edgar/data/1510295/000151029524000015/</t>
        </is>
      </c>
      <c r="J80">
        <f>D80/1e9</f>
        <v/>
      </c>
    </row>
    <row r="81">
      <c r="A81" t="inlineStr">
        <is>
          <t>Marathon Petroleum</t>
        </is>
      </c>
      <c r="B81" t="inlineStr">
        <is>
          <t>Share buybacks (cash paid)</t>
        </is>
      </c>
      <c r="C81" t="inlineStr">
        <is>
          <t>2022</t>
        </is>
      </c>
      <c r="D81" t="n">
        <v>11922000000</v>
      </c>
      <c r="E81" t="inlineStr">
        <is>
          <t>USD</t>
        </is>
      </c>
      <c r="F81" t="inlineStr">
        <is>
          <t>10-K</t>
        </is>
      </c>
      <c r="G81" t="inlineStr">
        <is>
          <t>0001510295-25-000012</t>
        </is>
      </c>
      <c r="H81" t="inlineStr">
        <is>
          <t>PaymentsForRepurchaseOfCommonStock</t>
        </is>
      </c>
      <c r="I81" t="inlineStr">
        <is>
          <t>https://www.sec.gov/Archives/edgar/data/1510295/000151029525000012/</t>
        </is>
      </c>
      <c r="J81">
        <f>D81/1e9</f>
        <v/>
      </c>
    </row>
    <row r="82">
      <c r="A82" t="inlineStr">
        <is>
          <t>Marathon Petroleum</t>
        </is>
      </c>
      <c r="B82" t="inlineStr">
        <is>
          <t>Share buybacks (cash paid)</t>
        </is>
      </c>
      <c r="C82" t="inlineStr">
        <is>
          <t>2023</t>
        </is>
      </c>
      <c r="D82" t="n">
        <v>11572000000</v>
      </c>
      <c r="E82" t="inlineStr">
        <is>
          <t>USD</t>
        </is>
      </c>
      <c r="F82" t="inlineStr">
        <is>
          <t>10-K</t>
        </is>
      </c>
      <c r="G82" t="inlineStr">
        <is>
          <t>0001510295-26-000009</t>
        </is>
      </c>
      <c r="H82" t="inlineStr">
        <is>
          <t>PaymentsForRepurchaseOfCommonStock</t>
        </is>
      </c>
      <c r="I82" t="inlineStr">
        <is>
          <t>https://www.sec.gov/Archives/edgar/data/1510295/000151029526000009/</t>
        </is>
      </c>
      <c r="J82">
        <f>D82/1e9</f>
        <v/>
      </c>
    </row>
    <row r="83">
      <c r="A83" t="inlineStr">
        <is>
          <t>Marathon Petroleum</t>
        </is>
      </c>
      <c r="B83" t="inlineStr">
        <is>
          <t>Share buybacks (cash paid)</t>
        </is>
      </c>
      <c r="C83" t="inlineStr">
        <is>
          <t>2024</t>
        </is>
      </c>
      <c r="D83" t="n">
        <v>9189000000</v>
      </c>
      <c r="E83" t="inlineStr">
        <is>
          <t>USD</t>
        </is>
      </c>
      <c r="F83" t="inlineStr">
        <is>
          <t>10-K</t>
        </is>
      </c>
      <c r="G83" t="inlineStr">
        <is>
          <t>0001510295-26-000009</t>
        </is>
      </c>
      <c r="H83" t="inlineStr">
        <is>
          <t>PaymentsForRepurchaseOfCommonStock</t>
        </is>
      </c>
      <c r="I83" t="inlineStr">
        <is>
          <t>https://www.sec.gov/Archives/edgar/data/1510295/000151029526000009/</t>
        </is>
      </c>
      <c r="J83">
        <f>D83/1e9</f>
        <v/>
      </c>
    </row>
    <row r="84">
      <c r="A84" t="inlineStr">
        <is>
          <t>Marathon Petroleum</t>
        </is>
      </c>
      <c r="B84" t="inlineStr">
        <is>
          <t>Share buybacks (cash paid)</t>
        </is>
      </c>
      <c r="C84" t="inlineStr">
        <is>
          <t>2025</t>
        </is>
      </c>
      <c r="D84" t="n">
        <v>3488000000</v>
      </c>
      <c r="E84" t="inlineStr">
        <is>
          <t>USD</t>
        </is>
      </c>
      <c r="F84" t="inlineStr">
        <is>
          <t>10-K</t>
        </is>
      </c>
      <c r="G84" t="inlineStr">
        <is>
          <t>0001510295-26-000009</t>
        </is>
      </c>
      <c r="H84" t="inlineStr">
        <is>
          <t>PaymentsForRepurchaseOfCommonStock</t>
        </is>
      </c>
      <c r="I84" t="inlineStr">
        <is>
          <t>https://www.sec.gov/Archives/edgar/data/1510295/000151029526000009/</t>
        </is>
      </c>
      <c r="J84">
        <f>D84/1e9</f>
        <v/>
      </c>
    </row>
    <row r="85">
      <c r="A85" t="inlineStr">
        <is>
          <t>Marathon Petroleum</t>
        </is>
      </c>
      <c r="B85" t="inlineStr">
        <is>
          <t>Dividends paid to common (cash)</t>
        </is>
      </c>
      <c r="C85" t="inlineStr">
        <is>
          <t>2026 H1 (Jan-Jun)</t>
        </is>
      </c>
      <c r="D85" t="n">
        <v>585000000</v>
      </c>
      <c r="E85" t="inlineStr">
        <is>
          <t>USD</t>
        </is>
      </c>
      <c r="F85" t="inlineStr">
        <is>
          <t>10-Q</t>
        </is>
      </c>
      <c r="G85" t="inlineStr">
        <is>
          <t>0001510295-26-000061</t>
        </is>
      </c>
      <c r="H85" t="inlineStr">
        <is>
          <t>PaymentsOfDividendsCommonStock</t>
        </is>
      </c>
      <c r="I85" t="inlineStr">
        <is>
          <t>https://www.sec.gov/Archives/edgar/data/1510295/000151029526000061/</t>
        </is>
      </c>
      <c r="J85">
        <f>D85/1e9</f>
        <v/>
      </c>
    </row>
    <row r="86">
      <c r="A86" t="inlineStr">
        <is>
          <t>Marathon Petroleum</t>
        </is>
      </c>
      <c r="B86" t="inlineStr">
        <is>
          <t>Dividends paid to common (cash)</t>
        </is>
      </c>
      <c r="C86" t="inlineStr">
        <is>
          <t>2012</t>
        </is>
      </c>
      <c r="D86" t="n">
        <v>407000000</v>
      </c>
      <c r="E86" t="inlineStr">
        <is>
          <t>USD</t>
        </is>
      </c>
      <c r="F86" t="inlineStr">
        <is>
          <t>10-K</t>
        </is>
      </c>
      <c r="G86" t="inlineStr">
        <is>
          <t>0001510295-15-000007</t>
        </is>
      </c>
      <c r="H86" t="inlineStr">
        <is>
          <t>PaymentsOfDividendsCommonStock</t>
        </is>
      </c>
      <c r="I86" t="inlineStr">
        <is>
          <t>https://www.sec.gov/Archives/edgar/data/1510295/000151029515000007/</t>
        </is>
      </c>
      <c r="J86">
        <f>D86/1e9</f>
        <v/>
      </c>
    </row>
    <row r="87">
      <c r="A87" t="inlineStr">
        <is>
          <t>Marathon Petroleum</t>
        </is>
      </c>
      <c r="B87" t="inlineStr">
        <is>
          <t>Dividends paid to common (cash)</t>
        </is>
      </c>
      <c r="C87" t="inlineStr">
        <is>
          <t>2013</t>
        </is>
      </c>
      <c r="D87" t="n">
        <v>484000000</v>
      </c>
      <c r="E87" t="inlineStr">
        <is>
          <t>USD</t>
        </is>
      </c>
      <c r="F87" t="inlineStr">
        <is>
          <t>10-K</t>
        </is>
      </c>
      <c r="G87" t="inlineStr">
        <is>
          <t>0001510295-16-000078</t>
        </is>
      </c>
      <c r="H87" t="inlineStr">
        <is>
          <t>PaymentsOfDividendsCommonStock</t>
        </is>
      </c>
      <c r="I87" t="inlineStr">
        <is>
          <t>https://www.sec.gov/Archives/edgar/data/1510295/000151029516000078/</t>
        </is>
      </c>
      <c r="J87">
        <f>D87/1e9</f>
        <v/>
      </c>
    </row>
    <row r="88">
      <c r="A88" t="inlineStr">
        <is>
          <t>Marathon Petroleum</t>
        </is>
      </c>
      <c r="B88" t="inlineStr">
        <is>
          <t>Dividends paid to common (cash)</t>
        </is>
      </c>
      <c r="C88" t="inlineStr">
        <is>
          <t>2014</t>
        </is>
      </c>
      <c r="D88" t="n">
        <v>524000000</v>
      </c>
      <c r="E88" t="inlineStr">
        <is>
          <t>USD</t>
        </is>
      </c>
      <c r="F88" t="inlineStr">
        <is>
          <t>10-K</t>
        </is>
      </c>
      <c r="G88" t="inlineStr">
        <is>
          <t>0001510295-17-000017</t>
        </is>
      </c>
      <c r="H88" t="inlineStr">
        <is>
          <t>PaymentsOfDividendsCommonStock</t>
        </is>
      </c>
      <c r="I88" t="inlineStr">
        <is>
          <t>https://www.sec.gov/Archives/edgar/data/1510295/000151029517000017/</t>
        </is>
      </c>
      <c r="J88">
        <f>D88/1e9</f>
        <v/>
      </c>
    </row>
    <row r="89">
      <c r="A89" t="inlineStr">
        <is>
          <t>Marathon Petroleum</t>
        </is>
      </c>
      <c r="B89" t="inlineStr">
        <is>
          <t>Dividends paid to common (cash)</t>
        </is>
      </c>
      <c r="C89" t="inlineStr">
        <is>
          <t>2015</t>
        </is>
      </c>
      <c r="D89" t="n">
        <v>613000000</v>
      </c>
      <c r="E89" t="inlineStr">
        <is>
          <t>USD</t>
        </is>
      </c>
      <c r="F89" t="inlineStr">
        <is>
          <t>10-K</t>
        </is>
      </c>
      <c r="G89" t="inlineStr">
        <is>
          <t>0001510295-18-000024</t>
        </is>
      </c>
      <c r="H89" t="inlineStr">
        <is>
          <t>PaymentsOfDividendsCommonStock</t>
        </is>
      </c>
      <c r="I89" t="inlineStr">
        <is>
          <t>https://www.sec.gov/Archives/edgar/data/1510295/000151029518000024/</t>
        </is>
      </c>
      <c r="J89">
        <f>D89/1e9</f>
        <v/>
      </c>
    </row>
    <row r="90">
      <c r="A90" t="inlineStr">
        <is>
          <t>Marathon Petroleum</t>
        </is>
      </c>
      <c r="B90" t="inlineStr">
        <is>
          <t>Dividends paid to common (cash)</t>
        </is>
      </c>
      <c r="C90" t="inlineStr">
        <is>
          <t>2016</t>
        </is>
      </c>
      <c r="D90" t="n">
        <v>719000000</v>
      </c>
      <c r="E90" t="inlineStr">
        <is>
          <t>USD</t>
        </is>
      </c>
      <c r="F90" t="inlineStr">
        <is>
          <t>10-K</t>
        </is>
      </c>
      <c r="G90" t="inlineStr">
        <is>
          <t>0001510295-19-000014</t>
        </is>
      </c>
      <c r="H90" t="inlineStr">
        <is>
          <t>PaymentsOfDividendsCommonStock</t>
        </is>
      </c>
      <c r="I90" t="inlineStr">
        <is>
          <t>https://www.sec.gov/Archives/edgar/data/1510295/000151029519000014/</t>
        </is>
      </c>
      <c r="J90">
        <f>D90/1e9</f>
        <v/>
      </c>
    </row>
    <row r="91">
      <c r="A91" t="inlineStr">
        <is>
          <t>Marathon Petroleum</t>
        </is>
      </c>
      <c r="B91" t="inlineStr">
        <is>
          <t>Dividends paid to common (cash)</t>
        </is>
      </c>
      <c r="C91" t="inlineStr">
        <is>
          <t>2017</t>
        </is>
      </c>
      <c r="D91" t="n">
        <v>773000000</v>
      </c>
      <c r="E91" t="inlineStr">
        <is>
          <t>USD</t>
        </is>
      </c>
      <c r="F91" t="inlineStr">
        <is>
          <t>10-K</t>
        </is>
      </c>
      <c r="G91" t="inlineStr">
        <is>
          <t>0001510295-20-000006</t>
        </is>
      </c>
      <c r="H91" t="inlineStr">
        <is>
          <t>PaymentsOfDividendsCommonStock</t>
        </is>
      </c>
      <c r="I91" t="inlineStr">
        <is>
          <t>https://www.sec.gov/Archives/edgar/data/1510295/000151029520000006/</t>
        </is>
      </c>
      <c r="J91">
        <f>D91/1e9</f>
        <v/>
      </c>
    </row>
    <row r="92">
      <c r="A92" t="inlineStr">
        <is>
          <t>Marathon Petroleum</t>
        </is>
      </c>
      <c r="B92" t="inlineStr">
        <is>
          <t>Dividends paid to common (cash)</t>
        </is>
      </c>
      <c r="C92" t="inlineStr">
        <is>
          <t>2018</t>
        </is>
      </c>
      <c r="D92" t="n">
        <v>954000000</v>
      </c>
      <c r="E92" t="inlineStr">
        <is>
          <t>USD</t>
        </is>
      </c>
      <c r="F92" t="inlineStr">
        <is>
          <t>10-K</t>
        </is>
      </c>
      <c r="G92" t="inlineStr">
        <is>
          <t>0001510295-21-000027</t>
        </is>
      </c>
      <c r="H92" t="inlineStr">
        <is>
          <t>PaymentsOfDividendsCommonStock</t>
        </is>
      </c>
      <c r="I92" t="inlineStr">
        <is>
          <t>https://www.sec.gov/Archives/edgar/data/1510295/000151029521000027/</t>
        </is>
      </c>
      <c r="J92">
        <f>D92/1e9</f>
        <v/>
      </c>
    </row>
    <row r="93">
      <c r="A93" t="inlineStr">
        <is>
          <t>Marathon Petroleum</t>
        </is>
      </c>
      <c r="B93" t="inlineStr">
        <is>
          <t>Dividends paid to common (cash)</t>
        </is>
      </c>
      <c r="C93" t="inlineStr">
        <is>
          <t>2019</t>
        </is>
      </c>
      <c r="D93" t="n">
        <v>1398000000</v>
      </c>
      <c r="E93" t="inlineStr">
        <is>
          <t>USD</t>
        </is>
      </c>
      <c r="F93" t="inlineStr">
        <is>
          <t>10-K</t>
        </is>
      </c>
      <c r="G93" t="inlineStr">
        <is>
          <t>0001510295-22-000011</t>
        </is>
      </c>
      <c r="H93" t="inlineStr">
        <is>
          <t>PaymentsOfDividendsCommonStock</t>
        </is>
      </c>
      <c r="I93" t="inlineStr">
        <is>
          <t>https://www.sec.gov/Archives/edgar/data/1510295/000151029522000011/</t>
        </is>
      </c>
      <c r="J93">
        <f>D93/1e9</f>
        <v/>
      </c>
    </row>
    <row r="94">
      <c r="A94" t="inlineStr">
        <is>
          <t>Marathon Petroleum</t>
        </is>
      </c>
      <c r="B94" t="inlineStr">
        <is>
          <t>Dividends paid to common (cash)</t>
        </is>
      </c>
      <c r="C94" t="inlineStr">
        <is>
          <t>2020</t>
        </is>
      </c>
      <c r="D94" t="n">
        <v>1510000000</v>
      </c>
      <c r="E94" t="inlineStr">
        <is>
          <t>USD</t>
        </is>
      </c>
      <c r="F94" t="inlineStr">
        <is>
          <t>10-K</t>
        </is>
      </c>
      <c r="G94" t="inlineStr">
        <is>
          <t>0001510295-23-000012</t>
        </is>
      </c>
      <c r="H94" t="inlineStr">
        <is>
          <t>PaymentsOfDividendsCommonStock</t>
        </is>
      </c>
      <c r="I94" t="inlineStr">
        <is>
          <t>https://www.sec.gov/Archives/edgar/data/1510295/000151029523000012/</t>
        </is>
      </c>
      <c r="J94">
        <f>D94/1e9</f>
        <v/>
      </c>
    </row>
    <row r="95">
      <c r="A95" t="inlineStr">
        <is>
          <t>Marathon Petroleum</t>
        </is>
      </c>
      <c r="B95" t="inlineStr">
        <is>
          <t>Dividends paid to common (cash)</t>
        </is>
      </c>
      <c r="C95" t="inlineStr">
        <is>
          <t>2021</t>
        </is>
      </c>
      <c r="D95" t="n">
        <v>1484000000</v>
      </c>
      <c r="E95" t="inlineStr">
        <is>
          <t>USD</t>
        </is>
      </c>
      <c r="F95" t="inlineStr">
        <is>
          <t>10-K</t>
        </is>
      </c>
      <c r="G95" t="inlineStr">
        <is>
          <t>0001510295-24-000015</t>
        </is>
      </c>
      <c r="H95" t="inlineStr">
        <is>
          <t>PaymentsOfDividendsCommonStock</t>
        </is>
      </c>
      <c r="I95" t="inlineStr">
        <is>
          <t>https://www.sec.gov/Archives/edgar/data/1510295/000151029524000015/</t>
        </is>
      </c>
      <c r="J95">
        <f>D95/1e9</f>
        <v/>
      </c>
    </row>
    <row r="96">
      <c r="A96" t="inlineStr">
        <is>
          <t>Marathon Petroleum</t>
        </is>
      </c>
      <c r="B96" t="inlineStr">
        <is>
          <t>Dividends paid to common (cash)</t>
        </is>
      </c>
      <c r="C96" t="inlineStr">
        <is>
          <t>2022</t>
        </is>
      </c>
      <c r="D96" t="n">
        <v>1279000000</v>
      </c>
      <c r="E96" t="inlineStr">
        <is>
          <t>USD</t>
        </is>
      </c>
      <c r="F96" t="inlineStr">
        <is>
          <t>10-K</t>
        </is>
      </c>
      <c r="G96" t="inlineStr">
        <is>
          <t>0001510295-25-000012</t>
        </is>
      </c>
      <c r="H96" t="inlineStr">
        <is>
          <t>PaymentsOfDividendsCommonStock</t>
        </is>
      </c>
      <c r="I96" t="inlineStr">
        <is>
          <t>https://www.sec.gov/Archives/edgar/data/1510295/000151029525000012/</t>
        </is>
      </c>
      <c r="J96">
        <f>D96/1e9</f>
        <v/>
      </c>
    </row>
    <row r="97">
      <c r="A97" t="inlineStr">
        <is>
          <t>Marathon Petroleum</t>
        </is>
      </c>
      <c r="B97" t="inlineStr">
        <is>
          <t>Dividends paid to common (cash)</t>
        </is>
      </c>
      <c r="C97" t="inlineStr">
        <is>
          <t>2023</t>
        </is>
      </c>
      <c r="D97" t="n">
        <v>1261000000</v>
      </c>
      <c r="E97" t="inlineStr">
        <is>
          <t>USD</t>
        </is>
      </c>
      <c r="F97" t="inlineStr">
        <is>
          <t>10-K</t>
        </is>
      </c>
      <c r="G97" t="inlineStr">
        <is>
          <t>0001510295-26-000009</t>
        </is>
      </c>
      <c r="H97" t="inlineStr">
        <is>
          <t>PaymentsOfDividendsCommonStock</t>
        </is>
      </c>
      <c r="I97" t="inlineStr">
        <is>
          <t>https://www.sec.gov/Archives/edgar/data/1510295/000151029526000009/</t>
        </is>
      </c>
      <c r="J97">
        <f>D97/1e9</f>
        <v/>
      </c>
    </row>
    <row r="98">
      <c r="A98" t="inlineStr">
        <is>
          <t>Marathon Petroleum</t>
        </is>
      </c>
      <c r="B98" t="inlineStr">
        <is>
          <t>Dividends paid to common (cash)</t>
        </is>
      </c>
      <c r="C98" t="inlineStr">
        <is>
          <t>2024</t>
        </is>
      </c>
      <c r="D98" t="n">
        <v>1154000000</v>
      </c>
      <c r="E98" t="inlineStr">
        <is>
          <t>USD</t>
        </is>
      </c>
      <c r="F98" t="inlineStr">
        <is>
          <t>10-K</t>
        </is>
      </c>
      <c r="G98" t="inlineStr">
        <is>
          <t>0001510295-26-000009</t>
        </is>
      </c>
      <c r="H98" t="inlineStr">
        <is>
          <t>PaymentsOfDividendsCommonStock</t>
        </is>
      </c>
      <c r="I98" t="inlineStr">
        <is>
          <t>https://www.sec.gov/Archives/edgar/data/1510295/000151029526000009/</t>
        </is>
      </c>
      <c r="J98">
        <f>D98/1e9</f>
        <v/>
      </c>
    </row>
    <row r="99">
      <c r="A99" t="inlineStr">
        <is>
          <t>Marathon Petroleum</t>
        </is>
      </c>
      <c r="B99" t="inlineStr">
        <is>
          <t>Dividends paid to common (cash)</t>
        </is>
      </c>
      <c r="C99" t="inlineStr">
        <is>
          <t>2025</t>
        </is>
      </c>
      <c r="D99" t="n">
        <v>1140000000</v>
      </c>
      <c r="E99" t="inlineStr">
        <is>
          <t>USD</t>
        </is>
      </c>
      <c r="F99" t="inlineStr">
        <is>
          <t>10-K</t>
        </is>
      </c>
      <c r="G99" t="inlineStr">
        <is>
          <t>0001510295-26-000009</t>
        </is>
      </c>
      <c r="H99" t="inlineStr">
        <is>
          <t>PaymentsOfDividendsCommonStock</t>
        </is>
      </c>
      <c r="I99" t="inlineStr">
        <is>
          <t>https://www.sec.gov/Archives/edgar/data/1510295/000151029526000009/</t>
        </is>
      </c>
      <c r="J99">
        <f>D99/1e9</f>
        <v/>
      </c>
    </row>
    <row r="100">
      <c r="A100" t="inlineStr">
        <is>
          <t>Phillips 66</t>
        </is>
      </c>
      <c r="B100" t="inlineStr">
        <is>
          <t>Net income attributable to company</t>
        </is>
      </c>
      <c r="C100" t="inlineStr">
        <is>
          <t>2026 H1 (Jan-Jun)</t>
        </is>
      </c>
      <c r="D100" t="n">
        <v>4054000000</v>
      </c>
      <c r="E100" t="inlineStr">
        <is>
          <t>USD</t>
        </is>
      </c>
      <c r="F100" t="inlineStr">
        <is>
          <t>10-Q</t>
        </is>
      </c>
      <c r="G100" t="inlineStr">
        <is>
          <t>0001534701-26-000032</t>
        </is>
      </c>
      <c r="H100" t="inlineStr">
        <is>
          <t>NetIncomeLoss</t>
        </is>
      </c>
      <c r="I100" t="inlineStr">
        <is>
          <t>https://www.sec.gov/Archives/edgar/data/1534701/000153470126000032/</t>
        </is>
      </c>
      <c r="J100">
        <f>D100/1e9</f>
        <v/>
      </c>
    </row>
    <row r="101">
      <c r="A101" t="inlineStr">
        <is>
          <t>Phillips 66</t>
        </is>
      </c>
      <c r="B101" t="inlineStr">
        <is>
          <t>Net income attributable to company</t>
        </is>
      </c>
      <c r="C101" t="inlineStr">
        <is>
          <t>2012</t>
        </is>
      </c>
      <c r="D101" t="n">
        <v>4124000000</v>
      </c>
      <c r="E101" t="inlineStr">
        <is>
          <t>USD</t>
        </is>
      </c>
      <c r="F101" t="inlineStr">
        <is>
          <t>10-K</t>
        </is>
      </c>
      <c r="G101" t="inlineStr">
        <is>
          <t>0001534701-15-000038</t>
        </is>
      </c>
      <c r="H101" t="inlineStr">
        <is>
          <t>NetIncomeLoss</t>
        </is>
      </c>
      <c r="I101" t="inlineStr">
        <is>
          <t>https://www.sec.gov/Archives/edgar/data/1534701/000153470115000038/</t>
        </is>
      </c>
      <c r="J101">
        <f>D101/1e9</f>
        <v/>
      </c>
    </row>
    <row r="102">
      <c r="A102" t="inlineStr">
        <is>
          <t>Phillips 66</t>
        </is>
      </c>
      <c r="B102" t="inlineStr">
        <is>
          <t>Net income attributable to company</t>
        </is>
      </c>
      <c r="C102" t="inlineStr">
        <is>
          <t>2013</t>
        </is>
      </c>
      <c r="D102" t="n">
        <v>3726000000</v>
      </c>
      <c r="E102" t="inlineStr">
        <is>
          <t>USD</t>
        </is>
      </c>
      <c r="F102" t="inlineStr">
        <is>
          <t>10-K</t>
        </is>
      </c>
      <c r="G102" t="inlineStr">
        <is>
          <t>0001534701-16-000119</t>
        </is>
      </c>
      <c r="H102" t="inlineStr">
        <is>
          <t>NetIncomeLoss</t>
        </is>
      </c>
      <c r="I102" t="inlineStr">
        <is>
          <t>https://www.sec.gov/Archives/edgar/data/1534701/000153470116000119/</t>
        </is>
      </c>
      <c r="J102">
        <f>D102/1e9</f>
        <v/>
      </c>
    </row>
    <row r="103">
      <c r="A103" t="inlineStr">
        <is>
          <t>Phillips 66</t>
        </is>
      </c>
      <c r="B103" t="inlineStr">
        <is>
          <t>Net income attributable to company</t>
        </is>
      </c>
      <c r="C103" t="inlineStr">
        <is>
          <t>2014</t>
        </is>
      </c>
      <c r="D103" t="n">
        <v>4762000000</v>
      </c>
      <c r="E103" t="inlineStr">
        <is>
          <t>USD</t>
        </is>
      </c>
      <c r="F103" t="inlineStr">
        <is>
          <t>10-K</t>
        </is>
      </c>
      <c r="G103" t="inlineStr">
        <is>
          <t>0001534701-17-000051</t>
        </is>
      </c>
      <c r="H103" t="inlineStr">
        <is>
          <t>NetIncomeLoss</t>
        </is>
      </c>
      <c r="I103" t="inlineStr">
        <is>
          <t>https://www.sec.gov/Archives/edgar/data/1534701/000153470117000051/</t>
        </is>
      </c>
      <c r="J103">
        <f>D103/1e9</f>
        <v/>
      </c>
    </row>
    <row r="104">
      <c r="A104" t="inlineStr">
        <is>
          <t>Phillips 66</t>
        </is>
      </c>
      <c r="B104" t="inlineStr">
        <is>
          <t>Net income attributable to company</t>
        </is>
      </c>
      <c r="C104" t="inlineStr">
        <is>
          <t>2015</t>
        </is>
      </c>
      <c r="D104" t="n">
        <v>4227000000</v>
      </c>
      <c r="E104" t="inlineStr">
        <is>
          <t>USD</t>
        </is>
      </c>
      <c r="F104" t="inlineStr">
        <is>
          <t>10-K</t>
        </is>
      </c>
      <c r="G104" t="inlineStr">
        <is>
          <t>0001534701-18-000065</t>
        </is>
      </c>
      <c r="H104" t="inlineStr">
        <is>
          <t>NetIncomeLoss</t>
        </is>
      </c>
      <c r="I104" t="inlineStr">
        <is>
          <t>https://www.sec.gov/Archives/edgar/data/1534701/000153470118000065/</t>
        </is>
      </c>
      <c r="J104">
        <f>D104/1e9</f>
        <v/>
      </c>
    </row>
    <row r="105">
      <c r="A105" t="inlineStr">
        <is>
          <t>Phillips 66</t>
        </is>
      </c>
      <c r="B105" t="inlineStr">
        <is>
          <t>Net income attributable to company</t>
        </is>
      </c>
      <c r="C105" t="inlineStr">
        <is>
          <t>2016</t>
        </is>
      </c>
      <c r="D105" t="n">
        <v>1555000000</v>
      </c>
      <c r="E105" t="inlineStr">
        <is>
          <t>USD</t>
        </is>
      </c>
      <c r="F105" t="inlineStr">
        <is>
          <t>10-K</t>
        </is>
      </c>
      <c r="G105" t="inlineStr">
        <is>
          <t>0001534701-19-000063</t>
        </is>
      </c>
      <c r="H105" t="inlineStr">
        <is>
          <t>NetIncomeLoss</t>
        </is>
      </c>
      <c r="I105" t="inlineStr">
        <is>
          <t>https://www.sec.gov/Archives/edgar/data/1534701/000153470119000063/</t>
        </is>
      </c>
      <c r="J105">
        <f>D105/1e9</f>
        <v/>
      </c>
    </row>
    <row r="106">
      <c r="A106" t="inlineStr">
        <is>
          <t>Phillips 66</t>
        </is>
      </c>
      <c r="B106" t="inlineStr">
        <is>
          <t>Net income attributable to company</t>
        </is>
      </c>
      <c r="C106" t="inlineStr">
        <is>
          <t>2017</t>
        </is>
      </c>
      <c r="D106" t="n">
        <v>5106000000</v>
      </c>
      <c r="E106" t="inlineStr">
        <is>
          <t>USD</t>
        </is>
      </c>
      <c r="F106" t="inlineStr">
        <is>
          <t>10-K</t>
        </is>
      </c>
      <c r="G106" t="inlineStr">
        <is>
          <t>0001534701-20-000070</t>
        </is>
      </c>
      <c r="H106" t="inlineStr">
        <is>
          <t>NetIncomeLoss</t>
        </is>
      </c>
      <c r="I106" t="inlineStr">
        <is>
          <t>https://www.sec.gov/Archives/edgar/data/1534701/000153470120000070/</t>
        </is>
      </c>
      <c r="J106">
        <f>D106/1e9</f>
        <v/>
      </c>
    </row>
    <row r="107">
      <c r="A107" t="inlineStr">
        <is>
          <t>Phillips 66</t>
        </is>
      </c>
      <c r="B107" t="inlineStr">
        <is>
          <t>Net income attributable to company</t>
        </is>
      </c>
      <c r="C107" t="inlineStr">
        <is>
          <t>2018</t>
        </is>
      </c>
      <c r="D107" t="n">
        <v>5595000000</v>
      </c>
      <c r="E107" t="inlineStr">
        <is>
          <t>USD</t>
        </is>
      </c>
      <c r="F107" t="inlineStr">
        <is>
          <t>10-K</t>
        </is>
      </c>
      <c r="G107" t="inlineStr">
        <is>
          <t>0001534701-21-000074</t>
        </is>
      </c>
      <c r="H107" t="inlineStr">
        <is>
          <t>NetIncomeLoss</t>
        </is>
      </c>
      <c r="I107" t="inlineStr">
        <is>
          <t>https://www.sec.gov/Archives/edgar/data/1534701/000153470121000074/</t>
        </is>
      </c>
      <c r="J107">
        <f>D107/1e9</f>
        <v/>
      </c>
    </row>
    <row r="108">
      <c r="A108" t="inlineStr">
        <is>
          <t>Phillips 66</t>
        </is>
      </c>
      <c r="B108" t="inlineStr">
        <is>
          <t>Net income attributable to company</t>
        </is>
      </c>
      <c r="C108" t="inlineStr">
        <is>
          <t>2019</t>
        </is>
      </c>
      <c r="D108" t="n">
        <v>3076000000</v>
      </c>
      <c r="E108" t="inlineStr">
        <is>
          <t>USD</t>
        </is>
      </c>
      <c r="F108" t="inlineStr">
        <is>
          <t>10-K</t>
        </is>
      </c>
      <c r="G108" t="inlineStr">
        <is>
          <t>0001534701-22-000078</t>
        </is>
      </c>
      <c r="H108" t="inlineStr">
        <is>
          <t>NetIncomeLoss</t>
        </is>
      </c>
      <c r="I108" t="inlineStr">
        <is>
          <t>https://www.sec.gov/Archives/edgar/data/1534701/000153470122000078/</t>
        </is>
      </c>
      <c r="J108">
        <f>D108/1e9</f>
        <v/>
      </c>
    </row>
    <row r="109">
      <c r="A109" t="inlineStr">
        <is>
          <t>Phillips 66</t>
        </is>
      </c>
      <c r="B109" t="inlineStr">
        <is>
          <t>Net income attributable to company</t>
        </is>
      </c>
      <c r="C109" t="inlineStr">
        <is>
          <t>2020</t>
        </is>
      </c>
      <c r="D109" t="n">
        <v>-3975000000</v>
      </c>
      <c r="E109" t="inlineStr">
        <is>
          <t>USD</t>
        </is>
      </c>
      <c r="F109" t="inlineStr">
        <is>
          <t>10-K</t>
        </is>
      </c>
      <c r="G109" t="inlineStr">
        <is>
          <t>0001534701-23-000053</t>
        </is>
      </c>
      <c r="H109" t="inlineStr">
        <is>
          <t>NetIncomeLoss</t>
        </is>
      </c>
      <c r="I109" t="inlineStr">
        <is>
          <t>https://www.sec.gov/Archives/edgar/data/1534701/000153470123000053/</t>
        </is>
      </c>
      <c r="J109">
        <f>D109/1e9</f>
        <v/>
      </c>
    </row>
    <row r="110">
      <c r="A110" t="inlineStr">
        <is>
          <t>Phillips 66</t>
        </is>
      </c>
      <c r="B110" t="inlineStr">
        <is>
          <t>Net income attributable to company</t>
        </is>
      </c>
      <c r="C110" t="inlineStr">
        <is>
          <t>2021</t>
        </is>
      </c>
      <c r="D110" t="n">
        <v>1317000000</v>
      </c>
      <c r="E110" t="inlineStr">
        <is>
          <t>USD</t>
        </is>
      </c>
      <c r="F110" t="inlineStr">
        <is>
          <t>10-K</t>
        </is>
      </c>
      <c r="G110" t="inlineStr">
        <is>
          <t>0001534701-24-000078</t>
        </is>
      </c>
      <c r="H110" t="inlineStr">
        <is>
          <t>NetIncomeLoss</t>
        </is>
      </c>
      <c r="I110" t="inlineStr">
        <is>
          <t>https://www.sec.gov/Archives/edgar/data/1534701/000153470124000078/</t>
        </is>
      </c>
      <c r="J110">
        <f>D110/1e9</f>
        <v/>
      </c>
    </row>
    <row r="111">
      <c r="A111" t="inlineStr">
        <is>
          <t>Phillips 66</t>
        </is>
      </c>
      <c r="B111" t="inlineStr">
        <is>
          <t>Net income attributable to company</t>
        </is>
      </c>
      <c r="C111" t="inlineStr">
        <is>
          <t>2022</t>
        </is>
      </c>
      <c r="D111" t="n">
        <v>11024000000</v>
      </c>
      <c r="E111" t="inlineStr">
        <is>
          <t>USD</t>
        </is>
      </c>
      <c r="F111" t="inlineStr">
        <is>
          <t>10-K</t>
        </is>
      </c>
      <c r="G111" t="inlineStr">
        <is>
          <t>0001534701-25-000074</t>
        </is>
      </c>
      <c r="H111" t="inlineStr">
        <is>
          <t>NetIncomeLoss</t>
        </is>
      </c>
      <c r="I111" t="inlineStr">
        <is>
          <t>https://www.sec.gov/Archives/edgar/data/1534701/000153470125000074/</t>
        </is>
      </c>
      <c r="J111">
        <f>D111/1e9</f>
        <v/>
      </c>
    </row>
    <row r="112">
      <c r="A112" t="inlineStr">
        <is>
          <t>Phillips 66</t>
        </is>
      </c>
      <c r="B112" t="inlineStr">
        <is>
          <t>Net income attributable to company</t>
        </is>
      </c>
      <c r="C112" t="inlineStr">
        <is>
          <t>2023</t>
        </is>
      </c>
      <c r="D112" t="n">
        <v>7015000000</v>
      </c>
      <c r="E112" t="inlineStr">
        <is>
          <t>USD</t>
        </is>
      </c>
      <c r="F112" t="inlineStr">
        <is>
          <t>10-K</t>
        </is>
      </c>
      <c r="G112" t="inlineStr">
        <is>
          <t>0001534701-26-000006</t>
        </is>
      </c>
      <c r="H112" t="inlineStr">
        <is>
          <t>NetIncomeLoss</t>
        </is>
      </c>
      <c r="I112" t="inlineStr">
        <is>
          <t>https://www.sec.gov/Archives/edgar/data/1534701/000153470126000006/</t>
        </is>
      </c>
      <c r="J112">
        <f>D112/1e9</f>
        <v/>
      </c>
    </row>
    <row r="113">
      <c r="A113" t="inlineStr">
        <is>
          <t>Phillips 66</t>
        </is>
      </c>
      <c r="B113" t="inlineStr">
        <is>
          <t>Net income attributable to company</t>
        </is>
      </c>
      <c r="C113" t="inlineStr">
        <is>
          <t>2024</t>
        </is>
      </c>
      <c r="D113" t="n">
        <v>2117000000</v>
      </c>
      <c r="E113" t="inlineStr">
        <is>
          <t>USD</t>
        </is>
      </c>
      <c r="F113" t="inlineStr">
        <is>
          <t>10-K</t>
        </is>
      </c>
      <c r="G113" t="inlineStr">
        <is>
          <t>0001534701-26-000006</t>
        </is>
      </c>
      <c r="H113" t="inlineStr">
        <is>
          <t>NetIncomeLoss</t>
        </is>
      </c>
      <c r="I113" t="inlineStr">
        <is>
          <t>https://www.sec.gov/Archives/edgar/data/1534701/000153470126000006/</t>
        </is>
      </c>
      <c r="J113">
        <f>D113/1e9</f>
        <v/>
      </c>
    </row>
    <row r="114">
      <c r="A114" t="inlineStr">
        <is>
          <t>Phillips 66</t>
        </is>
      </c>
      <c r="B114" t="inlineStr">
        <is>
          <t>Net income attributable to company</t>
        </is>
      </c>
      <c r="C114" t="inlineStr">
        <is>
          <t>2025</t>
        </is>
      </c>
      <c r="D114" t="n">
        <v>4403000000</v>
      </c>
      <c r="E114" t="inlineStr">
        <is>
          <t>USD</t>
        </is>
      </c>
      <c r="F114" t="inlineStr">
        <is>
          <t>10-K</t>
        </is>
      </c>
      <c r="G114" t="inlineStr">
        <is>
          <t>0001534701-26-000006</t>
        </is>
      </c>
      <c r="H114" t="inlineStr">
        <is>
          <t>NetIncomeLoss</t>
        </is>
      </c>
      <c r="I114" t="inlineStr">
        <is>
          <t>https://www.sec.gov/Archives/edgar/data/1534701/000153470126000006/</t>
        </is>
      </c>
      <c r="J114">
        <f>D114/1e9</f>
        <v/>
      </c>
    </row>
    <row r="115">
      <c r="A115" t="inlineStr">
        <is>
          <t>Phillips 66</t>
        </is>
      </c>
      <c r="B115" t="inlineStr">
        <is>
          <t>Net income attributable to company</t>
        </is>
      </c>
      <c r="C115" t="inlineStr">
        <is>
          <t>2025Q2</t>
        </is>
      </c>
      <c r="D115" t="n">
        <v>877000000</v>
      </c>
      <c r="E115" t="inlineStr">
        <is>
          <t>USD</t>
        </is>
      </c>
      <c r="F115" t="inlineStr">
        <is>
          <t>10-Q</t>
        </is>
      </c>
      <c r="G115" t="inlineStr">
        <is>
          <t>0001534701-26-000032</t>
        </is>
      </c>
      <c r="H115" t="inlineStr">
        <is>
          <t>NetIncomeLoss</t>
        </is>
      </c>
      <c r="I115" t="inlineStr">
        <is>
          <t>https://www.sec.gov/Archives/edgar/data/1534701/000153470126000032/</t>
        </is>
      </c>
      <c r="J115">
        <f>D115/1e9</f>
        <v/>
      </c>
    </row>
    <row r="116">
      <c r="A116" t="inlineStr">
        <is>
          <t>Phillips 66</t>
        </is>
      </c>
      <c r="B116" t="inlineStr">
        <is>
          <t>Net income attributable to company</t>
        </is>
      </c>
      <c r="C116" t="inlineStr">
        <is>
          <t>2026Q2</t>
        </is>
      </c>
      <c r="D116" t="n">
        <v>3847000000</v>
      </c>
      <c r="E116" t="inlineStr">
        <is>
          <t>USD</t>
        </is>
      </c>
      <c r="F116" t="inlineStr">
        <is>
          <t>10-Q</t>
        </is>
      </c>
      <c r="G116" t="inlineStr">
        <is>
          <t>0001534701-26-000032</t>
        </is>
      </c>
      <c r="H116" t="inlineStr">
        <is>
          <t>NetIncomeLoss</t>
        </is>
      </c>
      <c r="I116" t="inlineStr">
        <is>
          <t>https://www.sec.gov/Archives/edgar/data/1534701/000153470126000032/</t>
        </is>
      </c>
      <c r="J116">
        <f>D116/1e9</f>
        <v/>
      </c>
    </row>
    <row r="117">
      <c r="A117" t="inlineStr">
        <is>
          <t>Phillips 66</t>
        </is>
      </c>
      <c r="B117" t="inlineStr">
        <is>
          <t>Share buybacks (cash paid)</t>
        </is>
      </c>
      <c r="C117" t="inlineStr">
        <is>
          <t>2026 H1 (Jan-Jun)</t>
        </is>
      </c>
      <c r="D117" t="n">
        <v>648000000</v>
      </c>
      <c r="E117" t="inlineStr">
        <is>
          <t>USD</t>
        </is>
      </c>
      <c r="F117" t="inlineStr">
        <is>
          <t>10-Q</t>
        </is>
      </c>
      <c r="G117" t="inlineStr">
        <is>
          <t>0001534701-26-000032</t>
        </is>
      </c>
      <c r="H117" t="inlineStr">
        <is>
          <t>PaymentsForRepurchaseOfCommonStock</t>
        </is>
      </c>
      <c r="I117" t="inlineStr">
        <is>
          <t>https://www.sec.gov/Archives/edgar/data/1534701/000153470126000032/</t>
        </is>
      </c>
      <c r="J117">
        <f>D117/1e9</f>
        <v/>
      </c>
    </row>
    <row r="118">
      <c r="A118" t="inlineStr">
        <is>
          <t>Phillips 66</t>
        </is>
      </c>
      <c r="B118" t="inlineStr">
        <is>
          <t>Share buybacks (cash paid)</t>
        </is>
      </c>
      <c r="C118" t="inlineStr">
        <is>
          <t>2012</t>
        </is>
      </c>
      <c r="D118" t="n">
        <v>356000000</v>
      </c>
      <c r="E118" t="inlineStr">
        <is>
          <t>USD</t>
        </is>
      </c>
      <c r="F118" t="inlineStr">
        <is>
          <t>10-K</t>
        </is>
      </c>
      <c r="G118" t="inlineStr">
        <is>
          <t>0001534701-15-000038</t>
        </is>
      </c>
      <c r="H118" t="inlineStr">
        <is>
          <t>PaymentsForRepurchaseOfCommonStock</t>
        </is>
      </c>
      <c r="I118" t="inlineStr">
        <is>
          <t>https://www.sec.gov/Archives/edgar/data/1534701/000153470115000038/</t>
        </is>
      </c>
      <c r="J118">
        <f>D118/1e9</f>
        <v/>
      </c>
    </row>
    <row r="119">
      <c r="A119" t="inlineStr">
        <is>
          <t>Phillips 66</t>
        </is>
      </c>
      <c r="B119" t="inlineStr">
        <is>
          <t>Share buybacks (cash paid)</t>
        </is>
      </c>
      <c r="C119" t="inlineStr">
        <is>
          <t>2013</t>
        </is>
      </c>
      <c r="D119" t="n">
        <v>2246000000</v>
      </c>
      <c r="E119" t="inlineStr">
        <is>
          <t>USD</t>
        </is>
      </c>
      <c r="F119" t="inlineStr">
        <is>
          <t>10-K</t>
        </is>
      </c>
      <c r="G119" t="inlineStr">
        <is>
          <t>0001534701-16-000119</t>
        </is>
      </c>
      <c r="H119" t="inlineStr">
        <is>
          <t>PaymentsForRepurchaseOfCommonStock</t>
        </is>
      </c>
      <c r="I119" t="inlineStr">
        <is>
          <t>https://www.sec.gov/Archives/edgar/data/1534701/000153470116000119/</t>
        </is>
      </c>
      <c r="J119">
        <f>D119/1e9</f>
        <v/>
      </c>
    </row>
    <row r="120">
      <c r="A120" t="inlineStr">
        <is>
          <t>Phillips 66</t>
        </is>
      </c>
      <c r="B120" t="inlineStr">
        <is>
          <t>Share buybacks (cash paid)</t>
        </is>
      </c>
      <c r="C120" t="inlineStr">
        <is>
          <t>2014</t>
        </is>
      </c>
      <c r="D120" t="n">
        <v>2282000000</v>
      </c>
      <c r="E120" t="inlineStr">
        <is>
          <t>USD</t>
        </is>
      </c>
      <c r="F120" t="inlineStr">
        <is>
          <t>10-K</t>
        </is>
      </c>
      <c r="G120" t="inlineStr">
        <is>
          <t>0001534701-17-000051</t>
        </is>
      </c>
      <c r="H120" t="inlineStr">
        <is>
          <t>PaymentsForRepurchaseOfCommonStock</t>
        </is>
      </c>
      <c r="I120" t="inlineStr">
        <is>
          <t>https://www.sec.gov/Archives/edgar/data/1534701/000153470117000051/</t>
        </is>
      </c>
      <c r="J120">
        <f>D120/1e9</f>
        <v/>
      </c>
    </row>
    <row r="121">
      <c r="A121" t="inlineStr">
        <is>
          <t>Phillips 66</t>
        </is>
      </c>
      <c r="B121" t="inlineStr">
        <is>
          <t>Share buybacks (cash paid)</t>
        </is>
      </c>
      <c r="C121" t="inlineStr">
        <is>
          <t>2015</t>
        </is>
      </c>
      <c r="D121" t="n">
        <v>1512000000</v>
      </c>
      <c r="E121" t="inlineStr">
        <is>
          <t>USD</t>
        </is>
      </c>
      <c r="F121" t="inlineStr">
        <is>
          <t>10-K</t>
        </is>
      </c>
      <c r="G121" t="inlineStr">
        <is>
          <t>0001534701-18-000065</t>
        </is>
      </c>
      <c r="H121" t="inlineStr">
        <is>
          <t>PaymentsForRepurchaseOfCommonStock</t>
        </is>
      </c>
      <c r="I121" t="inlineStr">
        <is>
          <t>https://www.sec.gov/Archives/edgar/data/1534701/000153470118000065/</t>
        </is>
      </c>
      <c r="J121">
        <f>D121/1e9</f>
        <v/>
      </c>
    </row>
    <row r="122">
      <c r="A122" t="inlineStr">
        <is>
          <t>Phillips 66</t>
        </is>
      </c>
      <c r="B122" t="inlineStr">
        <is>
          <t>Share buybacks (cash paid)</t>
        </is>
      </c>
      <c r="C122" t="inlineStr">
        <is>
          <t>2016</t>
        </is>
      </c>
      <c r="D122" t="n">
        <v>1042000000</v>
      </c>
      <c r="E122" t="inlineStr">
        <is>
          <t>USD</t>
        </is>
      </c>
      <c r="F122" t="inlineStr">
        <is>
          <t>10-K</t>
        </is>
      </c>
      <c r="G122" t="inlineStr">
        <is>
          <t>0001534701-19-000063</t>
        </is>
      </c>
      <c r="H122" t="inlineStr">
        <is>
          <t>PaymentsForRepurchaseOfCommonStock</t>
        </is>
      </c>
      <c r="I122" t="inlineStr">
        <is>
          <t>https://www.sec.gov/Archives/edgar/data/1534701/000153470119000063/</t>
        </is>
      </c>
      <c r="J122">
        <f>D122/1e9</f>
        <v/>
      </c>
    </row>
    <row r="123">
      <c r="A123" t="inlineStr">
        <is>
          <t>Phillips 66</t>
        </is>
      </c>
      <c r="B123" t="inlineStr">
        <is>
          <t>Share buybacks (cash paid)</t>
        </is>
      </c>
      <c r="C123" t="inlineStr">
        <is>
          <t>2017</t>
        </is>
      </c>
      <c r="D123" t="n">
        <v>1590000000</v>
      </c>
      <c r="E123" t="inlineStr">
        <is>
          <t>USD</t>
        </is>
      </c>
      <c r="F123" t="inlineStr">
        <is>
          <t>10-K</t>
        </is>
      </c>
      <c r="G123" t="inlineStr">
        <is>
          <t>0001534701-20-000070</t>
        </is>
      </c>
      <c r="H123" t="inlineStr">
        <is>
          <t>PaymentsForRepurchaseOfCommonStock</t>
        </is>
      </c>
      <c r="I123" t="inlineStr">
        <is>
          <t>https://www.sec.gov/Archives/edgar/data/1534701/000153470120000070/</t>
        </is>
      </c>
      <c r="J123">
        <f>D123/1e9</f>
        <v/>
      </c>
    </row>
    <row r="124">
      <c r="A124" t="inlineStr">
        <is>
          <t>Phillips 66</t>
        </is>
      </c>
      <c r="B124" t="inlineStr">
        <is>
          <t>Share buybacks (cash paid)</t>
        </is>
      </c>
      <c r="C124" t="inlineStr">
        <is>
          <t>2018</t>
        </is>
      </c>
      <c r="D124" t="n">
        <v>4645000000</v>
      </c>
      <c r="E124" t="inlineStr">
        <is>
          <t>USD</t>
        </is>
      </c>
      <c r="F124" t="inlineStr">
        <is>
          <t>10-K</t>
        </is>
      </c>
      <c r="G124" t="inlineStr">
        <is>
          <t>0001534701-21-000074</t>
        </is>
      </c>
      <c r="H124" t="inlineStr">
        <is>
          <t>PaymentsForRepurchaseOfCommonStock</t>
        </is>
      </c>
      <c r="I124" t="inlineStr">
        <is>
          <t>https://www.sec.gov/Archives/edgar/data/1534701/000153470121000074/</t>
        </is>
      </c>
      <c r="J124">
        <f>D124/1e9</f>
        <v/>
      </c>
    </row>
    <row r="125">
      <c r="A125" t="inlineStr">
        <is>
          <t>Phillips 66</t>
        </is>
      </c>
      <c r="B125" t="inlineStr">
        <is>
          <t>Share buybacks (cash paid)</t>
        </is>
      </c>
      <c r="C125" t="inlineStr">
        <is>
          <t>2019</t>
        </is>
      </c>
      <c r="D125" t="n">
        <v>1650000000</v>
      </c>
      <c r="E125" t="inlineStr">
        <is>
          <t>USD</t>
        </is>
      </c>
      <c r="F125" t="inlineStr">
        <is>
          <t>10-K</t>
        </is>
      </c>
      <c r="G125" t="inlineStr">
        <is>
          <t>0001534701-22-000078</t>
        </is>
      </c>
      <c r="H125" t="inlineStr">
        <is>
          <t>PaymentsForRepurchaseOfCommonStock</t>
        </is>
      </c>
      <c r="I125" t="inlineStr">
        <is>
          <t>https://www.sec.gov/Archives/edgar/data/1534701/000153470122000078/</t>
        </is>
      </c>
      <c r="J125">
        <f>D125/1e9</f>
        <v/>
      </c>
    </row>
    <row r="126">
      <c r="A126" t="inlineStr">
        <is>
          <t>Phillips 66</t>
        </is>
      </c>
      <c r="B126" t="inlineStr">
        <is>
          <t>Share buybacks (cash paid)</t>
        </is>
      </c>
      <c r="C126" t="inlineStr">
        <is>
          <t>2020</t>
        </is>
      </c>
      <c r="D126" t="n">
        <v>443000000</v>
      </c>
      <c r="E126" t="inlineStr">
        <is>
          <t>USD</t>
        </is>
      </c>
      <c r="F126" t="inlineStr">
        <is>
          <t>10-K</t>
        </is>
      </c>
      <c r="G126" t="inlineStr">
        <is>
          <t>0001534701-23-000053</t>
        </is>
      </c>
      <c r="H126" t="inlineStr">
        <is>
          <t>PaymentsForRepurchaseOfCommonStock</t>
        </is>
      </c>
      <c r="I126" t="inlineStr">
        <is>
          <t>https://www.sec.gov/Archives/edgar/data/1534701/000153470123000053/</t>
        </is>
      </c>
      <c r="J126">
        <f>D126/1e9</f>
        <v/>
      </c>
    </row>
    <row r="127">
      <c r="A127" t="inlineStr">
        <is>
          <t>Phillips 66</t>
        </is>
      </c>
      <c r="B127" t="inlineStr">
        <is>
          <t>Share buybacks (cash paid)</t>
        </is>
      </c>
      <c r="C127" t="inlineStr">
        <is>
          <t>2021</t>
        </is>
      </c>
      <c r="D127" t="n">
        <v>0</v>
      </c>
      <c r="E127" t="inlineStr">
        <is>
          <t>USD</t>
        </is>
      </c>
      <c r="F127" t="inlineStr">
        <is>
          <t>10-K</t>
        </is>
      </c>
      <c r="G127" t="inlineStr">
        <is>
          <t>0001534701-24-000078</t>
        </is>
      </c>
      <c r="H127" t="inlineStr">
        <is>
          <t>PaymentsForRepurchaseOfCommonStock</t>
        </is>
      </c>
      <c r="I127" t="inlineStr">
        <is>
          <t>https://www.sec.gov/Archives/edgar/data/1534701/000153470124000078/</t>
        </is>
      </c>
      <c r="J127">
        <f>D127/1e9</f>
        <v/>
      </c>
    </row>
    <row r="128">
      <c r="A128" t="inlineStr">
        <is>
          <t>Phillips 66</t>
        </is>
      </c>
      <c r="B128" t="inlineStr">
        <is>
          <t>Share buybacks (cash paid)</t>
        </is>
      </c>
      <c r="C128" t="inlineStr">
        <is>
          <t>2022</t>
        </is>
      </c>
      <c r="D128" t="n">
        <v>1513000000</v>
      </c>
      <c r="E128" t="inlineStr">
        <is>
          <t>USD</t>
        </is>
      </c>
      <c r="F128" t="inlineStr">
        <is>
          <t>10-K</t>
        </is>
      </c>
      <c r="G128" t="inlineStr">
        <is>
          <t>0001534701-25-000074</t>
        </is>
      </c>
      <c r="H128" t="inlineStr">
        <is>
          <t>PaymentsForRepurchaseOfCommonStock</t>
        </is>
      </c>
      <c r="I128" t="inlineStr">
        <is>
          <t>https://www.sec.gov/Archives/edgar/data/1534701/000153470125000074/</t>
        </is>
      </c>
      <c r="J128">
        <f>D128/1e9</f>
        <v/>
      </c>
    </row>
    <row r="129">
      <c r="A129" t="inlineStr">
        <is>
          <t>Phillips 66</t>
        </is>
      </c>
      <c r="B129" t="inlineStr">
        <is>
          <t>Share buybacks (cash paid)</t>
        </is>
      </c>
      <c r="C129" t="inlineStr">
        <is>
          <t>2023</t>
        </is>
      </c>
      <c r="D129" t="n">
        <v>4014000000</v>
      </c>
      <c r="E129" t="inlineStr">
        <is>
          <t>USD</t>
        </is>
      </c>
      <c r="F129" t="inlineStr">
        <is>
          <t>10-K</t>
        </is>
      </c>
      <c r="G129" t="inlineStr">
        <is>
          <t>0001534701-26-000006</t>
        </is>
      </c>
      <c r="H129" t="inlineStr">
        <is>
          <t>PaymentsForRepurchaseOfCommonStock</t>
        </is>
      </c>
      <c r="I129" t="inlineStr">
        <is>
          <t>https://www.sec.gov/Archives/edgar/data/1534701/000153470126000006/</t>
        </is>
      </c>
      <c r="J129">
        <f>D129/1e9</f>
        <v/>
      </c>
    </row>
    <row r="130">
      <c r="A130" t="inlineStr">
        <is>
          <t>Phillips 66</t>
        </is>
      </c>
      <c r="B130" t="inlineStr">
        <is>
          <t>Share buybacks (cash paid)</t>
        </is>
      </c>
      <c r="C130" t="inlineStr">
        <is>
          <t>2024</t>
        </is>
      </c>
      <c r="D130" t="n">
        <v>3451000000</v>
      </c>
      <c r="E130" t="inlineStr">
        <is>
          <t>USD</t>
        </is>
      </c>
      <c r="F130" t="inlineStr">
        <is>
          <t>10-K</t>
        </is>
      </c>
      <c r="G130" t="inlineStr">
        <is>
          <t>0001534701-26-000006</t>
        </is>
      </c>
      <c r="H130" t="inlineStr">
        <is>
          <t>PaymentsForRepurchaseOfCommonStock</t>
        </is>
      </c>
      <c r="I130" t="inlineStr">
        <is>
          <t>https://www.sec.gov/Archives/edgar/data/1534701/000153470126000006/</t>
        </is>
      </c>
      <c r="J130">
        <f>D130/1e9</f>
        <v/>
      </c>
    </row>
    <row r="131">
      <c r="A131" t="inlineStr">
        <is>
          <t>Phillips 66</t>
        </is>
      </c>
      <c r="B131" t="inlineStr">
        <is>
          <t>Share buybacks (cash paid)</t>
        </is>
      </c>
      <c r="C131" t="inlineStr">
        <is>
          <t>2025</t>
        </is>
      </c>
      <c r="D131" t="n">
        <v>1207000000</v>
      </c>
      <c r="E131" t="inlineStr">
        <is>
          <t>USD</t>
        </is>
      </c>
      <c r="F131" t="inlineStr">
        <is>
          <t>10-K</t>
        </is>
      </c>
      <c r="G131" t="inlineStr">
        <is>
          <t>0001534701-26-000006</t>
        </is>
      </c>
      <c r="H131" t="inlineStr">
        <is>
          <t>PaymentsForRepurchaseOfCommonStock</t>
        </is>
      </c>
      <c r="I131" t="inlineStr">
        <is>
          <t>https://www.sec.gov/Archives/edgar/data/1534701/000153470126000006/</t>
        </is>
      </c>
      <c r="J131">
        <f>D131/1e9</f>
        <v/>
      </c>
    </row>
    <row r="132">
      <c r="A132" t="inlineStr">
        <is>
          <t>Phillips 66</t>
        </is>
      </c>
      <c r="B132" t="inlineStr">
        <is>
          <t>Dividends paid to common (cash)</t>
        </is>
      </c>
      <c r="C132" t="inlineStr">
        <is>
          <t>2026 H1 (Jan-Jun)</t>
        </is>
      </c>
      <c r="D132" t="n">
        <v>1017000000</v>
      </c>
      <c r="E132" t="inlineStr">
        <is>
          <t>USD</t>
        </is>
      </c>
      <c r="F132" t="inlineStr">
        <is>
          <t>10-Q</t>
        </is>
      </c>
      <c r="G132" t="inlineStr">
        <is>
          <t>0001534701-26-000032</t>
        </is>
      </c>
      <c r="H132" t="inlineStr">
        <is>
          <t>PaymentsOfDividendsCommonStock</t>
        </is>
      </c>
      <c r="I132" t="inlineStr">
        <is>
          <t>https://www.sec.gov/Archives/edgar/data/1534701/000153470126000032/</t>
        </is>
      </c>
      <c r="J132">
        <f>D132/1e9</f>
        <v/>
      </c>
    </row>
    <row r="133">
      <c r="A133" t="inlineStr">
        <is>
          <t>Phillips 66</t>
        </is>
      </c>
      <c r="B133" t="inlineStr">
        <is>
          <t>Dividends paid to common (cash)</t>
        </is>
      </c>
      <c r="C133" t="inlineStr">
        <is>
          <t>2012</t>
        </is>
      </c>
      <c r="D133" t="n">
        <v>282000000</v>
      </c>
      <c r="E133" t="inlineStr">
        <is>
          <t>USD</t>
        </is>
      </c>
      <c r="F133" t="inlineStr">
        <is>
          <t>10-K</t>
        </is>
      </c>
      <c r="G133" t="inlineStr">
        <is>
          <t>0001534701-15-000038</t>
        </is>
      </c>
      <c r="H133" t="inlineStr">
        <is>
          <t>PaymentsOfDividendsCommonStock</t>
        </is>
      </c>
      <c r="I133" t="inlineStr">
        <is>
          <t>https://www.sec.gov/Archives/edgar/data/1534701/000153470115000038/</t>
        </is>
      </c>
      <c r="J133">
        <f>D133/1e9</f>
        <v/>
      </c>
    </row>
    <row r="134">
      <c r="A134" t="inlineStr">
        <is>
          <t>Phillips 66</t>
        </is>
      </c>
      <c r="B134" t="inlineStr">
        <is>
          <t>Dividends paid to common (cash)</t>
        </is>
      </c>
      <c r="C134" t="inlineStr">
        <is>
          <t>2013</t>
        </is>
      </c>
      <c r="D134" t="n">
        <v>807000000</v>
      </c>
      <c r="E134" t="inlineStr">
        <is>
          <t>USD</t>
        </is>
      </c>
      <c r="F134" t="inlineStr">
        <is>
          <t>10-K</t>
        </is>
      </c>
      <c r="G134" t="inlineStr">
        <is>
          <t>0001534701-16-000119</t>
        </is>
      </c>
      <c r="H134" t="inlineStr">
        <is>
          <t>PaymentsOfDividendsCommonStock</t>
        </is>
      </c>
      <c r="I134" t="inlineStr">
        <is>
          <t>https://www.sec.gov/Archives/edgar/data/1534701/000153470116000119/</t>
        </is>
      </c>
      <c r="J134">
        <f>D134/1e9</f>
        <v/>
      </c>
    </row>
    <row r="135">
      <c r="A135" t="inlineStr">
        <is>
          <t>Phillips 66</t>
        </is>
      </c>
      <c r="B135" t="inlineStr">
        <is>
          <t>Dividends paid to common (cash)</t>
        </is>
      </c>
      <c r="C135" t="inlineStr">
        <is>
          <t>2014</t>
        </is>
      </c>
      <c r="D135" t="n">
        <v>1062000000</v>
      </c>
      <c r="E135" t="inlineStr">
        <is>
          <t>USD</t>
        </is>
      </c>
      <c r="F135" t="inlineStr">
        <is>
          <t>10-K</t>
        </is>
      </c>
      <c r="G135" t="inlineStr">
        <is>
          <t>0001534701-17-000051</t>
        </is>
      </c>
      <c r="H135" t="inlineStr">
        <is>
          <t>PaymentsOfDividendsCommonStock</t>
        </is>
      </c>
      <c r="I135" t="inlineStr">
        <is>
          <t>https://www.sec.gov/Archives/edgar/data/1534701/000153470117000051/</t>
        </is>
      </c>
      <c r="J135">
        <f>D135/1e9</f>
        <v/>
      </c>
    </row>
    <row r="136">
      <c r="A136" t="inlineStr">
        <is>
          <t>Phillips 66</t>
        </is>
      </c>
      <c r="B136" t="inlineStr">
        <is>
          <t>Dividends paid to common (cash)</t>
        </is>
      </c>
      <c r="C136" t="inlineStr">
        <is>
          <t>2015</t>
        </is>
      </c>
      <c r="D136" t="n">
        <v>1172000000</v>
      </c>
      <c r="E136" t="inlineStr">
        <is>
          <t>USD</t>
        </is>
      </c>
      <c r="F136" t="inlineStr">
        <is>
          <t>10-K</t>
        </is>
      </c>
      <c r="G136" t="inlineStr">
        <is>
          <t>0001534701-18-000065</t>
        </is>
      </c>
      <c r="H136" t="inlineStr">
        <is>
          <t>PaymentsOfDividendsCommonStock</t>
        </is>
      </c>
      <c r="I136" t="inlineStr">
        <is>
          <t>https://www.sec.gov/Archives/edgar/data/1534701/000153470118000065/</t>
        </is>
      </c>
      <c r="J136">
        <f>D136/1e9</f>
        <v/>
      </c>
    </row>
    <row r="137">
      <c r="A137" t="inlineStr">
        <is>
          <t>Phillips 66</t>
        </is>
      </c>
      <c r="B137" t="inlineStr">
        <is>
          <t>Dividends paid to common (cash)</t>
        </is>
      </c>
      <c r="C137" t="inlineStr">
        <is>
          <t>2016</t>
        </is>
      </c>
      <c r="D137" t="n">
        <v>1282000000</v>
      </c>
      <c r="E137" t="inlineStr">
        <is>
          <t>USD</t>
        </is>
      </c>
      <c r="F137" t="inlineStr">
        <is>
          <t>10-K</t>
        </is>
      </c>
      <c r="G137" t="inlineStr">
        <is>
          <t>0001534701-19-000063</t>
        </is>
      </c>
      <c r="H137" t="inlineStr">
        <is>
          <t>PaymentsOfDividendsCommonStock</t>
        </is>
      </c>
      <c r="I137" t="inlineStr">
        <is>
          <t>https://www.sec.gov/Archives/edgar/data/1534701/000153470119000063/</t>
        </is>
      </c>
      <c r="J137">
        <f>D137/1e9</f>
        <v/>
      </c>
    </row>
    <row r="138">
      <c r="A138" t="inlineStr">
        <is>
          <t>Phillips 66</t>
        </is>
      </c>
      <c r="B138" t="inlineStr">
        <is>
          <t>Dividends paid to common (cash)</t>
        </is>
      </c>
      <c r="C138" t="inlineStr">
        <is>
          <t>2017</t>
        </is>
      </c>
      <c r="D138" t="n">
        <v>1395000000</v>
      </c>
      <c r="E138" t="inlineStr">
        <is>
          <t>USD</t>
        </is>
      </c>
      <c r="F138" t="inlineStr">
        <is>
          <t>10-K</t>
        </is>
      </c>
      <c r="G138" t="inlineStr">
        <is>
          <t>0001534701-20-000070</t>
        </is>
      </c>
      <c r="H138" t="inlineStr">
        <is>
          <t>PaymentsOfDividendsCommonStock</t>
        </is>
      </c>
      <c r="I138" t="inlineStr">
        <is>
          <t>https://www.sec.gov/Archives/edgar/data/1534701/000153470120000070/</t>
        </is>
      </c>
      <c r="J138">
        <f>D138/1e9</f>
        <v/>
      </c>
    </row>
    <row r="139">
      <c r="A139" t="inlineStr">
        <is>
          <t>Phillips 66</t>
        </is>
      </c>
      <c r="B139" t="inlineStr">
        <is>
          <t>Dividends paid to common (cash)</t>
        </is>
      </c>
      <c r="C139" t="inlineStr">
        <is>
          <t>2018</t>
        </is>
      </c>
      <c r="D139" t="n">
        <v>1436000000</v>
      </c>
      <c r="E139" t="inlineStr">
        <is>
          <t>USD</t>
        </is>
      </c>
      <c r="F139" t="inlineStr">
        <is>
          <t>10-K</t>
        </is>
      </c>
      <c r="G139" t="inlineStr">
        <is>
          <t>0001534701-21-000074</t>
        </is>
      </c>
      <c r="H139" t="inlineStr">
        <is>
          <t>PaymentsOfDividendsCommonStock</t>
        </is>
      </c>
      <c r="I139" t="inlineStr">
        <is>
          <t>https://www.sec.gov/Archives/edgar/data/1534701/000153470121000074/</t>
        </is>
      </c>
      <c r="J139">
        <f>D139/1e9</f>
        <v/>
      </c>
    </row>
    <row r="140">
      <c r="A140" t="inlineStr">
        <is>
          <t>Phillips 66</t>
        </is>
      </c>
      <c r="B140" t="inlineStr">
        <is>
          <t>Dividends paid to common (cash)</t>
        </is>
      </c>
      <c r="C140" t="inlineStr">
        <is>
          <t>2019</t>
        </is>
      </c>
      <c r="D140" t="n">
        <v>1570000000</v>
      </c>
      <c r="E140" t="inlineStr">
        <is>
          <t>USD</t>
        </is>
      </c>
      <c r="F140" t="inlineStr">
        <is>
          <t>10-K</t>
        </is>
      </c>
      <c r="G140" t="inlineStr">
        <is>
          <t>0001534701-22-000078</t>
        </is>
      </c>
      <c r="H140" t="inlineStr">
        <is>
          <t>PaymentsOfDividendsCommonStock</t>
        </is>
      </c>
      <c r="I140" t="inlineStr">
        <is>
          <t>https://www.sec.gov/Archives/edgar/data/1534701/000153470122000078/</t>
        </is>
      </c>
      <c r="J140">
        <f>D140/1e9</f>
        <v/>
      </c>
    </row>
    <row r="141">
      <c r="A141" t="inlineStr">
        <is>
          <t>Phillips 66</t>
        </is>
      </c>
      <c r="B141" t="inlineStr">
        <is>
          <t>Dividends paid to common (cash)</t>
        </is>
      </c>
      <c r="C141" t="inlineStr">
        <is>
          <t>2020</t>
        </is>
      </c>
      <c r="D141" t="n">
        <v>1575000000</v>
      </c>
      <c r="E141" t="inlineStr">
        <is>
          <t>USD</t>
        </is>
      </c>
      <c r="F141" t="inlineStr">
        <is>
          <t>10-K</t>
        </is>
      </c>
      <c r="G141" t="inlineStr">
        <is>
          <t>0001534701-23-000053</t>
        </is>
      </c>
      <c r="H141" t="inlineStr">
        <is>
          <t>PaymentsOfDividendsCommonStock</t>
        </is>
      </c>
      <c r="I141" t="inlineStr">
        <is>
          <t>https://www.sec.gov/Archives/edgar/data/1534701/000153470123000053/</t>
        </is>
      </c>
      <c r="J141">
        <f>D141/1e9</f>
        <v/>
      </c>
    </row>
    <row r="142">
      <c r="A142" t="inlineStr">
        <is>
          <t>Phillips 66</t>
        </is>
      </c>
      <c r="B142" t="inlineStr">
        <is>
          <t>Dividends paid to common (cash)</t>
        </is>
      </c>
      <c r="C142" t="inlineStr">
        <is>
          <t>2021</t>
        </is>
      </c>
      <c r="D142" t="n">
        <v>1585000000</v>
      </c>
      <c r="E142" t="inlineStr">
        <is>
          <t>USD</t>
        </is>
      </c>
      <c r="F142" t="inlineStr">
        <is>
          <t>10-K</t>
        </is>
      </c>
      <c r="G142" t="inlineStr">
        <is>
          <t>0001534701-24-000078</t>
        </is>
      </c>
      <c r="H142" t="inlineStr">
        <is>
          <t>PaymentsOfDividendsCommonStock</t>
        </is>
      </c>
      <c r="I142" t="inlineStr">
        <is>
          <t>https://www.sec.gov/Archives/edgar/data/1534701/000153470124000078/</t>
        </is>
      </c>
      <c r="J142">
        <f>D142/1e9</f>
        <v/>
      </c>
    </row>
    <row r="143">
      <c r="A143" t="inlineStr">
        <is>
          <t>Phillips 66</t>
        </is>
      </c>
      <c r="B143" t="inlineStr">
        <is>
          <t>Dividends paid to common (cash)</t>
        </is>
      </c>
      <c r="C143" t="inlineStr">
        <is>
          <t>2022</t>
        </is>
      </c>
      <c r="D143" t="n">
        <v>1793000000</v>
      </c>
      <c r="E143" t="inlineStr">
        <is>
          <t>USD</t>
        </is>
      </c>
      <c r="F143" t="inlineStr">
        <is>
          <t>10-K</t>
        </is>
      </c>
      <c r="G143" t="inlineStr">
        <is>
          <t>0001534701-25-000074</t>
        </is>
      </c>
      <c r="H143" t="inlineStr">
        <is>
          <t>PaymentsOfDividendsCommonStock</t>
        </is>
      </c>
      <c r="I143" t="inlineStr">
        <is>
          <t>https://www.sec.gov/Archives/edgar/data/1534701/000153470125000074/</t>
        </is>
      </c>
      <c r="J143">
        <f>D143/1e9</f>
        <v/>
      </c>
    </row>
    <row r="144">
      <c r="A144" t="inlineStr">
        <is>
          <t>Phillips 66</t>
        </is>
      </c>
      <c r="B144" t="inlineStr">
        <is>
          <t>Dividends paid to common (cash)</t>
        </is>
      </c>
      <c r="C144" t="inlineStr">
        <is>
          <t>2023</t>
        </is>
      </c>
      <c r="D144" t="n">
        <v>1882000000</v>
      </c>
      <c r="E144" t="inlineStr">
        <is>
          <t>USD</t>
        </is>
      </c>
      <c r="F144" t="inlineStr">
        <is>
          <t>10-K</t>
        </is>
      </c>
      <c r="G144" t="inlineStr">
        <is>
          <t>0001534701-26-000006</t>
        </is>
      </c>
      <c r="H144" t="inlineStr">
        <is>
          <t>PaymentsOfDividendsCommonStock</t>
        </is>
      </c>
      <c r="I144" t="inlineStr">
        <is>
          <t>https://www.sec.gov/Archives/edgar/data/1534701/000153470126000006/</t>
        </is>
      </c>
      <c r="J144">
        <f>D144/1e9</f>
        <v/>
      </c>
    </row>
    <row r="145">
      <c r="A145" t="inlineStr">
        <is>
          <t>Phillips 66</t>
        </is>
      </c>
      <c r="B145" t="inlineStr">
        <is>
          <t>Dividends paid to common (cash)</t>
        </is>
      </c>
      <c r="C145" t="inlineStr">
        <is>
          <t>2024</t>
        </is>
      </c>
      <c r="D145" t="n">
        <v>1882000000</v>
      </c>
      <c r="E145" t="inlineStr">
        <is>
          <t>USD</t>
        </is>
      </c>
      <c r="F145" t="inlineStr">
        <is>
          <t>10-K</t>
        </is>
      </c>
      <c r="G145" t="inlineStr">
        <is>
          <t>0001534701-26-000006</t>
        </is>
      </c>
      <c r="H145" t="inlineStr">
        <is>
          <t>PaymentsOfDividendsCommonStock</t>
        </is>
      </c>
      <c r="I145" t="inlineStr">
        <is>
          <t>https://www.sec.gov/Archives/edgar/data/1534701/000153470126000006/</t>
        </is>
      </c>
      <c r="J145">
        <f>D145/1e9</f>
        <v/>
      </c>
    </row>
    <row r="146">
      <c r="A146" t="inlineStr">
        <is>
          <t>Phillips 66</t>
        </is>
      </c>
      <c r="B146" t="inlineStr">
        <is>
          <t>Dividends paid to common (cash)</t>
        </is>
      </c>
      <c r="C146" t="inlineStr">
        <is>
          <t>2025</t>
        </is>
      </c>
      <c r="D146" t="n">
        <v>1922000000</v>
      </c>
      <c r="E146" t="inlineStr">
        <is>
          <t>USD</t>
        </is>
      </c>
      <c r="F146" t="inlineStr">
        <is>
          <t>10-K</t>
        </is>
      </c>
      <c r="G146" t="inlineStr">
        <is>
          <t>0001534701-26-000006</t>
        </is>
      </c>
      <c r="H146" t="inlineStr">
        <is>
          <t>PaymentsOfDividendsCommonStock</t>
        </is>
      </c>
      <c r="I146" t="inlineStr">
        <is>
          <t>https://www.sec.gov/Archives/edgar/data/1534701/000153470126000006/</t>
        </is>
      </c>
      <c r="J146">
        <f>D146/1e9</f>
        <v/>
      </c>
    </row>
    <row r="147">
      <c r="A147" t="inlineStr">
        <is>
          <t>PBF Energy</t>
        </is>
      </c>
      <c r="B147" t="inlineStr">
        <is>
          <t>Net income attributable to company</t>
        </is>
      </c>
      <c r="C147" t="inlineStr">
        <is>
          <t>2026 H1 (Jan-Jun)</t>
        </is>
      </c>
      <c r="D147" t="n">
        <v>1104700000</v>
      </c>
      <c r="E147" t="inlineStr">
        <is>
          <t>USD</t>
        </is>
      </c>
      <c r="F147" t="inlineStr">
        <is>
          <t>10-Q</t>
        </is>
      </c>
      <c r="G147" t="inlineStr">
        <is>
          <t>0001534504-26-000030</t>
        </is>
      </c>
      <c r="H147" t="inlineStr">
        <is>
          <t>NetIncomeLoss</t>
        </is>
      </c>
      <c r="I147" t="inlineStr">
        <is>
          <t>https://www.sec.gov/Archives/edgar/data/1534504/000153450426000030/</t>
        </is>
      </c>
      <c r="J147">
        <f>D147/1e9</f>
        <v/>
      </c>
    </row>
    <row r="148">
      <c r="A148" t="inlineStr">
        <is>
          <t>PBF Energy</t>
        </is>
      </c>
      <c r="B148" t="inlineStr">
        <is>
          <t>Net income attributable to company</t>
        </is>
      </c>
      <c r="C148" t="inlineStr">
        <is>
          <t>2012</t>
        </is>
      </c>
      <c r="D148" t="n">
        <v>1956000</v>
      </c>
      <c r="E148" t="inlineStr">
        <is>
          <t>USD</t>
        </is>
      </c>
      <c r="F148" t="inlineStr">
        <is>
          <t>10-K</t>
        </is>
      </c>
      <c r="G148" t="inlineStr">
        <is>
          <t>0001534504-15-000015</t>
        </is>
      </c>
      <c r="H148" t="inlineStr">
        <is>
          <t>NetIncomeLoss</t>
        </is>
      </c>
      <c r="I148" t="inlineStr">
        <is>
          <t>https://www.sec.gov/Archives/edgar/data/1534504/000153450415000015/</t>
        </is>
      </c>
      <c r="J148">
        <f>D148/1e9</f>
        <v/>
      </c>
    </row>
    <row r="149">
      <c r="A149" t="inlineStr">
        <is>
          <t>PBF Energy</t>
        </is>
      </c>
      <c r="B149" t="inlineStr">
        <is>
          <t>Net income attributable to company</t>
        </is>
      </c>
      <c r="C149" t="inlineStr">
        <is>
          <t>2013</t>
        </is>
      </c>
      <c r="D149" t="n">
        <v>39540000</v>
      </c>
      <c r="E149" t="inlineStr">
        <is>
          <t>USD</t>
        </is>
      </c>
      <c r="F149" t="inlineStr">
        <is>
          <t>10-K</t>
        </is>
      </c>
      <c r="G149" t="inlineStr">
        <is>
          <t>0001534504-16-000118</t>
        </is>
      </c>
      <c r="H149" t="inlineStr">
        <is>
          <t>NetIncomeLoss</t>
        </is>
      </c>
      <c r="I149" t="inlineStr">
        <is>
          <t>https://www.sec.gov/Archives/edgar/data/1534504/000153450416000118/</t>
        </is>
      </c>
      <c r="J149">
        <f>D149/1e9</f>
        <v/>
      </c>
    </row>
    <row r="150">
      <c r="A150" t="inlineStr">
        <is>
          <t>PBF Energy</t>
        </is>
      </c>
      <c r="B150" t="inlineStr">
        <is>
          <t>Net income attributable to company</t>
        </is>
      </c>
      <c r="C150" t="inlineStr">
        <is>
          <t>2014</t>
        </is>
      </c>
      <c r="D150" t="n">
        <v>-38237000</v>
      </c>
      <c r="E150" t="inlineStr">
        <is>
          <t>USD</t>
        </is>
      </c>
      <c r="F150" t="inlineStr">
        <is>
          <t>10-K</t>
        </is>
      </c>
      <c r="G150" t="inlineStr">
        <is>
          <t>0001534504-17-000017</t>
        </is>
      </c>
      <c r="H150" t="inlineStr">
        <is>
          <t>NetIncomeLoss</t>
        </is>
      </c>
      <c r="I150" t="inlineStr">
        <is>
          <t>https://www.sec.gov/Archives/edgar/data/1534504/000153450417000017/</t>
        </is>
      </c>
      <c r="J150">
        <f>D150/1e9</f>
        <v/>
      </c>
    </row>
    <row r="151">
      <c r="A151" t="inlineStr">
        <is>
          <t>PBF Energy</t>
        </is>
      </c>
      <c r="B151" t="inlineStr">
        <is>
          <t>Net income attributable to company</t>
        </is>
      </c>
      <c r="C151" t="inlineStr">
        <is>
          <t>2015</t>
        </is>
      </c>
      <c r="D151" t="n">
        <v>146401000</v>
      </c>
      <c r="E151" t="inlineStr">
        <is>
          <t>USD</t>
        </is>
      </c>
      <c r="F151" t="inlineStr">
        <is>
          <t>10-K</t>
        </is>
      </c>
      <c r="G151" t="inlineStr">
        <is>
          <t>0001534504-18-000016</t>
        </is>
      </c>
      <c r="H151" t="inlineStr">
        <is>
          <t>NetIncomeLoss</t>
        </is>
      </c>
      <c r="I151" t="inlineStr">
        <is>
          <t>https://www.sec.gov/Archives/edgar/data/1534504/000153450418000016/</t>
        </is>
      </c>
      <c r="J151">
        <f>D151/1e9</f>
        <v/>
      </c>
    </row>
    <row r="152">
      <c r="A152" t="inlineStr">
        <is>
          <t>PBF Energy</t>
        </is>
      </c>
      <c r="B152" t="inlineStr">
        <is>
          <t>Net income attributable to company</t>
        </is>
      </c>
      <c r="C152" t="inlineStr">
        <is>
          <t>2016</t>
        </is>
      </c>
      <c r="D152" t="n">
        <v>170811000</v>
      </c>
      <c r="E152" t="inlineStr">
        <is>
          <t>USD</t>
        </is>
      </c>
      <c r="F152" t="inlineStr">
        <is>
          <t>10-K</t>
        </is>
      </c>
      <c r="G152" t="inlineStr">
        <is>
          <t>0001534504-19-000012</t>
        </is>
      </c>
      <c r="H152" t="inlineStr">
        <is>
          <t>NetIncomeLoss</t>
        </is>
      </c>
      <c r="I152" t="inlineStr">
        <is>
          <t>https://www.sec.gov/Archives/edgar/data/1534504/000153450419000012/</t>
        </is>
      </c>
      <c r="J152">
        <f>D152/1e9</f>
        <v/>
      </c>
    </row>
    <row r="153">
      <c r="A153" t="inlineStr">
        <is>
          <t>PBF Energy</t>
        </is>
      </c>
      <c r="B153" t="inlineStr">
        <is>
          <t>Net income attributable to company</t>
        </is>
      </c>
      <c r="C153" t="inlineStr">
        <is>
          <t>2017</t>
        </is>
      </c>
      <c r="D153" t="n">
        <v>415600000</v>
      </c>
      <c r="E153" t="inlineStr">
        <is>
          <t>USD</t>
        </is>
      </c>
      <c r="F153" t="inlineStr">
        <is>
          <t>10-K</t>
        </is>
      </c>
      <c r="G153" t="inlineStr">
        <is>
          <t>0001534504-20-000030</t>
        </is>
      </c>
      <c r="H153" t="inlineStr">
        <is>
          <t>NetIncomeLoss</t>
        </is>
      </c>
      <c r="I153" t="inlineStr">
        <is>
          <t>https://www.sec.gov/Archives/edgar/data/1534504/000153450420000030/</t>
        </is>
      </c>
      <c r="J153">
        <f>D153/1e9</f>
        <v/>
      </c>
    </row>
    <row r="154">
      <c r="A154" t="inlineStr">
        <is>
          <t>PBF Energy</t>
        </is>
      </c>
      <c r="B154" t="inlineStr">
        <is>
          <t>Net income attributable to company</t>
        </is>
      </c>
      <c r="C154" t="inlineStr">
        <is>
          <t>2018</t>
        </is>
      </c>
      <c r="D154" t="n">
        <v>128300000</v>
      </c>
      <c r="E154" t="inlineStr">
        <is>
          <t>USD</t>
        </is>
      </c>
      <c r="F154" t="inlineStr">
        <is>
          <t>10-K</t>
        </is>
      </c>
      <c r="G154" t="inlineStr">
        <is>
          <t>0001534504-21-000008</t>
        </is>
      </c>
      <c r="H154" t="inlineStr">
        <is>
          <t>NetIncomeLoss</t>
        </is>
      </c>
      <c r="I154" t="inlineStr">
        <is>
          <t>https://www.sec.gov/Archives/edgar/data/1534504/000153450421000008/</t>
        </is>
      </c>
      <c r="J154">
        <f>D154/1e9</f>
        <v/>
      </c>
    </row>
    <row r="155">
      <c r="A155" t="inlineStr">
        <is>
          <t>PBF Energy</t>
        </is>
      </c>
      <c r="B155" t="inlineStr">
        <is>
          <t>Net income attributable to company</t>
        </is>
      </c>
      <c r="C155" t="inlineStr">
        <is>
          <t>2019</t>
        </is>
      </c>
      <c r="D155" t="n">
        <v>319400000</v>
      </c>
      <c r="E155" t="inlineStr">
        <is>
          <t>USD</t>
        </is>
      </c>
      <c r="F155" t="inlineStr">
        <is>
          <t>10-K</t>
        </is>
      </c>
      <c r="G155" t="inlineStr">
        <is>
          <t>0001534504-22-000007</t>
        </is>
      </c>
      <c r="H155" t="inlineStr">
        <is>
          <t>NetIncomeLoss</t>
        </is>
      </c>
      <c r="I155" t="inlineStr">
        <is>
          <t>https://www.sec.gov/Archives/edgar/data/1534504/000153450422000007/</t>
        </is>
      </c>
      <c r="J155">
        <f>D155/1e9</f>
        <v/>
      </c>
    </row>
    <row r="156">
      <c r="A156" t="inlineStr">
        <is>
          <t>PBF Energy</t>
        </is>
      </c>
      <c r="B156" t="inlineStr">
        <is>
          <t>Net income attributable to company</t>
        </is>
      </c>
      <c r="C156" t="inlineStr">
        <is>
          <t>2020</t>
        </is>
      </c>
      <c r="D156" t="n">
        <v>-1392400000</v>
      </c>
      <c r="E156" t="inlineStr">
        <is>
          <t>USD</t>
        </is>
      </c>
      <c r="F156" t="inlineStr">
        <is>
          <t>10-K</t>
        </is>
      </c>
      <c r="G156" t="inlineStr">
        <is>
          <t>0001534504-23-000011</t>
        </is>
      </c>
      <c r="H156" t="inlineStr">
        <is>
          <t>NetIncomeLoss</t>
        </is>
      </c>
      <c r="I156" t="inlineStr">
        <is>
          <t>https://www.sec.gov/Archives/edgar/data/1534504/000153450423000011/</t>
        </is>
      </c>
      <c r="J156">
        <f>D156/1e9</f>
        <v/>
      </c>
    </row>
    <row r="157">
      <c r="A157" t="inlineStr">
        <is>
          <t>PBF Energy</t>
        </is>
      </c>
      <c r="B157" t="inlineStr">
        <is>
          <t>Net income attributable to company</t>
        </is>
      </c>
      <c r="C157" t="inlineStr">
        <is>
          <t>2021</t>
        </is>
      </c>
      <c r="D157" t="n">
        <v>231000000</v>
      </c>
      <c r="E157" t="inlineStr">
        <is>
          <t>USD</t>
        </is>
      </c>
      <c r="F157" t="inlineStr">
        <is>
          <t>10-K</t>
        </is>
      </c>
      <c r="G157" t="inlineStr">
        <is>
          <t>0001534504-24-000011</t>
        </is>
      </c>
      <c r="H157" t="inlineStr">
        <is>
          <t>NetIncomeLoss</t>
        </is>
      </c>
      <c r="I157" t="inlineStr">
        <is>
          <t>https://www.sec.gov/Archives/edgar/data/1534504/000153450424000011/</t>
        </is>
      </c>
      <c r="J157">
        <f>D157/1e9</f>
        <v/>
      </c>
    </row>
    <row r="158">
      <c r="A158" t="inlineStr">
        <is>
          <t>PBF Energy</t>
        </is>
      </c>
      <c r="B158" t="inlineStr">
        <is>
          <t>Net income attributable to company</t>
        </is>
      </c>
      <c r="C158" t="inlineStr">
        <is>
          <t>2022</t>
        </is>
      </c>
      <c r="D158" t="n">
        <v>2876800000</v>
      </c>
      <c r="E158" t="inlineStr">
        <is>
          <t>USD</t>
        </is>
      </c>
      <c r="F158" t="inlineStr">
        <is>
          <t>10-K</t>
        </is>
      </c>
      <c r="G158" t="inlineStr">
        <is>
          <t>0001534504-25-000011</t>
        </is>
      </c>
      <c r="H158" t="inlineStr">
        <is>
          <t>NetIncomeLoss</t>
        </is>
      </c>
      <c r="I158" t="inlineStr">
        <is>
          <t>https://www.sec.gov/Archives/edgar/data/1534504/000153450425000011/</t>
        </is>
      </c>
      <c r="J158">
        <f>D158/1e9</f>
        <v/>
      </c>
    </row>
    <row r="159">
      <c r="A159" t="inlineStr">
        <is>
          <t>PBF Energy</t>
        </is>
      </c>
      <c r="B159" t="inlineStr">
        <is>
          <t>Net income attributable to company</t>
        </is>
      </c>
      <c r="C159" t="inlineStr">
        <is>
          <t>2023</t>
        </is>
      </c>
      <c r="D159" t="n">
        <v>2140500000</v>
      </c>
      <c r="E159" t="inlineStr">
        <is>
          <t>USD</t>
        </is>
      </c>
      <c r="F159" t="inlineStr">
        <is>
          <t>10-K</t>
        </is>
      </c>
      <c r="G159" t="inlineStr">
        <is>
          <t>0001534504-26-000010</t>
        </is>
      </c>
      <c r="H159" t="inlineStr">
        <is>
          <t>NetIncomeLoss</t>
        </is>
      </c>
      <c r="I159" t="inlineStr">
        <is>
          <t>https://www.sec.gov/Archives/edgar/data/1534504/000153450426000010/</t>
        </is>
      </c>
      <c r="J159">
        <f>D159/1e9</f>
        <v/>
      </c>
    </row>
    <row r="160">
      <c r="A160" t="inlineStr">
        <is>
          <t>PBF Energy</t>
        </is>
      </c>
      <c r="B160" t="inlineStr">
        <is>
          <t>Net income attributable to company</t>
        </is>
      </c>
      <c r="C160" t="inlineStr">
        <is>
          <t>2024</t>
        </is>
      </c>
      <c r="D160" t="n">
        <v>-533800000</v>
      </c>
      <c r="E160" t="inlineStr">
        <is>
          <t>USD</t>
        </is>
      </c>
      <c r="F160" t="inlineStr">
        <is>
          <t>10-K</t>
        </is>
      </c>
      <c r="G160" t="inlineStr">
        <is>
          <t>0001534504-26-000010</t>
        </is>
      </c>
      <c r="H160" t="inlineStr">
        <is>
          <t>NetIncomeLoss</t>
        </is>
      </c>
      <c r="I160" t="inlineStr">
        <is>
          <t>https://www.sec.gov/Archives/edgar/data/1534504/000153450426000010/</t>
        </is>
      </c>
      <c r="J160">
        <f>D160/1e9</f>
        <v/>
      </c>
    </row>
    <row r="161">
      <c r="A161" t="inlineStr">
        <is>
          <t>PBF Energy</t>
        </is>
      </c>
      <c r="B161" t="inlineStr">
        <is>
          <t>Net income attributable to company</t>
        </is>
      </c>
      <c r="C161" t="inlineStr">
        <is>
          <t>2025</t>
        </is>
      </c>
      <c r="D161" t="n">
        <v>-158500000</v>
      </c>
      <c r="E161" t="inlineStr">
        <is>
          <t>USD</t>
        </is>
      </c>
      <c r="F161" t="inlineStr">
        <is>
          <t>10-K</t>
        </is>
      </c>
      <c r="G161" t="inlineStr">
        <is>
          <t>0001534504-26-000010</t>
        </is>
      </c>
      <c r="H161" t="inlineStr">
        <is>
          <t>NetIncomeLoss</t>
        </is>
      </c>
      <c r="I161" t="inlineStr">
        <is>
          <t>https://www.sec.gov/Archives/edgar/data/1534504/000153450426000010/</t>
        </is>
      </c>
      <c r="J161">
        <f>D161/1e9</f>
        <v/>
      </c>
    </row>
    <row r="162">
      <c r="A162" t="inlineStr">
        <is>
          <t>PBF Energy</t>
        </is>
      </c>
      <c r="B162" t="inlineStr">
        <is>
          <t>Net income attributable to company</t>
        </is>
      </c>
      <c r="C162" t="inlineStr">
        <is>
          <t>2025Q2</t>
        </is>
      </c>
      <c r="D162" t="n">
        <v>-5200000</v>
      </c>
      <c r="E162" t="inlineStr">
        <is>
          <t>USD</t>
        </is>
      </c>
      <c r="F162" t="inlineStr">
        <is>
          <t>10-Q</t>
        </is>
      </c>
      <c r="G162" t="inlineStr">
        <is>
          <t>0001534504-26-000030</t>
        </is>
      </c>
      <c r="H162" t="inlineStr">
        <is>
          <t>NetIncomeLoss</t>
        </is>
      </c>
      <c r="I162" t="inlineStr">
        <is>
          <t>https://www.sec.gov/Archives/edgar/data/1534504/000153450426000030/</t>
        </is>
      </c>
      <c r="J162">
        <f>D162/1e9</f>
        <v/>
      </c>
    </row>
    <row r="163">
      <c r="A163" t="inlineStr">
        <is>
          <t>PBF Energy</t>
        </is>
      </c>
      <c r="B163" t="inlineStr">
        <is>
          <t>Net income attributable to company</t>
        </is>
      </c>
      <c r="C163" t="inlineStr">
        <is>
          <t>2026Q2</t>
        </is>
      </c>
      <c r="D163" t="n">
        <v>906400000</v>
      </c>
      <c r="E163" t="inlineStr">
        <is>
          <t>USD</t>
        </is>
      </c>
      <c r="F163" t="inlineStr">
        <is>
          <t>10-Q</t>
        </is>
      </c>
      <c r="G163" t="inlineStr">
        <is>
          <t>0001534504-26-000030</t>
        </is>
      </c>
      <c r="H163" t="inlineStr">
        <is>
          <t>NetIncomeLoss</t>
        </is>
      </c>
      <c r="I163" t="inlineStr">
        <is>
          <t>https://www.sec.gov/Archives/edgar/data/1534504/000153450426000030/</t>
        </is>
      </c>
      <c r="J163">
        <f>D163/1e9</f>
        <v/>
      </c>
    </row>
    <row r="164">
      <c r="A164" t="inlineStr">
        <is>
          <t>PBF Energy</t>
        </is>
      </c>
      <c r="B164" t="inlineStr">
        <is>
          <t>Share buybacks (cash paid)</t>
        </is>
      </c>
      <c r="C164" t="inlineStr">
        <is>
          <t>2012</t>
        </is>
      </c>
      <c r="D164" t="n">
        <v>0</v>
      </c>
      <c r="E164" t="inlineStr">
        <is>
          <t>USD</t>
        </is>
      </c>
      <c r="F164" t="inlineStr">
        <is>
          <t>10-K</t>
        </is>
      </c>
      <c r="G164" t="inlineStr">
        <is>
          <t>0001534504-15-000015</t>
        </is>
      </c>
      <c r="H164" t="inlineStr">
        <is>
          <t>PaymentsForRepurchaseOfCommonStock</t>
        </is>
      </c>
      <c r="I164" t="inlineStr">
        <is>
          <t>https://www.sec.gov/Archives/edgar/data/1534504/000153450415000015/</t>
        </is>
      </c>
      <c r="J164">
        <f>D164/1e9</f>
        <v/>
      </c>
    </row>
    <row r="165">
      <c r="A165" t="inlineStr">
        <is>
          <t>PBF Energy</t>
        </is>
      </c>
      <c r="B165" t="inlineStr">
        <is>
          <t>Share buybacks (cash paid)</t>
        </is>
      </c>
      <c r="C165" t="inlineStr">
        <is>
          <t>2013</t>
        </is>
      </c>
      <c r="D165" t="n">
        <v>0</v>
      </c>
      <c r="E165" t="inlineStr">
        <is>
          <t>USD</t>
        </is>
      </c>
      <c r="F165" t="inlineStr">
        <is>
          <t>10-K</t>
        </is>
      </c>
      <c r="G165" t="inlineStr">
        <is>
          <t>0001534504-16-000118</t>
        </is>
      </c>
      <c r="H165" t="inlineStr">
        <is>
          <t>PaymentsForRepurchaseOfCommonStock</t>
        </is>
      </c>
      <c r="I165" t="inlineStr">
        <is>
          <t>https://www.sec.gov/Archives/edgar/data/1534504/000153450416000118/</t>
        </is>
      </c>
      <c r="J165">
        <f>D165/1e9</f>
        <v/>
      </c>
    </row>
    <row r="166">
      <c r="A166" t="inlineStr">
        <is>
          <t>PBF Energy</t>
        </is>
      </c>
      <c r="B166" t="inlineStr">
        <is>
          <t>Share buybacks (cash paid)</t>
        </is>
      </c>
      <c r="C166" t="inlineStr">
        <is>
          <t>2014</t>
        </is>
      </c>
      <c r="D166" t="n">
        <v>142731000</v>
      </c>
      <c r="E166" t="inlineStr">
        <is>
          <t>USD</t>
        </is>
      </c>
      <c r="F166" t="inlineStr">
        <is>
          <t>10-K</t>
        </is>
      </c>
      <c r="G166" t="inlineStr">
        <is>
          <t>0001534504-17-000017</t>
        </is>
      </c>
      <c r="H166" t="inlineStr">
        <is>
          <t>PaymentsForRepurchaseOfCommonStock</t>
        </is>
      </c>
      <c r="I166" t="inlineStr">
        <is>
          <t>https://www.sec.gov/Archives/edgar/data/1534504/000153450417000017/</t>
        </is>
      </c>
      <c r="J166">
        <f>D166/1e9</f>
        <v/>
      </c>
    </row>
    <row r="167">
      <c r="A167" t="inlineStr">
        <is>
          <t>PBF Energy</t>
        </is>
      </c>
      <c r="B167" t="inlineStr">
        <is>
          <t>Share buybacks (cash paid)</t>
        </is>
      </c>
      <c r="C167" t="inlineStr">
        <is>
          <t>2015</t>
        </is>
      </c>
      <c r="D167" t="n">
        <v>8073000</v>
      </c>
      <c r="E167" t="inlineStr">
        <is>
          <t>USD</t>
        </is>
      </c>
      <c r="F167" t="inlineStr">
        <is>
          <t>10-K</t>
        </is>
      </c>
      <c r="G167" t="inlineStr">
        <is>
          <t>0001534504-18-000016</t>
        </is>
      </c>
      <c r="H167" t="inlineStr">
        <is>
          <t>PaymentsForRepurchaseOfCommonStock</t>
        </is>
      </c>
      <c r="I167" t="inlineStr">
        <is>
          <t>https://www.sec.gov/Archives/edgar/data/1534504/000153450418000016/</t>
        </is>
      </c>
      <c r="J167">
        <f>D167/1e9</f>
        <v/>
      </c>
    </row>
    <row r="168">
      <c r="A168" t="inlineStr">
        <is>
          <t>PBF Energy</t>
        </is>
      </c>
      <c r="B168" t="inlineStr">
        <is>
          <t>Share buybacks (cash paid)</t>
        </is>
      </c>
      <c r="C168" t="inlineStr">
        <is>
          <t>2016</t>
        </is>
      </c>
      <c r="D168" t="n">
        <v>743000</v>
      </c>
      <c r="E168" t="inlineStr">
        <is>
          <t>USD</t>
        </is>
      </c>
      <c r="F168" t="inlineStr">
        <is>
          <t>10-K</t>
        </is>
      </c>
      <c r="G168" t="inlineStr">
        <is>
          <t>0001534504-19-000012</t>
        </is>
      </c>
      <c r="H168" t="inlineStr">
        <is>
          <t>PaymentsForRepurchaseOfCommonStock</t>
        </is>
      </c>
      <c r="I168" t="inlineStr">
        <is>
          <t>https://www.sec.gov/Archives/edgar/data/1534504/000153450419000012/</t>
        </is>
      </c>
      <c r="J168">
        <f>D168/1e9</f>
        <v/>
      </c>
    </row>
    <row r="169">
      <c r="A169" t="inlineStr">
        <is>
          <t>PBF Energy</t>
        </is>
      </c>
      <c r="B169" t="inlineStr">
        <is>
          <t>Share buybacks (cash paid)</t>
        </is>
      </c>
      <c r="C169" t="inlineStr">
        <is>
          <t>2017</t>
        </is>
      </c>
      <c r="D169" t="n">
        <v>1000000</v>
      </c>
      <c r="E169" t="inlineStr">
        <is>
          <t>USD</t>
        </is>
      </c>
      <c r="F169" t="inlineStr">
        <is>
          <t>10-K</t>
        </is>
      </c>
      <c r="G169" t="inlineStr">
        <is>
          <t>0001534504-20-000030</t>
        </is>
      </c>
      <c r="H169" t="inlineStr">
        <is>
          <t>PaymentsForRepurchaseOfCommonStock</t>
        </is>
      </c>
      <c r="I169" t="inlineStr">
        <is>
          <t>https://www.sec.gov/Archives/edgar/data/1534504/000153450420000030/</t>
        </is>
      </c>
      <c r="J169">
        <f>D169/1e9</f>
        <v/>
      </c>
    </row>
    <row r="170">
      <c r="A170" t="inlineStr">
        <is>
          <t>PBF Energy</t>
        </is>
      </c>
      <c r="B170" t="inlineStr">
        <is>
          <t>Share buybacks (cash paid)</t>
        </is>
      </c>
      <c r="C170" t="inlineStr">
        <is>
          <t>2018</t>
        </is>
      </c>
      <c r="D170" t="n">
        <v>8200000</v>
      </c>
      <c r="E170" t="inlineStr">
        <is>
          <t>USD</t>
        </is>
      </c>
      <c r="F170" t="inlineStr">
        <is>
          <t>10-K</t>
        </is>
      </c>
      <c r="G170" t="inlineStr">
        <is>
          <t>0001534504-21-000008</t>
        </is>
      </c>
      <c r="H170" t="inlineStr">
        <is>
          <t>PaymentsForRepurchaseOfCommonStock</t>
        </is>
      </c>
      <c r="I170" t="inlineStr">
        <is>
          <t>https://www.sec.gov/Archives/edgar/data/1534504/000153450421000008/</t>
        </is>
      </c>
      <c r="J170">
        <f>D170/1e9</f>
        <v/>
      </c>
    </row>
    <row r="171">
      <c r="A171" t="inlineStr">
        <is>
          <t>PBF Energy</t>
        </is>
      </c>
      <c r="B171" t="inlineStr">
        <is>
          <t>Share buybacks (cash paid)</t>
        </is>
      </c>
      <c r="C171" t="inlineStr">
        <is>
          <t>2019</t>
        </is>
      </c>
      <c r="D171" t="n">
        <v>4900000</v>
      </c>
      <c r="E171" t="inlineStr">
        <is>
          <t>USD</t>
        </is>
      </c>
      <c r="F171" t="inlineStr">
        <is>
          <t>10-K</t>
        </is>
      </c>
      <c r="G171" t="inlineStr">
        <is>
          <t>0001534504-22-000007</t>
        </is>
      </c>
      <c r="H171" t="inlineStr">
        <is>
          <t>PaymentsForRepurchaseOfCommonStock</t>
        </is>
      </c>
      <c r="I171" t="inlineStr">
        <is>
          <t>https://www.sec.gov/Archives/edgar/data/1534504/000153450422000007/</t>
        </is>
      </c>
      <c r="J171">
        <f>D171/1e9</f>
        <v/>
      </c>
    </row>
    <row r="172">
      <c r="A172" t="inlineStr">
        <is>
          <t>PBF Energy</t>
        </is>
      </c>
      <c r="B172" t="inlineStr">
        <is>
          <t>Share buybacks (cash paid)</t>
        </is>
      </c>
      <c r="C172" t="inlineStr">
        <is>
          <t>2020</t>
        </is>
      </c>
      <c r="D172" t="n">
        <v>1600000</v>
      </c>
      <c r="E172" t="inlineStr">
        <is>
          <t>USD</t>
        </is>
      </c>
      <c r="F172" t="inlineStr">
        <is>
          <t>10-K</t>
        </is>
      </c>
      <c r="G172" t="inlineStr">
        <is>
          <t>0001534504-23-000011</t>
        </is>
      </c>
      <c r="H172" t="inlineStr">
        <is>
          <t>PaymentsForRepurchaseOfCommonStock</t>
        </is>
      </c>
      <c r="I172" t="inlineStr">
        <is>
          <t>https://www.sec.gov/Archives/edgar/data/1534504/000153450423000011/</t>
        </is>
      </c>
      <c r="J172">
        <f>D172/1e9</f>
        <v/>
      </c>
    </row>
    <row r="173">
      <c r="A173" t="inlineStr">
        <is>
          <t>PBF Energy</t>
        </is>
      </c>
      <c r="B173" t="inlineStr">
        <is>
          <t>Share buybacks (cash paid)</t>
        </is>
      </c>
      <c r="C173" t="inlineStr">
        <is>
          <t>2021</t>
        </is>
      </c>
      <c r="D173" t="n">
        <v>0</v>
      </c>
      <c r="E173" t="inlineStr">
        <is>
          <t>USD</t>
        </is>
      </c>
      <c r="F173" t="inlineStr">
        <is>
          <t>10-K</t>
        </is>
      </c>
      <c r="G173" t="inlineStr">
        <is>
          <t>0001534504-24-000011</t>
        </is>
      </c>
      <c r="H173" t="inlineStr">
        <is>
          <t>PaymentsForRepurchaseOfCommonStock</t>
        </is>
      </c>
      <c r="I173" t="inlineStr">
        <is>
          <t>https://www.sec.gov/Archives/edgar/data/1534504/000153450424000011/</t>
        </is>
      </c>
      <c r="J173">
        <f>D173/1e9</f>
        <v/>
      </c>
    </row>
    <row r="174">
      <c r="A174" t="inlineStr">
        <is>
          <t>PBF Energy</t>
        </is>
      </c>
      <c r="B174" t="inlineStr">
        <is>
          <t>Share buybacks (cash paid)</t>
        </is>
      </c>
      <c r="C174" t="inlineStr">
        <is>
          <t>2022</t>
        </is>
      </c>
      <c r="D174" t="n">
        <v>156400000</v>
      </c>
      <c r="E174" t="inlineStr">
        <is>
          <t>USD</t>
        </is>
      </c>
      <c r="F174" t="inlineStr">
        <is>
          <t>10-K</t>
        </is>
      </c>
      <c r="G174" t="inlineStr">
        <is>
          <t>0001534504-25-000011</t>
        </is>
      </c>
      <c r="H174" t="inlineStr">
        <is>
          <t>PaymentsForRepurchaseOfCommonStock</t>
        </is>
      </c>
      <c r="I174" t="inlineStr">
        <is>
          <t>https://www.sec.gov/Archives/edgar/data/1534504/000153450425000011/</t>
        </is>
      </c>
      <c r="J174">
        <f>D174/1e9</f>
        <v/>
      </c>
    </row>
    <row r="175">
      <c r="A175" t="inlineStr">
        <is>
          <t>PBF Energy</t>
        </is>
      </c>
      <c r="B175" t="inlineStr">
        <is>
          <t>Share buybacks (cash paid)</t>
        </is>
      </c>
      <c r="C175" t="inlineStr">
        <is>
          <t>2023</t>
        </is>
      </c>
      <c r="D175" t="n">
        <v>532500000</v>
      </c>
      <c r="E175" t="inlineStr">
        <is>
          <t>USD</t>
        </is>
      </c>
      <c r="F175" t="inlineStr">
        <is>
          <t>10-K</t>
        </is>
      </c>
      <c r="G175" t="inlineStr">
        <is>
          <t>0001534504-26-000010</t>
        </is>
      </c>
      <c r="H175" t="inlineStr">
        <is>
          <t>PaymentsForRepurchaseOfCommonStock</t>
        </is>
      </c>
      <c r="I175" t="inlineStr">
        <is>
          <t>https://www.sec.gov/Archives/edgar/data/1534504/000153450426000010/</t>
        </is>
      </c>
      <c r="J175">
        <f>D175/1e9</f>
        <v/>
      </c>
    </row>
    <row r="176">
      <c r="A176" t="inlineStr">
        <is>
          <t>PBF Energy</t>
        </is>
      </c>
      <c r="B176" t="inlineStr">
        <is>
          <t>Share buybacks (cash paid)</t>
        </is>
      </c>
      <c r="C176" t="inlineStr">
        <is>
          <t>2024</t>
        </is>
      </c>
      <c r="D176" t="n">
        <v>329100000</v>
      </c>
      <c r="E176" t="inlineStr">
        <is>
          <t>USD</t>
        </is>
      </c>
      <c r="F176" t="inlineStr">
        <is>
          <t>10-K</t>
        </is>
      </c>
      <c r="G176" t="inlineStr">
        <is>
          <t>0001534504-26-000010</t>
        </is>
      </c>
      <c r="H176" t="inlineStr">
        <is>
          <t>PaymentsForRepurchaseOfCommonStock</t>
        </is>
      </c>
      <c r="I176" t="inlineStr">
        <is>
          <t>https://www.sec.gov/Archives/edgar/data/1534504/000153450426000010/</t>
        </is>
      </c>
      <c r="J176">
        <f>D176/1e9</f>
        <v/>
      </c>
    </row>
    <row r="177">
      <c r="A177" t="inlineStr">
        <is>
          <t>PBF Energy</t>
        </is>
      </c>
      <c r="B177" t="inlineStr">
        <is>
          <t>Share buybacks (cash paid)</t>
        </is>
      </c>
      <c r="C177" t="inlineStr">
        <is>
          <t>2025</t>
        </is>
      </c>
      <c r="D177" t="n">
        <v>0</v>
      </c>
      <c r="E177" t="inlineStr">
        <is>
          <t>USD</t>
        </is>
      </c>
      <c r="F177" t="inlineStr">
        <is>
          <t>10-K</t>
        </is>
      </c>
      <c r="G177" t="inlineStr">
        <is>
          <t>0001534504-26-000010</t>
        </is>
      </c>
      <c r="H177" t="inlineStr">
        <is>
          <t>PaymentsForRepurchaseOfCommonStock</t>
        </is>
      </c>
      <c r="I177" t="inlineStr">
        <is>
          <t>https://www.sec.gov/Archives/edgar/data/1534504/000153450426000010/</t>
        </is>
      </c>
      <c r="J177">
        <f>D177/1e9</f>
        <v/>
      </c>
    </row>
    <row r="178">
      <c r="A178" t="inlineStr">
        <is>
          <t>PBF Energy</t>
        </is>
      </c>
      <c r="B178" t="inlineStr">
        <is>
          <t>Dividends paid to common (cash)</t>
        </is>
      </c>
      <c r="C178" t="inlineStr">
        <is>
          <t>2012</t>
        </is>
      </c>
      <c r="D178" t="n">
        <v>0</v>
      </c>
      <c r="E178" t="inlineStr">
        <is>
          <t>USD</t>
        </is>
      </c>
      <c r="F178" t="inlineStr">
        <is>
          <t>10-K</t>
        </is>
      </c>
      <c r="G178" t="inlineStr">
        <is>
          <t>0001534504-15-000015</t>
        </is>
      </c>
      <c r="H178" t="inlineStr">
        <is>
          <t>PaymentsOfDividends</t>
        </is>
      </c>
      <c r="I178" t="inlineStr">
        <is>
          <t>https://www.sec.gov/Archives/edgar/data/1534504/000153450415000015/</t>
        </is>
      </c>
      <c r="J178">
        <f>D178/1e9</f>
        <v/>
      </c>
    </row>
    <row r="179">
      <c r="A179" t="inlineStr">
        <is>
          <t>PBF Energy</t>
        </is>
      </c>
      <c r="B179" t="inlineStr">
        <is>
          <t>Dividends paid to common (cash)</t>
        </is>
      </c>
      <c r="C179" t="inlineStr">
        <is>
          <t>2013</t>
        </is>
      </c>
      <c r="D179" t="n">
        <v>37917000</v>
      </c>
      <c r="E179" t="inlineStr">
        <is>
          <t>USD</t>
        </is>
      </c>
      <c r="F179" t="inlineStr">
        <is>
          <t>10-K</t>
        </is>
      </c>
      <c r="G179" t="inlineStr">
        <is>
          <t>0001534504-16-000118</t>
        </is>
      </c>
      <c r="H179" t="inlineStr">
        <is>
          <t>PaymentsOfDividends</t>
        </is>
      </c>
      <c r="I179" t="inlineStr">
        <is>
          <t>https://www.sec.gov/Archives/edgar/data/1534504/000153450416000118/</t>
        </is>
      </c>
      <c r="J179">
        <f>D179/1e9</f>
        <v/>
      </c>
    </row>
    <row r="180">
      <c r="A180" t="inlineStr">
        <is>
          <t>PBF Energy</t>
        </is>
      </c>
      <c r="B180" t="inlineStr">
        <is>
          <t>Dividends paid to common (cash)</t>
        </is>
      </c>
      <c r="C180" t="inlineStr">
        <is>
          <t>2014</t>
        </is>
      </c>
      <c r="D180" t="n">
        <v>88613000</v>
      </c>
      <c r="E180" t="inlineStr">
        <is>
          <t>USD</t>
        </is>
      </c>
      <c r="F180" t="inlineStr">
        <is>
          <t>10-K</t>
        </is>
      </c>
      <c r="G180" t="inlineStr">
        <is>
          <t>0001534504-17-000017</t>
        </is>
      </c>
      <c r="H180" t="inlineStr">
        <is>
          <t>PaymentsOfDividends</t>
        </is>
      </c>
      <c r="I180" t="inlineStr">
        <is>
          <t>https://www.sec.gov/Archives/edgar/data/1534504/000153450417000017/</t>
        </is>
      </c>
      <c r="J180">
        <f>D180/1e9</f>
        <v/>
      </c>
    </row>
    <row r="181">
      <c r="A181" t="inlineStr">
        <is>
          <t>PBF Energy</t>
        </is>
      </c>
      <c r="B181" t="inlineStr">
        <is>
          <t>Dividends paid to common (cash)</t>
        </is>
      </c>
      <c r="C181" t="inlineStr">
        <is>
          <t>2015</t>
        </is>
      </c>
      <c r="D181" t="n">
        <v>106584000</v>
      </c>
      <c r="E181" t="inlineStr">
        <is>
          <t>USD</t>
        </is>
      </c>
      <c r="F181" t="inlineStr">
        <is>
          <t>10-K</t>
        </is>
      </c>
      <c r="G181" t="inlineStr">
        <is>
          <t>0001534504-18-000016</t>
        </is>
      </c>
      <c r="H181" t="inlineStr">
        <is>
          <t>PaymentsOfDividends</t>
        </is>
      </c>
      <c r="I181" t="inlineStr">
        <is>
          <t>https://www.sec.gov/Archives/edgar/data/1534504/000153450418000016/</t>
        </is>
      </c>
      <c r="J181">
        <f>D181/1e9</f>
        <v/>
      </c>
    </row>
    <row r="182">
      <c r="A182" t="inlineStr">
        <is>
          <t>PBF Energy</t>
        </is>
      </c>
      <c r="B182" t="inlineStr">
        <is>
          <t>Dividends paid to common (cash)</t>
        </is>
      </c>
      <c r="C182" t="inlineStr">
        <is>
          <t>2016</t>
        </is>
      </c>
      <c r="D182" t="n">
        <v>117486000</v>
      </c>
      <c r="E182" t="inlineStr">
        <is>
          <t>USD</t>
        </is>
      </c>
      <c r="F182" t="inlineStr">
        <is>
          <t>10-K</t>
        </is>
      </c>
      <c r="G182" t="inlineStr">
        <is>
          <t>0001534504-19-000012</t>
        </is>
      </c>
      <c r="H182" t="inlineStr">
        <is>
          <t>PaymentsOfDividends</t>
        </is>
      </c>
      <c r="I182" t="inlineStr">
        <is>
          <t>https://www.sec.gov/Archives/edgar/data/1534504/000153450419000012/</t>
        </is>
      </c>
      <c r="J182">
        <f>D182/1e9</f>
        <v/>
      </c>
    </row>
    <row r="183">
      <c r="A183" t="inlineStr">
        <is>
          <t>PBF Energy</t>
        </is>
      </c>
      <c r="B183" t="inlineStr">
        <is>
          <t>Dividends paid to common (cash)</t>
        </is>
      </c>
      <c r="C183" t="inlineStr">
        <is>
          <t>2017</t>
        </is>
      </c>
      <c r="D183" t="n">
        <v>131700000</v>
      </c>
      <c r="E183" t="inlineStr">
        <is>
          <t>USD</t>
        </is>
      </c>
      <c r="F183" t="inlineStr">
        <is>
          <t>10-K</t>
        </is>
      </c>
      <c r="G183" t="inlineStr">
        <is>
          <t>0001534504-20-000030</t>
        </is>
      </c>
      <c r="H183" t="inlineStr">
        <is>
          <t>PaymentsOfDividends</t>
        </is>
      </c>
      <c r="I183" t="inlineStr">
        <is>
          <t>https://www.sec.gov/Archives/edgar/data/1534504/000153450420000030/</t>
        </is>
      </c>
      <c r="J183">
        <f>D183/1e9</f>
        <v/>
      </c>
    </row>
    <row r="184">
      <c r="A184" t="inlineStr">
        <is>
          <t>PBF Energy</t>
        </is>
      </c>
      <c r="B184" t="inlineStr">
        <is>
          <t>Dividends paid to common (cash)</t>
        </is>
      </c>
      <c r="C184" t="inlineStr">
        <is>
          <t>2018</t>
        </is>
      </c>
      <c r="D184" t="n">
        <v>139000000</v>
      </c>
      <c r="E184" t="inlineStr">
        <is>
          <t>USD</t>
        </is>
      </c>
      <c r="F184" t="inlineStr">
        <is>
          <t>10-K</t>
        </is>
      </c>
      <c r="G184" t="inlineStr">
        <is>
          <t>0001534504-20-000030</t>
        </is>
      </c>
      <c r="H184" t="inlineStr">
        <is>
          <t>PaymentsOfDividends</t>
        </is>
      </c>
      <c r="I184" t="inlineStr">
        <is>
          <t>https://www.sec.gov/Archives/edgar/data/1534504/000153450420000030/</t>
        </is>
      </c>
      <c r="J184">
        <f>D184/1e9</f>
        <v/>
      </c>
    </row>
    <row r="185">
      <c r="A185" t="inlineStr">
        <is>
          <t>PBF Energy</t>
        </is>
      </c>
      <c r="B185" t="inlineStr">
        <is>
          <t>Dividends paid to common (cash)</t>
        </is>
      </c>
      <c r="C185" t="inlineStr">
        <is>
          <t>2019</t>
        </is>
      </c>
      <c r="D185" t="n">
        <v>143500000</v>
      </c>
      <c r="E185" t="inlineStr">
        <is>
          <t>USD</t>
        </is>
      </c>
      <c r="F185" t="inlineStr">
        <is>
          <t>10-K</t>
        </is>
      </c>
      <c r="G185" t="inlineStr">
        <is>
          <t>0001534504-20-000030</t>
        </is>
      </c>
      <c r="H185" t="inlineStr">
        <is>
          <t>PaymentsOfDividends</t>
        </is>
      </c>
      <c r="I185" t="inlineStr">
        <is>
          <t>https://www.sec.gov/Archives/edgar/data/1534504/000153450420000030/</t>
        </is>
      </c>
      <c r="J185">
        <f>D185/1e9</f>
        <v/>
      </c>
    </row>
    <row r="186">
      <c r="A186" t="inlineStr">
        <is>
          <t>HollyFrontier (to 2021)</t>
        </is>
      </c>
      <c r="B186" t="inlineStr">
        <is>
          <t>Net income attributable to company</t>
        </is>
      </c>
      <c r="C186" t="inlineStr">
        <is>
          <t>2008</t>
        </is>
      </c>
      <c r="D186" t="n">
        <v>120558000</v>
      </c>
      <c r="E186" t="inlineStr">
        <is>
          <t>USD</t>
        </is>
      </c>
      <c r="F186" t="inlineStr">
        <is>
          <t>10-K</t>
        </is>
      </c>
      <c r="G186" t="inlineStr">
        <is>
          <t>0000950123-11-018524</t>
        </is>
      </c>
      <c r="H186" t="inlineStr">
        <is>
          <t>NetIncomeLoss</t>
        </is>
      </c>
      <c r="I186" t="inlineStr">
        <is>
          <t>https://www.sec.gov/Archives/edgar/data/48039/000095012311018524/</t>
        </is>
      </c>
      <c r="J186">
        <f>D186/1e9</f>
        <v/>
      </c>
    </row>
    <row r="187">
      <c r="A187" t="inlineStr">
        <is>
          <t>HollyFrontier (to 2021)</t>
        </is>
      </c>
      <c r="B187" t="inlineStr">
        <is>
          <t>Net income attributable to company</t>
        </is>
      </c>
      <c r="C187" t="inlineStr">
        <is>
          <t>2012</t>
        </is>
      </c>
      <c r="D187" t="n">
        <v>1727172000</v>
      </c>
      <c r="E187" t="inlineStr">
        <is>
          <t>USD</t>
        </is>
      </c>
      <c r="F187" t="inlineStr">
        <is>
          <t>10-K</t>
        </is>
      </c>
      <c r="G187" t="inlineStr">
        <is>
          <t>0000048039-15-000014</t>
        </is>
      </c>
      <c r="H187" t="inlineStr">
        <is>
          <t>NetIncomeLoss</t>
        </is>
      </c>
      <c r="I187" t="inlineStr">
        <is>
          <t>https://www.sec.gov/Archives/edgar/data/48039/000004803915000014/</t>
        </is>
      </c>
      <c r="J187">
        <f>D187/1e9</f>
        <v/>
      </c>
    </row>
    <row r="188">
      <c r="A188" t="inlineStr">
        <is>
          <t>HollyFrontier (to 2021)</t>
        </is>
      </c>
      <c r="B188" t="inlineStr">
        <is>
          <t>Net income attributable to company</t>
        </is>
      </c>
      <c r="C188" t="inlineStr">
        <is>
          <t>2013</t>
        </is>
      </c>
      <c r="D188" t="n">
        <v>735842000</v>
      </c>
      <c r="E188" t="inlineStr">
        <is>
          <t>USD</t>
        </is>
      </c>
      <c r="F188" t="inlineStr">
        <is>
          <t>10-K</t>
        </is>
      </c>
      <c r="G188" t="inlineStr">
        <is>
          <t>0000048039-16-000090</t>
        </is>
      </c>
      <c r="H188" t="inlineStr">
        <is>
          <t>NetIncomeLoss</t>
        </is>
      </c>
      <c r="I188" t="inlineStr">
        <is>
          <t>https://www.sec.gov/Archives/edgar/data/48039/000004803916000090/</t>
        </is>
      </c>
      <c r="J188">
        <f>D188/1e9</f>
        <v/>
      </c>
    </row>
    <row r="189">
      <c r="A189" t="inlineStr">
        <is>
          <t>HollyFrontier (to 2021)</t>
        </is>
      </c>
      <c r="B189" t="inlineStr">
        <is>
          <t>Net income attributable to company</t>
        </is>
      </c>
      <c r="C189" t="inlineStr">
        <is>
          <t>2014</t>
        </is>
      </c>
      <c r="D189" t="n">
        <v>281292000</v>
      </c>
      <c r="E189" t="inlineStr">
        <is>
          <t>USD</t>
        </is>
      </c>
      <c r="F189" t="inlineStr">
        <is>
          <t>10-K</t>
        </is>
      </c>
      <c r="G189" t="inlineStr">
        <is>
          <t>0000048039-17-000015</t>
        </is>
      </c>
      <c r="H189" t="inlineStr">
        <is>
          <t>NetIncomeLoss</t>
        </is>
      </c>
      <c r="I189" t="inlineStr">
        <is>
          <t>https://www.sec.gov/Archives/edgar/data/48039/000004803917000015/</t>
        </is>
      </c>
      <c r="J189">
        <f>D189/1e9</f>
        <v/>
      </c>
    </row>
    <row r="190">
      <c r="A190" t="inlineStr">
        <is>
          <t>HollyFrontier (to 2021)</t>
        </is>
      </c>
      <c r="B190" t="inlineStr">
        <is>
          <t>Net income attributable to company</t>
        </is>
      </c>
      <c r="C190" t="inlineStr">
        <is>
          <t>2015</t>
        </is>
      </c>
      <c r="D190" t="n">
        <v>740101000</v>
      </c>
      <c r="E190" t="inlineStr">
        <is>
          <t>USD</t>
        </is>
      </c>
      <c r="F190" t="inlineStr">
        <is>
          <t>10-K</t>
        </is>
      </c>
      <c r="G190" t="inlineStr">
        <is>
          <t>0000048039-18-000012</t>
        </is>
      </c>
      <c r="H190" t="inlineStr">
        <is>
          <t>NetIncomeLoss</t>
        </is>
      </c>
      <c r="I190" t="inlineStr">
        <is>
          <t>https://www.sec.gov/Archives/edgar/data/48039/000004803918000012/</t>
        </is>
      </c>
      <c r="J190">
        <f>D190/1e9</f>
        <v/>
      </c>
    </row>
    <row r="191">
      <c r="A191" t="inlineStr">
        <is>
          <t>HollyFrontier (to 2021)</t>
        </is>
      </c>
      <c r="B191" t="inlineStr">
        <is>
          <t>Net income attributable to company</t>
        </is>
      </c>
      <c r="C191" t="inlineStr">
        <is>
          <t>2016</t>
        </is>
      </c>
      <c r="D191" t="n">
        <v>-260453000</v>
      </c>
      <c r="E191" t="inlineStr">
        <is>
          <t>USD</t>
        </is>
      </c>
      <c r="F191" t="inlineStr">
        <is>
          <t>10-K</t>
        </is>
      </c>
      <c r="G191" t="inlineStr">
        <is>
          <t>0000048039-19-000012</t>
        </is>
      </c>
      <c r="H191" t="inlineStr">
        <is>
          <t>NetIncomeLoss</t>
        </is>
      </c>
      <c r="I191" t="inlineStr">
        <is>
          <t>https://www.sec.gov/Archives/edgar/data/48039/000004803919000012/</t>
        </is>
      </c>
      <c r="J191">
        <f>D191/1e9</f>
        <v/>
      </c>
    </row>
    <row r="192">
      <c r="A192" t="inlineStr">
        <is>
          <t>HollyFrontier (to 2021)</t>
        </is>
      </c>
      <c r="B192" t="inlineStr">
        <is>
          <t>Net income attributable to company</t>
        </is>
      </c>
      <c r="C192" t="inlineStr">
        <is>
          <t>2017</t>
        </is>
      </c>
      <c r="D192" t="n">
        <v>805395000</v>
      </c>
      <c r="E192" t="inlineStr">
        <is>
          <t>USD</t>
        </is>
      </c>
      <c r="F192" t="inlineStr">
        <is>
          <t>10-K</t>
        </is>
      </c>
      <c r="G192" t="inlineStr">
        <is>
          <t>0000048039-20-000015</t>
        </is>
      </c>
      <c r="H192" t="inlineStr">
        <is>
          <t>NetIncomeLoss</t>
        </is>
      </c>
      <c r="I192" t="inlineStr">
        <is>
          <t>https://www.sec.gov/Archives/edgar/data/48039/000004803920000015/</t>
        </is>
      </c>
      <c r="J192">
        <f>D192/1e9</f>
        <v/>
      </c>
    </row>
    <row r="193">
      <c r="A193" t="inlineStr">
        <is>
          <t>HollyFrontier (to 2021)</t>
        </is>
      </c>
      <c r="B193" t="inlineStr">
        <is>
          <t>Net income attributable to company</t>
        </is>
      </c>
      <c r="C193" t="inlineStr">
        <is>
          <t>2018</t>
        </is>
      </c>
      <c r="D193" t="n">
        <v>1097960000</v>
      </c>
      <c r="E193" t="inlineStr">
        <is>
          <t>USD</t>
        </is>
      </c>
      <c r="F193" t="inlineStr">
        <is>
          <t>10-K</t>
        </is>
      </c>
      <c r="G193" t="inlineStr">
        <is>
          <t>0000048039-21-000012</t>
        </is>
      </c>
      <c r="H193" t="inlineStr">
        <is>
          <t>NetIncomeLoss</t>
        </is>
      </c>
      <c r="I193" t="inlineStr">
        <is>
          <t>https://www.sec.gov/Archives/edgar/data/48039/000004803921000012/</t>
        </is>
      </c>
      <c r="J193">
        <f>D193/1e9</f>
        <v/>
      </c>
    </row>
    <row r="194">
      <c r="A194" t="inlineStr">
        <is>
          <t>HollyFrontier (to 2021)</t>
        </is>
      </c>
      <c r="B194" t="inlineStr">
        <is>
          <t>Net income attributable to company</t>
        </is>
      </c>
      <c r="C194" t="inlineStr">
        <is>
          <t>2019</t>
        </is>
      </c>
      <c r="D194" t="n">
        <v>772388000</v>
      </c>
      <c r="E194" t="inlineStr">
        <is>
          <t>USD</t>
        </is>
      </c>
      <c r="F194" t="inlineStr">
        <is>
          <t>10-K</t>
        </is>
      </c>
      <c r="G194" t="inlineStr">
        <is>
          <t>0000048039-22-000014</t>
        </is>
      </c>
      <c r="H194" t="inlineStr">
        <is>
          <t>NetIncomeLoss</t>
        </is>
      </c>
      <c r="I194" t="inlineStr">
        <is>
          <t>https://www.sec.gov/Archives/edgar/data/48039/000004803922000014/</t>
        </is>
      </c>
      <c r="J194">
        <f>D194/1e9</f>
        <v/>
      </c>
    </row>
    <row r="195">
      <c r="A195" t="inlineStr">
        <is>
          <t>HollyFrontier (to 2021)</t>
        </is>
      </c>
      <c r="B195" t="inlineStr">
        <is>
          <t>Net income attributable to company</t>
        </is>
      </c>
      <c r="C195" t="inlineStr">
        <is>
          <t>2020</t>
        </is>
      </c>
      <c r="D195" t="n">
        <v>-601448000</v>
      </c>
      <c r="E195" t="inlineStr">
        <is>
          <t>USD</t>
        </is>
      </c>
      <c r="F195" t="inlineStr">
        <is>
          <t>10-K</t>
        </is>
      </c>
      <c r="G195" t="inlineStr">
        <is>
          <t>0000048039-22-000014</t>
        </is>
      </c>
      <c r="H195" t="inlineStr">
        <is>
          <t>NetIncomeLoss</t>
        </is>
      </c>
      <c r="I195" t="inlineStr">
        <is>
          <t>https://www.sec.gov/Archives/edgar/data/48039/000004803922000014/</t>
        </is>
      </c>
      <c r="J195">
        <f>D195/1e9</f>
        <v/>
      </c>
    </row>
    <row r="196">
      <c r="A196" t="inlineStr">
        <is>
          <t>HollyFrontier (to 2021)</t>
        </is>
      </c>
      <c r="B196" t="inlineStr">
        <is>
          <t>Net income attributable to company</t>
        </is>
      </c>
      <c r="C196" t="inlineStr">
        <is>
          <t>2021</t>
        </is>
      </c>
      <c r="D196" t="n">
        <v>558324000</v>
      </c>
      <c r="E196" t="inlineStr">
        <is>
          <t>USD</t>
        </is>
      </c>
      <c r="F196" t="inlineStr">
        <is>
          <t>10-K</t>
        </is>
      </c>
      <c r="G196" t="inlineStr">
        <is>
          <t>0000048039-22-000014</t>
        </is>
      </c>
      <c r="H196" t="inlineStr">
        <is>
          <t>NetIncomeLoss</t>
        </is>
      </c>
      <c r="I196" t="inlineStr">
        <is>
          <t>https://www.sec.gov/Archives/edgar/data/48039/000004803922000014/</t>
        </is>
      </c>
      <c r="J196">
        <f>D196/1e9</f>
        <v/>
      </c>
    </row>
    <row r="197">
      <c r="A197" t="inlineStr">
        <is>
          <t>HollyFrontier (to 2021)</t>
        </is>
      </c>
      <c r="B197" t="inlineStr">
        <is>
          <t>Share buybacks (cash paid)</t>
        </is>
      </c>
      <c r="C197" t="inlineStr">
        <is>
          <t>2008</t>
        </is>
      </c>
      <c r="D197" t="n">
        <v>151106000</v>
      </c>
      <c r="E197" t="inlineStr">
        <is>
          <t>USD</t>
        </is>
      </c>
      <c r="F197" t="inlineStr">
        <is>
          <t>10-K</t>
        </is>
      </c>
      <c r="G197" t="inlineStr">
        <is>
          <t>0000950123-11-018524</t>
        </is>
      </c>
      <c r="H197" t="inlineStr">
        <is>
          <t>PaymentsForRepurchaseOfCommonStock</t>
        </is>
      </c>
      <c r="I197" t="inlineStr">
        <is>
          <t>https://www.sec.gov/Archives/edgar/data/48039/000095012311018524/</t>
        </is>
      </c>
      <c r="J197">
        <f>D197/1e9</f>
        <v/>
      </c>
    </row>
    <row r="198">
      <c r="A198" t="inlineStr">
        <is>
          <t>HollyFrontier (to 2021)</t>
        </is>
      </c>
      <c r="B198" t="inlineStr">
        <is>
          <t>Share buybacks (cash paid)</t>
        </is>
      </c>
      <c r="C198" t="inlineStr">
        <is>
          <t>2012</t>
        </is>
      </c>
      <c r="D198" t="n">
        <v>209600000</v>
      </c>
      <c r="E198" t="inlineStr">
        <is>
          <t>USD</t>
        </is>
      </c>
      <c r="F198" t="inlineStr">
        <is>
          <t>10-K</t>
        </is>
      </c>
      <c r="G198" t="inlineStr">
        <is>
          <t>0000048039-15-000014</t>
        </is>
      </c>
      <c r="H198" t="inlineStr">
        <is>
          <t>PaymentsForRepurchaseOfCommonStock</t>
        </is>
      </c>
      <c r="I198" t="inlineStr">
        <is>
          <t>https://www.sec.gov/Archives/edgar/data/48039/000004803915000014/</t>
        </is>
      </c>
      <c r="J198">
        <f>D198/1e9</f>
        <v/>
      </c>
    </row>
    <row r="199">
      <c r="A199" t="inlineStr">
        <is>
          <t>HollyFrontier (to 2021)</t>
        </is>
      </c>
      <c r="B199" t="inlineStr">
        <is>
          <t>Share buybacks (cash paid)</t>
        </is>
      </c>
      <c r="C199" t="inlineStr">
        <is>
          <t>2013</t>
        </is>
      </c>
      <c r="D199" t="n">
        <v>225023000</v>
      </c>
      <c r="E199" t="inlineStr">
        <is>
          <t>USD</t>
        </is>
      </c>
      <c r="F199" t="inlineStr">
        <is>
          <t>10-K</t>
        </is>
      </c>
      <c r="G199" t="inlineStr">
        <is>
          <t>0000048039-16-000090</t>
        </is>
      </c>
      <c r="H199" t="inlineStr">
        <is>
          <t>PaymentsForRepurchaseOfCommonStock</t>
        </is>
      </c>
      <c r="I199" t="inlineStr">
        <is>
          <t>https://www.sec.gov/Archives/edgar/data/48039/000004803916000090/</t>
        </is>
      </c>
      <c r="J199">
        <f>D199/1e9</f>
        <v/>
      </c>
    </row>
    <row r="200">
      <c r="A200" t="inlineStr">
        <is>
          <t>HollyFrontier (to 2021)</t>
        </is>
      </c>
      <c r="B200" t="inlineStr">
        <is>
          <t>Share buybacks (cash paid)</t>
        </is>
      </c>
      <c r="C200" t="inlineStr">
        <is>
          <t>2014</t>
        </is>
      </c>
      <c r="D200" t="n">
        <v>158847000</v>
      </c>
      <c r="E200" t="inlineStr">
        <is>
          <t>USD</t>
        </is>
      </c>
      <c r="F200" t="inlineStr">
        <is>
          <t>10-K</t>
        </is>
      </c>
      <c r="G200" t="inlineStr">
        <is>
          <t>0000048039-17-000015</t>
        </is>
      </c>
      <c r="H200" t="inlineStr">
        <is>
          <t>PaymentsForRepurchaseOfCommonStock</t>
        </is>
      </c>
      <c r="I200" t="inlineStr">
        <is>
          <t>https://www.sec.gov/Archives/edgar/data/48039/000004803917000015/</t>
        </is>
      </c>
      <c r="J200">
        <f>D200/1e9</f>
        <v/>
      </c>
    </row>
    <row r="201">
      <c r="A201" t="inlineStr">
        <is>
          <t>HollyFrontier (to 2021)</t>
        </is>
      </c>
      <c r="B201" t="inlineStr">
        <is>
          <t>Share buybacks (cash paid)</t>
        </is>
      </c>
      <c r="C201" t="inlineStr">
        <is>
          <t>2015</t>
        </is>
      </c>
      <c r="D201" t="n">
        <v>742823000</v>
      </c>
      <c r="E201" t="inlineStr">
        <is>
          <t>USD</t>
        </is>
      </c>
      <c r="F201" t="inlineStr">
        <is>
          <t>10-K</t>
        </is>
      </c>
      <c r="G201" t="inlineStr">
        <is>
          <t>0000048039-18-000012</t>
        </is>
      </c>
      <c r="H201" t="inlineStr">
        <is>
          <t>PaymentsForRepurchaseOfCommonStock</t>
        </is>
      </c>
      <c r="I201" t="inlineStr">
        <is>
          <t>https://www.sec.gov/Archives/edgar/data/48039/000004803918000012/</t>
        </is>
      </c>
      <c r="J201">
        <f>D201/1e9</f>
        <v/>
      </c>
    </row>
    <row r="202">
      <c r="A202" t="inlineStr">
        <is>
          <t>HollyFrontier (to 2021)</t>
        </is>
      </c>
      <c r="B202" t="inlineStr">
        <is>
          <t>Share buybacks (cash paid)</t>
        </is>
      </c>
      <c r="C202" t="inlineStr">
        <is>
          <t>2016</t>
        </is>
      </c>
      <c r="D202" t="n">
        <v>138107000</v>
      </c>
      <c r="E202" t="inlineStr">
        <is>
          <t>USD</t>
        </is>
      </c>
      <c r="F202" t="inlineStr">
        <is>
          <t>10-K</t>
        </is>
      </c>
      <c r="G202" t="inlineStr">
        <is>
          <t>0000048039-19-000012</t>
        </is>
      </c>
      <c r="H202" t="inlineStr">
        <is>
          <t>PaymentsForRepurchaseOfCommonStock</t>
        </is>
      </c>
      <c r="I202" t="inlineStr">
        <is>
          <t>https://www.sec.gov/Archives/edgar/data/48039/000004803919000012/</t>
        </is>
      </c>
      <c r="J202">
        <f>D202/1e9</f>
        <v/>
      </c>
    </row>
    <row r="203">
      <c r="A203" t="inlineStr">
        <is>
          <t>HollyFrontier (to 2021)</t>
        </is>
      </c>
      <c r="B203" t="inlineStr">
        <is>
          <t>Share buybacks (cash paid)</t>
        </is>
      </c>
      <c r="C203" t="inlineStr">
        <is>
          <t>2017</t>
        </is>
      </c>
      <c r="D203" t="n">
        <v>15926000</v>
      </c>
      <c r="E203" t="inlineStr">
        <is>
          <t>USD</t>
        </is>
      </c>
      <c r="F203" t="inlineStr">
        <is>
          <t>10-K</t>
        </is>
      </c>
      <c r="G203" t="inlineStr">
        <is>
          <t>0000048039-20-000015</t>
        </is>
      </c>
      <c r="H203" t="inlineStr">
        <is>
          <t>PaymentsForRepurchaseOfCommonStock</t>
        </is>
      </c>
      <c r="I203" t="inlineStr">
        <is>
          <t>https://www.sec.gov/Archives/edgar/data/48039/000004803920000015/</t>
        </is>
      </c>
      <c r="J203">
        <f>D203/1e9</f>
        <v/>
      </c>
    </row>
    <row r="204">
      <c r="A204" t="inlineStr">
        <is>
          <t>HollyFrontier (to 2021)</t>
        </is>
      </c>
      <c r="B204" t="inlineStr">
        <is>
          <t>Share buybacks (cash paid)</t>
        </is>
      </c>
      <c r="C204" t="inlineStr">
        <is>
          <t>2018</t>
        </is>
      </c>
      <c r="D204" t="n">
        <v>363437000</v>
      </c>
      <c r="E204" t="inlineStr">
        <is>
          <t>USD</t>
        </is>
      </c>
      <c r="F204" t="inlineStr">
        <is>
          <t>10-K</t>
        </is>
      </c>
      <c r="G204" t="inlineStr">
        <is>
          <t>0000048039-21-000012</t>
        </is>
      </c>
      <c r="H204" t="inlineStr">
        <is>
          <t>PaymentsForRepurchaseOfCommonStock</t>
        </is>
      </c>
      <c r="I204" t="inlineStr">
        <is>
          <t>https://www.sec.gov/Archives/edgar/data/48039/000004803921000012/</t>
        </is>
      </c>
      <c r="J204">
        <f>D204/1e9</f>
        <v/>
      </c>
    </row>
    <row r="205">
      <c r="A205" t="inlineStr">
        <is>
          <t>HollyFrontier (to 2021)</t>
        </is>
      </c>
      <c r="B205" t="inlineStr">
        <is>
          <t>Share buybacks (cash paid)</t>
        </is>
      </c>
      <c r="C205" t="inlineStr">
        <is>
          <t>2019</t>
        </is>
      </c>
      <c r="D205" t="n">
        <v>533083000</v>
      </c>
      <c r="E205" t="inlineStr">
        <is>
          <t>USD</t>
        </is>
      </c>
      <c r="F205" t="inlineStr">
        <is>
          <t>10-K</t>
        </is>
      </c>
      <c r="G205" t="inlineStr">
        <is>
          <t>0000048039-22-000014</t>
        </is>
      </c>
      <c r="H205" t="inlineStr">
        <is>
          <t>PaymentsForRepurchaseOfCommonStock</t>
        </is>
      </c>
      <c r="I205" t="inlineStr">
        <is>
          <t>https://www.sec.gov/Archives/edgar/data/48039/000004803922000014/</t>
        </is>
      </c>
      <c r="J205">
        <f>D205/1e9</f>
        <v/>
      </c>
    </row>
    <row r="206">
      <c r="A206" t="inlineStr">
        <is>
          <t>HollyFrontier (to 2021)</t>
        </is>
      </c>
      <c r="B206" t="inlineStr">
        <is>
          <t>Share buybacks (cash paid)</t>
        </is>
      </c>
      <c r="C206" t="inlineStr">
        <is>
          <t>2020</t>
        </is>
      </c>
      <c r="D206" t="n">
        <v>7642000</v>
      </c>
      <c r="E206" t="inlineStr">
        <is>
          <t>USD</t>
        </is>
      </c>
      <c r="F206" t="inlineStr">
        <is>
          <t>10-K</t>
        </is>
      </c>
      <c r="G206" t="inlineStr">
        <is>
          <t>0000048039-22-000014</t>
        </is>
      </c>
      <c r="H206" t="inlineStr">
        <is>
          <t>PaymentsForRepurchaseOfCommonStock</t>
        </is>
      </c>
      <c r="I206" t="inlineStr">
        <is>
          <t>https://www.sec.gov/Archives/edgar/data/48039/000004803922000014/</t>
        </is>
      </c>
      <c r="J206">
        <f>D206/1e9</f>
        <v/>
      </c>
    </row>
    <row r="207">
      <c r="A207" t="inlineStr">
        <is>
          <t>HollyFrontier (to 2021)</t>
        </is>
      </c>
      <c r="B207" t="inlineStr">
        <is>
          <t>Share buybacks (cash paid)</t>
        </is>
      </c>
      <c r="C207" t="inlineStr">
        <is>
          <t>2021</t>
        </is>
      </c>
      <c r="D207" t="n">
        <v>7058000</v>
      </c>
      <c r="E207" t="inlineStr">
        <is>
          <t>USD</t>
        </is>
      </c>
      <c r="F207" t="inlineStr">
        <is>
          <t>10-K</t>
        </is>
      </c>
      <c r="G207" t="inlineStr">
        <is>
          <t>0000048039-22-000014</t>
        </is>
      </c>
      <c r="H207" t="inlineStr">
        <is>
          <t>PaymentsForRepurchaseOfCommonStock</t>
        </is>
      </c>
      <c r="I207" t="inlineStr">
        <is>
          <t>https://www.sec.gov/Archives/edgar/data/48039/000004803922000014/</t>
        </is>
      </c>
      <c r="J207">
        <f>D207/1e9</f>
        <v/>
      </c>
    </row>
    <row r="208">
      <c r="A208" t="inlineStr">
        <is>
          <t>HollyFrontier (to 2021)</t>
        </is>
      </c>
      <c r="B208" t="inlineStr">
        <is>
          <t>Dividends paid to common (cash)</t>
        </is>
      </c>
      <c r="C208" t="inlineStr">
        <is>
          <t>2008</t>
        </is>
      </c>
      <c r="D208" t="n">
        <v>29064000</v>
      </c>
      <c r="E208" t="inlineStr">
        <is>
          <t>USD</t>
        </is>
      </c>
      <c r="F208" t="inlineStr">
        <is>
          <t>10-K</t>
        </is>
      </c>
      <c r="G208" t="inlineStr">
        <is>
          <t>0000950123-11-018524</t>
        </is>
      </c>
      <c r="H208" t="inlineStr">
        <is>
          <t>PaymentsOfDividendsCommonStock</t>
        </is>
      </c>
      <c r="I208" t="inlineStr">
        <is>
          <t>https://www.sec.gov/Archives/edgar/data/48039/000095012311018524/</t>
        </is>
      </c>
      <c r="J208">
        <f>D208/1e9</f>
        <v/>
      </c>
    </row>
    <row r="209">
      <c r="A209" t="inlineStr">
        <is>
          <t>HollyFrontier (to 2021)</t>
        </is>
      </c>
      <c r="B209" t="inlineStr">
        <is>
          <t>Dividends paid to common (cash)</t>
        </is>
      </c>
      <c r="C209" t="inlineStr">
        <is>
          <t>2012</t>
        </is>
      </c>
      <c r="D209" t="n">
        <v>658085000</v>
      </c>
      <c r="E209" t="inlineStr">
        <is>
          <t>USD</t>
        </is>
      </c>
      <c r="F209" t="inlineStr">
        <is>
          <t>10-K</t>
        </is>
      </c>
      <c r="G209" t="inlineStr">
        <is>
          <t>0000048039-15-000014</t>
        </is>
      </c>
      <c r="H209" t="inlineStr">
        <is>
          <t>PaymentsOfDividendsCommonStock</t>
        </is>
      </c>
      <c r="I209" t="inlineStr">
        <is>
          <t>https://www.sec.gov/Archives/edgar/data/48039/000004803915000014/</t>
        </is>
      </c>
      <c r="J209">
        <f>D209/1e9</f>
        <v/>
      </c>
    </row>
    <row r="210">
      <c r="A210" t="inlineStr">
        <is>
          <t>HollyFrontier (to 2021)</t>
        </is>
      </c>
      <c r="B210" t="inlineStr">
        <is>
          <t>Dividends paid to common (cash)</t>
        </is>
      </c>
      <c r="C210" t="inlineStr">
        <is>
          <t>2013</t>
        </is>
      </c>
      <c r="D210" t="n">
        <v>645920000</v>
      </c>
      <c r="E210" t="inlineStr">
        <is>
          <t>USD</t>
        </is>
      </c>
      <c r="F210" t="inlineStr">
        <is>
          <t>10-K</t>
        </is>
      </c>
      <c r="G210" t="inlineStr">
        <is>
          <t>0000048039-16-000090</t>
        </is>
      </c>
      <c r="H210" t="inlineStr">
        <is>
          <t>PaymentsOfDividendsCommonStock</t>
        </is>
      </c>
      <c r="I210" t="inlineStr">
        <is>
          <t>https://www.sec.gov/Archives/edgar/data/48039/000004803916000090/</t>
        </is>
      </c>
      <c r="J210">
        <f>D210/1e9</f>
        <v/>
      </c>
    </row>
    <row r="211">
      <c r="A211" t="inlineStr">
        <is>
          <t>HollyFrontier (to 2021)</t>
        </is>
      </c>
      <c r="B211" t="inlineStr">
        <is>
          <t>Dividends paid to common (cash)</t>
        </is>
      </c>
      <c r="C211" t="inlineStr">
        <is>
          <t>2014</t>
        </is>
      </c>
      <c r="D211" t="n">
        <v>647197000</v>
      </c>
      <c r="E211" t="inlineStr">
        <is>
          <t>USD</t>
        </is>
      </c>
      <c r="F211" t="inlineStr">
        <is>
          <t>10-K</t>
        </is>
      </c>
      <c r="G211" t="inlineStr">
        <is>
          <t>0000048039-17-000015</t>
        </is>
      </c>
      <c r="H211" t="inlineStr">
        <is>
          <t>PaymentsOfDividendsCommonStock</t>
        </is>
      </c>
      <c r="I211" t="inlineStr">
        <is>
          <t>https://www.sec.gov/Archives/edgar/data/48039/000004803917000015/</t>
        </is>
      </c>
      <c r="J211">
        <f>D211/1e9</f>
        <v/>
      </c>
    </row>
    <row r="212">
      <c r="A212" t="inlineStr">
        <is>
          <t>HollyFrontier (to 2021)</t>
        </is>
      </c>
      <c r="B212" t="inlineStr">
        <is>
          <t>Dividends paid to common (cash)</t>
        </is>
      </c>
      <c r="C212" t="inlineStr">
        <is>
          <t>2015</t>
        </is>
      </c>
      <c r="D212" t="n">
        <v>246908000</v>
      </c>
      <c r="E212" t="inlineStr">
        <is>
          <t>USD</t>
        </is>
      </c>
      <c r="F212" t="inlineStr">
        <is>
          <t>10-K</t>
        </is>
      </c>
      <c r="G212" t="inlineStr">
        <is>
          <t>0000048039-18-000012</t>
        </is>
      </c>
      <c r="H212" t="inlineStr">
        <is>
          <t>PaymentsOfDividendsCommonStock</t>
        </is>
      </c>
      <c r="I212" t="inlineStr">
        <is>
          <t>https://www.sec.gov/Archives/edgar/data/48039/000004803918000012/</t>
        </is>
      </c>
      <c r="J212">
        <f>D212/1e9</f>
        <v/>
      </c>
    </row>
    <row r="213">
      <c r="A213" t="inlineStr">
        <is>
          <t>HollyFrontier (to 2021)</t>
        </is>
      </c>
      <c r="B213" t="inlineStr">
        <is>
          <t>Dividends paid to common (cash)</t>
        </is>
      </c>
      <c r="C213" t="inlineStr">
        <is>
          <t>2016</t>
        </is>
      </c>
      <c r="D213" t="n">
        <v>234004000</v>
      </c>
      <c r="E213" t="inlineStr">
        <is>
          <t>USD</t>
        </is>
      </c>
      <c r="F213" t="inlineStr">
        <is>
          <t>10-K</t>
        </is>
      </c>
      <c r="G213" t="inlineStr">
        <is>
          <t>0000048039-19-000012</t>
        </is>
      </c>
      <c r="H213" t="inlineStr">
        <is>
          <t>PaymentsOfDividendsCommonStock</t>
        </is>
      </c>
      <c r="I213" t="inlineStr">
        <is>
          <t>https://www.sec.gov/Archives/edgar/data/48039/000004803919000012/</t>
        </is>
      </c>
      <c r="J213">
        <f>D213/1e9</f>
        <v/>
      </c>
    </row>
    <row r="214">
      <c r="A214" t="inlineStr">
        <is>
          <t>HollyFrontier (to 2021)</t>
        </is>
      </c>
      <c r="B214" t="inlineStr">
        <is>
          <t>Dividends paid to common (cash)</t>
        </is>
      </c>
      <c r="C214" t="inlineStr">
        <is>
          <t>2017</t>
        </is>
      </c>
      <c r="D214" t="n">
        <v>235508000</v>
      </c>
      <c r="E214" t="inlineStr">
        <is>
          <t>USD</t>
        </is>
      </c>
      <c r="F214" t="inlineStr">
        <is>
          <t>10-K</t>
        </is>
      </c>
      <c r="G214" t="inlineStr">
        <is>
          <t>0000048039-20-000015</t>
        </is>
      </c>
      <c r="H214" t="inlineStr">
        <is>
          <t>PaymentsOfDividendsCommonStock</t>
        </is>
      </c>
      <c r="I214" t="inlineStr">
        <is>
          <t>https://www.sec.gov/Archives/edgar/data/48039/000004803920000015/</t>
        </is>
      </c>
      <c r="J214">
        <f>D214/1e9</f>
        <v/>
      </c>
    </row>
    <row r="215">
      <c r="A215" t="inlineStr">
        <is>
          <t>HollyFrontier (to 2021)</t>
        </is>
      </c>
      <c r="B215" t="inlineStr">
        <is>
          <t>Dividends paid to common (cash)</t>
        </is>
      </c>
      <c r="C215" t="inlineStr">
        <is>
          <t>2018</t>
        </is>
      </c>
      <c r="D215" t="n">
        <v>233544000</v>
      </c>
      <c r="E215" t="inlineStr">
        <is>
          <t>USD</t>
        </is>
      </c>
      <c r="F215" t="inlineStr">
        <is>
          <t>10-K</t>
        </is>
      </c>
      <c r="G215" t="inlineStr">
        <is>
          <t>0000048039-21-000012</t>
        </is>
      </c>
      <c r="H215" t="inlineStr">
        <is>
          <t>PaymentsOfDividendsCommonStock</t>
        </is>
      </c>
      <c r="I215" t="inlineStr">
        <is>
          <t>https://www.sec.gov/Archives/edgar/data/48039/000004803921000012/</t>
        </is>
      </c>
      <c r="J215">
        <f>D215/1e9</f>
        <v/>
      </c>
    </row>
    <row r="216">
      <c r="A216" t="inlineStr">
        <is>
          <t>HollyFrontier (to 2021)</t>
        </is>
      </c>
      <c r="B216" t="inlineStr">
        <is>
          <t>Dividends paid to common (cash)</t>
        </is>
      </c>
      <c r="C216" t="inlineStr">
        <is>
          <t>2019</t>
        </is>
      </c>
      <c r="D216" t="n">
        <v>225170000</v>
      </c>
      <c r="E216" t="inlineStr">
        <is>
          <t>USD</t>
        </is>
      </c>
      <c r="F216" t="inlineStr">
        <is>
          <t>10-K</t>
        </is>
      </c>
      <c r="G216" t="inlineStr">
        <is>
          <t>0000048039-22-000014</t>
        </is>
      </c>
      <c r="H216" t="inlineStr">
        <is>
          <t>PaymentsOfDividendsCommonStock</t>
        </is>
      </c>
      <c r="I216" t="inlineStr">
        <is>
          <t>https://www.sec.gov/Archives/edgar/data/48039/000004803922000014/</t>
        </is>
      </c>
      <c r="J216">
        <f>D216/1e9</f>
        <v/>
      </c>
    </row>
    <row r="217">
      <c r="A217" t="inlineStr">
        <is>
          <t>HollyFrontier (to 2021)</t>
        </is>
      </c>
      <c r="B217" t="inlineStr">
        <is>
          <t>Dividends paid to common (cash)</t>
        </is>
      </c>
      <c r="C217" t="inlineStr">
        <is>
          <t>2020</t>
        </is>
      </c>
      <c r="D217" t="n">
        <v>229493000</v>
      </c>
      <c r="E217" t="inlineStr">
        <is>
          <t>USD</t>
        </is>
      </c>
      <c r="F217" t="inlineStr">
        <is>
          <t>10-K</t>
        </is>
      </c>
      <c r="G217" t="inlineStr">
        <is>
          <t>0000048039-22-000014</t>
        </is>
      </c>
      <c r="H217" t="inlineStr">
        <is>
          <t>PaymentsOfDividendsCommonStock</t>
        </is>
      </c>
      <c r="I217" t="inlineStr">
        <is>
          <t>https://www.sec.gov/Archives/edgar/data/48039/000004803922000014/</t>
        </is>
      </c>
      <c r="J217">
        <f>D217/1e9</f>
        <v/>
      </c>
    </row>
    <row r="218">
      <c r="A218" t="inlineStr">
        <is>
          <t>HollyFrontier (to 2021)</t>
        </is>
      </c>
      <c r="B218" t="inlineStr">
        <is>
          <t>Dividends paid to common (cash)</t>
        </is>
      </c>
      <c r="C218" t="inlineStr">
        <is>
          <t>2021</t>
        </is>
      </c>
      <c r="D218" t="n">
        <v>57663000</v>
      </c>
      <c r="E218" t="inlineStr">
        <is>
          <t>USD</t>
        </is>
      </c>
      <c r="F218" t="inlineStr">
        <is>
          <t>10-K</t>
        </is>
      </c>
      <c r="G218" t="inlineStr">
        <is>
          <t>0000048039-22-000014</t>
        </is>
      </c>
      <c r="H218" t="inlineStr">
        <is>
          <t>PaymentsOfDividendsCommonStock</t>
        </is>
      </c>
      <c r="I218" t="inlineStr">
        <is>
          <t>https://www.sec.gov/Archives/edgar/data/48039/000004803922000014/</t>
        </is>
      </c>
      <c r="J218">
        <f>D218/1e9</f>
        <v/>
      </c>
    </row>
    <row r="219">
      <c r="A219" t="inlineStr">
        <is>
          <t>HF Sinclair (2022-)</t>
        </is>
      </c>
      <c r="B219" t="inlineStr">
        <is>
          <t>Net income attributable to company</t>
        </is>
      </c>
      <c r="C219" t="inlineStr">
        <is>
          <t>2026 H1 (Jan-Jun)</t>
        </is>
      </c>
      <c r="D219" t="n">
        <v>1540000000</v>
      </c>
      <c r="E219" t="inlineStr">
        <is>
          <t>USD</t>
        </is>
      </c>
      <c r="F219" t="inlineStr">
        <is>
          <t>10-Q</t>
        </is>
      </c>
      <c r="G219" t="inlineStr">
        <is>
          <t>0001915657-26-000057</t>
        </is>
      </c>
      <c r="H219" t="inlineStr">
        <is>
          <t>NetIncomeLoss</t>
        </is>
      </c>
      <c r="I219" t="inlineStr">
        <is>
          <t>https://www.sec.gov/Archives/edgar/data/1915657/000191565726000057/</t>
        </is>
      </c>
      <c r="J219">
        <f>D219/1e9</f>
        <v/>
      </c>
    </row>
    <row r="220">
      <c r="A220" t="inlineStr">
        <is>
          <t>HF Sinclair (2022-)</t>
        </is>
      </c>
      <c r="B220" t="inlineStr">
        <is>
          <t>Net income attributable to company</t>
        </is>
      </c>
      <c r="C220" t="inlineStr">
        <is>
          <t>2022</t>
        </is>
      </c>
      <c r="D220" t="n">
        <v>2923000000</v>
      </c>
      <c r="E220" t="inlineStr">
        <is>
          <t>USD</t>
        </is>
      </c>
      <c r="F220" t="inlineStr">
        <is>
          <t>10-K</t>
        </is>
      </c>
      <c r="G220" t="inlineStr">
        <is>
          <t>0001915657-25-000019</t>
        </is>
      </c>
      <c r="H220" t="inlineStr">
        <is>
          <t>NetIncomeLoss</t>
        </is>
      </c>
      <c r="I220" t="inlineStr">
        <is>
          <t>https://www.sec.gov/Archives/edgar/data/1915657/000191565725000019/</t>
        </is>
      </c>
      <c r="J220">
        <f>D220/1e9</f>
        <v/>
      </c>
    </row>
    <row r="221">
      <c r="A221" t="inlineStr">
        <is>
          <t>HF Sinclair (2022-)</t>
        </is>
      </c>
      <c r="B221" t="inlineStr">
        <is>
          <t>Net income attributable to company</t>
        </is>
      </c>
      <c r="C221" t="inlineStr">
        <is>
          <t>2023</t>
        </is>
      </c>
      <c r="D221" t="n">
        <v>1590000000</v>
      </c>
      <c r="E221" t="inlineStr">
        <is>
          <t>USD</t>
        </is>
      </c>
      <c r="F221" t="inlineStr">
        <is>
          <t>10-K</t>
        </is>
      </c>
      <c r="G221" t="inlineStr">
        <is>
          <t>0001915657-26-000016</t>
        </is>
      </c>
      <c r="H221" t="inlineStr">
        <is>
          <t>NetIncomeLoss</t>
        </is>
      </c>
      <c r="I221" t="inlineStr">
        <is>
          <t>https://www.sec.gov/Archives/edgar/data/1915657/000191565726000016/</t>
        </is>
      </c>
      <c r="J221">
        <f>D221/1e9</f>
        <v/>
      </c>
    </row>
    <row r="222">
      <c r="A222" t="inlineStr">
        <is>
          <t>HF Sinclair (2022-)</t>
        </is>
      </c>
      <c r="B222" t="inlineStr">
        <is>
          <t>Net income attributable to company</t>
        </is>
      </c>
      <c r="C222" t="inlineStr">
        <is>
          <t>2024</t>
        </is>
      </c>
      <c r="D222" t="n">
        <v>177000000</v>
      </c>
      <c r="E222" t="inlineStr">
        <is>
          <t>USD</t>
        </is>
      </c>
      <c r="F222" t="inlineStr">
        <is>
          <t>10-K</t>
        </is>
      </c>
      <c r="G222" t="inlineStr">
        <is>
          <t>0001915657-26-000016</t>
        </is>
      </c>
      <c r="H222" t="inlineStr">
        <is>
          <t>NetIncomeLoss</t>
        </is>
      </c>
      <c r="I222" t="inlineStr">
        <is>
          <t>https://www.sec.gov/Archives/edgar/data/1915657/000191565726000016/</t>
        </is>
      </c>
      <c r="J222">
        <f>D222/1e9</f>
        <v/>
      </c>
    </row>
    <row r="223">
      <c r="A223" t="inlineStr">
        <is>
          <t>HF Sinclair (2022-)</t>
        </is>
      </c>
      <c r="B223" t="inlineStr">
        <is>
          <t>Net income attributable to company</t>
        </is>
      </c>
      <c r="C223" t="inlineStr">
        <is>
          <t>2025</t>
        </is>
      </c>
      <c r="D223" t="n">
        <v>579000000</v>
      </c>
      <c r="E223" t="inlineStr">
        <is>
          <t>USD</t>
        </is>
      </c>
      <c r="F223" t="inlineStr">
        <is>
          <t>10-K</t>
        </is>
      </c>
      <c r="G223" t="inlineStr">
        <is>
          <t>0001915657-26-000016</t>
        </is>
      </c>
      <c r="H223" t="inlineStr">
        <is>
          <t>NetIncomeLoss</t>
        </is>
      </c>
      <c r="I223" t="inlineStr">
        <is>
          <t>https://www.sec.gov/Archives/edgar/data/1915657/000191565726000016/</t>
        </is>
      </c>
      <c r="J223">
        <f>D223/1e9</f>
        <v/>
      </c>
    </row>
    <row r="224">
      <c r="A224" t="inlineStr">
        <is>
          <t>HF Sinclair (2022-)</t>
        </is>
      </c>
      <c r="B224" t="inlineStr">
        <is>
          <t>Net income attributable to company</t>
        </is>
      </c>
      <c r="C224" t="inlineStr">
        <is>
          <t>2025Q2</t>
        </is>
      </c>
      <c r="D224" t="n">
        <v>208000000</v>
      </c>
      <c r="E224" t="inlineStr">
        <is>
          <t>USD</t>
        </is>
      </c>
      <c r="F224" t="inlineStr">
        <is>
          <t>10-Q</t>
        </is>
      </c>
      <c r="G224" t="inlineStr">
        <is>
          <t>0001915657-26-000057</t>
        </is>
      </c>
      <c r="H224" t="inlineStr">
        <is>
          <t>NetIncomeLoss</t>
        </is>
      </c>
      <c r="I224" t="inlineStr">
        <is>
          <t>https://www.sec.gov/Archives/edgar/data/1915657/000191565726000057/</t>
        </is>
      </c>
      <c r="J224">
        <f>D224/1e9</f>
        <v/>
      </c>
    </row>
    <row r="225">
      <c r="A225" t="inlineStr">
        <is>
          <t>HF Sinclair (2022-)</t>
        </is>
      </c>
      <c r="B225" t="inlineStr">
        <is>
          <t>Net income attributable to company</t>
        </is>
      </c>
      <c r="C225" t="inlineStr">
        <is>
          <t>2026Q2</t>
        </is>
      </c>
      <c r="D225" t="n">
        <v>892000000</v>
      </c>
      <c r="E225" t="inlineStr">
        <is>
          <t>USD</t>
        </is>
      </c>
      <c r="F225" t="inlineStr">
        <is>
          <t>10-Q</t>
        </is>
      </c>
      <c r="G225" t="inlineStr">
        <is>
          <t>0001915657-26-000057</t>
        </is>
      </c>
      <c r="H225" t="inlineStr">
        <is>
          <t>NetIncomeLoss</t>
        </is>
      </c>
      <c r="I225" t="inlineStr">
        <is>
          <t>https://www.sec.gov/Archives/edgar/data/1915657/000191565726000057/</t>
        </is>
      </c>
      <c r="J225">
        <f>D225/1e9</f>
        <v/>
      </c>
    </row>
    <row r="226">
      <c r="A226" t="inlineStr">
        <is>
          <t>HF Sinclair (2022-)</t>
        </is>
      </c>
      <c r="B226" t="inlineStr">
        <is>
          <t>Share buybacks (cash paid)</t>
        </is>
      </c>
      <c r="C226" t="inlineStr">
        <is>
          <t>2026 H1 (Jan-Jun)</t>
        </is>
      </c>
      <c r="D226" t="n">
        <v>255000000</v>
      </c>
      <c r="E226" t="inlineStr">
        <is>
          <t>USD</t>
        </is>
      </c>
      <c r="F226" t="inlineStr">
        <is>
          <t>10-Q</t>
        </is>
      </c>
      <c r="G226" t="inlineStr">
        <is>
          <t>0001915657-26-000057</t>
        </is>
      </c>
      <c r="H226" t="inlineStr">
        <is>
          <t>PaymentsForRepurchaseOfCommonStock</t>
        </is>
      </c>
      <c r="I226" t="inlineStr">
        <is>
          <t>https://www.sec.gov/Archives/edgar/data/1915657/000191565726000057/</t>
        </is>
      </c>
      <c r="J226">
        <f>D226/1e9</f>
        <v/>
      </c>
    </row>
    <row r="227">
      <c r="A227" t="inlineStr">
        <is>
          <t>HF Sinclair (2022-)</t>
        </is>
      </c>
      <c r="B227" t="inlineStr">
        <is>
          <t>Share buybacks (cash paid)</t>
        </is>
      </c>
      <c r="C227" t="inlineStr">
        <is>
          <t>2022</t>
        </is>
      </c>
      <c r="D227" t="n">
        <v>1372000000</v>
      </c>
      <c r="E227" t="inlineStr">
        <is>
          <t>USD</t>
        </is>
      </c>
      <c r="F227" t="inlineStr">
        <is>
          <t>10-K</t>
        </is>
      </c>
      <c r="G227" t="inlineStr">
        <is>
          <t>0001915657-25-000019</t>
        </is>
      </c>
      <c r="H227" t="inlineStr">
        <is>
          <t>PaymentsForRepurchaseOfCommonStock</t>
        </is>
      </c>
      <c r="I227" t="inlineStr">
        <is>
          <t>https://www.sec.gov/Archives/edgar/data/1915657/000191565725000019/</t>
        </is>
      </c>
      <c r="J227">
        <f>D227/1e9</f>
        <v/>
      </c>
    </row>
    <row r="228">
      <c r="A228" t="inlineStr">
        <is>
          <t>HF Sinclair (2022-)</t>
        </is>
      </c>
      <c r="B228" t="inlineStr">
        <is>
          <t>Share buybacks (cash paid)</t>
        </is>
      </c>
      <c r="C228" t="inlineStr">
        <is>
          <t>2023</t>
        </is>
      </c>
      <c r="D228" t="n">
        <v>999000000</v>
      </c>
      <c r="E228" t="inlineStr">
        <is>
          <t>USD</t>
        </is>
      </c>
      <c r="F228" t="inlineStr">
        <is>
          <t>10-K</t>
        </is>
      </c>
      <c r="G228" t="inlineStr">
        <is>
          <t>0001915657-26-000016</t>
        </is>
      </c>
      <c r="H228" t="inlineStr">
        <is>
          <t>PaymentsForRepurchaseOfCommonStock</t>
        </is>
      </c>
      <c r="I228" t="inlineStr">
        <is>
          <t>https://www.sec.gov/Archives/edgar/data/1915657/000191565726000016/</t>
        </is>
      </c>
      <c r="J228">
        <f>D228/1e9</f>
        <v/>
      </c>
    </row>
    <row r="229">
      <c r="A229" t="inlineStr">
        <is>
          <t>HF Sinclair (2022-)</t>
        </is>
      </c>
      <c r="B229" t="inlineStr">
        <is>
          <t>Share buybacks (cash paid)</t>
        </is>
      </c>
      <c r="C229" t="inlineStr">
        <is>
          <t>2024</t>
        </is>
      </c>
      <c r="D229" t="n">
        <v>672000000</v>
      </c>
      <c r="E229" t="inlineStr">
        <is>
          <t>USD</t>
        </is>
      </c>
      <c r="F229" t="inlineStr">
        <is>
          <t>10-K</t>
        </is>
      </c>
      <c r="G229" t="inlineStr">
        <is>
          <t>0001915657-26-000016</t>
        </is>
      </c>
      <c r="H229" t="inlineStr">
        <is>
          <t>PaymentsForRepurchaseOfCommonStock</t>
        </is>
      </c>
      <c r="I229" t="inlineStr">
        <is>
          <t>https://www.sec.gov/Archives/edgar/data/1915657/000191565726000016/</t>
        </is>
      </c>
      <c r="J229">
        <f>D229/1e9</f>
        <v/>
      </c>
    </row>
    <row r="230">
      <c r="A230" t="inlineStr">
        <is>
          <t>HF Sinclair (2022-)</t>
        </is>
      </c>
      <c r="B230" t="inlineStr">
        <is>
          <t>Share buybacks (cash paid)</t>
        </is>
      </c>
      <c r="C230" t="inlineStr">
        <is>
          <t>2025</t>
        </is>
      </c>
      <c r="D230" t="n">
        <v>354000000</v>
      </c>
      <c r="E230" t="inlineStr">
        <is>
          <t>USD</t>
        </is>
      </c>
      <c r="F230" t="inlineStr">
        <is>
          <t>10-K</t>
        </is>
      </c>
      <c r="G230" t="inlineStr">
        <is>
          <t>0001915657-26-000016</t>
        </is>
      </c>
      <c r="H230" t="inlineStr">
        <is>
          <t>PaymentsForRepurchaseOfCommonStock</t>
        </is>
      </c>
      <c r="I230" t="inlineStr">
        <is>
          <t>https://www.sec.gov/Archives/edgar/data/1915657/000191565726000016/</t>
        </is>
      </c>
      <c r="J230">
        <f>D230/1e9</f>
        <v/>
      </c>
    </row>
    <row r="231">
      <c r="A231" t="inlineStr">
        <is>
          <t>HF Sinclair (2022-)</t>
        </is>
      </c>
      <c r="B231" t="inlineStr">
        <is>
          <t>Dividends paid to common (cash)</t>
        </is>
      </c>
      <c r="C231" t="inlineStr">
        <is>
          <t>2026 H1 (Jan-Jun)</t>
        </is>
      </c>
      <c r="D231" t="n">
        <v>180000000</v>
      </c>
      <c r="E231" t="inlineStr">
        <is>
          <t>USD</t>
        </is>
      </c>
      <c r="F231" t="inlineStr">
        <is>
          <t>10-Q</t>
        </is>
      </c>
      <c r="G231" t="inlineStr">
        <is>
          <t>0001915657-26-000057</t>
        </is>
      </c>
      <c r="H231" t="inlineStr">
        <is>
          <t>PaymentsOfDividendsCommonStock</t>
        </is>
      </c>
      <c r="I231" t="inlineStr">
        <is>
          <t>https://www.sec.gov/Archives/edgar/data/1915657/000191565726000057/</t>
        </is>
      </c>
      <c r="J231">
        <f>D231/1e9</f>
        <v/>
      </c>
    </row>
    <row r="232">
      <c r="A232" t="inlineStr">
        <is>
          <t>HF Sinclair (2022-)</t>
        </is>
      </c>
      <c r="B232" t="inlineStr">
        <is>
          <t>Dividends paid to common (cash)</t>
        </is>
      </c>
      <c r="C232" t="inlineStr">
        <is>
          <t>2022</t>
        </is>
      </c>
      <c r="D232" t="n">
        <v>256000000</v>
      </c>
      <c r="E232" t="inlineStr">
        <is>
          <t>USD</t>
        </is>
      </c>
      <c r="F232" t="inlineStr">
        <is>
          <t>10-K</t>
        </is>
      </c>
      <c r="G232" t="inlineStr">
        <is>
          <t>0001915657-25-000019</t>
        </is>
      </c>
      <c r="H232" t="inlineStr">
        <is>
          <t>PaymentsOfDividendsCommonStock</t>
        </is>
      </c>
      <c r="I232" t="inlineStr">
        <is>
          <t>https://www.sec.gov/Archives/edgar/data/1915657/000191565725000019/</t>
        </is>
      </c>
      <c r="J232">
        <f>D232/1e9</f>
        <v/>
      </c>
    </row>
    <row r="233">
      <c r="A233" t="inlineStr">
        <is>
          <t>HF Sinclair (2022-)</t>
        </is>
      </c>
      <c r="B233" t="inlineStr">
        <is>
          <t>Dividends paid to common (cash)</t>
        </is>
      </c>
      <c r="C233" t="inlineStr">
        <is>
          <t>2023</t>
        </is>
      </c>
      <c r="D233" t="n">
        <v>341000000</v>
      </c>
      <c r="E233" t="inlineStr">
        <is>
          <t>USD</t>
        </is>
      </c>
      <c r="F233" t="inlineStr">
        <is>
          <t>10-K</t>
        </is>
      </c>
      <c r="G233" t="inlineStr">
        <is>
          <t>0001915657-26-000016</t>
        </is>
      </c>
      <c r="H233" t="inlineStr">
        <is>
          <t>PaymentsOfDividendsCommonStock</t>
        </is>
      </c>
      <c r="I233" t="inlineStr">
        <is>
          <t>https://www.sec.gov/Archives/edgar/data/1915657/000191565726000016/</t>
        </is>
      </c>
      <c r="J233">
        <f>D233/1e9</f>
        <v/>
      </c>
    </row>
    <row r="234">
      <c r="A234" t="inlineStr">
        <is>
          <t>HF Sinclair (2022-)</t>
        </is>
      </c>
      <c r="B234" t="inlineStr">
        <is>
          <t>Dividends paid to common (cash)</t>
        </is>
      </c>
      <c r="C234" t="inlineStr">
        <is>
          <t>2024</t>
        </is>
      </c>
      <c r="D234" t="n">
        <v>386000000</v>
      </c>
      <c r="E234" t="inlineStr">
        <is>
          <t>USD</t>
        </is>
      </c>
      <c r="F234" t="inlineStr">
        <is>
          <t>10-K</t>
        </is>
      </c>
      <c r="G234" t="inlineStr">
        <is>
          <t>0001915657-26-000016</t>
        </is>
      </c>
      <c r="H234" t="inlineStr">
        <is>
          <t>PaymentsOfDividendsCommonStock</t>
        </is>
      </c>
      <c r="I234" t="inlineStr">
        <is>
          <t>https://www.sec.gov/Archives/edgar/data/1915657/000191565726000016/</t>
        </is>
      </c>
      <c r="J234">
        <f>D234/1e9</f>
        <v/>
      </c>
    </row>
    <row r="235">
      <c r="A235" t="inlineStr">
        <is>
          <t>HF Sinclair (2022-)</t>
        </is>
      </c>
      <c r="B235" t="inlineStr">
        <is>
          <t>Dividends paid to common (cash)</t>
        </is>
      </c>
      <c r="C235" t="inlineStr">
        <is>
          <t>2025</t>
        </is>
      </c>
      <c r="D235" t="n">
        <v>376000000</v>
      </c>
      <c r="E235" t="inlineStr">
        <is>
          <t>USD</t>
        </is>
      </c>
      <c r="F235" t="inlineStr">
        <is>
          <t>10-K</t>
        </is>
      </c>
      <c r="G235" t="inlineStr">
        <is>
          <t>0001915657-26-000016</t>
        </is>
      </c>
      <c r="H235" t="inlineStr">
        <is>
          <t>PaymentsOfDividendsCommonStock</t>
        </is>
      </c>
      <c r="I235" t="inlineStr">
        <is>
          <t>https://www.sec.gov/Archives/edgar/data/1915657/000191565726000016/</t>
        </is>
      </c>
      <c r="J235">
        <f>D235/1e9</f>
        <v/>
      </c>
    </row>
    <row r="236">
      <c r="A236" t="inlineStr">
        <is>
          <t>Suncor Energy (whole company, CAD, IFRS; 40-F)</t>
        </is>
      </c>
      <c r="B236" t="inlineStr">
        <is>
          <t>Net income (profit or loss, incl. minority)</t>
        </is>
      </c>
      <c r="C236" t="inlineStr">
        <is>
          <t>2016</t>
        </is>
      </c>
      <c r="D236" t="n">
        <v>445000000</v>
      </c>
      <c r="E236" t="inlineStr">
        <is>
          <t>CAD</t>
        </is>
      </c>
      <c r="F236" t="inlineStr">
        <is>
          <t>40-F</t>
        </is>
      </c>
      <c r="G236" t="inlineStr">
        <is>
          <t>0001047469-18-001219</t>
        </is>
      </c>
      <c r="H236" t="inlineStr">
        <is>
          <t>ProfitLoss</t>
        </is>
      </c>
      <c r="I236" t="inlineStr">
        <is>
          <t>https://www.sec.gov/Archives/edgar/data/311337/000104746918001219/</t>
        </is>
      </c>
      <c r="J236">
        <f>D236/1e9</f>
        <v/>
      </c>
    </row>
    <row r="237">
      <c r="A237" t="inlineStr">
        <is>
          <t>Suncor Energy (whole company, CAD, IFRS; 40-F)</t>
        </is>
      </c>
      <c r="B237" t="inlineStr">
        <is>
          <t>Net income (profit or loss, incl. minority)</t>
        </is>
      </c>
      <c r="C237" t="inlineStr">
        <is>
          <t>2017</t>
        </is>
      </c>
      <c r="D237" t="n">
        <v>4458000000</v>
      </c>
      <c r="E237" t="inlineStr">
        <is>
          <t>CAD</t>
        </is>
      </c>
      <c r="F237" t="inlineStr">
        <is>
          <t>40-F</t>
        </is>
      </c>
      <c r="G237" t="inlineStr">
        <is>
          <t>0001047469-19-000800</t>
        </is>
      </c>
      <c r="H237" t="inlineStr">
        <is>
          <t>ProfitLoss</t>
        </is>
      </c>
      <c r="I237" t="inlineStr">
        <is>
          <t>https://www.sec.gov/Archives/edgar/data/311337/000104746919000800/</t>
        </is>
      </c>
      <c r="J237">
        <f>D237/1e9</f>
        <v/>
      </c>
    </row>
    <row r="238">
      <c r="A238" t="inlineStr">
        <is>
          <t>Suncor Energy (whole company, CAD, IFRS; 40-F)</t>
        </is>
      </c>
      <c r="B238" t="inlineStr">
        <is>
          <t>Net income (profit or loss, incl. minority)</t>
        </is>
      </c>
      <c r="C238" t="inlineStr">
        <is>
          <t>2018</t>
        </is>
      </c>
      <c r="D238" t="n">
        <v>3293000000</v>
      </c>
      <c r="E238" t="inlineStr">
        <is>
          <t>CAD</t>
        </is>
      </c>
      <c r="F238" t="inlineStr">
        <is>
          <t>40-F</t>
        </is>
      </c>
      <c r="G238" t="inlineStr">
        <is>
          <t>0001047469-20-001091</t>
        </is>
      </c>
      <c r="H238" t="inlineStr">
        <is>
          <t>ProfitLoss</t>
        </is>
      </c>
      <c r="I238" t="inlineStr">
        <is>
          <t>https://www.sec.gov/Archives/edgar/data/311337/000104746920001091/</t>
        </is>
      </c>
      <c r="J238">
        <f>D238/1e9</f>
        <v/>
      </c>
    </row>
    <row r="239">
      <c r="A239" t="inlineStr">
        <is>
          <t>Suncor Energy (whole company, CAD, IFRS; 40-F)</t>
        </is>
      </c>
      <c r="B239" t="inlineStr">
        <is>
          <t>Net income (profit or loss, incl. minority)</t>
        </is>
      </c>
      <c r="C239" t="inlineStr">
        <is>
          <t>2019</t>
        </is>
      </c>
      <c r="D239" t="n">
        <v>2899000000</v>
      </c>
      <c r="E239" t="inlineStr">
        <is>
          <t>CAD</t>
        </is>
      </c>
      <c r="F239" t="inlineStr">
        <is>
          <t>40-F</t>
        </is>
      </c>
      <c r="G239" t="inlineStr">
        <is>
          <t>0001047469-21-000459</t>
        </is>
      </c>
      <c r="H239" t="inlineStr">
        <is>
          <t>ProfitLoss</t>
        </is>
      </c>
      <c r="I239" t="inlineStr">
        <is>
          <t>https://www.sec.gov/Archives/edgar/data/311337/000104746921000459/</t>
        </is>
      </c>
      <c r="J239">
        <f>D239/1e9</f>
        <v/>
      </c>
    </row>
    <row r="240">
      <c r="A240" t="inlineStr">
        <is>
          <t>Suncor Energy (whole company, CAD, IFRS; 40-F)</t>
        </is>
      </c>
      <c r="B240" t="inlineStr">
        <is>
          <t>Net income (profit or loss, incl. minority)</t>
        </is>
      </c>
      <c r="C240" t="inlineStr">
        <is>
          <t>2020</t>
        </is>
      </c>
      <c r="D240" t="n">
        <v>-4319000000</v>
      </c>
      <c r="E240" t="inlineStr">
        <is>
          <t>CAD</t>
        </is>
      </c>
      <c r="F240" t="inlineStr">
        <is>
          <t>40-F</t>
        </is>
      </c>
      <c r="G240" t="inlineStr">
        <is>
          <t>0001558370-22-002013</t>
        </is>
      </c>
      <c r="H240" t="inlineStr">
        <is>
          <t>ProfitLoss</t>
        </is>
      </c>
      <c r="I240" t="inlineStr">
        <is>
          <t>https://www.sec.gov/Archives/edgar/data/311337/000155837022002013/</t>
        </is>
      </c>
      <c r="J240">
        <f>D240/1e9</f>
        <v/>
      </c>
    </row>
    <row r="241">
      <c r="A241" t="inlineStr">
        <is>
          <t>Suncor Energy (whole company, CAD, IFRS; 40-F)</t>
        </is>
      </c>
      <c r="B241" t="inlineStr">
        <is>
          <t>Net income (profit or loss, incl. minority)</t>
        </is>
      </c>
      <c r="C241" t="inlineStr">
        <is>
          <t>2021</t>
        </is>
      </c>
      <c r="D241" t="n">
        <v>4119000000</v>
      </c>
      <c r="E241" t="inlineStr">
        <is>
          <t>CAD</t>
        </is>
      </c>
      <c r="F241" t="inlineStr">
        <is>
          <t>40-F</t>
        </is>
      </c>
      <c r="G241" t="inlineStr">
        <is>
          <t>0001558370-23-002962</t>
        </is>
      </c>
      <c r="H241" t="inlineStr">
        <is>
          <t>ProfitLoss</t>
        </is>
      </c>
      <c r="I241" t="inlineStr">
        <is>
          <t>https://www.sec.gov/Archives/edgar/data/311337/000155837023002962/</t>
        </is>
      </c>
      <c r="J241">
        <f>D241/1e9</f>
        <v/>
      </c>
    </row>
    <row r="242">
      <c r="A242" t="inlineStr">
        <is>
          <t>Suncor Energy (whole company, CAD, IFRS; 40-F)</t>
        </is>
      </c>
      <c r="B242" t="inlineStr">
        <is>
          <t>Net income (profit or loss, incl. minority)</t>
        </is>
      </c>
      <c r="C242" t="inlineStr">
        <is>
          <t>2022</t>
        </is>
      </c>
      <c r="D242" t="n">
        <v>9077000000</v>
      </c>
      <c r="E242" t="inlineStr">
        <is>
          <t>CAD</t>
        </is>
      </c>
      <c r="F242" t="inlineStr">
        <is>
          <t>40-F</t>
        </is>
      </c>
      <c r="G242" t="inlineStr">
        <is>
          <t>0001558370-24-003724</t>
        </is>
      </c>
      <c r="H242" t="inlineStr">
        <is>
          <t>ProfitLoss</t>
        </is>
      </c>
      <c r="I242" t="inlineStr">
        <is>
          <t>https://www.sec.gov/Archives/edgar/data/311337/000155837024003724/</t>
        </is>
      </c>
      <c r="J242">
        <f>D242/1e9</f>
        <v/>
      </c>
    </row>
    <row r="243">
      <c r="A243" t="inlineStr">
        <is>
          <t>Suncor Energy (whole company, CAD, IFRS; 40-F)</t>
        </is>
      </c>
      <c r="B243" t="inlineStr">
        <is>
          <t>Net income (profit or loss, incl. minority)</t>
        </is>
      </c>
      <c r="C243" t="inlineStr">
        <is>
          <t>2023</t>
        </is>
      </c>
      <c r="D243" t="n">
        <v>8295000000</v>
      </c>
      <c r="E243" t="inlineStr">
        <is>
          <t>CAD</t>
        </is>
      </c>
      <c r="F243" t="inlineStr">
        <is>
          <t>40-F</t>
        </is>
      </c>
      <c r="G243" t="inlineStr">
        <is>
          <t>0001558370-25-001644</t>
        </is>
      </c>
      <c r="H243" t="inlineStr">
        <is>
          <t>ProfitLoss</t>
        </is>
      </c>
      <c r="I243" t="inlineStr">
        <is>
          <t>https://www.sec.gov/Archives/edgar/data/311337/000155837025001644/</t>
        </is>
      </c>
      <c r="J243">
        <f>D243/1e9</f>
        <v/>
      </c>
    </row>
    <row r="244">
      <c r="A244" t="inlineStr">
        <is>
          <t>Suncor Energy (whole company, CAD, IFRS; 40-F)</t>
        </is>
      </c>
      <c r="B244" t="inlineStr">
        <is>
          <t>Net income (profit or loss, incl. minority)</t>
        </is>
      </c>
      <c r="C244" t="inlineStr">
        <is>
          <t>2024</t>
        </is>
      </c>
      <c r="D244" t="n">
        <v>6016000000</v>
      </c>
      <c r="E244" t="inlineStr">
        <is>
          <t>CAD</t>
        </is>
      </c>
      <c r="F244" t="inlineStr">
        <is>
          <t>40-F</t>
        </is>
      </c>
      <c r="G244" t="inlineStr">
        <is>
          <t>0001104659-26-020411</t>
        </is>
      </c>
      <c r="H244" t="inlineStr">
        <is>
          <t>ProfitLoss</t>
        </is>
      </c>
      <c r="I244" t="inlineStr">
        <is>
          <t>https://www.sec.gov/Archives/edgar/data/311337/000110465926020411/</t>
        </is>
      </c>
      <c r="J244">
        <f>D244/1e9</f>
        <v/>
      </c>
    </row>
    <row r="245">
      <c r="A245" t="inlineStr">
        <is>
          <t>Suncor Energy (whole company, CAD, IFRS; 40-F)</t>
        </is>
      </c>
      <c r="B245" t="inlineStr">
        <is>
          <t>Net income (profit or loss, incl. minority)</t>
        </is>
      </c>
      <c r="C245" t="inlineStr">
        <is>
          <t>2025</t>
        </is>
      </c>
      <c r="D245" t="n">
        <v>5918000000</v>
      </c>
      <c r="E245" t="inlineStr">
        <is>
          <t>CAD</t>
        </is>
      </c>
      <c r="F245" t="inlineStr">
        <is>
          <t>40-F</t>
        </is>
      </c>
      <c r="G245" t="inlineStr">
        <is>
          <t>0001104659-26-020411</t>
        </is>
      </c>
      <c r="H245" t="inlineStr">
        <is>
          <t>ProfitLoss</t>
        </is>
      </c>
      <c r="I245" t="inlineStr">
        <is>
          <t>https://www.sec.gov/Archives/edgar/data/311337/000110465926020411/</t>
        </is>
      </c>
      <c r="J245">
        <f>D245/1e9</f>
        <v/>
      </c>
    </row>
    <row r="246">
      <c r="A246" t="inlineStr">
        <is>
          <t>Suncor Energy (whole company, CAD, IFRS; 40-F)</t>
        </is>
      </c>
      <c r="B246" t="inlineStr">
        <is>
          <t>Share buybacks (cash paid)</t>
        </is>
      </c>
      <c r="C246" t="inlineStr">
        <is>
          <t>2019</t>
        </is>
      </c>
      <c r="D246" t="n">
        <v>2274000000</v>
      </c>
      <c r="E246" t="inlineStr">
        <is>
          <t>CAD</t>
        </is>
      </c>
      <c r="F246" t="inlineStr">
        <is>
          <t>40-F</t>
        </is>
      </c>
      <c r="G246" t="inlineStr">
        <is>
          <t>0001047469-21-000459</t>
        </is>
      </c>
      <c r="H246" t="inlineStr">
        <is>
          <t>PaymentsToAcquireOrRedeemEntitysShares</t>
        </is>
      </c>
      <c r="I246" t="inlineStr">
        <is>
          <t>https://www.sec.gov/Archives/edgar/data/311337/000104746921000459/</t>
        </is>
      </c>
      <c r="J246">
        <f>D246/1e9</f>
        <v/>
      </c>
    </row>
    <row r="247">
      <c r="A247" t="inlineStr">
        <is>
          <t>Suncor Energy (whole company, CAD, IFRS; 40-F)</t>
        </is>
      </c>
      <c r="B247" t="inlineStr">
        <is>
          <t>Share buybacks (cash paid)</t>
        </is>
      </c>
      <c r="C247" t="inlineStr">
        <is>
          <t>2020</t>
        </is>
      </c>
      <c r="D247" t="n">
        <v>307000000</v>
      </c>
      <c r="E247" t="inlineStr">
        <is>
          <t>CAD</t>
        </is>
      </c>
      <c r="F247" t="inlineStr">
        <is>
          <t>40-F</t>
        </is>
      </c>
      <c r="G247" t="inlineStr">
        <is>
          <t>0001558370-22-002013</t>
        </is>
      </c>
      <c r="H247" t="inlineStr">
        <is>
          <t>PaymentsToAcquireOrRedeemEntitysShares</t>
        </is>
      </c>
      <c r="I247" t="inlineStr">
        <is>
          <t>https://www.sec.gov/Archives/edgar/data/311337/000155837022002013/</t>
        </is>
      </c>
      <c r="J247">
        <f>D247/1e9</f>
        <v/>
      </c>
    </row>
    <row r="248">
      <c r="A248" t="inlineStr">
        <is>
          <t>Suncor Energy (whole company, CAD, IFRS; 40-F)</t>
        </is>
      </c>
      <c r="B248" t="inlineStr">
        <is>
          <t>Share buybacks (cash paid)</t>
        </is>
      </c>
      <c r="C248" t="inlineStr">
        <is>
          <t>2021</t>
        </is>
      </c>
      <c r="D248" t="n">
        <v>2304000000</v>
      </c>
      <c r="E248" t="inlineStr">
        <is>
          <t>CAD</t>
        </is>
      </c>
      <c r="F248" t="inlineStr">
        <is>
          <t>40-F</t>
        </is>
      </c>
      <c r="G248" t="inlineStr">
        <is>
          <t>0001558370-23-002962</t>
        </is>
      </c>
      <c r="H248" t="inlineStr">
        <is>
          <t>PaymentsToAcquireOrRedeemEntitysShares</t>
        </is>
      </c>
      <c r="I248" t="inlineStr">
        <is>
          <t>https://www.sec.gov/Archives/edgar/data/311337/000155837023002962/</t>
        </is>
      </c>
      <c r="J248">
        <f>D248/1e9</f>
        <v/>
      </c>
    </row>
    <row r="249">
      <c r="A249" t="inlineStr">
        <is>
          <t>Suncor Energy (whole company, CAD, IFRS; 40-F)</t>
        </is>
      </c>
      <c r="B249" t="inlineStr">
        <is>
          <t>Share buybacks (cash paid)</t>
        </is>
      </c>
      <c r="C249" t="inlineStr">
        <is>
          <t>2022</t>
        </is>
      </c>
      <c r="D249" t="n">
        <v>5135000000</v>
      </c>
      <c r="E249" t="inlineStr">
        <is>
          <t>CAD</t>
        </is>
      </c>
      <c r="F249" t="inlineStr">
        <is>
          <t>40-F</t>
        </is>
      </c>
      <c r="G249" t="inlineStr">
        <is>
          <t>0001558370-24-003724</t>
        </is>
      </c>
      <c r="H249" t="inlineStr">
        <is>
          <t>PaymentsToAcquireOrRedeemEntitysShares</t>
        </is>
      </c>
      <c r="I249" t="inlineStr">
        <is>
          <t>https://www.sec.gov/Archives/edgar/data/311337/000155837024003724/</t>
        </is>
      </c>
      <c r="J249">
        <f>D249/1e9</f>
        <v/>
      </c>
    </row>
    <row r="250">
      <c r="A250" t="inlineStr">
        <is>
          <t>Suncor Energy (whole company, CAD, IFRS; 40-F)</t>
        </is>
      </c>
      <c r="B250" t="inlineStr">
        <is>
          <t>Share buybacks (cash paid)</t>
        </is>
      </c>
      <c r="C250" t="inlineStr">
        <is>
          <t>2023</t>
        </is>
      </c>
      <c r="D250" t="n">
        <v>2233000000</v>
      </c>
      <c r="E250" t="inlineStr">
        <is>
          <t>CAD</t>
        </is>
      </c>
      <c r="F250" t="inlineStr">
        <is>
          <t>40-F</t>
        </is>
      </c>
      <c r="G250" t="inlineStr">
        <is>
          <t>0001558370-25-001644</t>
        </is>
      </c>
      <c r="H250" t="inlineStr">
        <is>
          <t>PaymentsToAcquireOrRedeemEntitysShares</t>
        </is>
      </c>
      <c r="I250" t="inlineStr">
        <is>
          <t>https://www.sec.gov/Archives/edgar/data/311337/000155837025001644/</t>
        </is>
      </c>
      <c r="J250">
        <f>D250/1e9</f>
        <v/>
      </c>
    </row>
    <row r="251">
      <c r="A251" t="inlineStr">
        <is>
          <t>Suncor Energy (whole company, CAD, IFRS; 40-F)</t>
        </is>
      </c>
      <c r="B251" t="inlineStr">
        <is>
          <t>Share buybacks (cash paid)</t>
        </is>
      </c>
      <c r="C251" t="inlineStr">
        <is>
          <t>2024</t>
        </is>
      </c>
      <c r="D251" t="n">
        <v>2908000000</v>
      </c>
      <c r="E251" t="inlineStr">
        <is>
          <t>CAD</t>
        </is>
      </c>
      <c r="F251" t="inlineStr">
        <is>
          <t>40-F</t>
        </is>
      </c>
      <c r="G251" t="inlineStr">
        <is>
          <t>0001104659-26-020411</t>
        </is>
      </c>
      <c r="H251" t="inlineStr">
        <is>
          <t>PaymentsToAcquireOrRedeemEntitysShares</t>
        </is>
      </c>
      <c r="I251" t="inlineStr">
        <is>
          <t>https://www.sec.gov/Archives/edgar/data/311337/000110465926020411/</t>
        </is>
      </c>
      <c r="J251">
        <f>D251/1e9</f>
        <v/>
      </c>
    </row>
    <row r="252">
      <c r="A252" t="inlineStr">
        <is>
          <t>Suncor Energy (whole company, CAD, IFRS; 40-F)</t>
        </is>
      </c>
      <c r="B252" t="inlineStr">
        <is>
          <t>Share buybacks (cash paid)</t>
        </is>
      </c>
      <c r="C252" t="inlineStr">
        <is>
          <t>2025</t>
        </is>
      </c>
      <c r="D252" t="n">
        <v>3129000000</v>
      </c>
      <c r="E252" t="inlineStr">
        <is>
          <t>CAD</t>
        </is>
      </c>
      <c r="F252" t="inlineStr">
        <is>
          <t>40-F</t>
        </is>
      </c>
      <c r="G252" t="inlineStr">
        <is>
          <t>0001104659-26-020411</t>
        </is>
      </c>
      <c r="H252" t="inlineStr">
        <is>
          <t>PaymentsToAcquireOrRedeemEntitysShares</t>
        </is>
      </c>
      <c r="I252" t="inlineStr">
        <is>
          <t>https://www.sec.gov/Archives/edgar/data/311337/000110465926020411/</t>
        </is>
      </c>
      <c r="J252">
        <f>D252/1e9</f>
        <v/>
      </c>
    </row>
    <row r="253">
      <c r="A253" t="inlineStr">
        <is>
          <t>Suncor Energy (whole company, CAD, IFRS; 40-F)</t>
        </is>
      </c>
      <c r="B253" t="inlineStr">
        <is>
          <t>Dividends paid (cash)</t>
        </is>
      </c>
      <c r="C253" t="inlineStr">
        <is>
          <t>2016</t>
        </is>
      </c>
      <c r="D253" t="n">
        <v>1877000000</v>
      </c>
      <c r="E253" t="inlineStr">
        <is>
          <t>CAD</t>
        </is>
      </c>
      <c r="F253" t="inlineStr">
        <is>
          <t>40-F</t>
        </is>
      </c>
      <c r="G253" t="inlineStr">
        <is>
          <t>0001047469-18-001219</t>
        </is>
      </c>
      <c r="H253" t="inlineStr">
        <is>
          <t>DividendsPaidClassifiedAsFinancingActivities</t>
        </is>
      </c>
      <c r="I253" t="inlineStr">
        <is>
          <t>https://www.sec.gov/Archives/edgar/data/311337/000104746918001219/</t>
        </is>
      </c>
      <c r="J253">
        <f>D253/1e9</f>
        <v/>
      </c>
    </row>
    <row r="254">
      <c r="A254" t="inlineStr">
        <is>
          <t>Suncor Energy (whole company, CAD, IFRS; 40-F)</t>
        </is>
      </c>
      <c r="B254" t="inlineStr">
        <is>
          <t>Dividends paid (cash)</t>
        </is>
      </c>
      <c r="C254" t="inlineStr">
        <is>
          <t>2017</t>
        </is>
      </c>
      <c r="D254" t="n">
        <v>2124000000</v>
      </c>
      <c r="E254" t="inlineStr">
        <is>
          <t>CAD</t>
        </is>
      </c>
      <c r="F254" t="inlineStr">
        <is>
          <t>40-F</t>
        </is>
      </c>
      <c r="G254" t="inlineStr">
        <is>
          <t>0001047469-19-000800</t>
        </is>
      </c>
      <c r="H254" t="inlineStr">
        <is>
          <t>DividendsPaidClassifiedAsFinancingActivities</t>
        </is>
      </c>
      <c r="I254" t="inlineStr">
        <is>
          <t>https://www.sec.gov/Archives/edgar/data/311337/000104746919000800/</t>
        </is>
      </c>
      <c r="J254">
        <f>D254/1e9</f>
        <v/>
      </c>
    </row>
    <row r="255">
      <c r="A255" t="inlineStr">
        <is>
          <t>Suncor Energy (whole company, CAD, IFRS; 40-F)</t>
        </is>
      </c>
      <c r="B255" t="inlineStr">
        <is>
          <t>Dividends paid (cash)</t>
        </is>
      </c>
      <c r="C255" t="inlineStr">
        <is>
          <t>2018</t>
        </is>
      </c>
      <c r="D255" t="n">
        <v>2333000000</v>
      </c>
      <c r="E255" t="inlineStr">
        <is>
          <t>CAD</t>
        </is>
      </c>
      <c r="F255" t="inlineStr">
        <is>
          <t>40-F</t>
        </is>
      </c>
      <c r="G255" t="inlineStr">
        <is>
          <t>0001047469-20-001091</t>
        </is>
      </c>
      <c r="H255" t="inlineStr">
        <is>
          <t>DividendsPaidClassifiedAsFinancingActivities</t>
        </is>
      </c>
      <c r="I255" t="inlineStr">
        <is>
          <t>https://www.sec.gov/Archives/edgar/data/311337/000104746920001091/</t>
        </is>
      </c>
      <c r="J255">
        <f>D255/1e9</f>
        <v/>
      </c>
    </row>
    <row r="256">
      <c r="A256" t="inlineStr">
        <is>
          <t>Suncor Energy (whole company, CAD, IFRS; 40-F)</t>
        </is>
      </c>
      <c r="B256" t="inlineStr">
        <is>
          <t>Dividends paid (cash)</t>
        </is>
      </c>
      <c r="C256" t="inlineStr">
        <is>
          <t>2019</t>
        </is>
      </c>
      <c r="D256" t="n">
        <v>2614000000</v>
      </c>
      <c r="E256" t="inlineStr">
        <is>
          <t>CAD</t>
        </is>
      </c>
      <c r="F256" t="inlineStr">
        <is>
          <t>40-F</t>
        </is>
      </c>
      <c r="G256" t="inlineStr">
        <is>
          <t>0001047469-21-000459</t>
        </is>
      </c>
      <c r="H256" t="inlineStr">
        <is>
          <t>DividendsPaidClassifiedAsFinancingActivities</t>
        </is>
      </c>
      <c r="I256" t="inlineStr">
        <is>
          <t>https://www.sec.gov/Archives/edgar/data/311337/000104746921000459/</t>
        </is>
      </c>
      <c r="J256">
        <f>D256/1e9</f>
        <v/>
      </c>
    </row>
    <row r="257">
      <c r="A257" t="inlineStr">
        <is>
          <t>Suncor Energy (whole company, CAD, IFRS; 40-F)</t>
        </is>
      </c>
      <c r="B257" t="inlineStr">
        <is>
          <t>Dividends paid (cash)</t>
        </is>
      </c>
      <c r="C257" t="inlineStr">
        <is>
          <t>2020</t>
        </is>
      </c>
      <c r="D257" t="n">
        <v>1670000000</v>
      </c>
      <c r="E257" t="inlineStr">
        <is>
          <t>CAD</t>
        </is>
      </c>
      <c r="F257" t="inlineStr">
        <is>
          <t>40-F</t>
        </is>
      </c>
      <c r="G257" t="inlineStr">
        <is>
          <t>0001558370-22-002013</t>
        </is>
      </c>
      <c r="H257" t="inlineStr">
        <is>
          <t>DividendsPaidClassifiedAsFinancingActivities</t>
        </is>
      </c>
      <c r="I257" t="inlineStr">
        <is>
          <t>https://www.sec.gov/Archives/edgar/data/311337/000155837022002013/</t>
        </is>
      </c>
      <c r="J257">
        <f>D257/1e9</f>
        <v/>
      </c>
    </row>
    <row r="258">
      <c r="A258" t="inlineStr">
        <is>
          <t>Suncor Energy (whole company, CAD, IFRS; 40-F)</t>
        </is>
      </c>
      <c r="B258" t="inlineStr">
        <is>
          <t>Dividends paid (cash)</t>
        </is>
      </c>
      <c r="C258" t="inlineStr">
        <is>
          <t>2021</t>
        </is>
      </c>
      <c r="D258" t="n">
        <v>1550000000</v>
      </c>
      <c r="E258" t="inlineStr">
        <is>
          <t>CAD</t>
        </is>
      </c>
      <c r="F258" t="inlineStr">
        <is>
          <t>40-F</t>
        </is>
      </c>
      <c r="G258" t="inlineStr">
        <is>
          <t>0001558370-23-002962</t>
        </is>
      </c>
      <c r="H258" t="inlineStr">
        <is>
          <t>DividendsPaidClassifiedAsFinancingActivities</t>
        </is>
      </c>
      <c r="I258" t="inlineStr">
        <is>
          <t>https://www.sec.gov/Archives/edgar/data/311337/000155837023002962/</t>
        </is>
      </c>
      <c r="J258">
        <f>D258/1e9</f>
        <v/>
      </c>
    </row>
    <row r="259">
      <c r="A259" t="inlineStr">
        <is>
          <t>Suncor Energy (whole company, CAD, IFRS; 40-F)</t>
        </is>
      </c>
      <c r="B259" t="inlineStr">
        <is>
          <t>Dividends paid (cash)</t>
        </is>
      </c>
      <c r="C259" t="inlineStr">
        <is>
          <t>2022</t>
        </is>
      </c>
      <c r="D259" t="n">
        <v>2596000000</v>
      </c>
      <c r="E259" t="inlineStr">
        <is>
          <t>CAD</t>
        </is>
      </c>
      <c r="F259" t="inlineStr">
        <is>
          <t>40-F</t>
        </is>
      </c>
      <c r="G259" t="inlineStr">
        <is>
          <t>0001558370-24-003724</t>
        </is>
      </c>
      <c r="H259" t="inlineStr">
        <is>
          <t>DividendsPaidClassifiedAsFinancingActivities</t>
        </is>
      </c>
      <c r="I259" t="inlineStr">
        <is>
          <t>https://www.sec.gov/Archives/edgar/data/311337/000155837024003724/</t>
        </is>
      </c>
      <c r="J259">
        <f>D259/1e9</f>
        <v/>
      </c>
    </row>
    <row r="260">
      <c r="A260" t="inlineStr">
        <is>
          <t>Suncor Energy (whole company, CAD, IFRS; 40-F)</t>
        </is>
      </c>
      <c r="B260" t="inlineStr">
        <is>
          <t>Dividends paid (cash)</t>
        </is>
      </c>
      <c r="C260" t="inlineStr">
        <is>
          <t>2023</t>
        </is>
      </c>
      <c r="D260" t="n">
        <v>2749000000</v>
      </c>
      <c r="E260" t="inlineStr">
        <is>
          <t>CAD</t>
        </is>
      </c>
      <c r="F260" t="inlineStr">
        <is>
          <t>40-F</t>
        </is>
      </c>
      <c r="G260" t="inlineStr">
        <is>
          <t>0001558370-25-001644</t>
        </is>
      </c>
      <c r="H260" t="inlineStr">
        <is>
          <t>DividendsPaidClassifiedAsFinancingActivities</t>
        </is>
      </c>
      <c r="I260" t="inlineStr">
        <is>
          <t>https://www.sec.gov/Archives/edgar/data/311337/000155837025001644/</t>
        </is>
      </c>
      <c r="J260">
        <f>D260/1e9</f>
        <v/>
      </c>
    </row>
    <row r="261">
      <c r="A261" t="inlineStr">
        <is>
          <t>Suncor Energy (whole company, CAD, IFRS; 40-F)</t>
        </is>
      </c>
      <c r="B261" t="inlineStr">
        <is>
          <t>Dividends paid (cash)</t>
        </is>
      </c>
      <c r="C261" t="inlineStr">
        <is>
          <t>2024</t>
        </is>
      </c>
      <c r="D261" t="n">
        <v>2803000000</v>
      </c>
      <c r="E261" t="inlineStr">
        <is>
          <t>CAD</t>
        </is>
      </c>
      <c r="F261" t="inlineStr">
        <is>
          <t>40-F</t>
        </is>
      </c>
      <c r="G261" t="inlineStr">
        <is>
          <t>0001104659-26-020411</t>
        </is>
      </c>
      <c r="H261" t="inlineStr">
        <is>
          <t>DividendsPaidClassifiedAsFinancingActivities</t>
        </is>
      </c>
      <c r="I261" t="inlineStr">
        <is>
          <t>https://www.sec.gov/Archives/edgar/data/311337/000110465926020411/</t>
        </is>
      </c>
      <c r="J261">
        <f>D261/1e9</f>
        <v/>
      </c>
    </row>
    <row r="262">
      <c r="A262" t="inlineStr">
        <is>
          <t>Suncor Energy (whole company, CAD, IFRS; 40-F)</t>
        </is>
      </c>
      <c r="B262" t="inlineStr">
        <is>
          <t>Dividends paid (cash)</t>
        </is>
      </c>
      <c r="C262" t="inlineStr">
        <is>
          <t>2025</t>
        </is>
      </c>
      <c r="D262" t="n">
        <v>2809000000</v>
      </c>
      <c r="E262" t="inlineStr">
        <is>
          <t>CAD</t>
        </is>
      </c>
      <c r="F262" t="inlineStr">
        <is>
          <t>40-F</t>
        </is>
      </c>
      <c r="G262" t="inlineStr">
        <is>
          <t>0001104659-26-020411</t>
        </is>
      </c>
      <c r="H262" t="inlineStr">
        <is>
          <t>DividendsPaidClassifiedAsFinancingActivities</t>
        </is>
      </c>
      <c r="I262" t="inlineStr">
        <is>
          <t>https://www.sec.gov/Archives/edgar/data/311337/000110465926020411/</t>
        </is>
      </c>
      <c r="J262">
        <f>D262/1e9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48" customWidth="1" min="3" max="3"/>
    <col width="20" customWidth="1" min="4" max="4"/>
    <col width="24" customWidth="1" min="5" max="5"/>
    <col width="50" customWidth="1" min="6" max="6"/>
    <col width="16" customWidth="1" min="7" max="7"/>
    <col width="16" customWidth="1" min="8" max="8"/>
  </cols>
  <sheetData>
    <row r="1">
      <c r="A1" s="5" t="inlineStr">
        <is>
          <t>EIA Refinery Capacity Report 2026, Table 5 (capacity by parent corporation and plant). PADD assignment by plant state (EIA PADD definitions).</t>
        </is>
      </c>
    </row>
    <row r="2" ht="60" customHeight="1">
      <c r="A2" s="1" t="inlineStr">
        <is>
          <t>Area</t>
        </is>
      </c>
      <c r="B2" s="1" t="inlineStr">
        <is>
          <t>Rank</t>
        </is>
      </c>
      <c r="C2" s="1" t="inlineStr">
        <is>
          <t>Corporation (EIA Table 5 parent)</t>
        </is>
      </c>
      <c r="D2" s="1" t="inlineStr">
        <is>
          <t>Operable crude distillation capacity, b/cd (EIA, Jan 1 2026)</t>
        </is>
      </c>
      <c r="E2" s="1" t="inlineStr">
        <is>
          <t>Area total capacity, b/cd (sum of EIA Table 5 plants in area; U.S. total = EIA U.S. Total 18,160,493)</t>
        </is>
      </c>
      <c r="F2" s="1" t="inlineStr">
        <is>
          <t>Source</t>
        </is>
      </c>
      <c r="G2" s="2" t="inlineStr">
        <is>
          <t>Share of area capacity [formula]</t>
        </is>
      </c>
      <c r="H2" s="2" t="inlineStr">
        <is>
          <t>Cumulative top-N share [formula]</t>
        </is>
      </c>
    </row>
    <row r="3">
      <c r="A3" t="inlineStr">
        <is>
          <t>United States</t>
        </is>
      </c>
      <c r="B3" t="n">
        <v>1</v>
      </c>
      <c r="C3" t="inlineStr">
        <is>
          <t>MARATHON PETROLEUM CORP</t>
        </is>
      </c>
      <c r="D3" t="n">
        <v>2986000</v>
      </c>
      <c r="E3" t="n">
        <v>18160493</v>
      </c>
      <c r="F3" t="inlineStr">
        <is>
          <t>https://www.eia.gov/petroleum/refinerycapacity/table5.pdf</t>
        </is>
      </c>
      <c r="G3">
        <f>D3/E3</f>
        <v/>
      </c>
      <c r="H3">
        <f>SUMIFS(D:D,A:A,A3,B:B,"&lt;="&amp;B3)/E3</f>
        <v/>
      </c>
    </row>
    <row r="4">
      <c r="A4" t="inlineStr">
        <is>
          <t>United States</t>
        </is>
      </c>
      <c r="B4" t="n">
        <v>2</v>
      </c>
      <c r="C4" t="inlineStr">
        <is>
          <t>VALERO ENERGY CORP</t>
        </is>
      </c>
      <c r="D4" t="n">
        <v>2231300</v>
      </c>
      <c r="E4" t="n">
        <v>18160493</v>
      </c>
      <c r="F4" t="inlineStr">
        <is>
          <t>https://www.eia.gov/petroleum/refinerycapacity/table5.pdf</t>
        </is>
      </c>
      <c r="G4">
        <f>D4/E4</f>
        <v/>
      </c>
      <c r="H4">
        <f>SUMIFS(D:D,A:A,A4,B:B,"&lt;="&amp;B4)/E4</f>
        <v/>
      </c>
    </row>
    <row r="5">
      <c r="A5" t="inlineStr">
        <is>
          <t>United States</t>
        </is>
      </c>
      <c r="B5" t="n">
        <v>3</v>
      </c>
      <c r="C5" t="inlineStr">
        <is>
          <t>EXXONMOBIL CORP</t>
        </is>
      </c>
      <c r="D5" t="n">
        <v>1967000</v>
      </c>
      <c r="E5" t="n">
        <v>18160493</v>
      </c>
      <c r="F5" t="inlineStr">
        <is>
          <t>https://www.eia.gov/petroleum/refinerycapacity/table5.pdf</t>
        </is>
      </c>
      <c r="G5">
        <f>D5/E5</f>
        <v/>
      </c>
      <c r="H5">
        <f>SUMIFS(D:D,A:A,A5,B:B,"&lt;="&amp;B5)/E5</f>
        <v/>
      </c>
    </row>
    <row r="6">
      <c r="A6" t="inlineStr">
        <is>
          <t>United States</t>
        </is>
      </c>
      <c r="B6" t="n">
        <v>4</v>
      </c>
      <c r="C6" t="inlineStr">
        <is>
          <t>PHILLIPS 66 COMPANY</t>
        </is>
      </c>
      <c r="D6" t="n">
        <v>1219700</v>
      </c>
      <c r="E6" t="n">
        <v>18160493</v>
      </c>
      <c r="F6" t="inlineStr">
        <is>
          <t>https://www.eia.gov/petroleum/refinerycapacity/table5.pdf</t>
        </is>
      </c>
      <c r="G6">
        <f>D6/E6</f>
        <v/>
      </c>
      <c r="H6">
        <f>SUMIFS(D:D,A:A,A6,B:B,"&lt;="&amp;B6)/E6</f>
        <v/>
      </c>
    </row>
    <row r="7">
      <c r="A7" t="inlineStr">
        <is>
          <t>United States</t>
        </is>
      </c>
      <c r="B7" t="n">
        <v>5</v>
      </c>
      <c r="C7" t="inlineStr">
        <is>
          <t>CHEVRON CORP</t>
        </is>
      </c>
      <c r="D7" t="n">
        <v>1060181</v>
      </c>
      <c r="E7" t="n">
        <v>18160493</v>
      </c>
      <c r="F7" t="inlineStr">
        <is>
          <t>https://www.eia.gov/petroleum/refinerycapacity/table5.pdf</t>
        </is>
      </c>
      <c r="G7">
        <f>D7/E7</f>
        <v/>
      </c>
      <c r="H7">
        <f>SUMIFS(D:D,A:A,A7,B:B,"&lt;="&amp;B7)/E7</f>
        <v/>
      </c>
    </row>
    <row r="8">
      <c r="A8" t="inlineStr">
        <is>
          <t>United States</t>
        </is>
      </c>
      <c r="B8" t="n">
        <v>6</v>
      </c>
      <c r="C8" t="inlineStr">
        <is>
          <t>PBF ENERGY CO LLC</t>
        </is>
      </c>
      <c r="D8" t="n">
        <v>1042200</v>
      </c>
      <c r="E8" t="n">
        <v>18160493</v>
      </c>
      <c r="F8" t="inlineStr">
        <is>
          <t>https://www.eia.gov/petroleum/refinerycapacity/table5.pdf</t>
        </is>
      </c>
      <c r="G8">
        <f>D8/E8</f>
        <v/>
      </c>
      <c r="H8">
        <f>SUMIFS(D:D,A:A,A8,B:B,"&lt;="&amp;B8)/E8</f>
        <v/>
      </c>
    </row>
    <row r="9">
      <c r="A9" t="inlineStr">
        <is>
          <t>United States</t>
        </is>
      </c>
      <c r="B9" t="n">
        <v>7</v>
      </c>
      <c r="C9" t="inlineStr">
        <is>
          <t>PDV AMERICA INC</t>
        </is>
      </c>
      <c r="D9" t="n">
        <v>824223</v>
      </c>
      <c r="E9" t="n">
        <v>18160493</v>
      </c>
      <c r="F9" t="inlineStr">
        <is>
          <t>https://www.eia.gov/petroleum/refinerycapacity/table5.pdf</t>
        </is>
      </c>
      <c r="G9">
        <f>D9/E9</f>
        <v/>
      </c>
      <c r="H9">
        <f>SUMIFS(D:D,A:A,A9,B:B,"&lt;="&amp;B9)/E9</f>
        <v/>
      </c>
    </row>
    <row r="10">
      <c r="A10" t="inlineStr">
        <is>
          <t>United States</t>
        </is>
      </c>
      <c r="B10" t="n">
        <v>8</v>
      </c>
      <c r="C10" t="inlineStr">
        <is>
          <t>HF SINCLAIR CORP</t>
        </is>
      </c>
      <c r="D10" t="n">
        <v>720005</v>
      </c>
      <c r="E10" t="n">
        <v>18160493</v>
      </c>
      <c r="F10" t="inlineStr">
        <is>
          <t>https://www.eia.gov/petroleum/refinerycapacity/table5.pdf</t>
        </is>
      </c>
      <c r="G10">
        <f>D10/E10</f>
        <v/>
      </c>
      <c r="H10">
        <f>SUMIFS(D:D,A:A,A10,B:B,"&lt;="&amp;B10)/E10</f>
        <v/>
      </c>
    </row>
    <row r="11">
      <c r="A11" t="inlineStr">
        <is>
          <t>United States</t>
        </is>
      </c>
      <c r="B11" t="n">
        <v>9</v>
      </c>
      <c r="C11" t="inlineStr">
        <is>
          <t>KOCH INDUSTRIES INC</t>
        </is>
      </c>
      <c r="D11" t="n">
        <v>712500</v>
      </c>
      <c r="E11" t="n">
        <v>18160493</v>
      </c>
      <c r="F11" t="inlineStr">
        <is>
          <t>https://www.eia.gov/petroleum/refinerycapacity/table5.pdf</t>
        </is>
      </c>
      <c r="G11">
        <f>D11/E11</f>
        <v/>
      </c>
      <c r="H11">
        <f>SUMIFS(D:D,A:A,A11,B:B,"&lt;="&amp;B11)/E11</f>
        <v/>
      </c>
    </row>
    <row r="12">
      <c r="A12" t="inlineStr">
        <is>
          <t>United States</t>
        </is>
      </c>
      <c r="B12" t="n">
        <v>10</v>
      </c>
      <c r="C12" t="inlineStr">
        <is>
          <t>BP PLC</t>
        </is>
      </c>
      <c r="D12" t="n">
        <v>673500</v>
      </c>
      <c r="E12" t="n">
        <v>18160493</v>
      </c>
      <c r="F12" t="inlineStr">
        <is>
          <t>https://www.eia.gov/petroleum/refinerycapacity/table5.pdf</t>
        </is>
      </c>
      <c r="G12">
        <f>D12/E12</f>
        <v/>
      </c>
      <c r="H12">
        <f>SUMIFS(D:D,A:A,A12,B:B,"&lt;="&amp;B12)/E12</f>
        <v/>
      </c>
    </row>
    <row r="13">
      <c r="A13" t="inlineStr">
        <is>
          <t>PADD 1</t>
        </is>
      </c>
      <c r="B13" t="n">
        <v>1</v>
      </c>
      <c r="C13" t="inlineStr">
        <is>
          <t>PBF ENERGY CO LLC</t>
        </is>
      </c>
      <c r="D13" t="n">
        <v>363000</v>
      </c>
      <c r="E13" t="n">
        <v>928300</v>
      </c>
      <c r="F13" t="inlineStr">
        <is>
          <t>https://www.eia.gov/petroleum/refinerycapacity/table5.pdf</t>
        </is>
      </c>
      <c r="G13">
        <f>D13/E13</f>
        <v/>
      </c>
      <c r="H13">
        <f>SUMIFS(D:D,A:A,A13,B:B,"&lt;="&amp;B13)/E13</f>
        <v/>
      </c>
    </row>
    <row r="14">
      <c r="A14" t="inlineStr">
        <is>
          <t>PADD 1</t>
        </is>
      </c>
      <c r="B14" t="n">
        <v>2</v>
      </c>
      <c r="C14" t="inlineStr">
        <is>
          <t>PHILLIPS 66 COMPANY</t>
        </is>
      </c>
      <c r="D14" t="n">
        <v>275000</v>
      </c>
      <c r="E14" t="n">
        <v>928300</v>
      </c>
      <c r="F14" t="inlineStr">
        <is>
          <t>https://www.eia.gov/petroleum/refinerycapacity/table5.pdf</t>
        </is>
      </c>
      <c r="G14">
        <f>D14/E14</f>
        <v/>
      </c>
      <c r="H14">
        <f>SUMIFS(D:D,A:A,A14,B:B,"&lt;="&amp;B14)/E14</f>
        <v/>
      </c>
    </row>
    <row r="15">
      <c r="A15" t="inlineStr">
        <is>
          <t>PADD 1</t>
        </is>
      </c>
      <c r="B15" t="n">
        <v>3</v>
      </c>
      <c r="C15" t="inlineStr">
        <is>
          <t>DELTA AIR LINES INC</t>
        </is>
      </c>
      <c r="D15" t="n">
        <v>190000</v>
      </c>
      <c r="E15" t="n">
        <v>928300</v>
      </c>
      <c r="F15" t="inlineStr">
        <is>
          <t>https://www.eia.gov/petroleum/refinerycapacity/table5.pdf</t>
        </is>
      </c>
      <c r="G15">
        <f>D15/E15</f>
        <v/>
      </c>
      <c r="H15">
        <f>SUMIFS(D:D,A:A,A15,B:B,"&lt;="&amp;B15)/E15</f>
        <v/>
      </c>
    </row>
    <row r="16">
      <c r="A16" t="inlineStr">
        <is>
          <t>PADD 1</t>
        </is>
      </c>
      <c r="B16" t="n">
        <v>4</v>
      </c>
      <c r="C16" t="inlineStr">
        <is>
          <t>RED APPLE GROUP INC</t>
        </is>
      </c>
      <c r="D16" t="n">
        <v>67000</v>
      </c>
      <c r="E16" t="n">
        <v>928300</v>
      </c>
      <c r="F16" t="inlineStr">
        <is>
          <t>https://www.eia.gov/petroleum/refinerycapacity/table5.pdf</t>
        </is>
      </c>
      <c r="G16">
        <f>D16/E16</f>
        <v/>
      </c>
      <c r="H16">
        <f>SUMIFS(D:D,A:A,A16,B:B,"&lt;="&amp;B16)/E16</f>
        <v/>
      </c>
    </row>
    <row r="17">
      <c r="A17" t="inlineStr">
        <is>
          <t>PADD 1</t>
        </is>
      </c>
      <c r="B17" t="n">
        <v>5</v>
      </c>
      <c r="C17" t="inlineStr">
        <is>
          <t>ERGON INC</t>
        </is>
      </c>
      <c r="D17" t="n">
        <v>22300</v>
      </c>
      <c r="E17" t="n">
        <v>928300</v>
      </c>
      <c r="F17" t="inlineStr">
        <is>
          <t>https://www.eia.gov/petroleum/refinerycapacity/table5.pdf</t>
        </is>
      </c>
      <c r="G17">
        <f>D17/E17</f>
        <v/>
      </c>
      <c r="H17">
        <f>SUMIFS(D:D,A:A,A17,B:B,"&lt;="&amp;B17)/E17</f>
        <v/>
      </c>
    </row>
    <row r="18">
      <c r="A18" t="inlineStr">
        <is>
          <t>PADD 1</t>
        </is>
      </c>
      <c r="B18" t="n">
        <v>6</v>
      </c>
      <c r="C18" t="inlineStr">
        <is>
          <t>AMERICAN REFINING GROUP INC</t>
        </is>
      </c>
      <c r="D18" t="n">
        <v>11000</v>
      </c>
      <c r="E18" t="n">
        <v>928300</v>
      </c>
      <c r="F18" t="inlineStr">
        <is>
          <t>https://www.eia.gov/petroleum/refinerycapacity/table5.pdf</t>
        </is>
      </c>
      <c r="G18">
        <f>D18/E18</f>
        <v/>
      </c>
      <c r="H18">
        <f>SUMIFS(D:D,A:A,A18,B:B,"&lt;="&amp;B18)/E18</f>
        <v/>
      </c>
    </row>
    <row r="19">
      <c r="A19" t="inlineStr">
        <is>
          <t>PADD 2</t>
        </is>
      </c>
      <c r="B19" t="n">
        <v>1</v>
      </c>
      <c r="C19" t="inlineStr">
        <is>
          <t>MARATHON PETROLEUM CORP</t>
        </is>
      </c>
      <c r="D19" t="n">
        <v>983000</v>
      </c>
      <c r="E19" t="n">
        <v>4282670</v>
      </c>
      <c r="F19" t="inlineStr">
        <is>
          <t>https://www.eia.gov/petroleum/refinerycapacity/table5.pdf</t>
        </is>
      </c>
      <c r="G19">
        <f>D19/E19</f>
        <v/>
      </c>
      <c r="H19">
        <f>SUMIFS(D:D,A:A,A19,B:B,"&lt;="&amp;B19)/E19</f>
        <v/>
      </c>
    </row>
    <row r="20">
      <c r="A20" t="inlineStr">
        <is>
          <t>PADD 2</t>
        </is>
      </c>
      <c r="B20" t="n">
        <v>2</v>
      </c>
      <c r="C20" t="inlineStr">
        <is>
          <t>BP PLC</t>
        </is>
      </c>
      <c r="D20" t="n">
        <v>435000</v>
      </c>
      <c r="E20" t="n">
        <v>4282670</v>
      </c>
      <c r="F20" t="inlineStr">
        <is>
          <t>https://www.eia.gov/petroleum/refinerycapacity/table5.pdf</t>
        </is>
      </c>
      <c r="G20">
        <f>D20/E20</f>
        <v/>
      </c>
      <c r="H20">
        <f>SUMIFS(D:D,A:A,A20,B:B,"&lt;="&amp;B20)/E20</f>
        <v/>
      </c>
    </row>
    <row r="21">
      <c r="A21" t="inlineStr">
        <is>
          <t>PADD 2</t>
        </is>
      </c>
      <c r="B21" t="n">
        <v>3</v>
      </c>
      <c r="C21" t="inlineStr">
        <is>
          <t>CENOVUS ENERGY INC</t>
        </is>
      </c>
      <c r="D21" t="n">
        <v>383347</v>
      </c>
      <c r="E21" t="n">
        <v>4282670</v>
      </c>
      <c r="F21" t="inlineStr">
        <is>
          <t>https://www.eia.gov/petroleum/refinerycapacity/table5.pdf</t>
        </is>
      </c>
      <c r="G21">
        <f>D21/E21</f>
        <v/>
      </c>
      <c r="H21">
        <f>SUMIFS(D:D,A:A,A21,B:B,"&lt;="&amp;B21)/E21</f>
        <v/>
      </c>
    </row>
    <row r="22">
      <c r="A22" t="inlineStr">
        <is>
          <t>PADD 2</t>
        </is>
      </c>
      <c r="B22" t="n">
        <v>4</v>
      </c>
      <c r="C22" t="inlineStr">
        <is>
          <t>WRB REFINING LP</t>
        </is>
      </c>
      <c r="D22" t="n">
        <v>345000</v>
      </c>
      <c r="E22" t="n">
        <v>4282670</v>
      </c>
      <c r="F22" t="inlineStr">
        <is>
          <t>https://www.eia.gov/petroleum/refinerycapacity/table5.pdf</t>
        </is>
      </c>
      <c r="G22">
        <f>D22/E22</f>
        <v/>
      </c>
      <c r="H22">
        <f>SUMIFS(D:D,A:A,A22,B:B,"&lt;="&amp;B22)/E22</f>
        <v/>
      </c>
    </row>
    <row r="23">
      <c r="A23" t="inlineStr">
        <is>
          <t>PADD 2</t>
        </is>
      </c>
      <c r="B23" t="n">
        <v>5</v>
      </c>
      <c r="C23" t="inlineStr">
        <is>
          <t>KOCH INDUSTRIES INC</t>
        </is>
      </c>
      <c r="D23" t="n">
        <v>335000</v>
      </c>
      <c r="E23" t="n">
        <v>4282670</v>
      </c>
      <c r="F23" t="inlineStr">
        <is>
          <t>https://www.eia.gov/petroleum/refinerycapacity/table5.pdf</t>
        </is>
      </c>
      <c r="G23">
        <f>D23/E23</f>
        <v/>
      </c>
      <c r="H23">
        <f>SUMIFS(D:D,A:A,A23,B:B,"&lt;="&amp;B23)/E23</f>
        <v/>
      </c>
    </row>
    <row r="24">
      <c r="A24" t="inlineStr">
        <is>
          <t>PADD 2</t>
        </is>
      </c>
      <c r="B24" t="n">
        <v>6</v>
      </c>
      <c r="C24" t="inlineStr">
        <is>
          <t>HF SINCLAIR CORP</t>
        </is>
      </c>
      <c r="D24" t="n">
        <v>317300</v>
      </c>
      <c r="E24" t="n">
        <v>4282670</v>
      </c>
      <c r="F24" t="inlineStr">
        <is>
          <t>https://www.eia.gov/petroleum/refinerycapacity/table5.pdf</t>
        </is>
      </c>
      <c r="G24">
        <f>D24/E24</f>
        <v/>
      </c>
      <c r="H24">
        <f>SUMIFS(D:D,A:A,A24,B:B,"&lt;="&amp;B24)/E24</f>
        <v/>
      </c>
    </row>
    <row r="25">
      <c r="A25" t="inlineStr">
        <is>
          <t>PADD 3</t>
        </is>
      </c>
      <c r="B25" t="n">
        <v>1</v>
      </c>
      <c r="C25" t="inlineStr">
        <is>
          <t>VALERO ENERGY CORP</t>
        </is>
      </c>
      <c r="D25" t="n">
        <v>1729000</v>
      </c>
      <c r="E25" t="n">
        <v>9876563</v>
      </c>
      <c r="F25" t="inlineStr">
        <is>
          <t>https://www.eia.gov/petroleum/refinerycapacity/table5.pdf</t>
        </is>
      </c>
      <c r="G25">
        <f>D25/E25</f>
        <v/>
      </c>
      <c r="H25">
        <f>SUMIFS(D:D,A:A,A25,B:B,"&lt;="&amp;B25)/E25</f>
        <v/>
      </c>
    </row>
    <row r="26">
      <c r="A26" t="inlineStr">
        <is>
          <t>PADD 3</t>
        </is>
      </c>
      <c r="B26" t="n">
        <v>2</v>
      </c>
      <c r="C26" t="inlineStr">
        <is>
          <t>EXXONMOBIL CORP</t>
        </is>
      </c>
      <c r="D26" t="n">
        <v>1700000</v>
      </c>
      <c r="E26" t="n">
        <v>9876563</v>
      </c>
      <c r="F26" t="inlineStr">
        <is>
          <t>https://www.eia.gov/petroleum/refinerycapacity/table5.pdf</t>
        </is>
      </c>
      <c r="G26">
        <f>D26/E26</f>
        <v/>
      </c>
      <c r="H26">
        <f>SUMIFS(D:D,A:A,A26,B:B,"&lt;="&amp;B26)/E26</f>
        <v/>
      </c>
    </row>
    <row r="27">
      <c r="A27" t="inlineStr">
        <is>
          <t>PADD 3</t>
        </is>
      </c>
      <c r="B27" t="n">
        <v>3</v>
      </c>
      <c r="C27" t="inlineStr">
        <is>
          <t>MARATHON PETROLEUM CORP</t>
        </is>
      </c>
      <c r="D27" t="n">
        <v>1381000</v>
      </c>
      <c r="E27" t="n">
        <v>9876563</v>
      </c>
      <c r="F27" t="inlineStr">
        <is>
          <t>https://www.eia.gov/petroleum/refinerycapacity/table5.pdf</t>
        </is>
      </c>
      <c r="G27">
        <f>D27/E27</f>
        <v/>
      </c>
      <c r="H27">
        <f>SUMIFS(D:D,A:A,A27,B:B,"&lt;="&amp;B27)/E27</f>
        <v/>
      </c>
    </row>
    <row r="28">
      <c r="A28" t="inlineStr">
        <is>
          <t>PADD 3</t>
        </is>
      </c>
      <c r="B28" t="n">
        <v>4</v>
      </c>
      <c r="C28" t="inlineStr">
        <is>
          <t>SAUDI ARAMCO</t>
        </is>
      </c>
      <c r="D28" t="n">
        <v>656400</v>
      </c>
      <c r="E28" t="n">
        <v>9876563</v>
      </c>
      <c r="F28" t="inlineStr">
        <is>
          <t>https://www.eia.gov/petroleum/refinerycapacity/table5.pdf</t>
        </is>
      </c>
      <c r="G28">
        <f>D28/E28</f>
        <v/>
      </c>
      <c r="H28">
        <f>SUMIFS(D:D,A:A,A28,B:B,"&lt;="&amp;B28)/E28</f>
        <v/>
      </c>
    </row>
    <row r="29">
      <c r="A29" t="inlineStr">
        <is>
          <t>PADD 3</t>
        </is>
      </c>
      <c r="B29" t="n">
        <v>5</v>
      </c>
      <c r="C29" t="inlineStr">
        <is>
          <t>PDV AMERICA INC</t>
        </is>
      </c>
      <c r="D29" t="n">
        <v>636200</v>
      </c>
      <c r="E29" t="n">
        <v>9876563</v>
      </c>
      <c r="F29" t="inlineStr">
        <is>
          <t>https://www.eia.gov/petroleum/refinerycapacity/table5.pdf</t>
        </is>
      </c>
      <c r="G29">
        <f>D29/E29</f>
        <v/>
      </c>
      <c r="H29">
        <f>SUMIFS(D:D,A:A,A29,B:B,"&lt;="&amp;B29)/E29</f>
        <v/>
      </c>
    </row>
    <row r="30">
      <c r="A30" t="inlineStr">
        <is>
          <t>PADD 3</t>
        </is>
      </c>
      <c r="B30" t="n">
        <v>6</v>
      </c>
      <c r="C30" t="inlineStr">
        <is>
          <t>PHILLIPS 66 COMPANY</t>
        </is>
      </c>
      <c r="D30" t="n">
        <v>540700</v>
      </c>
      <c r="E30" t="n">
        <v>9876563</v>
      </c>
      <c r="F30" t="inlineStr">
        <is>
          <t>https://www.eia.gov/petroleum/refinerycapacity/table5.pdf</t>
        </is>
      </c>
      <c r="G30">
        <f>D30/E30</f>
        <v/>
      </c>
      <c r="H30">
        <f>SUMIFS(D:D,A:A,A30,B:B,"&lt;="&amp;B30)/E30</f>
        <v/>
      </c>
    </row>
    <row r="31">
      <c r="A31" t="inlineStr">
        <is>
          <t>PADD 4</t>
        </is>
      </c>
      <c r="B31" t="n">
        <v>1</v>
      </c>
      <c r="C31" t="inlineStr">
        <is>
          <t>HF SINCLAIR CORP</t>
        </is>
      </c>
      <c r="D31" t="n">
        <v>147705</v>
      </c>
      <c r="E31" t="n">
        <v>653089</v>
      </c>
      <c r="F31" t="inlineStr">
        <is>
          <t>https://www.eia.gov/petroleum/refinerycapacity/table5.pdf</t>
        </is>
      </c>
      <c r="G31">
        <f>D31/E31</f>
        <v/>
      </c>
      <c r="H31">
        <f>SUMIFS(D:D,A:A,A31,B:B,"&lt;="&amp;B31)/E31</f>
        <v/>
      </c>
    </row>
    <row r="32">
      <c r="A32" t="inlineStr">
        <is>
          <t>PADD 4</t>
        </is>
      </c>
      <c r="B32" t="n">
        <v>2</v>
      </c>
      <c r="C32" t="inlineStr">
        <is>
          <t>SUNCOR ENERGY INC</t>
        </is>
      </c>
      <c r="D32" t="n">
        <v>103000</v>
      </c>
      <c r="E32" t="n">
        <v>653089</v>
      </c>
      <c r="F32" t="inlineStr">
        <is>
          <t>https://www.eia.gov/petroleum/refinerycapacity/table5.pdf</t>
        </is>
      </c>
      <c r="G32">
        <f>D32/E32</f>
        <v/>
      </c>
      <c r="H32">
        <f>SUMIFS(D:D,A:A,A32,B:B,"&lt;="&amp;B32)/E32</f>
        <v/>
      </c>
    </row>
    <row r="33">
      <c r="A33" t="inlineStr">
        <is>
          <t>PADD 4</t>
        </is>
      </c>
      <c r="B33" t="n">
        <v>3</v>
      </c>
      <c r="C33" t="inlineStr">
        <is>
          <t>PAR PACIFIC HOLDINGS</t>
        </is>
      </c>
      <c r="D33" t="n">
        <v>79500</v>
      </c>
      <c r="E33" t="n">
        <v>653089</v>
      </c>
      <c r="F33" t="inlineStr">
        <is>
          <t>https://www.eia.gov/petroleum/refinerycapacity/table5.pdf</t>
        </is>
      </c>
      <c r="G33">
        <f>D33/E33</f>
        <v/>
      </c>
      <c r="H33">
        <f>SUMIFS(D:D,A:A,A33,B:B,"&lt;="&amp;B33)/E33</f>
        <v/>
      </c>
    </row>
    <row r="34">
      <c r="A34" t="inlineStr">
        <is>
          <t>PADD 4</t>
        </is>
      </c>
      <c r="B34" t="n">
        <v>4</v>
      </c>
      <c r="C34" t="inlineStr">
        <is>
          <t>PHILLIPS 66 COMPANY</t>
        </is>
      </c>
      <c r="D34" t="n">
        <v>71000</v>
      </c>
      <c r="E34" t="n">
        <v>653089</v>
      </c>
      <c r="F34" t="inlineStr">
        <is>
          <t>https://www.eia.gov/petroleum/refinerycapacity/table5.pdf</t>
        </is>
      </c>
      <c r="G34">
        <f>D34/E34</f>
        <v/>
      </c>
      <c r="H34">
        <f>SUMIFS(D:D,A:A,A34,B:B,"&lt;="&amp;B34)/E34</f>
        <v/>
      </c>
    </row>
    <row r="35">
      <c r="A35" t="inlineStr">
        <is>
          <t>PADD 4</t>
        </is>
      </c>
      <c r="B35" t="n">
        <v>5</v>
      </c>
      <c r="C35" t="inlineStr">
        <is>
          <t>MARATHON PETROLEUM CORP</t>
        </is>
      </c>
      <c r="D35" t="n">
        <v>70000</v>
      </c>
      <c r="E35" t="n">
        <v>653089</v>
      </c>
      <c r="F35" t="inlineStr">
        <is>
          <t>https://www.eia.gov/petroleum/refinerycapacity/table5.pdf</t>
        </is>
      </c>
      <c r="G35">
        <f>D35/E35</f>
        <v/>
      </c>
      <c r="H35">
        <f>SUMIFS(D:D,A:A,A35,B:B,"&lt;="&amp;B35)/E35</f>
        <v/>
      </c>
    </row>
    <row r="36">
      <c r="A36" t="inlineStr">
        <is>
          <t>PADD 4</t>
        </is>
      </c>
      <c r="B36" t="n">
        <v>6</v>
      </c>
      <c r="C36" t="inlineStr">
        <is>
          <t>CHS INC</t>
        </is>
      </c>
      <c r="D36" t="n">
        <v>62500</v>
      </c>
      <c r="E36" t="n">
        <v>653089</v>
      </c>
      <c r="F36" t="inlineStr">
        <is>
          <t>https://www.eia.gov/petroleum/refinerycapacity/table5.pdf</t>
        </is>
      </c>
      <c r="G36">
        <f>D36/E36</f>
        <v/>
      </c>
      <c r="H36">
        <f>SUMIFS(D:D,A:A,A36,B:B,"&lt;="&amp;B36)/E36</f>
        <v/>
      </c>
    </row>
    <row r="37">
      <c r="A37" t="inlineStr">
        <is>
          <t>PADD 5</t>
        </is>
      </c>
      <c r="B37" t="n">
        <v>1</v>
      </c>
      <c r="C37" t="inlineStr">
        <is>
          <t>MARATHON PETROLEUM CORP</t>
        </is>
      </c>
      <c r="D37" t="n">
        <v>552000</v>
      </c>
      <c r="E37" t="n">
        <v>2419871</v>
      </c>
      <c r="F37" t="inlineStr">
        <is>
          <t>https://www.eia.gov/petroleum/refinerycapacity/table5.pdf</t>
        </is>
      </c>
      <c r="G37">
        <f>D37/E37</f>
        <v/>
      </c>
      <c r="H37">
        <f>SUMIFS(D:D,A:A,A37,B:B,"&lt;="&amp;B37)/E37</f>
        <v/>
      </c>
    </row>
    <row r="38">
      <c r="A38" t="inlineStr">
        <is>
          <t>PADD 5</t>
        </is>
      </c>
      <c r="B38" t="n">
        <v>2</v>
      </c>
      <c r="C38" t="inlineStr">
        <is>
          <t>CHEVRON CORP</t>
        </is>
      </c>
      <c r="D38" t="n">
        <v>530271</v>
      </c>
      <c r="E38" t="n">
        <v>2419871</v>
      </c>
      <c r="F38" t="inlineStr">
        <is>
          <t>https://www.eia.gov/petroleum/refinerycapacity/table5.pdf</t>
        </is>
      </c>
      <c r="G38">
        <f>D38/E38</f>
        <v/>
      </c>
      <c r="H38">
        <f>SUMIFS(D:D,A:A,A38,B:B,"&lt;="&amp;B38)/E38</f>
        <v/>
      </c>
    </row>
    <row r="39">
      <c r="A39" t="inlineStr">
        <is>
          <t>PADD 5</t>
        </is>
      </c>
      <c r="B39" t="n">
        <v>3</v>
      </c>
      <c r="C39" t="inlineStr">
        <is>
          <t>PBF ENERGY CO LLC</t>
        </is>
      </c>
      <c r="D39" t="n">
        <v>316400</v>
      </c>
      <c r="E39" t="n">
        <v>2419871</v>
      </c>
      <c r="F39" t="inlineStr">
        <is>
          <t>https://www.eia.gov/petroleum/refinerycapacity/table5.pdf</t>
        </is>
      </c>
      <c r="G39">
        <f>D39/E39</f>
        <v/>
      </c>
      <c r="H39">
        <f>SUMIFS(D:D,A:A,A39,B:B,"&lt;="&amp;B39)/E39</f>
        <v/>
      </c>
    </row>
    <row r="40">
      <c r="A40" t="inlineStr">
        <is>
          <t>PADD 5</t>
        </is>
      </c>
      <c r="B40" t="n">
        <v>4</v>
      </c>
      <c r="C40" t="inlineStr">
        <is>
          <t>BP PLC</t>
        </is>
      </c>
      <c r="D40" t="n">
        <v>238500</v>
      </c>
      <c r="E40" t="n">
        <v>2419871</v>
      </c>
      <c r="F40" t="inlineStr">
        <is>
          <t>https://www.eia.gov/petroleum/refinerycapacity/table5.pdf</t>
        </is>
      </c>
      <c r="G40">
        <f>D40/E40</f>
        <v/>
      </c>
      <c r="H40">
        <f>SUMIFS(D:D,A:A,A40,B:B,"&lt;="&amp;B40)/E40</f>
        <v/>
      </c>
    </row>
    <row r="41">
      <c r="A41" t="inlineStr">
        <is>
          <t>PADD 5</t>
        </is>
      </c>
      <c r="B41" t="n">
        <v>5</v>
      </c>
      <c r="C41" t="inlineStr">
        <is>
          <t>VALERO ENERGY CORP</t>
        </is>
      </c>
      <c r="D41" t="n">
        <v>236300</v>
      </c>
      <c r="E41" t="n">
        <v>2419871</v>
      </c>
      <c r="F41" t="inlineStr">
        <is>
          <t>https://www.eia.gov/petroleum/refinerycapacity/table5.pdf</t>
        </is>
      </c>
      <c r="G41">
        <f>D41/E41</f>
        <v/>
      </c>
      <c r="H41">
        <f>SUMIFS(D:D,A:A,A41,B:B,"&lt;="&amp;B41)/E41</f>
        <v/>
      </c>
    </row>
    <row r="42">
      <c r="A42" t="inlineStr">
        <is>
          <t>PADD 5</t>
        </is>
      </c>
      <c r="B42" t="n">
        <v>6</v>
      </c>
      <c r="C42" t="inlineStr">
        <is>
          <t>HF SINCLAIR CORP</t>
        </is>
      </c>
      <c r="D42" t="n">
        <v>145000</v>
      </c>
      <c r="E42" t="n">
        <v>2419871</v>
      </c>
      <c r="F42" t="inlineStr">
        <is>
          <t>https://www.eia.gov/petroleum/refinerycapacity/table5.pdf</t>
        </is>
      </c>
      <c r="G42">
        <f>D42/E42</f>
        <v/>
      </c>
      <c r="H42">
        <f>SUMIFS(D:D,A:A,A42,B:B,"&lt;="&amp;B42)/E42</f>
        <v/>
      </c>
    </row>
    <row r="43"/>
    <row r="44"/>
    <row r="45">
      <c r="A45" s="6" t="inlineStr">
        <is>
          <t>PADD 4 (Rocky Mountain) plant list, EIA Table 5</t>
        </is>
      </c>
    </row>
    <row r="46">
      <c r="A46" t="inlineStr">
        <is>
          <t>MARATHON PETROLEUM CORP</t>
        </is>
      </c>
      <c r="B46" t="inlineStr">
        <is>
          <t>Salt Lake City</t>
        </is>
      </c>
      <c r="C46" t="inlineStr">
        <is>
          <t>UT</t>
        </is>
      </c>
      <c r="D46" t="n">
        <v>70000</v>
      </c>
    </row>
    <row r="47">
      <c r="A47" t="inlineStr">
        <is>
          <t>PHILLIPS 66 COMPANY</t>
        </is>
      </c>
      <c r="B47" t="inlineStr">
        <is>
          <t>Billings</t>
        </is>
      </c>
      <c r="C47" t="inlineStr">
        <is>
          <t>MT</t>
        </is>
      </c>
      <c r="D47" t="n">
        <v>71000</v>
      </c>
    </row>
    <row r="48">
      <c r="A48" t="inlineStr">
        <is>
          <t>CHEVRON CORP</t>
        </is>
      </c>
      <c r="B48" t="inlineStr">
        <is>
          <t>Salt Lake City</t>
        </is>
      </c>
      <c r="C48" t="inlineStr">
        <is>
          <t>UT</t>
        </is>
      </c>
      <c r="D48" t="n">
        <v>54720</v>
      </c>
    </row>
    <row r="49">
      <c r="A49" t="inlineStr">
        <is>
          <t>HF SINCLAIR CORP</t>
        </is>
      </c>
      <c r="B49" t="inlineStr">
        <is>
          <t>Sinclair</t>
        </is>
      </c>
      <c r="C49" t="inlineStr">
        <is>
          <t>WY</t>
        </is>
      </c>
      <c r="D49" t="n">
        <v>75000</v>
      </c>
    </row>
    <row r="50">
      <c r="A50" t="inlineStr">
        <is>
          <t>HF SINCLAIR CORP</t>
        </is>
      </c>
      <c r="B50" t="inlineStr">
        <is>
          <t>Woods Cross</t>
        </is>
      </c>
      <c r="C50" t="inlineStr">
        <is>
          <t>UT</t>
        </is>
      </c>
      <c r="D50" t="n">
        <v>41705</v>
      </c>
    </row>
    <row r="51">
      <c r="A51" t="inlineStr">
        <is>
          <t>HF SINCLAIR CORP</t>
        </is>
      </c>
      <c r="B51" t="inlineStr">
        <is>
          <t>Evansville</t>
        </is>
      </c>
      <c r="C51" t="inlineStr">
        <is>
          <t>WY</t>
        </is>
      </c>
      <c r="D51" t="n">
        <v>31000</v>
      </c>
    </row>
    <row r="52">
      <c r="A52" t="inlineStr">
        <is>
          <t>PAR PACIFIC HOLDINGS</t>
        </is>
      </c>
      <c r="B52" t="inlineStr">
        <is>
          <t>Billings</t>
        </is>
      </c>
      <c r="C52" t="inlineStr">
        <is>
          <t>MT</t>
        </is>
      </c>
      <c r="D52" t="n">
        <v>61500</v>
      </c>
    </row>
    <row r="53">
      <c r="A53" t="inlineStr">
        <is>
          <t>PAR PACIFIC HOLDINGS</t>
        </is>
      </c>
      <c r="B53" t="inlineStr">
        <is>
          <t>Newcastle</t>
        </is>
      </c>
      <c r="C53" t="inlineStr">
        <is>
          <t>WY</t>
        </is>
      </c>
      <c r="D53" t="n">
        <v>18000</v>
      </c>
    </row>
    <row r="54">
      <c r="A54" t="inlineStr">
        <is>
          <t>CHS INC</t>
        </is>
      </c>
      <c r="B54" t="inlineStr">
        <is>
          <t>Laurel</t>
        </is>
      </c>
      <c r="C54" t="inlineStr">
        <is>
          <t>MT</t>
        </is>
      </c>
      <c r="D54" t="n">
        <v>62500</v>
      </c>
    </row>
    <row r="55">
      <c r="A55" t="inlineStr">
        <is>
          <t>SUNCOR ENERGY INC</t>
        </is>
      </c>
      <c r="B55" t="inlineStr">
        <is>
          <t>Commerce City West</t>
        </is>
      </c>
      <c r="C55" t="inlineStr">
        <is>
          <t>CO</t>
        </is>
      </c>
      <c r="D55" t="n">
        <v>67000</v>
      </c>
    </row>
    <row r="56">
      <c r="A56" t="inlineStr">
        <is>
          <t>SUNCOR ENERGY INC</t>
        </is>
      </c>
      <c r="B56" t="inlineStr">
        <is>
          <t>Commerce City East</t>
        </is>
      </c>
      <c r="C56" t="inlineStr">
        <is>
          <t>CO</t>
        </is>
      </c>
      <c r="D56" t="n">
        <v>36000</v>
      </c>
    </row>
    <row r="57">
      <c r="A57" t="inlineStr">
        <is>
          <t>CALUMET SPECIALTY PRODUCTS PARTNERS, L.P.</t>
        </is>
      </c>
      <c r="B57" t="inlineStr">
        <is>
          <t>Great Falls</t>
        </is>
      </c>
      <c r="C57" t="inlineStr">
        <is>
          <t>MT</t>
        </is>
      </c>
      <c r="D57" t="n">
        <v>15000</v>
      </c>
    </row>
    <row r="58">
      <c r="A58" t="inlineStr">
        <is>
          <t>FJ MANAGEMENT INC</t>
        </is>
      </c>
      <c r="B58" t="inlineStr">
        <is>
          <t>North Salt Lake</t>
        </is>
      </c>
      <c r="C58" t="inlineStr">
        <is>
          <t>UT</t>
        </is>
      </c>
      <c r="D58" t="n">
        <v>31664</v>
      </c>
    </row>
    <row r="59">
      <c r="A59" t="inlineStr">
        <is>
          <t>SILVER EAGLE REFINING INC</t>
        </is>
      </c>
      <c r="B59" t="inlineStr">
        <is>
          <t>Woods Cross</t>
        </is>
      </c>
      <c r="C59" t="inlineStr">
        <is>
          <t>UT</t>
        </is>
      </c>
      <c r="D59" t="n">
        <v>15000</v>
      </c>
    </row>
    <row r="60">
      <c r="A60" t="inlineStr">
        <is>
          <t>SILVER EAGLE REFINING INC</t>
        </is>
      </c>
      <c r="B60" t="inlineStr">
        <is>
          <t>Evanston</t>
        </is>
      </c>
      <c r="C60" t="inlineStr">
        <is>
          <t>WY</t>
        </is>
      </c>
      <c r="D60" t="n">
        <v>3000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8" customWidth="1" min="8" max="8"/>
    <col width="18" customWidth="1" min="9" max="9"/>
    <col width="18" customWidth="1" min="10" max="10"/>
  </cols>
  <sheetData>
    <row r="1" ht="60" customHeight="1">
      <c r="A1" s="1" t="inlineStr">
        <is>
          <t>Week ending (Fri)</t>
        </is>
      </c>
      <c r="B1" s="1" t="inlineStr">
        <is>
          <t>U.S. total gasoline stocks, thousand bbl (EIA WGTSTUS1)</t>
        </is>
      </c>
      <c r="C1" s="1" t="inlineStr">
        <is>
          <t>U.S. total motor gasoline exports, kb/d (EIA W_EPM0F_EEX_NUS-Z00_MBBLD; from Jun 2010)</t>
        </is>
      </c>
      <c r="D1" s="1" t="inlineStr">
        <is>
          <t>U.S. total petroleum product exports, kb/d (EIA WRPEXUS2)</t>
        </is>
      </c>
      <c r="E1" s="1" t="inlineStr">
        <is>
          <t>U.S. crude oil exports, kb/d (EIA WCREXUS2)</t>
        </is>
      </c>
      <c r="F1" s="2" t="inlineStr">
        <is>
          <t>One week of gasoline exports (kb/d x 7) as share of gasoline stocks [formula]</t>
        </is>
      </c>
      <c r="H1" s="6" t="inlineStr">
        <is>
          <t>Annual (EIA MGFEXUS2 / MTPEXUS2)</t>
        </is>
      </c>
    </row>
    <row r="2">
      <c r="A2" s="3" t="n">
        <v>38359</v>
      </c>
      <c r="B2" t="n">
        <v>215333</v>
      </c>
      <c r="D2" t="n">
        <v>973</v>
      </c>
      <c r="E2" t="n">
        <v>10</v>
      </c>
      <c r="F2">
        <f>IF(C2="","",C2*7/B2)</f>
        <v/>
      </c>
      <c r="H2" t="inlineStr">
        <is>
          <t>Year</t>
        </is>
      </c>
      <c r="I2" t="inlineStr">
        <is>
          <t>Finished motor gasoline exports, kb/d</t>
        </is>
      </c>
      <c r="J2" t="inlineStr">
        <is>
          <t>Finished petroleum products exports, kb/d</t>
        </is>
      </c>
    </row>
    <row r="3">
      <c r="A3" s="3" t="n">
        <v>38366</v>
      </c>
      <c r="B3" t="n">
        <v>216969</v>
      </c>
      <c r="D3" t="n">
        <v>973</v>
      </c>
      <c r="E3" t="n">
        <v>10</v>
      </c>
      <c r="F3">
        <f>IF(C3="","",C3*7/B3)</f>
        <v/>
      </c>
      <c r="H3" t="n">
        <v>2005</v>
      </c>
      <c r="I3" t="n">
        <v>136</v>
      </c>
      <c r="J3" t="n">
        <v>1010</v>
      </c>
    </row>
    <row r="4">
      <c r="A4" s="3" t="n">
        <v>38373</v>
      </c>
      <c r="B4" t="n">
        <v>214712</v>
      </c>
      <c r="D4" t="n">
        <v>973</v>
      </c>
      <c r="F4">
        <f>IF(C4="","",C4*7/B4)</f>
        <v/>
      </c>
      <c r="H4" t="n">
        <v>2006</v>
      </c>
      <c r="I4" t="n">
        <v>142</v>
      </c>
      <c r="J4" t="n">
        <v>1144</v>
      </c>
    </row>
    <row r="5">
      <c r="A5" s="3" t="n">
        <v>38380</v>
      </c>
      <c r="B5" t="n">
        <v>216342</v>
      </c>
      <c r="D5" t="n">
        <v>973</v>
      </c>
      <c r="E5" t="n">
        <v>10</v>
      </c>
      <c r="F5">
        <f>IF(C5="","",C5*7/B5)</f>
        <v/>
      </c>
      <c r="H5" t="n">
        <v>2007</v>
      </c>
      <c r="I5" t="n">
        <v>127</v>
      </c>
      <c r="J5" t="n">
        <v>1247</v>
      </c>
    </row>
    <row r="6">
      <c r="A6" s="3" t="n">
        <v>38387</v>
      </c>
      <c r="B6" t="n">
        <v>216757</v>
      </c>
      <c r="D6" t="n">
        <v>979</v>
      </c>
      <c r="E6" t="n">
        <v>10</v>
      </c>
      <c r="F6">
        <f>IF(C6="","",C6*7/B6)</f>
        <v/>
      </c>
      <c r="H6" t="n">
        <v>2008</v>
      </c>
      <c r="I6" t="n">
        <v>172</v>
      </c>
      <c r="J6" t="n">
        <v>1608</v>
      </c>
    </row>
    <row r="7">
      <c r="A7" s="3" t="n">
        <v>38394</v>
      </c>
      <c r="B7" t="n">
        <v>221678</v>
      </c>
      <c r="D7" t="n">
        <v>979</v>
      </c>
      <c r="E7" t="n">
        <v>10</v>
      </c>
      <c r="F7">
        <f>IF(C7="","",C7*7/B7)</f>
        <v/>
      </c>
      <c r="H7" t="n">
        <v>2009</v>
      </c>
      <c r="I7" t="n">
        <v>195</v>
      </c>
      <c r="J7" t="n">
        <v>1777</v>
      </c>
    </row>
    <row r="8">
      <c r="A8" s="3" t="n">
        <v>38401</v>
      </c>
      <c r="B8" t="n">
        <v>223510</v>
      </c>
      <c r="D8" t="n">
        <v>1075</v>
      </c>
      <c r="E8" t="n">
        <v>10</v>
      </c>
      <c r="F8">
        <f>IF(C8="","",C8*7/B8)</f>
        <v/>
      </c>
      <c r="H8" t="n">
        <v>2010</v>
      </c>
      <c r="I8" t="n">
        <v>296</v>
      </c>
      <c r="J8" t="n">
        <v>2025</v>
      </c>
    </row>
    <row r="9">
      <c r="A9" s="3" t="n">
        <v>38408</v>
      </c>
      <c r="B9" t="n">
        <v>224483</v>
      </c>
      <c r="D9" t="n">
        <v>1025</v>
      </c>
      <c r="E9" t="n">
        <v>10</v>
      </c>
      <c r="F9">
        <f>IF(C9="","",C9*7/B9)</f>
        <v/>
      </c>
      <c r="H9" t="n">
        <v>2011</v>
      </c>
      <c r="I9" t="n">
        <v>479</v>
      </c>
      <c r="J9" t="n">
        <v>2503</v>
      </c>
    </row>
    <row r="10">
      <c r="A10" s="3" t="n">
        <v>38415</v>
      </c>
      <c r="B10" t="n">
        <v>224282</v>
      </c>
      <c r="D10" t="n">
        <v>1002</v>
      </c>
      <c r="E10" t="n">
        <v>17</v>
      </c>
      <c r="F10">
        <f>IF(C10="","",C10*7/B10)</f>
        <v/>
      </c>
      <c r="H10" t="n">
        <v>2012</v>
      </c>
      <c r="I10" t="n">
        <v>409</v>
      </c>
      <c r="J10" t="n">
        <v>2609</v>
      </c>
    </row>
    <row r="11">
      <c r="A11" s="3" t="n">
        <v>38422</v>
      </c>
      <c r="B11" t="n">
        <v>221352</v>
      </c>
      <c r="D11" t="n">
        <v>1002</v>
      </c>
      <c r="E11" t="n">
        <v>10</v>
      </c>
      <c r="F11">
        <f>IF(C11="","",C11*7/B11)</f>
        <v/>
      </c>
      <c r="H11" t="n">
        <v>2013</v>
      </c>
      <c r="I11" t="n">
        <v>373</v>
      </c>
      <c r="J11" t="n">
        <v>2660</v>
      </c>
    </row>
    <row r="12">
      <c r="A12" s="3" t="n">
        <v>38429</v>
      </c>
      <c r="B12" t="n">
        <v>217293</v>
      </c>
      <c r="D12" t="n">
        <v>1002</v>
      </c>
      <c r="E12" t="n">
        <v>10</v>
      </c>
      <c r="F12">
        <f>IF(C12="","",C12*7/B12)</f>
        <v/>
      </c>
      <c r="H12" t="n">
        <v>2014</v>
      </c>
      <c r="I12" t="n">
        <v>442</v>
      </c>
      <c r="J12" t="n">
        <v>2717</v>
      </c>
    </row>
    <row r="13">
      <c r="A13" s="3" t="n">
        <v>38436</v>
      </c>
      <c r="B13" t="n">
        <v>214358</v>
      </c>
      <c r="D13" t="n">
        <v>986</v>
      </c>
      <c r="F13">
        <f>IF(C13="","",C13*7/B13)</f>
        <v/>
      </c>
      <c r="H13" t="n">
        <v>2015</v>
      </c>
      <c r="I13" t="n">
        <v>476</v>
      </c>
      <c r="J13" t="n">
        <v>2793</v>
      </c>
    </row>
    <row r="14">
      <c r="A14" s="3" t="n">
        <v>38443</v>
      </c>
      <c r="B14" t="n">
        <v>212252</v>
      </c>
      <c r="D14" t="n">
        <v>986</v>
      </c>
      <c r="F14">
        <f>IF(C14="","",C14*7/B14)</f>
        <v/>
      </c>
      <c r="H14" t="n">
        <v>2016</v>
      </c>
      <c r="I14" t="n">
        <v>635</v>
      </c>
      <c r="J14" t="n">
        <v>2972</v>
      </c>
    </row>
    <row r="15">
      <c r="A15" s="3" t="n">
        <v>38450</v>
      </c>
      <c r="B15" t="n">
        <v>213100</v>
      </c>
      <c r="D15" t="n">
        <v>931</v>
      </c>
      <c r="E15" t="n">
        <v>10</v>
      </c>
      <c r="F15">
        <f>IF(C15="","",C15*7/B15)</f>
        <v/>
      </c>
      <c r="H15" t="n">
        <v>2017</v>
      </c>
      <c r="I15" t="n">
        <v>749</v>
      </c>
      <c r="J15" t="n">
        <v>3344</v>
      </c>
    </row>
    <row r="16">
      <c r="A16" s="3" t="n">
        <v>38457</v>
      </c>
      <c r="B16" t="n">
        <v>211636</v>
      </c>
      <c r="D16" t="n">
        <v>931</v>
      </c>
      <c r="E16" t="n">
        <v>10</v>
      </c>
      <c r="F16">
        <f>IF(C16="","",C16*7/B16)</f>
        <v/>
      </c>
      <c r="H16" t="n">
        <v>2018</v>
      </c>
      <c r="I16" t="n">
        <v>879</v>
      </c>
      <c r="J16" t="n">
        <v>3439</v>
      </c>
    </row>
    <row r="17">
      <c r="A17" s="3" t="n">
        <v>38464</v>
      </c>
      <c r="B17" t="n">
        <v>211306</v>
      </c>
      <c r="D17" t="n">
        <v>956</v>
      </c>
      <c r="E17" t="n">
        <v>10</v>
      </c>
      <c r="F17">
        <f>IF(C17="","",C17*7/B17)</f>
        <v/>
      </c>
      <c r="H17" t="n">
        <v>2019</v>
      </c>
      <c r="I17" t="n">
        <v>815</v>
      </c>
      <c r="J17" t="n">
        <v>3252</v>
      </c>
    </row>
    <row r="18">
      <c r="A18" s="3" t="n">
        <v>38471</v>
      </c>
      <c r="B18" t="n">
        <v>213507</v>
      </c>
      <c r="D18" t="n">
        <v>1009</v>
      </c>
      <c r="F18">
        <f>IF(C18="","",C18*7/B18)</f>
        <v/>
      </c>
      <c r="H18" t="n">
        <v>2020</v>
      </c>
      <c r="I18" t="n">
        <v>722</v>
      </c>
      <c r="J18" t="n">
        <v>2802</v>
      </c>
    </row>
    <row r="19">
      <c r="A19" s="3" t="n">
        <v>38478</v>
      </c>
      <c r="B19" t="n">
        <v>213694</v>
      </c>
      <c r="D19" t="n">
        <v>995</v>
      </c>
      <c r="E19" t="n">
        <v>17</v>
      </c>
      <c r="F19">
        <f>IF(C19="","",C19*7/B19)</f>
        <v/>
      </c>
      <c r="H19" t="n">
        <v>2021</v>
      </c>
      <c r="I19" t="n">
        <v>816</v>
      </c>
      <c r="J19" t="n">
        <v>2731</v>
      </c>
    </row>
    <row r="20">
      <c r="A20" s="3" t="n">
        <v>38485</v>
      </c>
      <c r="B20" t="n">
        <v>214765</v>
      </c>
      <c r="D20" t="n">
        <v>1028</v>
      </c>
      <c r="E20" t="n">
        <v>20</v>
      </c>
      <c r="F20">
        <f>IF(C20="","",C20*7/B20)</f>
        <v/>
      </c>
      <c r="H20" t="n">
        <v>2022</v>
      </c>
      <c r="I20" t="n">
        <v>867</v>
      </c>
      <c r="J20" t="n">
        <v>3087</v>
      </c>
    </row>
    <row r="21">
      <c r="A21" s="3" t="n">
        <v>38492</v>
      </c>
      <c r="B21" t="n">
        <v>215374</v>
      </c>
      <c r="D21" t="n">
        <v>1078</v>
      </c>
      <c r="E21" t="n">
        <v>20</v>
      </c>
      <c r="F21">
        <f>IF(C21="","",C21*7/B21)</f>
        <v/>
      </c>
      <c r="H21" t="n">
        <v>2023</v>
      </c>
      <c r="I21" t="n">
        <v>816</v>
      </c>
      <c r="J21" t="n">
        <v>2977</v>
      </c>
    </row>
    <row r="22">
      <c r="A22" s="3" t="n">
        <v>38499</v>
      </c>
      <c r="B22" t="n">
        <v>216678</v>
      </c>
      <c r="D22" t="n">
        <v>1119</v>
      </c>
      <c r="E22" t="n">
        <v>20</v>
      </c>
      <c r="F22">
        <f>IF(C22="","",C22*7/B22)</f>
        <v/>
      </c>
      <c r="H22" t="n">
        <v>2024</v>
      </c>
      <c r="I22" t="n">
        <v>797</v>
      </c>
      <c r="J22" t="n">
        <v>3180</v>
      </c>
    </row>
    <row r="23">
      <c r="A23" s="3" t="n">
        <v>38506</v>
      </c>
      <c r="B23" t="n">
        <v>216647</v>
      </c>
      <c r="D23" t="n">
        <v>1140</v>
      </c>
      <c r="E23" t="n">
        <v>17</v>
      </c>
      <c r="F23">
        <f>IF(C23="","",C23*7/B23)</f>
        <v/>
      </c>
      <c r="H23" t="n">
        <v>2025</v>
      </c>
      <c r="I23" t="n">
        <v>778</v>
      </c>
      <c r="J23" t="n">
        <v>3050</v>
      </c>
    </row>
    <row r="24">
      <c r="A24" s="3" t="n">
        <v>38513</v>
      </c>
      <c r="B24" t="n">
        <v>215742</v>
      </c>
      <c r="D24" t="n">
        <v>1140</v>
      </c>
      <c r="E24" t="n">
        <v>17</v>
      </c>
      <c r="F24">
        <f>IF(C24="","",C24*7/B24)</f>
        <v/>
      </c>
    </row>
    <row r="25">
      <c r="A25" s="3" t="n">
        <v>38520</v>
      </c>
      <c r="B25" t="n">
        <v>215939</v>
      </c>
      <c r="D25" t="n">
        <v>1140</v>
      </c>
      <c r="F25">
        <f>IF(C25="","",C25*7/B25)</f>
        <v/>
      </c>
    </row>
    <row r="26">
      <c r="A26" s="3" t="n">
        <v>38527</v>
      </c>
      <c r="B26" t="n">
        <v>216240</v>
      </c>
      <c r="D26" t="n">
        <v>1140</v>
      </c>
      <c r="F26">
        <f>IF(C26="","",C26*7/B26)</f>
        <v/>
      </c>
    </row>
    <row r="27">
      <c r="A27" s="3" t="n">
        <v>38534</v>
      </c>
      <c r="B27" t="n">
        <v>215266</v>
      </c>
      <c r="D27" t="n">
        <v>1119</v>
      </c>
      <c r="E27" t="n">
        <v>19</v>
      </c>
      <c r="F27">
        <f>IF(C27="","",C27*7/B27)</f>
        <v/>
      </c>
    </row>
    <row r="28">
      <c r="A28" s="3" t="n">
        <v>38541</v>
      </c>
      <c r="B28" t="n">
        <v>212641</v>
      </c>
      <c r="D28" t="n">
        <v>1076</v>
      </c>
      <c r="E28" t="n">
        <v>19</v>
      </c>
      <c r="F28">
        <f>IF(C28="","",C28*7/B28)</f>
        <v/>
      </c>
    </row>
    <row r="29">
      <c r="A29" s="3" t="n">
        <v>38548</v>
      </c>
      <c r="B29" t="n">
        <v>211322</v>
      </c>
      <c r="D29" t="n">
        <v>1076</v>
      </c>
      <c r="F29">
        <f>IF(C29="","",C29*7/B29)</f>
        <v/>
      </c>
    </row>
    <row r="30">
      <c r="A30" s="3" t="n">
        <v>38555</v>
      </c>
      <c r="B30" t="n">
        <v>209194</v>
      </c>
      <c r="D30" t="n">
        <v>1076</v>
      </c>
      <c r="E30" t="n">
        <v>19</v>
      </c>
      <c r="F30">
        <f>IF(C30="","",C30*7/B30)</f>
        <v/>
      </c>
    </row>
    <row r="31">
      <c r="A31" s="3" t="n">
        <v>38562</v>
      </c>
      <c r="B31" t="n">
        <v>205177</v>
      </c>
      <c r="D31" t="n">
        <v>1111</v>
      </c>
      <c r="E31" t="n">
        <v>19</v>
      </c>
      <c r="F31">
        <f>IF(C31="","",C31*7/B31)</f>
        <v/>
      </c>
    </row>
    <row r="32">
      <c r="A32" s="3" t="n">
        <v>38569</v>
      </c>
      <c r="B32" t="n">
        <v>203091</v>
      </c>
      <c r="D32" t="n">
        <v>1104</v>
      </c>
      <c r="E32" t="n">
        <v>19</v>
      </c>
      <c r="F32">
        <f>IF(C32="","",C32*7/B32)</f>
        <v/>
      </c>
    </row>
    <row r="33">
      <c r="A33" s="3" t="n">
        <v>38576</v>
      </c>
      <c r="B33" t="n">
        <v>198122</v>
      </c>
      <c r="D33" t="n">
        <v>1171</v>
      </c>
      <c r="E33" t="n">
        <v>19</v>
      </c>
      <c r="F33">
        <f>IF(C33="","",C33*7/B33)</f>
        <v/>
      </c>
    </row>
    <row r="34">
      <c r="A34" s="3" t="n">
        <v>38583</v>
      </c>
      <c r="B34" t="n">
        <v>194877</v>
      </c>
      <c r="D34" t="n">
        <v>1191</v>
      </c>
      <c r="E34" t="n">
        <v>19</v>
      </c>
      <c r="F34">
        <f>IF(C34="","",C34*7/B34)</f>
        <v/>
      </c>
    </row>
    <row r="35">
      <c r="A35" s="3" t="n">
        <v>38590</v>
      </c>
      <c r="B35" t="n">
        <v>194369</v>
      </c>
      <c r="D35" t="n">
        <v>1136</v>
      </c>
      <c r="E35" t="n">
        <v>19</v>
      </c>
      <c r="F35">
        <f>IF(C35="","",C35*7/B35)</f>
        <v/>
      </c>
    </row>
    <row r="36">
      <c r="A36" s="3" t="n">
        <v>38597</v>
      </c>
      <c r="B36" t="n">
        <v>190067</v>
      </c>
      <c r="D36" t="n">
        <v>1136</v>
      </c>
      <c r="E36" t="n">
        <v>19</v>
      </c>
      <c r="F36">
        <f>IF(C36="","",C36*7/B36)</f>
        <v/>
      </c>
    </row>
    <row r="37">
      <c r="A37" s="3" t="n">
        <v>38604</v>
      </c>
      <c r="B37" t="n">
        <v>191959</v>
      </c>
      <c r="D37" t="n">
        <v>1080</v>
      </c>
      <c r="E37" t="n">
        <v>19</v>
      </c>
      <c r="F37">
        <f>IF(C37="","",C37*7/B37)</f>
        <v/>
      </c>
    </row>
    <row r="38">
      <c r="A38" s="3" t="n">
        <v>38611</v>
      </c>
      <c r="B38" t="n">
        <v>195431</v>
      </c>
      <c r="D38" t="n">
        <v>1080</v>
      </c>
      <c r="E38" t="n">
        <v>19</v>
      </c>
      <c r="F38">
        <f>IF(C38="","",C38*7/B38)</f>
        <v/>
      </c>
    </row>
    <row r="39">
      <c r="A39" s="3" t="n">
        <v>38618</v>
      </c>
      <c r="B39" t="n">
        <v>199831</v>
      </c>
      <c r="D39" t="n">
        <v>1080</v>
      </c>
      <c r="E39" t="n">
        <v>19</v>
      </c>
      <c r="F39">
        <f>IF(C39="","",C39*7/B39)</f>
        <v/>
      </c>
    </row>
    <row r="40">
      <c r="A40" s="3" t="n">
        <v>38625</v>
      </c>
      <c r="B40" t="n">
        <v>195454</v>
      </c>
      <c r="D40" t="n">
        <v>923</v>
      </c>
      <c r="E40" t="n">
        <v>19</v>
      </c>
      <c r="F40">
        <f>IF(C40="","",C40*7/B40)</f>
        <v/>
      </c>
    </row>
    <row r="41">
      <c r="A41" s="3" t="n">
        <v>38632</v>
      </c>
      <c r="B41" t="n">
        <v>192803</v>
      </c>
      <c r="D41" t="n">
        <v>914</v>
      </c>
      <c r="E41" t="n">
        <v>20</v>
      </c>
      <c r="F41">
        <f>IF(C41="","",C41*7/B41)</f>
        <v/>
      </c>
    </row>
    <row r="42">
      <c r="A42" s="3" t="n">
        <v>38639</v>
      </c>
      <c r="B42" t="n">
        <v>195710</v>
      </c>
      <c r="D42" t="n">
        <v>824</v>
      </c>
      <c r="E42" t="n">
        <v>20</v>
      </c>
      <c r="F42">
        <f>IF(C42="","",C42*7/B42)</f>
        <v/>
      </c>
    </row>
    <row r="43">
      <c r="A43" s="3" t="n">
        <v>38646</v>
      </c>
      <c r="B43" t="n">
        <v>195869</v>
      </c>
      <c r="D43" t="n">
        <v>824</v>
      </c>
      <c r="F43">
        <f>IF(C43="","",C43*7/B43)</f>
        <v/>
      </c>
    </row>
    <row r="44">
      <c r="A44" s="3" t="n">
        <v>38653</v>
      </c>
      <c r="B44" t="n">
        <v>196904</v>
      </c>
      <c r="D44" t="n">
        <v>824</v>
      </c>
      <c r="E44" t="n">
        <v>20</v>
      </c>
      <c r="F44">
        <f>IF(C44="","",C44*7/B44)</f>
        <v/>
      </c>
    </row>
    <row r="45">
      <c r="A45" s="3" t="n">
        <v>38660</v>
      </c>
      <c r="B45" t="n">
        <v>201127</v>
      </c>
      <c r="D45" t="n">
        <v>827</v>
      </c>
      <c r="E45" t="n">
        <v>20</v>
      </c>
      <c r="F45">
        <f>IF(C45="","",C45*7/B45)</f>
        <v/>
      </c>
    </row>
    <row r="46">
      <c r="A46" s="3" t="n">
        <v>38667</v>
      </c>
      <c r="B46" t="n">
        <v>200175</v>
      </c>
      <c r="D46" t="n">
        <v>828</v>
      </c>
      <c r="F46">
        <f>IF(C46="","",C46*7/B46)</f>
        <v/>
      </c>
    </row>
    <row r="47">
      <c r="A47" s="3" t="n">
        <v>38674</v>
      </c>
      <c r="B47" t="n">
        <v>200413</v>
      </c>
      <c r="D47" t="n">
        <v>828</v>
      </c>
      <c r="E47" t="n">
        <v>20</v>
      </c>
      <c r="F47">
        <f>IF(C47="","",C47*7/B47)</f>
        <v/>
      </c>
    </row>
    <row r="48">
      <c r="A48" s="3" t="n">
        <v>38681</v>
      </c>
      <c r="B48" t="n">
        <v>199868</v>
      </c>
      <c r="D48" t="n">
        <v>828</v>
      </c>
      <c r="F48">
        <f>IF(C48="","",C48*7/B48)</f>
        <v/>
      </c>
    </row>
    <row r="49">
      <c r="A49" s="3" t="n">
        <v>38688</v>
      </c>
      <c r="B49" t="n">
        <v>202609</v>
      </c>
      <c r="D49" t="n">
        <v>887</v>
      </c>
      <c r="E49" t="n">
        <v>20</v>
      </c>
      <c r="F49">
        <f>IF(C49="","",C49*7/B49)</f>
        <v/>
      </c>
    </row>
    <row r="50">
      <c r="A50" s="3" t="n">
        <v>38695</v>
      </c>
      <c r="B50" t="n">
        <v>204375</v>
      </c>
      <c r="D50" t="n">
        <v>873</v>
      </c>
      <c r="E50" t="n">
        <v>20</v>
      </c>
      <c r="F50">
        <f>IF(C50="","",C50*7/B50)</f>
        <v/>
      </c>
    </row>
    <row r="51">
      <c r="A51" s="3" t="n">
        <v>38702</v>
      </c>
      <c r="B51" t="n">
        <v>204074</v>
      </c>
      <c r="D51" t="n">
        <v>873</v>
      </c>
      <c r="E51" t="n">
        <v>20</v>
      </c>
      <c r="F51">
        <f>IF(C51="","",C51*7/B51)</f>
        <v/>
      </c>
    </row>
    <row r="52">
      <c r="A52" s="3" t="n">
        <v>38709</v>
      </c>
      <c r="B52" t="n">
        <v>202853</v>
      </c>
      <c r="D52" t="n">
        <v>873</v>
      </c>
      <c r="F52">
        <f>IF(C52="","",C52*7/B52)</f>
        <v/>
      </c>
    </row>
    <row r="53">
      <c r="A53" s="3" t="n">
        <v>38716</v>
      </c>
      <c r="B53" t="n">
        <v>204259</v>
      </c>
      <c r="D53" t="n">
        <v>854</v>
      </c>
      <c r="E53" t="n">
        <v>20</v>
      </c>
      <c r="F53">
        <f>IF(C53="","",C53*7/B53)</f>
        <v/>
      </c>
    </row>
    <row r="54">
      <c r="A54" s="3" t="n">
        <v>38723</v>
      </c>
      <c r="B54" t="n">
        <v>208778</v>
      </c>
      <c r="D54" t="n">
        <v>869</v>
      </c>
      <c r="E54" t="n">
        <v>20</v>
      </c>
      <c r="F54">
        <f>IF(C54="","",C54*7/B54)</f>
        <v/>
      </c>
    </row>
    <row r="55">
      <c r="A55" s="3" t="n">
        <v>38730</v>
      </c>
      <c r="B55" t="n">
        <v>211635</v>
      </c>
      <c r="D55" t="n">
        <v>869</v>
      </c>
      <c r="E55" t="n">
        <v>20</v>
      </c>
      <c r="F55">
        <f>IF(C55="","",C55*7/B55)</f>
        <v/>
      </c>
    </row>
    <row r="56">
      <c r="A56" s="3" t="n">
        <v>38737</v>
      </c>
      <c r="B56" t="n">
        <v>214763</v>
      </c>
      <c r="D56" t="n">
        <v>869</v>
      </c>
      <c r="E56" t="n">
        <v>20</v>
      </c>
      <c r="F56">
        <f>IF(C56="","",C56*7/B56)</f>
        <v/>
      </c>
    </row>
    <row r="57">
      <c r="A57" s="3" t="n">
        <v>38744</v>
      </c>
      <c r="B57" t="n">
        <v>219044</v>
      </c>
      <c r="D57" t="n">
        <v>923</v>
      </c>
      <c r="E57" t="n">
        <v>21</v>
      </c>
      <c r="F57">
        <f>IF(C57="","",C57*7/B57)</f>
        <v/>
      </c>
    </row>
    <row r="58">
      <c r="A58" s="3" t="n">
        <v>38751</v>
      </c>
      <c r="B58" t="n">
        <v>223344</v>
      </c>
      <c r="D58" t="n">
        <v>923</v>
      </c>
      <c r="E58" t="n">
        <v>21</v>
      </c>
      <c r="F58">
        <f>IF(C58="","",C58*7/B58)</f>
        <v/>
      </c>
    </row>
    <row r="59">
      <c r="A59" s="3" t="n">
        <v>38758</v>
      </c>
      <c r="B59" t="n">
        <v>225459</v>
      </c>
      <c r="D59" t="n">
        <v>923</v>
      </c>
      <c r="E59" t="n">
        <v>21</v>
      </c>
      <c r="F59">
        <f>IF(C59="","",C59*7/B59)</f>
        <v/>
      </c>
    </row>
    <row r="60">
      <c r="A60" s="3" t="n">
        <v>38765</v>
      </c>
      <c r="B60" t="n">
        <v>225648</v>
      </c>
      <c r="D60" t="n">
        <v>923</v>
      </c>
      <c r="E60" t="n">
        <v>21</v>
      </c>
      <c r="F60">
        <f>IF(C60="","",C60*7/B60)</f>
        <v/>
      </c>
    </row>
    <row r="61">
      <c r="A61" s="3" t="n">
        <v>38772</v>
      </c>
      <c r="B61" t="n">
        <v>225867</v>
      </c>
      <c r="D61" t="n">
        <v>923</v>
      </c>
      <c r="F61">
        <f>IF(C61="","",C61*7/B61)</f>
        <v/>
      </c>
    </row>
    <row r="62">
      <c r="A62" s="3" t="n">
        <v>38779</v>
      </c>
      <c r="B62" t="n">
        <v>224765</v>
      </c>
      <c r="D62" t="n">
        <v>1017</v>
      </c>
      <c r="E62" t="n">
        <v>21</v>
      </c>
      <c r="F62">
        <f>IF(C62="","",C62*7/B62)</f>
        <v/>
      </c>
    </row>
    <row r="63">
      <c r="A63" s="3" t="n">
        <v>38786</v>
      </c>
      <c r="B63" t="n">
        <v>223884</v>
      </c>
      <c r="D63" t="n">
        <v>1017</v>
      </c>
      <c r="E63" t="n">
        <v>21</v>
      </c>
      <c r="F63">
        <f>IF(C63="","",C63*7/B63)</f>
        <v/>
      </c>
    </row>
    <row r="64">
      <c r="A64" s="3" t="n">
        <v>38793</v>
      </c>
      <c r="B64" t="n">
        <v>221563</v>
      </c>
      <c r="D64" t="n">
        <v>1017</v>
      </c>
      <c r="E64" t="n">
        <v>21</v>
      </c>
      <c r="F64">
        <f>IF(C64="","",C64*7/B64)</f>
        <v/>
      </c>
    </row>
    <row r="65">
      <c r="A65" s="3" t="n">
        <v>38800</v>
      </c>
      <c r="B65" t="n">
        <v>216226</v>
      </c>
      <c r="D65" t="n">
        <v>1017</v>
      </c>
      <c r="E65" t="n">
        <v>21</v>
      </c>
      <c r="F65">
        <f>IF(C65="","",C65*7/B65)</f>
        <v/>
      </c>
    </row>
    <row r="66">
      <c r="A66" s="3" t="n">
        <v>38807</v>
      </c>
      <c r="B66" t="n">
        <v>211782</v>
      </c>
      <c r="D66" t="n">
        <v>1060</v>
      </c>
      <c r="E66" t="n">
        <v>22</v>
      </c>
      <c r="F66">
        <f>IF(C66="","",C66*7/B66)</f>
        <v/>
      </c>
    </row>
    <row r="67">
      <c r="A67" s="3" t="n">
        <v>38814</v>
      </c>
      <c r="B67" t="n">
        <v>207927</v>
      </c>
      <c r="D67" t="n">
        <v>1071</v>
      </c>
      <c r="E67" t="n">
        <v>22</v>
      </c>
      <c r="F67">
        <f>IF(C67="","",C67*7/B67)</f>
        <v/>
      </c>
    </row>
    <row r="68">
      <c r="A68" s="3" t="n">
        <v>38821</v>
      </c>
      <c r="B68" t="n">
        <v>202482</v>
      </c>
      <c r="D68" t="n">
        <v>1071</v>
      </c>
      <c r="E68" t="n">
        <v>22</v>
      </c>
      <c r="F68">
        <f>IF(C68="","",C68*7/B68)</f>
        <v/>
      </c>
    </row>
    <row r="69">
      <c r="A69" s="3" t="n">
        <v>38828</v>
      </c>
      <c r="B69" t="n">
        <v>200594</v>
      </c>
      <c r="D69" t="n">
        <v>1071</v>
      </c>
      <c r="E69" t="n">
        <v>22</v>
      </c>
      <c r="F69">
        <f>IF(C69="","",C69*7/B69)</f>
        <v/>
      </c>
    </row>
    <row r="70">
      <c r="A70" s="3" t="n">
        <v>38835</v>
      </c>
      <c r="B70" t="n">
        <v>202708</v>
      </c>
      <c r="D70" t="n">
        <v>1021</v>
      </c>
      <c r="E70" t="n">
        <v>22</v>
      </c>
      <c r="F70">
        <f>IF(C70="","",C70*7/B70)</f>
        <v/>
      </c>
    </row>
    <row r="71">
      <c r="A71" s="3" t="n">
        <v>38842</v>
      </c>
      <c r="B71" t="n">
        <v>205050</v>
      </c>
      <c r="D71" t="n">
        <v>1089</v>
      </c>
      <c r="E71" t="n">
        <v>21</v>
      </c>
      <c r="F71">
        <f>IF(C71="","",C71*7/B71)</f>
        <v/>
      </c>
    </row>
    <row r="72">
      <c r="A72" s="3" t="n">
        <v>38849</v>
      </c>
      <c r="B72" t="n">
        <v>206375</v>
      </c>
      <c r="D72" t="n">
        <v>1089</v>
      </c>
      <c r="E72" t="n">
        <v>21</v>
      </c>
      <c r="F72">
        <f>IF(C72="","",C72*7/B72)</f>
        <v/>
      </c>
    </row>
    <row r="73">
      <c r="A73" s="3" t="n">
        <v>38856</v>
      </c>
      <c r="B73" t="n">
        <v>208483</v>
      </c>
      <c r="D73" t="n">
        <v>1089</v>
      </c>
      <c r="E73" t="n">
        <v>21</v>
      </c>
      <c r="F73">
        <f>IF(C73="","",C73*7/B73)</f>
        <v/>
      </c>
    </row>
    <row r="74">
      <c r="A74" s="3" t="n">
        <v>38863</v>
      </c>
      <c r="B74" t="n">
        <v>209277</v>
      </c>
      <c r="D74" t="n">
        <v>1089</v>
      </c>
      <c r="F74">
        <f>IF(C74="","",C74*7/B74)</f>
        <v/>
      </c>
    </row>
    <row r="75">
      <c r="A75" s="3" t="n">
        <v>38870</v>
      </c>
      <c r="B75" t="n">
        <v>210331</v>
      </c>
      <c r="D75" t="n">
        <v>1120</v>
      </c>
      <c r="E75" t="n">
        <v>21</v>
      </c>
      <c r="F75">
        <f>IF(C75="","",C75*7/B75)</f>
        <v/>
      </c>
    </row>
    <row r="76">
      <c r="A76" s="3" t="n">
        <v>38877</v>
      </c>
      <c r="B76" t="n">
        <v>213146</v>
      </c>
      <c r="D76" t="n">
        <v>1120</v>
      </c>
      <c r="E76" t="n">
        <v>21</v>
      </c>
      <c r="F76">
        <f>IF(C76="","",C76*7/B76)</f>
        <v/>
      </c>
    </row>
    <row r="77">
      <c r="A77" s="3" t="n">
        <v>38884</v>
      </c>
      <c r="B77" t="n">
        <v>213440</v>
      </c>
      <c r="D77" t="n">
        <v>1120</v>
      </c>
      <c r="E77" t="n">
        <v>21</v>
      </c>
      <c r="F77">
        <f>IF(C77="","",C77*7/B77)</f>
        <v/>
      </c>
    </row>
    <row r="78">
      <c r="A78" s="3" t="n">
        <v>38891</v>
      </c>
      <c r="B78" t="n">
        <v>212350</v>
      </c>
      <c r="D78" t="n">
        <v>1120</v>
      </c>
      <c r="F78">
        <f>IF(C78="","",C78*7/B78)</f>
        <v/>
      </c>
    </row>
    <row r="79">
      <c r="A79" s="3" t="n">
        <v>38898</v>
      </c>
      <c r="B79" t="n">
        <v>213077</v>
      </c>
      <c r="D79" t="n">
        <v>1212</v>
      </c>
      <c r="E79" t="n">
        <v>22</v>
      </c>
      <c r="F79">
        <f>IF(C79="","",C79*7/B79)</f>
        <v/>
      </c>
    </row>
    <row r="80">
      <c r="A80" s="3" t="n">
        <v>38905</v>
      </c>
      <c r="B80" t="n">
        <v>212651</v>
      </c>
      <c r="D80" t="n">
        <v>1218</v>
      </c>
      <c r="E80" t="n">
        <v>22</v>
      </c>
      <c r="F80">
        <f>IF(C80="","",C80*7/B80)</f>
        <v/>
      </c>
    </row>
    <row r="81">
      <c r="A81" s="3" t="n">
        <v>38912</v>
      </c>
      <c r="B81" t="n">
        <v>214194</v>
      </c>
      <c r="D81" t="n">
        <v>1218</v>
      </c>
      <c r="E81" t="n">
        <v>22</v>
      </c>
      <c r="F81">
        <f>IF(C81="","",C81*7/B81)</f>
        <v/>
      </c>
    </row>
    <row r="82">
      <c r="A82" s="3" t="n">
        <v>38919</v>
      </c>
      <c r="B82" t="n">
        <v>211030</v>
      </c>
      <c r="D82" t="n">
        <v>1218</v>
      </c>
      <c r="E82" t="n">
        <v>22</v>
      </c>
      <c r="F82">
        <f>IF(C82="","",C82*7/B82)</f>
        <v/>
      </c>
    </row>
    <row r="83">
      <c r="A83" s="3" t="n">
        <v>38926</v>
      </c>
      <c r="B83" t="n">
        <v>210868</v>
      </c>
      <c r="D83" t="n">
        <v>1218</v>
      </c>
      <c r="F83">
        <f>IF(C83="","",C83*7/B83)</f>
        <v/>
      </c>
    </row>
    <row r="84">
      <c r="A84" s="3" t="n">
        <v>38933</v>
      </c>
      <c r="B84" t="n">
        <v>207659</v>
      </c>
      <c r="D84" t="n">
        <v>1112</v>
      </c>
      <c r="E84" t="n">
        <v>21</v>
      </c>
      <c r="F84">
        <f>IF(C84="","",C84*7/B84)</f>
        <v/>
      </c>
    </row>
    <row r="85">
      <c r="A85" s="3" t="n">
        <v>38940</v>
      </c>
      <c r="B85" t="n">
        <v>205393</v>
      </c>
      <c r="D85" t="n">
        <v>1112</v>
      </c>
      <c r="F85">
        <f>IF(C85="","",C85*7/B85)</f>
        <v/>
      </c>
    </row>
    <row r="86">
      <c r="A86" s="3" t="n">
        <v>38947</v>
      </c>
      <c r="B86" t="n">
        <v>205795</v>
      </c>
      <c r="D86" t="n">
        <v>1112</v>
      </c>
      <c r="E86" t="n">
        <v>21</v>
      </c>
      <c r="F86">
        <f>IF(C86="","",C86*7/B86)</f>
        <v/>
      </c>
    </row>
    <row r="87">
      <c r="A87" s="3" t="n">
        <v>38954</v>
      </c>
      <c r="B87" t="n">
        <v>206162</v>
      </c>
      <c r="D87" t="n">
        <v>1112</v>
      </c>
      <c r="E87" t="n">
        <v>21</v>
      </c>
      <c r="F87">
        <f>IF(C87="","",C87*7/B87)</f>
        <v/>
      </c>
    </row>
    <row r="88">
      <c r="A88" s="3" t="n">
        <v>38961</v>
      </c>
      <c r="B88" t="n">
        <v>206880</v>
      </c>
      <c r="D88" t="n">
        <v>1250</v>
      </c>
      <c r="E88" t="n">
        <v>21</v>
      </c>
      <c r="F88">
        <f>IF(C88="","",C88*7/B88)</f>
        <v/>
      </c>
    </row>
    <row r="89">
      <c r="A89" s="3" t="n">
        <v>38968</v>
      </c>
      <c r="B89" t="n">
        <v>206994</v>
      </c>
      <c r="D89" t="n">
        <v>1168</v>
      </c>
      <c r="E89" t="n">
        <v>21</v>
      </c>
      <c r="F89">
        <f>IF(C89="","",C89*7/B89)</f>
        <v/>
      </c>
    </row>
    <row r="90">
      <c r="A90" s="3" t="n">
        <v>38975</v>
      </c>
      <c r="B90" t="n">
        <v>207554</v>
      </c>
      <c r="D90" t="n">
        <v>1168</v>
      </c>
      <c r="E90" t="n">
        <v>21</v>
      </c>
      <c r="F90">
        <f>IF(C90="","",C90*7/B90)</f>
        <v/>
      </c>
    </row>
    <row r="91">
      <c r="A91" s="3" t="n">
        <v>38982</v>
      </c>
      <c r="B91" t="n">
        <v>213899</v>
      </c>
      <c r="D91" t="n">
        <v>1168</v>
      </c>
      <c r="F91">
        <f>IF(C91="","",C91*7/B91)</f>
        <v/>
      </c>
    </row>
    <row r="92">
      <c r="A92" s="3" t="n">
        <v>38989</v>
      </c>
      <c r="B92" t="n">
        <v>215052</v>
      </c>
      <c r="D92" t="n">
        <v>1268</v>
      </c>
      <c r="E92" t="n">
        <v>21</v>
      </c>
      <c r="F92">
        <f>IF(C92="","",C92*7/B92)</f>
        <v/>
      </c>
    </row>
    <row r="93">
      <c r="A93" s="3" t="n">
        <v>38996</v>
      </c>
      <c r="B93" t="n">
        <v>215397</v>
      </c>
      <c r="D93" t="n">
        <v>1167</v>
      </c>
      <c r="E93" t="n">
        <v>21</v>
      </c>
      <c r="F93">
        <f>IF(C93="","",C93*7/B93)</f>
        <v/>
      </c>
    </row>
    <row r="94">
      <c r="A94" s="3" t="n">
        <v>39003</v>
      </c>
      <c r="B94" t="n">
        <v>210175</v>
      </c>
      <c r="D94" t="n">
        <v>1267</v>
      </c>
      <c r="E94" t="n">
        <v>21</v>
      </c>
      <c r="F94">
        <f>IF(C94="","",C94*7/B94)</f>
        <v/>
      </c>
    </row>
    <row r="95">
      <c r="A95" s="3" t="n">
        <v>39010</v>
      </c>
      <c r="B95" t="n">
        <v>207416</v>
      </c>
      <c r="D95" t="n">
        <v>1267</v>
      </c>
      <c r="E95" t="n">
        <v>21</v>
      </c>
      <c r="F95">
        <f>IF(C95="","",C95*7/B95)</f>
        <v/>
      </c>
    </row>
    <row r="96">
      <c r="A96" s="3" t="n">
        <v>39017</v>
      </c>
      <c r="B96" t="n">
        <v>204617</v>
      </c>
      <c r="D96" t="n">
        <v>1267</v>
      </c>
      <c r="E96" t="n">
        <v>21</v>
      </c>
      <c r="F96">
        <f>IF(C96="","",C96*7/B96)</f>
        <v/>
      </c>
    </row>
    <row r="97">
      <c r="A97" s="3" t="n">
        <v>39024</v>
      </c>
      <c r="B97" t="n">
        <v>204033</v>
      </c>
      <c r="D97" t="n">
        <v>1304</v>
      </c>
      <c r="F97">
        <f>IF(C97="","",C97*7/B97)</f>
        <v/>
      </c>
    </row>
    <row r="98">
      <c r="A98" s="3" t="n">
        <v>39031</v>
      </c>
      <c r="B98" t="n">
        <v>200252</v>
      </c>
      <c r="D98" t="n">
        <v>1304</v>
      </c>
      <c r="E98" t="n">
        <v>21</v>
      </c>
      <c r="F98">
        <f>IF(C98="","",C98*7/B98)</f>
        <v/>
      </c>
    </row>
    <row r="99">
      <c r="A99" s="3" t="n">
        <v>39038</v>
      </c>
      <c r="B99" t="n">
        <v>201658</v>
      </c>
      <c r="D99" t="n">
        <v>1304</v>
      </c>
      <c r="E99" t="n">
        <v>21</v>
      </c>
      <c r="F99">
        <f>IF(C99="","",C99*7/B99)</f>
        <v/>
      </c>
    </row>
    <row r="100">
      <c r="A100" s="3" t="n">
        <v>39045</v>
      </c>
      <c r="B100" t="n">
        <v>201069</v>
      </c>
      <c r="D100" t="n">
        <v>1304</v>
      </c>
      <c r="E100" t="n">
        <v>21</v>
      </c>
      <c r="F100">
        <f>IF(C100="","",C100*7/B100)</f>
        <v/>
      </c>
    </row>
    <row r="101">
      <c r="A101" s="3" t="n">
        <v>39052</v>
      </c>
      <c r="B101" t="n">
        <v>200031</v>
      </c>
      <c r="D101" t="n">
        <v>1275</v>
      </c>
      <c r="F101">
        <f>IF(C101="","",C101*7/B101)</f>
        <v/>
      </c>
    </row>
    <row r="102">
      <c r="A102" s="3" t="n">
        <v>39059</v>
      </c>
      <c r="B102" t="n">
        <v>199857</v>
      </c>
      <c r="D102" t="n">
        <v>1262</v>
      </c>
      <c r="E102" t="n">
        <v>21</v>
      </c>
      <c r="F102">
        <f>IF(C102="","",C102*7/B102)</f>
        <v/>
      </c>
    </row>
    <row r="103">
      <c r="A103" s="3" t="n">
        <v>39066</v>
      </c>
      <c r="B103" t="n">
        <v>200915</v>
      </c>
      <c r="D103" t="n">
        <v>1262</v>
      </c>
      <c r="F103">
        <f>IF(C103="","",C103*7/B103)</f>
        <v/>
      </c>
    </row>
    <row r="104">
      <c r="A104" s="3" t="n">
        <v>39073</v>
      </c>
      <c r="B104" t="n">
        <v>203853</v>
      </c>
      <c r="D104" t="n">
        <v>1262</v>
      </c>
      <c r="E104" t="n">
        <v>21</v>
      </c>
      <c r="F104">
        <f>IF(C104="","",C104*7/B104)</f>
        <v/>
      </c>
    </row>
    <row r="105">
      <c r="A105" s="3" t="n">
        <v>39080</v>
      </c>
      <c r="B105" t="n">
        <v>209532</v>
      </c>
      <c r="D105" t="n">
        <v>1262</v>
      </c>
      <c r="E105" t="n">
        <v>21</v>
      </c>
      <c r="F105">
        <f>IF(C105="","",C105*7/B105)</f>
        <v/>
      </c>
    </row>
    <row r="106">
      <c r="A106" s="3" t="n">
        <v>39087</v>
      </c>
      <c r="B106" t="n">
        <v>213295</v>
      </c>
      <c r="D106" t="n">
        <v>1222</v>
      </c>
      <c r="F106">
        <f>IF(C106="","",C106*7/B106)</f>
        <v/>
      </c>
    </row>
    <row r="107">
      <c r="A107" s="3" t="n">
        <v>39094</v>
      </c>
      <c r="B107" t="n">
        <v>216786</v>
      </c>
      <c r="D107" t="n">
        <v>1222</v>
      </c>
      <c r="F107">
        <f>IF(C107="","",C107*7/B107)</f>
        <v/>
      </c>
    </row>
    <row r="108">
      <c r="A108" s="3" t="n">
        <v>39101</v>
      </c>
      <c r="B108" t="n">
        <v>220795</v>
      </c>
      <c r="D108" t="n">
        <v>1222</v>
      </c>
      <c r="E108" t="n">
        <v>22</v>
      </c>
      <c r="F108">
        <f>IF(C108="","",C108*7/B108)</f>
        <v/>
      </c>
    </row>
    <row r="109">
      <c r="A109" s="3" t="n">
        <v>39108</v>
      </c>
      <c r="B109" t="n">
        <v>224614</v>
      </c>
      <c r="D109" t="n">
        <v>1222</v>
      </c>
      <c r="E109" t="n">
        <v>22</v>
      </c>
      <c r="F109">
        <f>IF(C109="","",C109*7/B109)</f>
        <v/>
      </c>
    </row>
    <row r="110">
      <c r="A110" s="3" t="n">
        <v>39115</v>
      </c>
      <c r="B110" t="n">
        <v>227214</v>
      </c>
      <c r="D110" t="n">
        <v>1222</v>
      </c>
      <c r="E110" t="n">
        <v>22</v>
      </c>
      <c r="F110">
        <f>IF(C110="","",C110*7/B110)</f>
        <v/>
      </c>
    </row>
    <row r="111">
      <c r="A111" s="3" t="n">
        <v>39122</v>
      </c>
      <c r="B111" t="n">
        <v>225156</v>
      </c>
      <c r="D111" t="n">
        <v>1227</v>
      </c>
      <c r="E111" t="n">
        <v>22</v>
      </c>
      <c r="F111">
        <f>IF(C111="","",C111*7/B111)</f>
        <v/>
      </c>
    </row>
    <row r="112">
      <c r="A112" s="3" t="n">
        <v>39129</v>
      </c>
      <c r="B112" t="n">
        <v>222115</v>
      </c>
      <c r="D112" t="n">
        <v>1227</v>
      </c>
      <c r="F112">
        <f>IF(C112="","",C112*7/B112)</f>
        <v/>
      </c>
    </row>
    <row r="113">
      <c r="A113" s="3" t="n">
        <v>39136</v>
      </c>
      <c r="B113" t="n">
        <v>220175</v>
      </c>
      <c r="D113" t="n">
        <v>1227</v>
      </c>
      <c r="E113" t="n">
        <v>22</v>
      </c>
      <c r="F113">
        <f>IF(C113="","",C113*7/B113)</f>
        <v/>
      </c>
    </row>
    <row r="114">
      <c r="A114" s="3" t="n">
        <v>39143</v>
      </c>
      <c r="B114" t="n">
        <v>216425</v>
      </c>
      <c r="D114" t="n">
        <v>1184</v>
      </c>
      <c r="E114" t="n">
        <v>22</v>
      </c>
      <c r="F114">
        <f>IF(C114="","",C114*7/B114)</f>
        <v/>
      </c>
    </row>
    <row r="115">
      <c r="A115" s="3" t="n">
        <v>39150</v>
      </c>
      <c r="B115" t="n">
        <v>213939</v>
      </c>
      <c r="D115" t="n">
        <v>1184</v>
      </c>
      <c r="E115" t="n">
        <v>22</v>
      </c>
      <c r="F115">
        <f>IF(C115="","",C115*7/B115)</f>
        <v/>
      </c>
    </row>
    <row r="116">
      <c r="A116" s="3" t="n">
        <v>39157</v>
      </c>
      <c r="B116" t="n">
        <v>210489</v>
      </c>
      <c r="D116" t="n">
        <v>1184</v>
      </c>
      <c r="E116" t="n">
        <v>22</v>
      </c>
      <c r="F116">
        <f>IF(C116="","",C116*7/B116)</f>
        <v/>
      </c>
    </row>
    <row r="117">
      <c r="A117" s="3" t="n">
        <v>39164</v>
      </c>
      <c r="B117" t="n">
        <v>210231</v>
      </c>
      <c r="D117" t="n">
        <v>1184</v>
      </c>
      <c r="E117" t="n">
        <v>22</v>
      </c>
      <c r="F117">
        <f>IF(C117="","",C117*7/B117)</f>
        <v/>
      </c>
    </row>
    <row r="118">
      <c r="A118" s="3" t="n">
        <v>39171</v>
      </c>
      <c r="B118" t="n">
        <v>205201</v>
      </c>
      <c r="D118" t="n">
        <v>1184</v>
      </c>
      <c r="F118">
        <f>IF(C118="","",C118*7/B118)</f>
        <v/>
      </c>
    </row>
    <row r="119">
      <c r="A119" s="3" t="n">
        <v>39178</v>
      </c>
      <c r="B119" t="n">
        <v>199725</v>
      </c>
      <c r="D119" t="n">
        <v>1199</v>
      </c>
      <c r="E119" t="n">
        <v>22</v>
      </c>
      <c r="F119">
        <f>IF(C119="","",C119*7/B119)</f>
        <v/>
      </c>
    </row>
    <row r="120">
      <c r="A120" s="3" t="n">
        <v>39185</v>
      </c>
      <c r="B120" t="n">
        <v>197007</v>
      </c>
      <c r="D120" t="n">
        <v>1199</v>
      </c>
      <c r="E120" t="n">
        <v>22</v>
      </c>
      <c r="F120">
        <f>IF(C120="","",C120*7/B120)</f>
        <v/>
      </c>
    </row>
    <row r="121">
      <c r="A121" s="3" t="n">
        <v>39192</v>
      </c>
      <c r="B121" t="n">
        <v>194214</v>
      </c>
      <c r="D121" t="n">
        <v>1199</v>
      </c>
      <c r="E121" t="n">
        <v>22</v>
      </c>
      <c r="F121">
        <f>IF(C121="","",C121*7/B121)</f>
        <v/>
      </c>
    </row>
    <row r="122">
      <c r="A122" s="3" t="n">
        <v>39199</v>
      </c>
      <c r="B122" t="n">
        <v>193099</v>
      </c>
      <c r="E122" t="n">
        <v>22</v>
      </c>
      <c r="F122">
        <f>IF(C122="","",C122*7/B122)</f>
        <v/>
      </c>
    </row>
    <row r="123">
      <c r="A123" s="3" t="n">
        <v>39206</v>
      </c>
      <c r="B123" t="n">
        <v>193471</v>
      </c>
      <c r="D123" t="n">
        <v>1199</v>
      </c>
      <c r="E123" t="n">
        <v>22</v>
      </c>
      <c r="F123">
        <f>IF(C123="","",C123*7/B123)</f>
        <v/>
      </c>
    </row>
    <row r="124">
      <c r="A124" s="3" t="n">
        <v>39213</v>
      </c>
      <c r="B124" t="n">
        <v>195235</v>
      </c>
      <c r="D124" t="n">
        <v>1179</v>
      </c>
      <c r="E124" t="n">
        <v>23</v>
      </c>
      <c r="F124">
        <f>IF(C124="","",C124*7/B124)</f>
        <v/>
      </c>
    </row>
    <row r="125">
      <c r="A125" s="3" t="n">
        <v>39220</v>
      </c>
      <c r="B125" t="n">
        <v>196666</v>
      </c>
      <c r="D125" t="n">
        <v>1179</v>
      </c>
      <c r="F125">
        <f>IF(C125="","",C125*7/B125)</f>
        <v/>
      </c>
    </row>
    <row r="126">
      <c r="A126" s="3" t="n">
        <v>39227</v>
      </c>
      <c r="B126" t="n">
        <v>198027</v>
      </c>
      <c r="D126" t="n">
        <v>1179</v>
      </c>
      <c r="E126" t="n">
        <v>23</v>
      </c>
      <c r="F126">
        <f>IF(C126="","",C126*7/B126)</f>
        <v/>
      </c>
    </row>
    <row r="127">
      <c r="A127" s="3" t="n">
        <v>39234</v>
      </c>
      <c r="B127" t="n">
        <v>201537</v>
      </c>
      <c r="D127" t="n">
        <v>1224</v>
      </c>
      <c r="E127" t="n">
        <v>23</v>
      </c>
      <c r="F127">
        <f>IF(C127="","",C127*7/B127)</f>
        <v/>
      </c>
    </row>
    <row r="128">
      <c r="A128" s="3" t="n">
        <v>39241</v>
      </c>
      <c r="B128" t="n">
        <v>201540</v>
      </c>
      <c r="D128" t="n">
        <v>1234</v>
      </c>
      <c r="E128" t="n">
        <v>23</v>
      </c>
      <c r="F128">
        <f>IF(C128="","",C128*7/B128)</f>
        <v/>
      </c>
    </row>
    <row r="129">
      <c r="A129" s="3" t="n">
        <v>39248</v>
      </c>
      <c r="B129" t="n">
        <v>203331</v>
      </c>
      <c r="D129" t="n">
        <v>1234</v>
      </c>
      <c r="F129">
        <f>IF(C129="","",C129*7/B129)</f>
        <v/>
      </c>
    </row>
    <row r="130">
      <c r="A130" s="3" t="n">
        <v>39255</v>
      </c>
      <c r="B130" t="n">
        <v>202582</v>
      </c>
      <c r="D130" t="n">
        <v>1234</v>
      </c>
      <c r="E130" t="n">
        <v>23</v>
      </c>
      <c r="F130">
        <f>IF(C130="","",C130*7/B130)</f>
        <v/>
      </c>
    </row>
    <row r="131">
      <c r="A131" s="3" t="n">
        <v>39262</v>
      </c>
      <c r="B131" t="n">
        <v>204433</v>
      </c>
      <c r="D131" t="n">
        <v>1218</v>
      </c>
      <c r="E131" t="n">
        <v>23</v>
      </c>
      <c r="F131">
        <f>IF(C131="","",C131*7/B131)</f>
        <v/>
      </c>
    </row>
    <row r="132">
      <c r="A132" s="3" t="n">
        <v>39269</v>
      </c>
      <c r="B132" t="n">
        <v>205576</v>
      </c>
      <c r="D132" t="n">
        <v>1168</v>
      </c>
      <c r="E132" t="n">
        <v>23</v>
      </c>
      <c r="F132">
        <f>IF(C132="","",C132*7/B132)</f>
        <v/>
      </c>
    </row>
    <row r="133">
      <c r="A133" s="3" t="n">
        <v>39276</v>
      </c>
      <c r="B133" t="n">
        <v>203341</v>
      </c>
      <c r="D133" t="n">
        <v>1168</v>
      </c>
      <c r="E133" t="n">
        <v>23</v>
      </c>
      <c r="F133">
        <f>IF(C133="","",C133*7/B133)</f>
        <v/>
      </c>
    </row>
    <row r="134">
      <c r="A134" s="3" t="n">
        <v>39283</v>
      </c>
      <c r="B134" t="n">
        <v>204134</v>
      </c>
      <c r="D134" t="n">
        <v>1168</v>
      </c>
      <c r="E134" t="n">
        <v>23</v>
      </c>
      <c r="F134">
        <f>IF(C134="","",C134*7/B134)</f>
        <v/>
      </c>
    </row>
    <row r="135">
      <c r="A135" s="3" t="n">
        <v>39290</v>
      </c>
      <c r="B135" t="n">
        <v>204720</v>
      </c>
      <c r="D135" t="n">
        <v>1168</v>
      </c>
      <c r="E135" t="n">
        <v>23</v>
      </c>
      <c r="F135">
        <f>IF(C135="","",C135*7/B135)</f>
        <v/>
      </c>
    </row>
    <row r="136">
      <c r="A136" s="3" t="n">
        <v>39297</v>
      </c>
      <c r="B136" t="n">
        <v>202997</v>
      </c>
      <c r="D136" t="n">
        <v>1205</v>
      </c>
      <c r="E136" t="n">
        <v>24</v>
      </c>
      <c r="F136">
        <f>IF(C136="","",C136*7/B136)</f>
        <v/>
      </c>
    </row>
    <row r="137">
      <c r="A137" s="3" t="n">
        <v>39304</v>
      </c>
      <c r="B137" t="n">
        <v>201940</v>
      </c>
      <c r="D137" t="n">
        <v>1205</v>
      </c>
      <c r="E137" t="n">
        <v>24</v>
      </c>
      <c r="F137">
        <f>IF(C137="","",C137*7/B137)</f>
        <v/>
      </c>
    </row>
    <row r="138">
      <c r="A138" s="3" t="n">
        <v>39311</v>
      </c>
      <c r="B138" t="n">
        <v>196231</v>
      </c>
      <c r="D138" t="n">
        <v>1205</v>
      </c>
      <c r="E138" t="n">
        <v>24</v>
      </c>
      <c r="F138">
        <f>IF(C138="","",C138*7/B138)</f>
        <v/>
      </c>
    </row>
    <row r="139">
      <c r="A139" s="3" t="n">
        <v>39318</v>
      </c>
      <c r="B139" t="n">
        <v>192564</v>
      </c>
      <c r="D139" t="n">
        <v>1205</v>
      </c>
      <c r="E139" t="n">
        <v>24</v>
      </c>
      <c r="F139">
        <f>IF(C139="","",C139*7/B139)</f>
        <v/>
      </c>
    </row>
    <row r="140">
      <c r="A140" s="3" t="n">
        <v>39325</v>
      </c>
      <c r="B140" t="n">
        <v>191083</v>
      </c>
      <c r="D140" t="n">
        <v>1155</v>
      </c>
      <c r="E140" t="n">
        <v>25</v>
      </c>
      <c r="F140">
        <f>IF(C140="","",C140*7/B140)</f>
        <v/>
      </c>
    </row>
    <row r="141">
      <c r="A141" s="3" t="n">
        <v>39332</v>
      </c>
      <c r="B141" t="n">
        <v>190417</v>
      </c>
      <c r="D141" t="n">
        <v>1165</v>
      </c>
      <c r="E141" t="n">
        <v>25</v>
      </c>
      <c r="F141">
        <f>IF(C141="","",C141*7/B141)</f>
        <v/>
      </c>
    </row>
    <row r="142">
      <c r="A142" s="3" t="n">
        <v>39339</v>
      </c>
      <c r="B142" t="n">
        <v>190834</v>
      </c>
      <c r="D142" t="n">
        <v>1165</v>
      </c>
      <c r="E142" t="n">
        <v>25</v>
      </c>
      <c r="F142">
        <f>IF(C142="","",C142*7/B142)</f>
        <v/>
      </c>
    </row>
    <row r="143">
      <c r="A143" s="3" t="n">
        <v>39346</v>
      </c>
      <c r="B143" t="n">
        <v>191366</v>
      </c>
      <c r="D143" t="n">
        <v>1165</v>
      </c>
      <c r="E143" t="n">
        <v>25</v>
      </c>
      <c r="F143">
        <f>IF(C143="","",C143*7/B143)</f>
        <v/>
      </c>
    </row>
    <row r="144">
      <c r="A144" s="3" t="n">
        <v>39353</v>
      </c>
      <c r="B144" t="n">
        <v>191325</v>
      </c>
      <c r="D144" t="n">
        <v>1165</v>
      </c>
      <c r="E144" t="n">
        <v>25</v>
      </c>
      <c r="F144">
        <f>IF(C144="","",C144*7/B144)</f>
        <v/>
      </c>
    </row>
    <row r="145">
      <c r="A145" s="3" t="n">
        <v>39360</v>
      </c>
      <c r="B145" t="n">
        <v>193000</v>
      </c>
      <c r="D145" t="n">
        <v>1200</v>
      </c>
      <c r="E145" t="n">
        <v>24</v>
      </c>
      <c r="F145">
        <f>IF(C145="","",C145*7/B145)</f>
        <v/>
      </c>
    </row>
    <row r="146">
      <c r="A146" s="3" t="n">
        <v>39367</v>
      </c>
      <c r="B146" t="n">
        <v>195768</v>
      </c>
      <c r="D146" t="n">
        <v>1200</v>
      </c>
      <c r="E146" t="n">
        <v>24</v>
      </c>
      <c r="F146">
        <f>IF(C146="","",C146*7/B146)</f>
        <v/>
      </c>
    </row>
    <row r="147">
      <c r="A147" s="3" t="n">
        <v>39374</v>
      </c>
      <c r="B147" t="n">
        <v>193837</v>
      </c>
      <c r="D147" t="n">
        <v>1200</v>
      </c>
      <c r="E147" t="n">
        <v>24</v>
      </c>
      <c r="F147">
        <f>IF(C147="","",C147*7/B147)</f>
        <v/>
      </c>
    </row>
    <row r="148">
      <c r="A148" s="3" t="n">
        <v>39381</v>
      </c>
      <c r="B148" t="n">
        <v>195132</v>
      </c>
      <c r="D148" t="n">
        <v>1200</v>
      </c>
      <c r="E148" t="n">
        <v>24</v>
      </c>
      <c r="F148">
        <f>IF(C148="","",C148*7/B148)</f>
        <v/>
      </c>
    </row>
    <row r="149">
      <c r="A149" s="3" t="n">
        <v>39388</v>
      </c>
      <c r="B149" t="n">
        <v>194313</v>
      </c>
      <c r="D149" t="n">
        <v>1247</v>
      </c>
      <c r="E149" t="n">
        <v>25</v>
      </c>
      <c r="F149">
        <f>IF(C149="","",C149*7/B149)</f>
        <v/>
      </c>
    </row>
    <row r="150">
      <c r="A150" s="3" t="n">
        <v>39395</v>
      </c>
      <c r="B150" t="n">
        <v>195027</v>
      </c>
      <c r="D150" t="n">
        <v>1247</v>
      </c>
      <c r="E150" t="n">
        <v>25</v>
      </c>
      <c r="F150">
        <f>IF(C150="","",C150*7/B150)</f>
        <v/>
      </c>
    </row>
    <row r="151">
      <c r="A151" s="3" t="n">
        <v>39402</v>
      </c>
      <c r="B151" t="n">
        <v>195190</v>
      </c>
      <c r="D151" t="n">
        <v>1247</v>
      </c>
      <c r="E151" t="n">
        <v>25</v>
      </c>
      <c r="F151">
        <f>IF(C151="","",C151*7/B151)</f>
        <v/>
      </c>
    </row>
    <row r="152">
      <c r="A152" s="3" t="n">
        <v>39409</v>
      </c>
      <c r="B152" t="n">
        <v>196628</v>
      </c>
      <c r="D152" t="n">
        <v>1247</v>
      </c>
      <c r="E152" t="n">
        <v>25</v>
      </c>
      <c r="F152">
        <f>IF(C152="","",C152*7/B152)</f>
        <v/>
      </c>
    </row>
    <row r="153">
      <c r="A153" s="3" t="n">
        <v>39416</v>
      </c>
      <c r="B153" t="n">
        <v>200623</v>
      </c>
      <c r="D153" t="n">
        <v>1247</v>
      </c>
      <c r="E153" t="n">
        <v>25</v>
      </c>
      <c r="F153">
        <f>IF(C153="","",C153*7/B153)</f>
        <v/>
      </c>
    </row>
    <row r="154">
      <c r="A154" s="3" t="n">
        <v>39423</v>
      </c>
      <c r="B154" t="n">
        <v>202241</v>
      </c>
      <c r="D154" t="n">
        <v>1226</v>
      </c>
      <c r="E154" t="n">
        <v>25</v>
      </c>
      <c r="F154">
        <f>IF(C154="","",C154*7/B154)</f>
        <v/>
      </c>
    </row>
    <row r="155">
      <c r="A155" s="3" t="n">
        <v>39430</v>
      </c>
      <c r="B155" t="n">
        <v>205221</v>
      </c>
      <c r="D155" t="n">
        <v>1226</v>
      </c>
      <c r="E155" t="n">
        <v>25</v>
      </c>
      <c r="F155">
        <f>IF(C155="","",C155*7/B155)</f>
        <v/>
      </c>
    </row>
    <row r="156">
      <c r="A156" s="3" t="n">
        <v>39437</v>
      </c>
      <c r="B156" t="n">
        <v>205857</v>
      </c>
      <c r="D156" t="n">
        <v>1226</v>
      </c>
      <c r="E156" t="n">
        <v>25</v>
      </c>
      <c r="F156">
        <f>IF(C156="","",C156*7/B156)</f>
        <v/>
      </c>
    </row>
    <row r="157">
      <c r="A157" s="3" t="n">
        <v>39444</v>
      </c>
      <c r="B157" t="n">
        <v>207842</v>
      </c>
      <c r="D157" t="n">
        <v>1226</v>
      </c>
      <c r="E157" t="n">
        <v>25</v>
      </c>
      <c r="F157">
        <f>IF(C157="","",C157*7/B157)</f>
        <v/>
      </c>
    </row>
    <row r="158">
      <c r="A158" s="3" t="n">
        <v>39451</v>
      </c>
      <c r="B158" t="n">
        <v>213063</v>
      </c>
      <c r="D158" t="n">
        <v>1226</v>
      </c>
      <c r="E158" t="n">
        <v>25</v>
      </c>
      <c r="F158">
        <f>IF(C158="","",C158*7/B158)</f>
        <v/>
      </c>
    </row>
    <row r="159">
      <c r="A159" s="3" t="n">
        <v>39458</v>
      </c>
      <c r="B159" t="n">
        <v>215256</v>
      </c>
      <c r="D159" t="n">
        <v>1212</v>
      </c>
      <c r="E159" t="n">
        <v>26</v>
      </c>
      <c r="F159">
        <f>IF(C159="","",C159*7/B159)</f>
        <v/>
      </c>
    </row>
    <row r="160">
      <c r="A160" s="3" t="n">
        <v>39465</v>
      </c>
      <c r="B160" t="n">
        <v>220341</v>
      </c>
      <c r="D160" t="n">
        <v>1212</v>
      </c>
      <c r="E160" t="n">
        <v>26</v>
      </c>
      <c r="F160">
        <f>IF(C160="","",C160*7/B160)</f>
        <v/>
      </c>
    </row>
    <row r="161">
      <c r="A161" s="3" t="n">
        <v>39472</v>
      </c>
      <c r="B161" t="n">
        <v>223899</v>
      </c>
      <c r="D161" t="n">
        <v>1212</v>
      </c>
      <c r="E161" t="n">
        <v>26</v>
      </c>
      <c r="F161">
        <f>IF(C161="","",C161*7/B161)</f>
        <v/>
      </c>
    </row>
    <row r="162">
      <c r="A162" s="3" t="n">
        <v>39479</v>
      </c>
      <c r="B162" t="n">
        <v>227487</v>
      </c>
      <c r="D162" t="n">
        <v>1329</v>
      </c>
      <c r="E162" t="n">
        <v>26</v>
      </c>
      <c r="F162">
        <f>IF(C162="","",C162*7/B162)</f>
        <v/>
      </c>
    </row>
    <row r="163">
      <c r="A163" s="3" t="n">
        <v>39486</v>
      </c>
      <c r="B163" t="n">
        <v>229236</v>
      </c>
      <c r="D163" t="n">
        <v>1318</v>
      </c>
      <c r="E163" t="n">
        <v>26</v>
      </c>
      <c r="F163">
        <f>IF(C163="","",C163*7/B163)</f>
        <v/>
      </c>
    </row>
    <row r="164">
      <c r="A164" s="3" t="n">
        <v>39493</v>
      </c>
      <c r="B164" t="n">
        <v>230264</v>
      </c>
      <c r="D164" t="n">
        <v>1318</v>
      </c>
      <c r="E164" t="n">
        <v>26</v>
      </c>
      <c r="F164">
        <f>IF(C164="","",C164*7/B164)</f>
        <v/>
      </c>
    </row>
    <row r="165">
      <c r="A165" s="3" t="n">
        <v>39500</v>
      </c>
      <c r="B165" t="n">
        <v>232619</v>
      </c>
      <c r="D165" t="n">
        <v>1318</v>
      </c>
      <c r="E165" t="n">
        <v>26</v>
      </c>
      <c r="F165">
        <f>IF(C165="","",C165*7/B165)</f>
        <v/>
      </c>
    </row>
    <row r="166">
      <c r="A166" s="3" t="n">
        <v>39507</v>
      </c>
      <c r="B166" t="n">
        <v>234276</v>
      </c>
      <c r="D166" t="n">
        <v>1318</v>
      </c>
      <c r="E166" t="n">
        <v>26</v>
      </c>
      <c r="F166">
        <f>IF(C166="","",C166*7/B166)</f>
        <v/>
      </c>
    </row>
    <row r="167">
      <c r="A167" s="3" t="n">
        <v>39514</v>
      </c>
      <c r="B167" t="n">
        <v>235967</v>
      </c>
      <c r="D167" t="n">
        <v>1256</v>
      </c>
      <c r="E167" t="n">
        <v>26</v>
      </c>
      <c r="F167">
        <f>IF(C167="","",C167*7/B167)</f>
        <v/>
      </c>
    </row>
    <row r="168">
      <c r="A168" s="3" t="n">
        <v>39521</v>
      </c>
      <c r="B168" t="n">
        <v>232520</v>
      </c>
      <c r="D168" t="n">
        <v>1256</v>
      </c>
      <c r="E168" t="n">
        <v>26</v>
      </c>
      <c r="F168">
        <f>IF(C168="","",C168*7/B168)</f>
        <v/>
      </c>
    </row>
    <row r="169">
      <c r="A169" s="3" t="n">
        <v>39528</v>
      </c>
      <c r="B169" t="n">
        <v>229235</v>
      </c>
      <c r="D169" t="n">
        <v>1256</v>
      </c>
      <c r="E169" t="n">
        <v>26</v>
      </c>
      <c r="F169">
        <f>IF(C169="","",C169*7/B169)</f>
        <v/>
      </c>
    </row>
    <row r="170">
      <c r="A170" s="3" t="n">
        <v>39535</v>
      </c>
      <c r="B170" t="n">
        <v>224710</v>
      </c>
      <c r="D170" t="n">
        <v>1256</v>
      </c>
      <c r="E170" t="n">
        <v>26</v>
      </c>
      <c r="F170">
        <f>IF(C170="","",C170*7/B170)</f>
        <v/>
      </c>
    </row>
    <row r="171">
      <c r="A171" s="3" t="n">
        <v>39542</v>
      </c>
      <c r="B171" t="n">
        <v>221268</v>
      </c>
      <c r="D171" t="n">
        <v>1323</v>
      </c>
      <c r="E171" t="n">
        <v>26</v>
      </c>
      <c r="F171">
        <f>IF(C171="","",C171*7/B171)</f>
        <v/>
      </c>
    </row>
    <row r="172">
      <c r="A172" s="3" t="n">
        <v>39549</v>
      </c>
      <c r="B172" t="n">
        <v>215751</v>
      </c>
      <c r="D172" t="n">
        <v>1323</v>
      </c>
      <c r="E172" t="n">
        <v>26</v>
      </c>
      <c r="F172">
        <f>IF(C172="","",C172*7/B172)</f>
        <v/>
      </c>
    </row>
    <row r="173">
      <c r="A173" s="3" t="n">
        <v>39556</v>
      </c>
      <c r="B173" t="n">
        <v>212572</v>
      </c>
      <c r="D173" t="n">
        <v>1323</v>
      </c>
      <c r="E173" t="n">
        <v>26</v>
      </c>
      <c r="F173">
        <f>IF(C173="","",C173*7/B173)</f>
        <v/>
      </c>
    </row>
    <row r="174">
      <c r="A174" s="3" t="n">
        <v>39563</v>
      </c>
      <c r="B174" t="n">
        <v>211089</v>
      </c>
      <c r="D174" t="n">
        <v>1323</v>
      </c>
      <c r="E174" t="n">
        <v>26</v>
      </c>
      <c r="F174">
        <f>IF(C174="","",C174*7/B174)</f>
        <v/>
      </c>
    </row>
    <row r="175">
      <c r="A175" s="3" t="n">
        <v>39570</v>
      </c>
      <c r="B175" t="n">
        <v>211883</v>
      </c>
      <c r="D175" t="n">
        <v>1409</v>
      </c>
      <c r="E175" t="n">
        <v>26</v>
      </c>
      <c r="F175">
        <f>IF(C175="","",C175*7/B175)</f>
        <v/>
      </c>
    </row>
    <row r="176">
      <c r="A176" s="3" t="n">
        <v>39577</v>
      </c>
      <c r="B176" t="n">
        <v>210168</v>
      </c>
      <c r="D176" t="n">
        <v>1409</v>
      </c>
      <c r="E176" t="n">
        <v>26</v>
      </c>
      <c r="F176">
        <f>IF(C176="","",C176*7/B176)</f>
        <v/>
      </c>
    </row>
    <row r="177">
      <c r="A177" s="3" t="n">
        <v>39584</v>
      </c>
      <c r="B177" t="n">
        <v>209413</v>
      </c>
      <c r="D177" t="n">
        <v>1409</v>
      </c>
      <c r="E177" t="n">
        <v>26</v>
      </c>
      <c r="F177">
        <f>IF(C177="","",C177*7/B177)</f>
        <v/>
      </c>
    </row>
    <row r="178">
      <c r="A178" s="3" t="n">
        <v>39591</v>
      </c>
      <c r="B178" t="n">
        <v>206155</v>
      </c>
      <c r="D178" t="n">
        <v>1409</v>
      </c>
      <c r="E178" t="n">
        <v>26</v>
      </c>
      <c r="F178">
        <f>IF(C178="","",C178*7/B178)</f>
        <v/>
      </c>
    </row>
    <row r="179">
      <c r="A179" s="3" t="n">
        <v>39598</v>
      </c>
      <c r="B179" t="n">
        <v>209090</v>
      </c>
      <c r="D179" t="n">
        <v>1502</v>
      </c>
      <c r="E179" t="n">
        <v>27</v>
      </c>
      <c r="F179">
        <f>IF(C179="","",C179*7/B179)</f>
        <v/>
      </c>
    </row>
    <row r="180">
      <c r="A180" s="3" t="n">
        <v>39605</v>
      </c>
      <c r="B180" t="n">
        <v>210088</v>
      </c>
      <c r="D180" t="n">
        <v>1417</v>
      </c>
      <c r="E180" t="n">
        <v>27</v>
      </c>
      <c r="F180">
        <f>IF(C180="","",C180*7/B180)</f>
        <v/>
      </c>
    </row>
    <row r="181">
      <c r="A181" s="3" t="n">
        <v>39612</v>
      </c>
      <c r="B181" t="n">
        <v>208910</v>
      </c>
      <c r="D181" t="n">
        <v>1417</v>
      </c>
      <c r="E181" t="n">
        <v>27</v>
      </c>
      <c r="F181">
        <f>IF(C181="","",C181*7/B181)</f>
        <v/>
      </c>
    </row>
    <row r="182">
      <c r="A182" s="3" t="n">
        <v>39619</v>
      </c>
      <c r="B182" t="n">
        <v>208757</v>
      </c>
      <c r="D182" t="n">
        <v>1417</v>
      </c>
      <c r="E182" t="n">
        <v>27</v>
      </c>
      <c r="F182">
        <f>IF(C182="","",C182*7/B182)</f>
        <v/>
      </c>
    </row>
    <row r="183">
      <c r="A183" s="3" t="n">
        <v>39626</v>
      </c>
      <c r="B183" t="n">
        <v>210857</v>
      </c>
      <c r="D183" t="n">
        <v>1417</v>
      </c>
      <c r="E183" t="n">
        <v>27</v>
      </c>
      <c r="F183">
        <f>IF(C183="","",C183*7/B183)</f>
        <v/>
      </c>
    </row>
    <row r="184">
      <c r="A184" s="3" t="n">
        <v>39633</v>
      </c>
      <c r="B184" t="n">
        <v>211766</v>
      </c>
      <c r="D184" t="n">
        <v>1417</v>
      </c>
      <c r="E184" t="n">
        <v>27</v>
      </c>
      <c r="F184">
        <f>IF(C184="","",C184*7/B184)</f>
        <v/>
      </c>
    </row>
    <row r="185">
      <c r="A185" s="3" t="n">
        <v>39640</v>
      </c>
      <c r="B185" t="n">
        <v>214238</v>
      </c>
      <c r="D185" t="n">
        <v>1424</v>
      </c>
      <c r="E185" t="n">
        <v>27</v>
      </c>
      <c r="F185">
        <f>IF(C185="","",C185*7/B185)</f>
        <v/>
      </c>
    </row>
    <row r="186">
      <c r="A186" s="3" t="n">
        <v>39647</v>
      </c>
      <c r="B186" t="n">
        <v>217085</v>
      </c>
      <c r="D186" t="n">
        <v>1424</v>
      </c>
      <c r="E186" t="n">
        <v>27</v>
      </c>
      <c r="F186">
        <f>IF(C186="","",C186*7/B186)</f>
        <v/>
      </c>
    </row>
    <row r="187">
      <c r="A187" s="3" t="n">
        <v>39654</v>
      </c>
      <c r="B187" t="n">
        <v>213560</v>
      </c>
      <c r="D187" t="n">
        <v>1424</v>
      </c>
      <c r="E187" t="n">
        <v>27</v>
      </c>
      <c r="F187">
        <f>IF(C187="","",C187*7/B187)</f>
        <v/>
      </c>
    </row>
    <row r="188">
      <c r="A188" s="3" t="n">
        <v>39661</v>
      </c>
      <c r="B188" t="n">
        <v>209216</v>
      </c>
      <c r="D188" t="n">
        <v>1517</v>
      </c>
      <c r="E188" t="n">
        <v>27</v>
      </c>
      <c r="F188">
        <f>IF(C188="","",C188*7/B188)</f>
        <v/>
      </c>
    </row>
    <row r="189">
      <c r="A189" s="3" t="n">
        <v>39668</v>
      </c>
      <c r="B189" t="n">
        <v>202822</v>
      </c>
      <c r="D189" t="n">
        <v>1474</v>
      </c>
      <c r="E189" t="n">
        <v>27</v>
      </c>
      <c r="F189">
        <f>IF(C189="","",C189*7/B189)</f>
        <v/>
      </c>
    </row>
    <row r="190">
      <c r="A190" s="3" t="n">
        <v>39675</v>
      </c>
      <c r="B190" t="n">
        <v>196620</v>
      </c>
      <c r="D190" t="n">
        <v>1474</v>
      </c>
      <c r="E190" t="n">
        <v>27</v>
      </c>
      <c r="F190">
        <f>IF(C190="","",C190*7/B190)</f>
        <v/>
      </c>
    </row>
    <row r="191">
      <c r="A191" s="3" t="n">
        <v>39682</v>
      </c>
      <c r="B191" t="n">
        <v>195441</v>
      </c>
      <c r="D191" t="n">
        <v>1474</v>
      </c>
      <c r="E191" t="n">
        <v>27</v>
      </c>
      <c r="F191">
        <f>IF(C191="","",C191*7/B191)</f>
        <v/>
      </c>
    </row>
    <row r="192">
      <c r="A192" s="3" t="n">
        <v>39689</v>
      </c>
      <c r="B192" t="n">
        <v>194404</v>
      </c>
      <c r="D192" t="n">
        <v>1337</v>
      </c>
      <c r="E192" t="n">
        <v>26</v>
      </c>
      <c r="F192">
        <f>IF(C192="","",C192*7/B192)</f>
        <v/>
      </c>
    </row>
    <row r="193">
      <c r="A193" s="3" t="n">
        <v>39696</v>
      </c>
      <c r="B193" t="n">
        <v>187942</v>
      </c>
      <c r="D193" t="n">
        <v>1305</v>
      </c>
      <c r="E193" t="n">
        <v>26</v>
      </c>
      <c r="F193">
        <f>IF(C193="","",C193*7/B193)</f>
        <v/>
      </c>
    </row>
    <row r="194">
      <c r="A194" s="3" t="n">
        <v>39703</v>
      </c>
      <c r="B194" t="n">
        <v>184634</v>
      </c>
      <c r="D194" t="n">
        <v>1305</v>
      </c>
      <c r="E194" t="n">
        <v>26</v>
      </c>
      <c r="F194">
        <f>IF(C194="","",C194*7/B194)</f>
        <v/>
      </c>
    </row>
    <row r="195">
      <c r="A195" s="3" t="n">
        <v>39710</v>
      </c>
      <c r="B195" t="n">
        <v>178739</v>
      </c>
      <c r="D195" t="n">
        <v>1305</v>
      </c>
      <c r="E195" t="n">
        <v>26</v>
      </c>
      <c r="F195">
        <f>IF(C195="","",C195*7/B195)</f>
        <v/>
      </c>
    </row>
    <row r="196">
      <c r="A196" s="3" t="n">
        <v>39717</v>
      </c>
      <c r="B196" t="n">
        <v>179640</v>
      </c>
      <c r="D196" t="n">
        <v>1305</v>
      </c>
      <c r="E196" t="n">
        <v>26</v>
      </c>
      <c r="F196">
        <f>IF(C196="","",C196*7/B196)</f>
        <v/>
      </c>
    </row>
    <row r="197">
      <c r="A197" s="3" t="n">
        <v>39724</v>
      </c>
      <c r="B197" t="n">
        <v>186815</v>
      </c>
      <c r="D197" t="n">
        <v>1484</v>
      </c>
      <c r="E197" t="n">
        <v>27</v>
      </c>
      <c r="F197">
        <f>IF(C197="","",C197*7/B197)</f>
        <v/>
      </c>
    </row>
    <row r="198">
      <c r="A198" s="3" t="n">
        <v>39731</v>
      </c>
      <c r="B198" t="n">
        <v>193788</v>
      </c>
      <c r="D198" t="n">
        <v>1484</v>
      </c>
      <c r="E198" t="n">
        <v>27</v>
      </c>
      <c r="F198">
        <f>IF(C198="","",C198*7/B198)</f>
        <v/>
      </c>
    </row>
    <row r="199">
      <c r="A199" s="3" t="n">
        <v>39738</v>
      </c>
      <c r="B199" t="n">
        <v>196497</v>
      </c>
      <c r="D199" t="n">
        <v>1484</v>
      </c>
      <c r="E199" t="n">
        <v>27</v>
      </c>
      <c r="F199">
        <f>IF(C199="","",C199*7/B199)</f>
        <v/>
      </c>
    </row>
    <row r="200">
      <c r="A200" s="3" t="n">
        <v>39745</v>
      </c>
      <c r="B200" t="n">
        <v>194990</v>
      </c>
      <c r="D200" t="n">
        <v>1484</v>
      </c>
      <c r="E200" t="n">
        <v>27</v>
      </c>
      <c r="F200">
        <f>IF(C200="","",C200*7/B200)</f>
        <v/>
      </c>
    </row>
    <row r="201">
      <c r="A201" s="3" t="n">
        <v>39752</v>
      </c>
      <c r="B201" t="n">
        <v>196113</v>
      </c>
      <c r="D201" t="n">
        <v>1568</v>
      </c>
      <c r="E201" t="n">
        <v>27</v>
      </c>
      <c r="F201">
        <f>IF(C201="","",C201*7/B201)</f>
        <v/>
      </c>
    </row>
    <row r="202">
      <c r="A202" s="3" t="n">
        <v>39759</v>
      </c>
      <c r="B202" t="n">
        <v>198095</v>
      </c>
      <c r="D202" t="n">
        <v>1545</v>
      </c>
      <c r="E202" t="n">
        <v>27</v>
      </c>
      <c r="F202">
        <f>IF(C202="","",C202*7/B202)</f>
        <v/>
      </c>
    </row>
    <row r="203">
      <c r="A203" s="3" t="n">
        <v>39766</v>
      </c>
      <c r="B203" t="n">
        <v>198634</v>
      </c>
      <c r="D203" t="n">
        <v>1745</v>
      </c>
      <c r="E203" t="n">
        <v>27</v>
      </c>
      <c r="F203">
        <f>IF(C203="","",C203*7/B203)</f>
        <v/>
      </c>
    </row>
    <row r="204">
      <c r="A204" s="3" t="n">
        <v>39773</v>
      </c>
      <c r="B204" t="n">
        <v>200476</v>
      </c>
      <c r="D204" t="n">
        <v>1745</v>
      </c>
      <c r="E204" t="n">
        <v>27</v>
      </c>
      <c r="F204">
        <f>IF(C204="","",C204*7/B204)</f>
        <v/>
      </c>
    </row>
    <row r="205">
      <c r="A205" s="3" t="n">
        <v>39780</v>
      </c>
      <c r="B205" t="n">
        <v>198942</v>
      </c>
      <c r="D205" t="n">
        <v>1745</v>
      </c>
      <c r="E205" t="n">
        <v>27</v>
      </c>
      <c r="F205">
        <f>IF(C205="","",C205*7/B205)</f>
        <v/>
      </c>
    </row>
    <row r="206">
      <c r="A206" s="3" t="n">
        <v>39787</v>
      </c>
      <c r="B206" t="n">
        <v>202664</v>
      </c>
      <c r="D206" t="n">
        <v>1367</v>
      </c>
      <c r="E206" t="n">
        <v>28</v>
      </c>
      <c r="F206">
        <f>IF(C206="","",C206*7/B206)</f>
        <v/>
      </c>
    </row>
    <row r="207">
      <c r="A207" s="3" t="n">
        <v>39794</v>
      </c>
      <c r="B207" t="n">
        <v>203959</v>
      </c>
      <c r="D207" t="n">
        <v>1367</v>
      </c>
      <c r="E207" t="n">
        <v>28</v>
      </c>
      <c r="F207">
        <f>IF(C207="","",C207*7/B207)</f>
        <v/>
      </c>
    </row>
    <row r="208">
      <c r="A208" s="3" t="n">
        <v>39801</v>
      </c>
      <c r="B208" t="n">
        <v>207295</v>
      </c>
      <c r="D208" t="n">
        <v>1367</v>
      </c>
      <c r="E208" t="n">
        <v>28</v>
      </c>
      <c r="F208">
        <f>IF(C208="","",C208*7/B208)</f>
        <v/>
      </c>
    </row>
    <row r="209">
      <c r="A209" s="3" t="n">
        <v>39808</v>
      </c>
      <c r="B209" t="n">
        <v>208103</v>
      </c>
      <c r="D209" t="n">
        <v>1367</v>
      </c>
      <c r="E209" t="n">
        <v>28</v>
      </c>
      <c r="F209">
        <f>IF(C209="","",C209*7/B209)</f>
        <v/>
      </c>
    </row>
    <row r="210">
      <c r="A210" s="3" t="n">
        <v>39815</v>
      </c>
      <c r="B210" t="n">
        <v>211437</v>
      </c>
      <c r="D210" t="n">
        <v>1367</v>
      </c>
      <c r="E210" t="n">
        <v>28</v>
      </c>
      <c r="F210">
        <f>IF(C210="","",C210*7/B210)</f>
        <v/>
      </c>
    </row>
    <row r="211">
      <c r="A211" s="3" t="n">
        <v>39822</v>
      </c>
      <c r="B211" t="n">
        <v>213505</v>
      </c>
      <c r="D211" t="n">
        <v>1486</v>
      </c>
      <c r="E211" t="n">
        <v>28</v>
      </c>
      <c r="F211">
        <f>IF(C211="","",C211*7/B211)</f>
        <v/>
      </c>
    </row>
    <row r="212">
      <c r="A212" s="3" t="n">
        <v>39829</v>
      </c>
      <c r="B212" t="n">
        <v>219980</v>
      </c>
      <c r="D212" t="n">
        <v>1486</v>
      </c>
      <c r="E212" t="n">
        <v>28</v>
      </c>
      <c r="F212">
        <f>IF(C212="","",C212*7/B212)</f>
        <v/>
      </c>
    </row>
    <row r="213">
      <c r="A213" s="3" t="n">
        <v>39836</v>
      </c>
      <c r="B213" t="n">
        <v>219859</v>
      </c>
      <c r="D213" t="n">
        <v>1486</v>
      </c>
      <c r="E213" t="n">
        <v>28</v>
      </c>
      <c r="F213">
        <f>IF(C213="","",C213*7/B213)</f>
        <v/>
      </c>
    </row>
    <row r="214">
      <c r="A214" s="3" t="n">
        <v>39843</v>
      </c>
      <c r="B214" t="n">
        <v>220221</v>
      </c>
      <c r="D214" t="n">
        <v>1486</v>
      </c>
      <c r="E214" t="n">
        <v>28</v>
      </c>
      <c r="F214">
        <f>IF(C214="","",C214*7/B214)</f>
        <v/>
      </c>
    </row>
    <row r="215">
      <c r="A215" s="3" t="n">
        <v>39850</v>
      </c>
      <c r="B215" t="n">
        <v>217559</v>
      </c>
      <c r="D215" t="n">
        <v>1486</v>
      </c>
      <c r="E215" t="n">
        <v>28</v>
      </c>
      <c r="F215">
        <f>IF(C215="","",C215*7/B215)</f>
        <v/>
      </c>
    </row>
    <row r="216">
      <c r="A216" s="3" t="n">
        <v>39857</v>
      </c>
      <c r="B216" t="n">
        <v>218664</v>
      </c>
      <c r="D216" t="n">
        <v>1566</v>
      </c>
      <c r="E216" t="n">
        <v>29</v>
      </c>
      <c r="F216">
        <f>IF(C216="","",C216*7/B216)</f>
        <v/>
      </c>
    </row>
    <row r="217">
      <c r="A217" s="3" t="n">
        <v>39864</v>
      </c>
      <c r="B217" t="n">
        <v>215342</v>
      </c>
      <c r="D217" t="n">
        <v>1566</v>
      </c>
      <c r="E217" t="n">
        <v>29</v>
      </c>
      <c r="F217">
        <f>IF(C217="","",C217*7/B217)</f>
        <v/>
      </c>
    </row>
    <row r="218">
      <c r="A218" s="3" t="n">
        <v>39871</v>
      </c>
      <c r="B218" t="n">
        <v>215510</v>
      </c>
      <c r="D218" t="n">
        <v>1566</v>
      </c>
      <c r="E218" t="n">
        <v>29</v>
      </c>
      <c r="F218">
        <f>IF(C218="","",C218*7/B218)</f>
        <v/>
      </c>
    </row>
    <row r="219">
      <c r="A219" s="3" t="n">
        <v>39878</v>
      </c>
      <c r="B219" t="n">
        <v>212517</v>
      </c>
      <c r="D219" t="n">
        <v>1622</v>
      </c>
      <c r="E219" t="n">
        <v>29</v>
      </c>
      <c r="F219">
        <f>IF(C219="","",C219*7/B219)</f>
        <v/>
      </c>
    </row>
    <row r="220">
      <c r="A220" s="3" t="n">
        <v>39885</v>
      </c>
      <c r="B220" t="n">
        <v>215712</v>
      </c>
      <c r="D220" t="n">
        <v>1622</v>
      </c>
      <c r="E220" t="n">
        <v>29</v>
      </c>
      <c r="F220">
        <f>IF(C220="","",C220*7/B220)</f>
        <v/>
      </c>
    </row>
    <row r="221">
      <c r="A221" s="3" t="n">
        <v>39892</v>
      </c>
      <c r="B221" t="n">
        <v>214568</v>
      </c>
      <c r="D221" t="n">
        <v>1622</v>
      </c>
      <c r="E221" t="n">
        <v>29</v>
      </c>
      <c r="F221">
        <f>IF(C221="","",C221*7/B221)</f>
        <v/>
      </c>
    </row>
    <row r="222">
      <c r="A222" s="3" t="n">
        <v>39899</v>
      </c>
      <c r="B222" t="n">
        <v>216793</v>
      </c>
      <c r="D222" t="n">
        <v>1622</v>
      </c>
      <c r="E222" t="n">
        <v>29</v>
      </c>
      <c r="F222">
        <f>IF(C222="","",C222*7/B222)</f>
        <v/>
      </c>
    </row>
    <row r="223">
      <c r="A223" s="3" t="n">
        <v>39906</v>
      </c>
      <c r="B223" t="n">
        <v>217449</v>
      </c>
      <c r="D223" t="n">
        <v>1705</v>
      </c>
      <c r="E223" t="n">
        <v>30</v>
      </c>
      <c r="F223">
        <f>IF(C223="","",C223*7/B223)</f>
        <v/>
      </c>
    </row>
    <row r="224">
      <c r="A224" s="3" t="n">
        <v>39913</v>
      </c>
      <c r="B224" t="n">
        <v>216505</v>
      </c>
      <c r="D224" t="n">
        <v>1705</v>
      </c>
      <c r="E224" t="n">
        <v>30</v>
      </c>
      <c r="F224">
        <f>IF(C224="","",C224*7/B224)</f>
        <v/>
      </c>
    </row>
    <row r="225">
      <c r="A225" s="3" t="n">
        <v>39920</v>
      </c>
      <c r="B225" t="n">
        <v>217307</v>
      </c>
      <c r="D225" t="n">
        <v>1705</v>
      </c>
      <c r="E225" t="n">
        <v>30</v>
      </c>
      <c r="F225">
        <f>IF(C225="","",C225*7/B225)</f>
        <v/>
      </c>
    </row>
    <row r="226">
      <c r="A226" s="3" t="n">
        <v>39927</v>
      </c>
      <c r="B226" t="n">
        <v>212612</v>
      </c>
      <c r="D226" t="n">
        <v>1795</v>
      </c>
      <c r="E226" t="n">
        <v>31</v>
      </c>
      <c r="F226">
        <f>IF(C226="","",C226*7/B226)</f>
        <v/>
      </c>
    </row>
    <row r="227">
      <c r="A227" s="3" t="n">
        <v>39934</v>
      </c>
      <c r="B227" t="n">
        <v>212445</v>
      </c>
      <c r="D227" t="n">
        <v>1795</v>
      </c>
      <c r="E227" t="n">
        <v>31</v>
      </c>
      <c r="F227">
        <f>IF(C227="","",C227*7/B227)</f>
        <v/>
      </c>
    </row>
    <row r="228">
      <c r="A228" s="3" t="n">
        <v>39941</v>
      </c>
      <c r="B228" t="n">
        <v>208291</v>
      </c>
      <c r="D228" t="n">
        <v>1795</v>
      </c>
      <c r="E228" t="n">
        <v>31</v>
      </c>
      <c r="F228">
        <f>IF(C228="","",C228*7/B228)</f>
        <v/>
      </c>
    </row>
    <row r="229">
      <c r="A229" s="3" t="n">
        <v>39948</v>
      </c>
      <c r="B229" t="n">
        <v>203954</v>
      </c>
      <c r="D229" t="n">
        <v>1820</v>
      </c>
      <c r="E229" t="n">
        <v>30</v>
      </c>
      <c r="F229">
        <f>IF(C229="","",C229*7/B229)</f>
        <v/>
      </c>
    </row>
    <row r="230">
      <c r="A230" s="3" t="n">
        <v>39955</v>
      </c>
      <c r="B230" t="n">
        <v>203417</v>
      </c>
      <c r="D230" t="n">
        <v>1820</v>
      </c>
      <c r="E230" t="n">
        <v>30</v>
      </c>
      <c r="F230">
        <f>IF(C230="","",C230*7/B230)</f>
        <v/>
      </c>
    </row>
    <row r="231">
      <c r="A231" s="3" t="n">
        <v>39962</v>
      </c>
      <c r="B231" t="n">
        <v>203202</v>
      </c>
      <c r="D231" t="n">
        <v>1820</v>
      </c>
      <c r="E231" t="n">
        <v>30</v>
      </c>
      <c r="F231">
        <f>IF(C231="","",C231*7/B231)</f>
        <v/>
      </c>
    </row>
    <row r="232">
      <c r="A232" s="3" t="n">
        <v>39969</v>
      </c>
      <c r="B232" t="n">
        <v>201649</v>
      </c>
      <c r="D232" t="n">
        <v>1820</v>
      </c>
      <c r="E232" t="n">
        <v>30</v>
      </c>
      <c r="F232">
        <f>IF(C232="","",C232*7/B232)</f>
        <v/>
      </c>
    </row>
    <row r="233">
      <c r="A233" s="3" t="n">
        <v>39976</v>
      </c>
      <c r="B233" t="n">
        <v>205034</v>
      </c>
      <c r="D233" t="n">
        <v>1833</v>
      </c>
      <c r="E233" t="n">
        <v>30</v>
      </c>
      <c r="F233">
        <f>IF(C233="","",C233*7/B233)</f>
        <v/>
      </c>
    </row>
    <row r="234">
      <c r="A234" s="3" t="n">
        <v>39983</v>
      </c>
      <c r="B234" t="n">
        <v>208905</v>
      </c>
      <c r="D234" t="n">
        <v>1833</v>
      </c>
      <c r="E234" t="n">
        <v>30</v>
      </c>
      <c r="F234">
        <f>IF(C234="","",C234*7/B234)</f>
        <v/>
      </c>
    </row>
    <row r="235">
      <c r="A235" s="3" t="n">
        <v>39990</v>
      </c>
      <c r="B235" t="n">
        <v>211238</v>
      </c>
      <c r="D235" t="n">
        <v>1833</v>
      </c>
      <c r="E235" t="n">
        <v>30</v>
      </c>
      <c r="F235">
        <f>IF(C235="","",C235*7/B235)</f>
        <v/>
      </c>
    </row>
    <row r="236">
      <c r="A236" s="3" t="n">
        <v>39997</v>
      </c>
      <c r="B236" t="n">
        <v>213140</v>
      </c>
      <c r="D236" t="n">
        <v>1833</v>
      </c>
      <c r="E236" t="n">
        <v>30</v>
      </c>
      <c r="F236">
        <f>IF(C236="","",C236*7/B236)</f>
        <v/>
      </c>
    </row>
    <row r="237">
      <c r="A237" s="3" t="n">
        <v>40004</v>
      </c>
      <c r="B237" t="n">
        <v>214578</v>
      </c>
      <c r="D237" t="n">
        <v>1863</v>
      </c>
      <c r="E237" t="n">
        <v>31</v>
      </c>
      <c r="F237">
        <f>IF(C237="","",C237*7/B237)</f>
        <v/>
      </c>
    </row>
    <row r="238">
      <c r="A238" s="3" t="n">
        <v>40011</v>
      </c>
      <c r="B238" t="n">
        <v>215391</v>
      </c>
      <c r="D238" t="n">
        <v>1863</v>
      </c>
      <c r="E238" t="n">
        <v>31</v>
      </c>
      <c r="F238">
        <f>IF(C238="","",C238*7/B238)</f>
        <v/>
      </c>
    </row>
    <row r="239">
      <c r="A239" s="3" t="n">
        <v>40018</v>
      </c>
      <c r="B239" t="n">
        <v>213076</v>
      </c>
      <c r="D239" t="n">
        <v>1863</v>
      </c>
      <c r="E239" t="n">
        <v>31</v>
      </c>
      <c r="F239">
        <f>IF(C239="","",C239*7/B239)</f>
        <v/>
      </c>
    </row>
    <row r="240">
      <c r="A240" s="3" t="n">
        <v>40025</v>
      </c>
      <c r="B240" t="n">
        <v>212858</v>
      </c>
      <c r="D240" t="n">
        <v>1863</v>
      </c>
      <c r="E240" t="n">
        <v>31</v>
      </c>
      <c r="F240">
        <f>IF(C240="","",C240*7/B240)</f>
        <v/>
      </c>
    </row>
    <row r="241">
      <c r="A241" s="3" t="n">
        <v>40032</v>
      </c>
      <c r="B241" t="n">
        <v>211931</v>
      </c>
      <c r="D241" t="n">
        <v>1863</v>
      </c>
      <c r="E241" t="n">
        <v>31</v>
      </c>
      <c r="F241">
        <f>IF(C241="","",C241*7/B241)</f>
        <v/>
      </c>
    </row>
    <row r="242">
      <c r="A242" s="3" t="n">
        <v>40039</v>
      </c>
      <c r="B242" t="n">
        <v>209754</v>
      </c>
      <c r="D242" t="n">
        <v>1815</v>
      </c>
      <c r="E242" t="n">
        <v>31</v>
      </c>
      <c r="F242">
        <f>IF(C242="","",C242*7/B242)</f>
        <v/>
      </c>
    </row>
    <row r="243">
      <c r="A243" s="3" t="n">
        <v>40046</v>
      </c>
      <c r="B243" t="n">
        <v>208054</v>
      </c>
      <c r="D243" t="n">
        <v>1815</v>
      </c>
      <c r="E243" t="n">
        <v>31</v>
      </c>
      <c r="F243">
        <f>IF(C243="","",C243*7/B243)</f>
        <v/>
      </c>
    </row>
    <row r="244">
      <c r="A244" s="3" t="n">
        <v>40053</v>
      </c>
      <c r="B244" t="n">
        <v>205085</v>
      </c>
      <c r="D244" t="n">
        <v>1815</v>
      </c>
      <c r="E244" t="n">
        <v>31</v>
      </c>
      <c r="F244">
        <f>IF(C244="","",C244*7/B244)</f>
        <v/>
      </c>
    </row>
    <row r="245">
      <c r="A245" s="3" t="n">
        <v>40060</v>
      </c>
      <c r="B245" t="n">
        <v>207153</v>
      </c>
      <c r="D245" t="n">
        <v>1815</v>
      </c>
      <c r="E245" t="n">
        <v>31</v>
      </c>
      <c r="F245">
        <f>IF(C245="","",C245*7/B245)</f>
        <v/>
      </c>
    </row>
    <row r="246">
      <c r="A246" s="3" t="n">
        <v>40067</v>
      </c>
      <c r="B246" t="n">
        <v>207700</v>
      </c>
      <c r="D246" t="n">
        <v>1867</v>
      </c>
      <c r="E246" t="n">
        <v>31</v>
      </c>
      <c r="F246">
        <f>IF(C246="","",C246*7/B246)</f>
        <v/>
      </c>
    </row>
    <row r="247">
      <c r="A247" s="3" t="n">
        <v>40074</v>
      </c>
      <c r="B247" t="n">
        <v>213109</v>
      </c>
      <c r="D247" t="n">
        <v>1867</v>
      </c>
      <c r="E247" t="n">
        <v>31</v>
      </c>
      <c r="F247">
        <f>IF(C247="","",C247*7/B247)</f>
        <v/>
      </c>
    </row>
    <row r="248">
      <c r="A248" s="3" t="n">
        <v>40081</v>
      </c>
      <c r="B248" t="n">
        <v>211452</v>
      </c>
      <c r="D248" t="n">
        <v>1867</v>
      </c>
      <c r="E248" t="n">
        <v>31</v>
      </c>
      <c r="F248">
        <f>IF(C248="","",C248*7/B248)</f>
        <v/>
      </c>
    </row>
    <row r="249">
      <c r="A249" s="3" t="n">
        <v>40088</v>
      </c>
      <c r="B249" t="n">
        <v>214389</v>
      </c>
      <c r="D249" t="n">
        <v>1867</v>
      </c>
      <c r="E249" t="n">
        <v>31</v>
      </c>
      <c r="F249">
        <f>IF(C249="","",C249*7/B249)</f>
        <v/>
      </c>
    </row>
    <row r="250">
      <c r="A250" s="3" t="n">
        <v>40095</v>
      </c>
      <c r="B250" t="n">
        <v>209159</v>
      </c>
      <c r="D250" t="n">
        <v>1859</v>
      </c>
      <c r="E250" t="n">
        <v>32</v>
      </c>
      <c r="F250">
        <f>IF(C250="","",C250*7/B250)</f>
        <v/>
      </c>
    </row>
    <row r="251">
      <c r="A251" s="3" t="n">
        <v>40102</v>
      </c>
      <c r="B251" t="n">
        <v>206945</v>
      </c>
      <c r="D251" t="n">
        <v>1859</v>
      </c>
      <c r="E251" t="n">
        <v>32</v>
      </c>
      <c r="F251">
        <f>IF(C251="","",C251*7/B251)</f>
        <v/>
      </c>
    </row>
    <row r="252">
      <c r="A252" s="3" t="n">
        <v>40109</v>
      </c>
      <c r="B252" t="n">
        <v>208564</v>
      </c>
      <c r="D252" t="n">
        <v>1859</v>
      </c>
      <c r="E252" t="n">
        <v>32</v>
      </c>
      <c r="F252">
        <f>IF(C252="","",C252*7/B252)</f>
        <v/>
      </c>
    </row>
    <row r="253">
      <c r="A253" s="3" t="n">
        <v>40116</v>
      </c>
      <c r="B253" t="n">
        <v>208277</v>
      </c>
      <c r="D253" t="n">
        <v>1859</v>
      </c>
      <c r="E253" t="n">
        <v>32</v>
      </c>
      <c r="F253">
        <f>IF(C253="","",C253*7/B253)</f>
        <v/>
      </c>
    </row>
    <row r="254">
      <c r="A254" s="3" t="n">
        <v>40123</v>
      </c>
      <c r="B254" t="n">
        <v>210837</v>
      </c>
      <c r="D254" t="n">
        <v>1859</v>
      </c>
      <c r="E254" t="n">
        <v>32</v>
      </c>
      <c r="F254">
        <f>IF(C254="","",C254*7/B254)</f>
        <v/>
      </c>
    </row>
    <row r="255">
      <c r="A255" s="3" t="n">
        <v>40130</v>
      </c>
      <c r="B255" t="n">
        <v>209082</v>
      </c>
      <c r="D255" t="n">
        <v>1920</v>
      </c>
      <c r="E255" t="n">
        <v>32</v>
      </c>
      <c r="F255">
        <f>IF(C255="","",C255*7/B255)</f>
        <v/>
      </c>
    </row>
    <row r="256">
      <c r="A256" s="3" t="n">
        <v>40137</v>
      </c>
      <c r="B256" t="n">
        <v>210085</v>
      </c>
      <c r="D256" t="n">
        <v>1920</v>
      </c>
      <c r="E256" t="n">
        <v>32</v>
      </c>
      <c r="F256">
        <f>IF(C256="","",C256*7/B256)</f>
        <v/>
      </c>
    </row>
    <row r="257">
      <c r="A257" s="3" t="n">
        <v>40144</v>
      </c>
      <c r="B257" t="n">
        <v>214081</v>
      </c>
      <c r="D257" t="n">
        <v>1920</v>
      </c>
      <c r="E257" t="n">
        <v>32</v>
      </c>
      <c r="F257">
        <f>IF(C257="","",C257*7/B257)</f>
        <v/>
      </c>
    </row>
    <row r="258">
      <c r="A258" s="3" t="n">
        <v>40151</v>
      </c>
      <c r="B258" t="n">
        <v>216334</v>
      </c>
      <c r="D258" t="n">
        <v>1920</v>
      </c>
      <c r="E258" t="n">
        <v>32</v>
      </c>
      <c r="F258">
        <f>IF(C258="","",C258*7/B258)</f>
        <v/>
      </c>
    </row>
    <row r="259">
      <c r="A259" s="3" t="n">
        <v>40158</v>
      </c>
      <c r="B259" t="n">
        <v>217213</v>
      </c>
      <c r="D259" t="n">
        <v>1913</v>
      </c>
      <c r="E259" t="n">
        <v>32</v>
      </c>
      <c r="F259">
        <f>IF(C259="","",C259*7/B259)</f>
        <v/>
      </c>
    </row>
    <row r="260">
      <c r="A260" s="3" t="n">
        <v>40165</v>
      </c>
      <c r="B260" t="n">
        <v>216330</v>
      </c>
      <c r="D260" t="n">
        <v>1913</v>
      </c>
      <c r="E260" t="n">
        <v>32</v>
      </c>
      <c r="F260">
        <f>IF(C260="","",C260*7/B260)</f>
        <v/>
      </c>
    </row>
    <row r="261">
      <c r="A261" s="3" t="n">
        <v>40172</v>
      </c>
      <c r="B261" t="n">
        <v>215964</v>
      </c>
      <c r="D261" t="n">
        <v>1913</v>
      </c>
      <c r="E261" t="n">
        <v>32</v>
      </c>
      <c r="F261">
        <f>IF(C261="","",C261*7/B261)</f>
        <v/>
      </c>
    </row>
    <row r="262">
      <c r="A262" s="3" t="n">
        <v>40179</v>
      </c>
      <c r="B262" t="n">
        <v>219701</v>
      </c>
      <c r="D262" t="n">
        <v>1913</v>
      </c>
      <c r="E262" t="n">
        <v>32</v>
      </c>
      <c r="F262">
        <f>IF(C262="","",C262*7/B262)</f>
        <v/>
      </c>
    </row>
    <row r="263">
      <c r="A263" s="3" t="n">
        <v>40186</v>
      </c>
      <c r="B263" t="n">
        <v>223492</v>
      </c>
      <c r="D263" t="n">
        <v>1913</v>
      </c>
      <c r="E263" t="n">
        <v>32</v>
      </c>
      <c r="F263">
        <f>IF(C263="","",C263*7/B263)</f>
        <v/>
      </c>
    </row>
    <row r="264">
      <c r="A264" s="3" t="n">
        <v>40193</v>
      </c>
      <c r="B264" t="n">
        <v>227442</v>
      </c>
      <c r="D264" t="n">
        <v>1647</v>
      </c>
      <c r="E264" t="n">
        <v>33</v>
      </c>
      <c r="F264">
        <f>IF(C264="","",C264*7/B264)</f>
        <v/>
      </c>
    </row>
    <row r="265">
      <c r="A265" s="3" t="n">
        <v>40200</v>
      </c>
      <c r="B265" t="n">
        <v>229427</v>
      </c>
      <c r="D265" t="n">
        <v>1647</v>
      </c>
      <c r="E265" t="n">
        <v>33</v>
      </c>
      <c r="F265">
        <f>IF(C265="","",C265*7/B265)</f>
        <v/>
      </c>
    </row>
    <row r="266">
      <c r="A266" s="3" t="n">
        <v>40207</v>
      </c>
      <c r="B266" t="n">
        <v>228121</v>
      </c>
      <c r="D266" t="n">
        <v>1647</v>
      </c>
      <c r="E266" t="n">
        <v>33</v>
      </c>
      <c r="F266">
        <f>IF(C266="","",C266*7/B266)</f>
        <v/>
      </c>
    </row>
    <row r="267">
      <c r="A267" s="3" t="n">
        <v>40214</v>
      </c>
      <c r="B267" t="n">
        <v>230445</v>
      </c>
      <c r="D267" t="n">
        <v>1647</v>
      </c>
      <c r="E267" t="n">
        <v>33</v>
      </c>
      <c r="F267">
        <f>IF(C267="","",C267*7/B267)</f>
        <v/>
      </c>
    </row>
    <row r="268">
      <c r="A268" s="3" t="n">
        <v>40221</v>
      </c>
      <c r="B268" t="n">
        <v>232065</v>
      </c>
      <c r="D268" t="n">
        <v>1679</v>
      </c>
      <c r="E268" t="n">
        <v>33</v>
      </c>
      <c r="F268">
        <f>IF(C268="","",C268*7/B268)</f>
        <v/>
      </c>
    </row>
    <row r="269">
      <c r="A269" s="3" t="n">
        <v>40228</v>
      </c>
      <c r="B269" t="n">
        <v>231170</v>
      </c>
      <c r="D269" t="n">
        <v>1679</v>
      </c>
      <c r="E269" t="n">
        <v>33</v>
      </c>
      <c r="F269">
        <f>IF(C269="","",C269*7/B269)</f>
        <v/>
      </c>
    </row>
    <row r="270">
      <c r="A270" s="3" t="n">
        <v>40235</v>
      </c>
      <c r="B270" t="n">
        <v>231943</v>
      </c>
      <c r="D270" t="n">
        <v>1679</v>
      </c>
      <c r="E270" t="n">
        <v>33</v>
      </c>
      <c r="F270">
        <f>IF(C270="","",C270*7/B270)</f>
        <v/>
      </c>
    </row>
    <row r="271">
      <c r="A271" s="3" t="n">
        <v>40242</v>
      </c>
      <c r="B271" t="n">
        <v>228984</v>
      </c>
      <c r="D271" t="n">
        <v>1679</v>
      </c>
      <c r="E271" t="n">
        <v>33</v>
      </c>
      <c r="F271">
        <f>IF(C271="","",C271*7/B271)</f>
        <v/>
      </c>
    </row>
    <row r="272">
      <c r="A272" s="3" t="n">
        <v>40249</v>
      </c>
      <c r="B272" t="n">
        <v>227274</v>
      </c>
      <c r="D272" t="n">
        <v>1611</v>
      </c>
      <c r="E272" t="n">
        <v>33</v>
      </c>
      <c r="F272">
        <f>IF(C272="","",C272*7/B272)</f>
        <v/>
      </c>
    </row>
    <row r="273">
      <c r="A273" s="3" t="n">
        <v>40256</v>
      </c>
      <c r="B273" t="n">
        <v>224559</v>
      </c>
      <c r="D273" t="n">
        <v>1611</v>
      </c>
      <c r="E273" t="n">
        <v>33</v>
      </c>
      <c r="F273">
        <f>IF(C273="","",C273*7/B273)</f>
        <v/>
      </c>
    </row>
    <row r="274">
      <c r="A274" s="3" t="n">
        <v>40263</v>
      </c>
      <c r="B274" t="n">
        <v>224872</v>
      </c>
      <c r="D274" t="n">
        <v>1611</v>
      </c>
      <c r="E274" t="n">
        <v>33</v>
      </c>
      <c r="F274">
        <f>IF(C274="","",C274*7/B274)</f>
        <v/>
      </c>
    </row>
    <row r="275">
      <c r="A275" s="3" t="n">
        <v>40270</v>
      </c>
      <c r="B275" t="n">
        <v>222374</v>
      </c>
      <c r="D275" t="n">
        <v>1611</v>
      </c>
      <c r="E275" t="n">
        <v>33</v>
      </c>
      <c r="F275">
        <f>IF(C275="","",C275*7/B275)</f>
        <v/>
      </c>
    </row>
    <row r="276">
      <c r="A276" s="3" t="n">
        <v>40277</v>
      </c>
      <c r="B276" t="n">
        <v>221338</v>
      </c>
      <c r="D276" t="n">
        <v>1611</v>
      </c>
      <c r="E276" t="n">
        <v>33</v>
      </c>
      <c r="F276">
        <f>IF(C276="","",C276*7/B276)</f>
        <v/>
      </c>
    </row>
    <row r="277">
      <c r="A277" s="3" t="n">
        <v>40284</v>
      </c>
      <c r="B277" t="n">
        <v>224925</v>
      </c>
      <c r="D277" t="n">
        <v>1700</v>
      </c>
      <c r="E277" t="n">
        <v>34</v>
      </c>
      <c r="F277">
        <f>IF(C277="","",C277*7/B277)</f>
        <v/>
      </c>
    </row>
    <row r="278">
      <c r="A278" s="3" t="n">
        <v>40291</v>
      </c>
      <c r="B278" t="n">
        <v>223685</v>
      </c>
      <c r="D278" t="n">
        <v>1700</v>
      </c>
      <c r="E278" t="n">
        <v>34</v>
      </c>
      <c r="F278">
        <f>IF(C278="","",C278*7/B278)</f>
        <v/>
      </c>
    </row>
    <row r="279">
      <c r="A279" s="3" t="n">
        <v>40298</v>
      </c>
      <c r="B279" t="n">
        <v>224942</v>
      </c>
      <c r="D279" t="n">
        <v>1700</v>
      </c>
      <c r="E279" t="n">
        <v>34</v>
      </c>
      <c r="F279">
        <f>IF(C279="","",C279*7/B279)</f>
        <v/>
      </c>
    </row>
    <row r="280">
      <c r="A280" s="3" t="n">
        <v>40305</v>
      </c>
      <c r="B280" t="n">
        <v>222128</v>
      </c>
      <c r="D280" t="n">
        <v>1700</v>
      </c>
      <c r="E280" t="n">
        <v>34</v>
      </c>
      <c r="F280">
        <f>IF(C280="","",C280*7/B280)</f>
        <v/>
      </c>
    </row>
    <row r="281">
      <c r="A281" s="3" t="n">
        <v>40312</v>
      </c>
      <c r="B281" t="n">
        <v>221834</v>
      </c>
      <c r="D281" t="n">
        <v>1751</v>
      </c>
      <c r="E281" t="n">
        <v>34</v>
      </c>
      <c r="F281">
        <f>IF(C281="","",C281*7/B281)</f>
        <v/>
      </c>
    </row>
    <row r="282">
      <c r="A282" s="3" t="n">
        <v>40319</v>
      </c>
      <c r="B282" t="n">
        <v>221631</v>
      </c>
      <c r="D282" t="n">
        <v>1751</v>
      </c>
      <c r="E282" t="n">
        <v>34</v>
      </c>
      <c r="F282">
        <f>IF(C282="","",C282*7/B282)</f>
        <v/>
      </c>
    </row>
    <row r="283">
      <c r="A283" s="3" t="n">
        <v>40326</v>
      </c>
      <c r="B283" t="n">
        <v>218984</v>
      </c>
      <c r="D283" t="n">
        <v>1751</v>
      </c>
      <c r="E283" t="n">
        <v>34</v>
      </c>
      <c r="F283">
        <f>IF(C283="","",C283*7/B283)</f>
        <v/>
      </c>
    </row>
    <row r="284">
      <c r="A284" s="3" t="n">
        <v>40333</v>
      </c>
      <c r="B284" t="n">
        <v>218976</v>
      </c>
      <c r="C284" t="n">
        <v>155</v>
      </c>
      <c r="D284" t="n">
        <v>1751</v>
      </c>
      <c r="E284" t="n">
        <v>34</v>
      </c>
      <c r="F284">
        <f>IF(C284="","",C284*7/B284)</f>
        <v/>
      </c>
    </row>
    <row r="285">
      <c r="A285" s="3" t="n">
        <v>40340</v>
      </c>
      <c r="B285" t="n">
        <v>218340</v>
      </c>
      <c r="C285" t="n">
        <v>155</v>
      </c>
      <c r="D285" t="n">
        <v>1751</v>
      </c>
      <c r="E285" t="n">
        <v>34</v>
      </c>
      <c r="F285">
        <f>IF(C285="","",C285*7/B285)</f>
        <v/>
      </c>
    </row>
    <row r="286">
      <c r="A286" s="3" t="n">
        <v>40347</v>
      </c>
      <c r="B286" t="n">
        <v>217578</v>
      </c>
      <c r="C286" t="n">
        <v>155</v>
      </c>
      <c r="D286" t="n">
        <v>1992</v>
      </c>
      <c r="E286" t="n">
        <v>33</v>
      </c>
      <c r="F286">
        <f>IF(C286="","",C286*7/B286)</f>
        <v/>
      </c>
    </row>
    <row r="287">
      <c r="A287" s="3" t="n">
        <v>40354</v>
      </c>
      <c r="B287" t="n">
        <v>218115</v>
      </c>
      <c r="C287" t="n">
        <v>155</v>
      </c>
      <c r="D287" t="n">
        <v>1992</v>
      </c>
      <c r="E287" t="n">
        <v>33</v>
      </c>
      <c r="F287">
        <f>IF(C287="","",C287*7/B287)</f>
        <v/>
      </c>
    </row>
    <row r="288">
      <c r="A288" s="3" t="n">
        <v>40361</v>
      </c>
      <c r="B288" t="n">
        <v>219435</v>
      </c>
      <c r="C288" t="n">
        <v>155</v>
      </c>
      <c r="D288" t="n">
        <v>1992</v>
      </c>
      <c r="E288" t="n">
        <v>33</v>
      </c>
      <c r="F288">
        <f>IF(C288="","",C288*7/B288)</f>
        <v/>
      </c>
    </row>
    <row r="289">
      <c r="A289" s="3" t="n">
        <v>40368</v>
      </c>
      <c r="B289" t="n">
        <v>221036</v>
      </c>
      <c r="C289" t="n">
        <v>155</v>
      </c>
      <c r="D289" t="n">
        <v>1992</v>
      </c>
      <c r="E289" t="n">
        <v>33</v>
      </c>
      <c r="F289">
        <f>IF(C289="","",C289*7/B289)</f>
        <v/>
      </c>
    </row>
    <row r="290">
      <c r="A290" s="3" t="n">
        <v>40375</v>
      </c>
      <c r="B290" t="n">
        <v>222154</v>
      </c>
      <c r="C290" t="n">
        <v>155</v>
      </c>
      <c r="D290" t="n">
        <v>2087</v>
      </c>
      <c r="E290" t="n">
        <v>33</v>
      </c>
      <c r="F290">
        <f>IF(C290="","",C290*7/B290)</f>
        <v/>
      </c>
    </row>
    <row r="291">
      <c r="A291" s="3" t="n">
        <v>40382</v>
      </c>
      <c r="B291" t="n">
        <v>222245</v>
      </c>
      <c r="C291" t="n">
        <v>155</v>
      </c>
      <c r="D291" t="n">
        <v>2087</v>
      </c>
      <c r="E291" t="n">
        <v>33</v>
      </c>
      <c r="F291">
        <f>IF(C291="","",C291*7/B291)</f>
        <v/>
      </c>
    </row>
    <row r="292">
      <c r="A292" s="3" t="n">
        <v>40389</v>
      </c>
      <c r="B292" t="n">
        <v>222974</v>
      </c>
      <c r="C292" t="n">
        <v>155</v>
      </c>
      <c r="D292" t="n">
        <v>2087</v>
      </c>
      <c r="E292" t="n">
        <v>33</v>
      </c>
      <c r="F292">
        <f>IF(C292="","",C292*7/B292)</f>
        <v/>
      </c>
    </row>
    <row r="293">
      <c r="A293" s="3" t="n">
        <v>40396</v>
      </c>
      <c r="B293" t="n">
        <v>223383</v>
      </c>
      <c r="C293" t="n">
        <v>155</v>
      </c>
      <c r="D293" t="n">
        <v>2087</v>
      </c>
      <c r="E293" t="n">
        <v>33</v>
      </c>
      <c r="F293">
        <f>IF(C293="","",C293*7/B293)</f>
        <v/>
      </c>
    </row>
    <row r="294">
      <c r="A294" s="3" t="n">
        <v>40403</v>
      </c>
      <c r="B294" t="n">
        <v>223344</v>
      </c>
      <c r="C294" t="n">
        <v>198</v>
      </c>
      <c r="D294" t="n">
        <v>2030</v>
      </c>
      <c r="E294" t="n">
        <v>32</v>
      </c>
      <c r="F294">
        <f>IF(C294="","",C294*7/B294)</f>
        <v/>
      </c>
    </row>
    <row r="295">
      <c r="A295" s="3" t="n">
        <v>40410</v>
      </c>
      <c r="B295" t="n">
        <v>225617</v>
      </c>
      <c r="C295" t="n">
        <v>198</v>
      </c>
      <c r="D295" t="n">
        <v>2030</v>
      </c>
      <c r="E295" t="n">
        <v>32</v>
      </c>
      <c r="F295">
        <f>IF(C295="","",C295*7/B295)</f>
        <v/>
      </c>
    </row>
    <row r="296">
      <c r="A296" s="3" t="n">
        <v>40417</v>
      </c>
      <c r="B296" t="n">
        <v>225405</v>
      </c>
      <c r="C296" t="n">
        <v>198</v>
      </c>
      <c r="D296" t="n">
        <v>2030</v>
      </c>
      <c r="E296" t="n">
        <v>32</v>
      </c>
      <c r="F296">
        <f>IF(C296="","",C296*7/B296)</f>
        <v/>
      </c>
    </row>
    <row r="297">
      <c r="A297" s="3" t="n">
        <v>40424</v>
      </c>
      <c r="B297" t="n">
        <v>225162</v>
      </c>
      <c r="C297" t="n">
        <v>198</v>
      </c>
      <c r="D297" t="n">
        <v>2030</v>
      </c>
      <c r="E297" t="n">
        <v>32</v>
      </c>
      <c r="F297">
        <f>IF(C297="","",C297*7/B297)</f>
        <v/>
      </c>
    </row>
    <row r="298">
      <c r="A298" s="3" t="n">
        <v>40431</v>
      </c>
      <c r="B298" t="n">
        <v>224468</v>
      </c>
      <c r="C298" t="n">
        <v>211</v>
      </c>
      <c r="D298" t="n">
        <v>2156</v>
      </c>
      <c r="E298" t="n">
        <v>33</v>
      </c>
      <c r="F298">
        <f>IF(C298="","",C298*7/B298)</f>
        <v/>
      </c>
    </row>
    <row r="299">
      <c r="A299" s="3" t="n">
        <v>40438</v>
      </c>
      <c r="B299" t="n">
        <v>226058</v>
      </c>
      <c r="C299" t="n">
        <v>211</v>
      </c>
      <c r="D299" t="n">
        <v>2156</v>
      </c>
      <c r="E299" t="n">
        <v>33</v>
      </c>
      <c r="F299">
        <f>IF(C299="","",C299*7/B299)</f>
        <v/>
      </c>
    </row>
    <row r="300">
      <c r="A300" s="3" t="n">
        <v>40445</v>
      </c>
      <c r="B300" t="n">
        <v>222589</v>
      </c>
      <c r="C300" t="n">
        <v>211</v>
      </c>
      <c r="D300" t="n">
        <v>2156</v>
      </c>
      <c r="E300" t="n">
        <v>33</v>
      </c>
      <c r="F300">
        <f>IF(C300="","",C300*7/B300)</f>
        <v/>
      </c>
    </row>
    <row r="301">
      <c r="A301" s="3" t="n">
        <v>40452</v>
      </c>
      <c r="B301" t="n">
        <v>219943</v>
      </c>
      <c r="C301" t="n">
        <v>211</v>
      </c>
      <c r="D301" t="n">
        <v>2156</v>
      </c>
      <c r="E301" t="n">
        <v>33</v>
      </c>
      <c r="F301">
        <f>IF(C301="","",C301*7/B301)</f>
        <v/>
      </c>
    </row>
    <row r="302">
      <c r="A302" s="3" t="n">
        <v>40459</v>
      </c>
      <c r="B302" t="n">
        <v>218174</v>
      </c>
      <c r="C302" t="n">
        <v>211</v>
      </c>
      <c r="D302" t="n">
        <v>2156</v>
      </c>
      <c r="E302" t="n">
        <v>33</v>
      </c>
      <c r="F302">
        <f>IF(C302="","",C302*7/B302)</f>
        <v/>
      </c>
    </row>
    <row r="303">
      <c r="A303" s="3" t="n">
        <v>40466</v>
      </c>
      <c r="B303" t="n">
        <v>219329</v>
      </c>
      <c r="C303" t="n">
        <v>200</v>
      </c>
      <c r="D303" t="n">
        <v>2153</v>
      </c>
      <c r="E303" t="n">
        <v>33</v>
      </c>
      <c r="F303">
        <f>IF(C303="","",C303*7/B303)</f>
        <v/>
      </c>
    </row>
    <row r="304">
      <c r="A304" s="3" t="n">
        <v>40473</v>
      </c>
      <c r="B304" t="n">
        <v>214942</v>
      </c>
      <c r="C304" t="n">
        <v>200</v>
      </c>
      <c r="D304" t="n">
        <v>2153</v>
      </c>
      <c r="E304" t="n">
        <v>33</v>
      </c>
      <c r="F304">
        <f>IF(C304="","",C304*7/B304)</f>
        <v/>
      </c>
    </row>
    <row r="305">
      <c r="A305" s="3" t="n">
        <v>40480</v>
      </c>
      <c r="B305" t="n">
        <v>212253</v>
      </c>
      <c r="C305" t="n">
        <v>200</v>
      </c>
      <c r="D305" t="n">
        <v>2153</v>
      </c>
      <c r="E305" t="n">
        <v>33</v>
      </c>
      <c r="F305">
        <f>IF(C305="","",C305*7/B305)</f>
        <v/>
      </c>
    </row>
    <row r="306">
      <c r="A306" s="3" t="n">
        <v>40487</v>
      </c>
      <c r="B306" t="n">
        <v>210336</v>
      </c>
      <c r="C306" t="n">
        <v>200</v>
      </c>
      <c r="D306" t="n">
        <v>2153</v>
      </c>
      <c r="E306" t="n">
        <v>33</v>
      </c>
      <c r="F306">
        <f>IF(C306="","",C306*7/B306)</f>
        <v/>
      </c>
    </row>
    <row r="307">
      <c r="A307" s="3" t="n">
        <v>40494</v>
      </c>
      <c r="B307" t="n">
        <v>207679</v>
      </c>
      <c r="C307" t="n">
        <v>167</v>
      </c>
      <c r="D307" t="n">
        <v>2087</v>
      </c>
      <c r="E307" t="n">
        <v>34</v>
      </c>
      <c r="F307">
        <f>IF(C307="","",C307*7/B307)</f>
        <v/>
      </c>
    </row>
    <row r="308">
      <c r="A308" s="3" t="n">
        <v>40501</v>
      </c>
      <c r="B308" t="n">
        <v>209592</v>
      </c>
      <c r="C308" t="n">
        <v>167</v>
      </c>
      <c r="D308" t="n">
        <v>2087</v>
      </c>
      <c r="E308" t="n">
        <v>34</v>
      </c>
      <c r="F308">
        <f>IF(C308="","",C308*7/B308)</f>
        <v/>
      </c>
    </row>
    <row r="309">
      <c r="A309" s="3" t="n">
        <v>40508</v>
      </c>
      <c r="B309" t="n">
        <v>210153</v>
      </c>
      <c r="C309" t="n">
        <v>167</v>
      </c>
      <c r="D309" t="n">
        <v>2087</v>
      </c>
      <c r="E309" t="n">
        <v>34</v>
      </c>
      <c r="F309">
        <f>IF(C309="","",C309*7/B309)</f>
        <v/>
      </c>
    </row>
    <row r="310">
      <c r="A310" s="3" t="n">
        <v>40515</v>
      </c>
      <c r="B310" t="n">
        <v>213964</v>
      </c>
      <c r="C310" t="n">
        <v>167</v>
      </c>
      <c r="D310" t="n">
        <v>2087</v>
      </c>
      <c r="E310" t="n">
        <v>34</v>
      </c>
      <c r="F310">
        <f>IF(C310="","",C310*7/B310)</f>
        <v/>
      </c>
    </row>
    <row r="311">
      <c r="A311" s="3" t="n">
        <v>40522</v>
      </c>
      <c r="B311" t="n">
        <v>214773</v>
      </c>
      <c r="C311" t="n">
        <v>168</v>
      </c>
      <c r="D311" t="n">
        <v>2219</v>
      </c>
      <c r="E311" t="n">
        <v>33</v>
      </c>
      <c r="F311">
        <f>IF(C311="","",C311*7/B311)</f>
        <v/>
      </c>
    </row>
    <row r="312">
      <c r="A312" s="3" t="n">
        <v>40529</v>
      </c>
      <c r="B312" t="n">
        <v>217173</v>
      </c>
      <c r="C312" t="n">
        <v>168</v>
      </c>
      <c r="D312" t="n">
        <v>2219</v>
      </c>
      <c r="E312" t="n">
        <v>33</v>
      </c>
      <c r="F312">
        <f>IF(C312="","",C312*7/B312)</f>
        <v/>
      </c>
    </row>
    <row r="313">
      <c r="A313" s="3" t="n">
        <v>40536</v>
      </c>
      <c r="B313" t="n">
        <v>214857</v>
      </c>
      <c r="C313" t="n">
        <v>168</v>
      </c>
      <c r="D313" t="n">
        <v>2219</v>
      </c>
      <c r="E313" t="n">
        <v>33</v>
      </c>
      <c r="F313">
        <f>IF(C313="","",C313*7/B313)</f>
        <v/>
      </c>
    </row>
    <row r="314">
      <c r="A314" s="3" t="n">
        <v>40543</v>
      </c>
      <c r="B314" t="n">
        <v>218146</v>
      </c>
      <c r="C314" t="n">
        <v>168</v>
      </c>
      <c r="D314" t="n">
        <v>2219</v>
      </c>
      <c r="E314" t="n">
        <v>33</v>
      </c>
      <c r="F314">
        <f>IF(C314="","",C314*7/B314)</f>
        <v/>
      </c>
    </row>
    <row r="315">
      <c r="A315" s="3" t="n">
        <v>40550</v>
      </c>
      <c r="B315" t="n">
        <v>223227</v>
      </c>
      <c r="C315" t="n">
        <v>168</v>
      </c>
      <c r="D315" t="n">
        <v>2219</v>
      </c>
      <c r="E315" t="n">
        <v>33</v>
      </c>
      <c r="F315">
        <f>IF(C315="","",C315*7/B315)</f>
        <v/>
      </c>
    </row>
    <row r="316">
      <c r="A316" s="3" t="n">
        <v>40557</v>
      </c>
      <c r="B316" t="n">
        <v>227670</v>
      </c>
      <c r="C316" t="n">
        <v>199</v>
      </c>
      <c r="D316" t="n">
        <v>2208</v>
      </c>
      <c r="E316" t="n">
        <v>33</v>
      </c>
      <c r="F316">
        <f>IF(C316="","",C316*7/B316)</f>
        <v/>
      </c>
    </row>
    <row r="317">
      <c r="A317" s="3" t="n">
        <v>40564</v>
      </c>
      <c r="B317" t="n">
        <v>230074</v>
      </c>
      <c r="C317" t="n">
        <v>199</v>
      </c>
      <c r="D317" t="n">
        <v>2208</v>
      </c>
      <c r="E317" t="n">
        <v>33</v>
      </c>
      <c r="F317">
        <f>IF(C317="","",C317*7/B317)</f>
        <v/>
      </c>
    </row>
    <row r="318">
      <c r="A318" s="3" t="n">
        <v>40571</v>
      </c>
      <c r="B318" t="n">
        <v>236228</v>
      </c>
      <c r="C318" t="n">
        <v>199</v>
      </c>
      <c r="D318" t="n">
        <v>2208</v>
      </c>
      <c r="E318" t="n">
        <v>33</v>
      </c>
      <c r="F318">
        <f>IF(C318="","",C318*7/B318)</f>
        <v/>
      </c>
    </row>
    <row r="319">
      <c r="A319" s="3" t="n">
        <v>40578</v>
      </c>
      <c r="B319" t="n">
        <v>240891</v>
      </c>
      <c r="C319" t="n">
        <v>199</v>
      </c>
      <c r="D319" t="n">
        <v>2208</v>
      </c>
      <c r="E319" t="n">
        <v>33</v>
      </c>
      <c r="F319">
        <f>IF(C319="","",C319*7/B319)</f>
        <v/>
      </c>
    </row>
    <row r="320">
      <c r="A320" s="3" t="n">
        <v>40585</v>
      </c>
      <c r="B320" t="n">
        <v>241096</v>
      </c>
      <c r="C320" t="n">
        <v>223</v>
      </c>
      <c r="D320" t="n">
        <v>2135</v>
      </c>
      <c r="E320" t="n">
        <v>33</v>
      </c>
      <c r="F320">
        <f>IF(C320="","",C320*7/B320)</f>
        <v/>
      </c>
    </row>
    <row r="321">
      <c r="A321" s="3" t="n">
        <v>40592</v>
      </c>
      <c r="B321" t="n">
        <v>238298</v>
      </c>
      <c r="C321" t="n">
        <v>223</v>
      </c>
      <c r="D321" t="n">
        <v>2135</v>
      </c>
      <c r="E321" t="n">
        <v>33</v>
      </c>
      <c r="F321">
        <f>IF(C321="","",C321*7/B321)</f>
        <v/>
      </c>
    </row>
    <row r="322">
      <c r="A322" s="3" t="n">
        <v>40599</v>
      </c>
      <c r="B322" t="n">
        <v>234708</v>
      </c>
      <c r="C322" t="n">
        <v>223</v>
      </c>
      <c r="D322" t="n">
        <v>2135</v>
      </c>
      <c r="E322" t="n">
        <v>33</v>
      </c>
      <c r="F322">
        <f>IF(C322="","",C322*7/B322)</f>
        <v/>
      </c>
    </row>
    <row r="323">
      <c r="A323" s="3" t="n">
        <v>40606</v>
      </c>
      <c r="B323" t="n">
        <v>229214</v>
      </c>
      <c r="C323" t="n">
        <v>223</v>
      </c>
      <c r="D323" t="n">
        <v>2135</v>
      </c>
      <c r="E323" t="n">
        <v>33</v>
      </c>
      <c r="F323">
        <f>IF(C323="","",C323*7/B323)</f>
        <v/>
      </c>
    </row>
    <row r="324">
      <c r="A324" s="3" t="n">
        <v>40613</v>
      </c>
      <c r="B324" t="n">
        <v>225040</v>
      </c>
      <c r="C324" t="n">
        <v>282</v>
      </c>
      <c r="D324" t="n">
        <v>2293</v>
      </c>
      <c r="E324" t="n">
        <v>34</v>
      </c>
      <c r="F324">
        <f>IF(C324="","",C324*7/B324)</f>
        <v/>
      </c>
    </row>
    <row r="325">
      <c r="A325" s="3" t="n">
        <v>40620</v>
      </c>
      <c r="B325" t="n">
        <v>219720</v>
      </c>
      <c r="C325" t="n">
        <v>282</v>
      </c>
      <c r="D325" t="n">
        <v>2293</v>
      </c>
      <c r="E325" t="n">
        <v>34</v>
      </c>
      <c r="F325">
        <f>IF(C325="","",C325*7/B325)</f>
        <v/>
      </c>
    </row>
    <row r="326">
      <c r="A326" s="3" t="n">
        <v>40627</v>
      </c>
      <c r="B326" t="n">
        <v>217036</v>
      </c>
      <c r="C326" t="n">
        <v>282</v>
      </c>
      <c r="D326" t="n">
        <v>2293</v>
      </c>
      <c r="E326" t="n">
        <v>34</v>
      </c>
      <c r="F326">
        <f>IF(C326="","",C326*7/B326)</f>
        <v/>
      </c>
    </row>
    <row r="327">
      <c r="A327" s="3" t="n">
        <v>40634</v>
      </c>
      <c r="B327" t="n">
        <v>216679</v>
      </c>
      <c r="C327" t="n">
        <v>282</v>
      </c>
      <c r="D327" t="n">
        <v>2293</v>
      </c>
      <c r="E327" t="n">
        <v>34</v>
      </c>
      <c r="F327">
        <f>IF(C327="","",C327*7/B327)</f>
        <v/>
      </c>
    </row>
    <row r="328">
      <c r="A328" s="3" t="n">
        <v>40641</v>
      </c>
      <c r="B328" t="n">
        <v>209679</v>
      </c>
      <c r="C328" t="n">
        <v>282</v>
      </c>
      <c r="D328" t="n">
        <v>2293</v>
      </c>
      <c r="E328" t="n">
        <v>34</v>
      </c>
      <c r="F328">
        <f>IF(C328="","",C328*7/B328)</f>
        <v/>
      </c>
    </row>
    <row r="329">
      <c r="A329" s="3" t="n">
        <v>40648</v>
      </c>
      <c r="B329" t="n">
        <v>208096</v>
      </c>
      <c r="C329" t="n">
        <v>262</v>
      </c>
      <c r="D329" t="n">
        <v>2188</v>
      </c>
      <c r="E329" t="n">
        <v>34</v>
      </c>
      <c r="F329">
        <f>IF(C329="","",C329*7/B329)</f>
        <v/>
      </c>
    </row>
    <row r="330">
      <c r="A330" s="3" t="n">
        <v>40655</v>
      </c>
      <c r="B330" t="n">
        <v>205588</v>
      </c>
      <c r="C330" t="n">
        <v>262</v>
      </c>
      <c r="D330" t="n">
        <v>2188</v>
      </c>
      <c r="E330" t="n">
        <v>34</v>
      </c>
      <c r="F330">
        <f>IF(C330="","",C330*7/B330)</f>
        <v/>
      </c>
    </row>
    <row r="331">
      <c r="A331" s="3" t="n">
        <v>40662</v>
      </c>
      <c r="B331" t="n">
        <v>204542</v>
      </c>
      <c r="C331" t="n">
        <v>262</v>
      </c>
      <c r="D331" t="n">
        <v>2188</v>
      </c>
      <c r="E331" t="n">
        <v>34</v>
      </c>
      <c r="F331">
        <f>IF(C331="","",C331*7/B331)</f>
        <v/>
      </c>
    </row>
    <row r="332">
      <c r="A332" s="3" t="n">
        <v>40669</v>
      </c>
      <c r="B332" t="n">
        <v>205817</v>
      </c>
      <c r="C332" t="n">
        <v>262</v>
      </c>
      <c r="D332" t="n">
        <v>2188</v>
      </c>
      <c r="E332" t="n">
        <v>34</v>
      </c>
      <c r="F332">
        <f>IF(C332="","",C332*7/B332)</f>
        <v/>
      </c>
    </row>
    <row r="333">
      <c r="A333" s="3" t="n">
        <v>40676</v>
      </c>
      <c r="B333" t="n">
        <v>205936</v>
      </c>
      <c r="C333" t="n">
        <v>200</v>
      </c>
      <c r="D333" t="n">
        <v>2157</v>
      </c>
      <c r="E333" t="n">
        <v>34</v>
      </c>
      <c r="F333">
        <f>IF(C333="","",C333*7/B333)</f>
        <v/>
      </c>
    </row>
    <row r="334">
      <c r="A334" s="3" t="n">
        <v>40683</v>
      </c>
      <c r="B334" t="n">
        <v>209730</v>
      </c>
      <c r="C334" t="n">
        <v>200</v>
      </c>
      <c r="D334" t="n">
        <v>2157</v>
      </c>
      <c r="E334" t="n">
        <v>34</v>
      </c>
      <c r="F334">
        <f>IF(C334="","",C334*7/B334)</f>
        <v/>
      </c>
    </row>
    <row r="335">
      <c r="A335" s="3" t="n">
        <v>40690</v>
      </c>
      <c r="B335" t="n">
        <v>212283</v>
      </c>
      <c r="C335" t="n">
        <v>200</v>
      </c>
      <c r="D335" t="n">
        <v>2157</v>
      </c>
      <c r="E335" t="n">
        <v>34</v>
      </c>
      <c r="F335">
        <f>IF(C335="","",C335*7/B335)</f>
        <v/>
      </c>
    </row>
    <row r="336">
      <c r="A336" s="3" t="n">
        <v>40697</v>
      </c>
      <c r="B336" t="n">
        <v>214492</v>
      </c>
      <c r="C336" t="n">
        <v>200</v>
      </c>
      <c r="D336" t="n">
        <v>2157</v>
      </c>
      <c r="E336" t="n">
        <v>34</v>
      </c>
      <c r="F336">
        <f>IF(C336="","",C336*7/B336)</f>
        <v/>
      </c>
    </row>
    <row r="337">
      <c r="A337" s="3" t="n">
        <v>40704</v>
      </c>
      <c r="B337" t="n">
        <v>215065</v>
      </c>
      <c r="C337" t="n">
        <v>260</v>
      </c>
      <c r="D337" t="n">
        <v>2418</v>
      </c>
      <c r="E337" t="n">
        <v>35</v>
      </c>
      <c r="F337">
        <f>IF(C337="","",C337*7/B337)</f>
        <v/>
      </c>
    </row>
    <row r="338">
      <c r="A338" s="3" t="n">
        <v>40711</v>
      </c>
      <c r="B338" t="n">
        <v>214601</v>
      </c>
      <c r="C338" t="n">
        <v>260</v>
      </c>
      <c r="D338" t="n">
        <v>2418</v>
      </c>
      <c r="E338" t="n">
        <v>35</v>
      </c>
      <c r="F338">
        <f>IF(C338="","",C338*7/B338)</f>
        <v/>
      </c>
    </row>
    <row r="339">
      <c r="A339" s="3" t="n">
        <v>40718</v>
      </c>
      <c r="B339" t="n">
        <v>213173</v>
      </c>
      <c r="C339" t="n">
        <v>260</v>
      </c>
      <c r="D339" t="n">
        <v>2418</v>
      </c>
      <c r="E339" t="n">
        <v>35</v>
      </c>
      <c r="F339">
        <f>IF(C339="","",C339*7/B339)</f>
        <v/>
      </c>
    </row>
    <row r="340">
      <c r="A340" s="3" t="n">
        <v>40725</v>
      </c>
      <c r="B340" t="n">
        <v>212539</v>
      </c>
      <c r="C340" t="n">
        <v>260</v>
      </c>
      <c r="D340" t="n">
        <v>2418</v>
      </c>
      <c r="E340" t="n">
        <v>35</v>
      </c>
      <c r="F340">
        <f>IF(C340="","",C340*7/B340)</f>
        <v/>
      </c>
    </row>
    <row r="341">
      <c r="A341" s="3" t="n">
        <v>40732</v>
      </c>
      <c r="B341" t="n">
        <v>211699</v>
      </c>
      <c r="C341" t="n">
        <v>260</v>
      </c>
      <c r="D341" t="n">
        <v>2418</v>
      </c>
      <c r="E341" t="n">
        <v>35</v>
      </c>
      <c r="F341">
        <f>IF(C341="","",C341*7/B341)</f>
        <v/>
      </c>
    </row>
    <row r="342">
      <c r="A342" s="3" t="n">
        <v>40739</v>
      </c>
      <c r="B342" t="n">
        <v>212456</v>
      </c>
      <c r="C342" t="n">
        <v>255</v>
      </c>
      <c r="D342" t="n">
        <v>2274</v>
      </c>
      <c r="E342" t="n">
        <v>35</v>
      </c>
      <c r="F342">
        <f>IF(C342="","",C342*7/B342)</f>
        <v/>
      </c>
    </row>
    <row r="343">
      <c r="A343" s="3" t="n">
        <v>40746</v>
      </c>
      <c r="B343" t="n">
        <v>213478</v>
      </c>
      <c r="C343" t="n">
        <v>255</v>
      </c>
      <c r="D343" t="n">
        <v>2274</v>
      </c>
      <c r="E343" t="n">
        <v>35</v>
      </c>
      <c r="F343">
        <f>IF(C343="","",C343*7/B343)</f>
        <v/>
      </c>
    </row>
    <row r="344">
      <c r="A344" s="3" t="n">
        <v>40753</v>
      </c>
      <c r="B344" t="n">
        <v>215179</v>
      </c>
      <c r="C344" t="n">
        <v>255</v>
      </c>
      <c r="D344" t="n">
        <v>2274</v>
      </c>
      <c r="E344" t="n">
        <v>35</v>
      </c>
      <c r="F344">
        <f>IF(C344="","",C344*7/B344)</f>
        <v/>
      </c>
    </row>
    <row r="345">
      <c r="A345" s="3" t="n">
        <v>40760</v>
      </c>
      <c r="B345" t="n">
        <v>213591</v>
      </c>
      <c r="C345" t="n">
        <v>255</v>
      </c>
      <c r="D345" t="n">
        <v>2274</v>
      </c>
      <c r="E345" t="n">
        <v>35</v>
      </c>
      <c r="F345">
        <f>IF(C345="","",C345*7/B345)</f>
        <v/>
      </c>
    </row>
    <row r="346">
      <c r="A346" s="3" t="n">
        <v>40767</v>
      </c>
      <c r="B346" t="n">
        <v>210081</v>
      </c>
      <c r="C346" t="n">
        <v>395</v>
      </c>
      <c r="D346" t="n">
        <v>2381</v>
      </c>
      <c r="E346" t="n">
        <v>35</v>
      </c>
      <c r="F346">
        <f>IF(C346="","",C346*7/B346)</f>
        <v/>
      </c>
    </row>
    <row r="347">
      <c r="A347" s="3" t="n">
        <v>40774</v>
      </c>
      <c r="B347" t="n">
        <v>211436</v>
      </c>
      <c r="C347" t="n">
        <v>395</v>
      </c>
      <c r="D347" t="n">
        <v>2381</v>
      </c>
      <c r="E347" t="n">
        <v>35</v>
      </c>
      <c r="F347">
        <f>IF(C347="","",C347*7/B347)</f>
        <v/>
      </c>
    </row>
    <row r="348">
      <c r="A348" s="3" t="n">
        <v>40781</v>
      </c>
      <c r="B348" t="n">
        <v>208641</v>
      </c>
      <c r="C348" t="n">
        <v>395</v>
      </c>
      <c r="D348" t="n">
        <v>2381</v>
      </c>
      <c r="E348" t="n">
        <v>35</v>
      </c>
      <c r="F348">
        <f>IF(C348="","",C348*7/B348)</f>
        <v/>
      </c>
    </row>
    <row r="349">
      <c r="A349" s="3" t="n">
        <v>40788</v>
      </c>
      <c r="B349" t="n">
        <v>208840</v>
      </c>
      <c r="C349" t="n">
        <v>395</v>
      </c>
      <c r="D349" t="n">
        <v>2381</v>
      </c>
      <c r="E349" t="n">
        <v>35</v>
      </c>
      <c r="F349">
        <f>IF(C349="","",C349*7/B349)</f>
        <v/>
      </c>
    </row>
    <row r="350">
      <c r="A350" s="3" t="n">
        <v>40795</v>
      </c>
      <c r="B350" t="n">
        <v>210780</v>
      </c>
      <c r="C350" t="n">
        <v>395</v>
      </c>
      <c r="D350" t="n">
        <v>2381</v>
      </c>
      <c r="E350" t="n">
        <v>35</v>
      </c>
      <c r="F350">
        <f>IF(C350="","",C350*7/B350)</f>
        <v/>
      </c>
    </row>
    <row r="351">
      <c r="A351" s="3" t="n">
        <v>40802</v>
      </c>
      <c r="B351" t="n">
        <v>214075</v>
      </c>
      <c r="C351" t="n">
        <v>336</v>
      </c>
      <c r="D351" t="n">
        <v>2479</v>
      </c>
      <c r="E351" t="n">
        <v>36</v>
      </c>
      <c r="F351">
        <f>IF(C351="","",C351*7/B351)</f>
        <v/>
      </c>
    </row>
    <row r="352">
      <c r="A352" s="3" t="n">
        <v>40809</v>
      </c>
      <c r="B352" t="n">
        <v>214866</v>
      </c>
      <c r="C352" t="n">
        <v>336</v>
      </c>
      <c r="D352" t="n">
        <v>2479</v>
      </c>
      <c r="E352" t="n">
        <v>36</v>
      </c>
      <c r="F352">
        <f>IF(C352="","",C352*7/B352)</f>
        <v/>
      </c>
    </row>
    <row r="353">
      <c r="A353" s="3" t="n">
        <v>40816</v>
      </c>
      <c r="B353" t="n">
        <v>213729</v>
      </c>
      <c r="C353" t="n">
        <v>336</v>
      </c>
      <c r="D353" t="n">
        <v>2479</v>
      </c>
      <c r="E353" t="n">
        <v>36</v>
      </c>
      <c r="F353">
        <f>IF(C353="","",C353*7/B353)</f>
        <v/>
      </c>
    </row>
    <row r="354">
      <c r="A354" s="3" t="n">
        <v>40823</v>
      </c>
      <c r="B354" t="n">
        <v>209595</v>
      </c>
      <c r="C354" t="n">
        <v>336</v>
      </c>
      <c r="D354" t="n">
        <v>2479</v>
      </c>
      <c r="E354" t="n">
        <v>36</v>
      </c>
      <c r="F354">
        <f>IF(C354="","",C354*7/B354)</f>
        <v/>
      </c>
    </row>
    <row r="355">
      <c r="A355" s="3" t="n">
        <v>40830</v>
      </c>
      <c r="B355" t="n">
        <v>206271</v>
      </c>
      <c r="C355" t="n">
        <v>536</v>
      </c>
      <c r="D355" t="n">
        <v>2741</v>
      </c>
      <c r="E355" t="n">
        <v>36</v>
      </c>
      <c r="F355">
        <f>IF(C355="","",C355*7/B355)</f>
        <v/>
      </c>
    </row>
    <row r="356">
      <c r="A356" s="3" t="n">
        <v>40837</v>
      </c>
      <c r="B356" t="n">
        <v>204918</v>
      </c>
      <c r="C356" t="n">
        <v>536</v>
      </c>
      <c r="D356" t="n">
        <v>2741</v>
      </c>
      <c r="E356" t="n">
        <v>36</v>
      </c>
      <c r="F356">
        <f>IF(C356="","",C356*7/B356)</f>
        <v/>
      </c>
    </row>
    <row r="357">
      <c r="A357" s="3" t="n">
        <v>40844</v>
      </c>
      <c r="B357" t="n">
        <v>206274</v>
      </c>
      <c r="C357" t="n">
        <v>536</v>
      </c>
      <c r="D357" t="n">
        <v>2741</v>
      </c>
      <c r="E357" t="n">
        <v>36</v>
      </c>
      <c r="F357">
        <f>IF(C357="","",C357*7/B357)</f>
        <v/>
      </c>
    </row>
    <row r="358">
      <c r="A358" s="3" t="n">
        <v>40851</v>
      </c>
      <c r="B358" t="n">
        <v>204167</v>
      </c>
      <c r="C358" t="n">
        <v>536</v>
      </c>
      <c r="D358" t="n">
        <v>2741</v>
      </c>
      <c r="E358" t="n">
        <v>36</v>
      </c>
      <c r="F358">
        <f>IF(C358="","",C358*7/B358)</f>
        <v/>
      </c>
    </row>
    <row r="359">
      <c r="A359" s="3" t="n">
        <v>40858</v>
      </c>
      <c r="B359" t="n">
        <v>205159</v>
      </c>
      <c r="C359" t="n">
        <v>529</v>
      </c>
      <c r="D359" t="n">
        <v>2757</v>
      </c>
      <c r="E359" t="n">
        <v>36</v>
      </c>
      <c r="F359">
        <f>IF(C359="","",C359*7/B359)</f>
        <v/>
      </c>
    </row>
    <row r="360">
      <c r="A360" s="3" t="n">
        <v>40865</v>
      </c>
      <c r="B360" t="n">
        <v>209634</v>
      </c>
      <c r="C360" t="n">
        <v>529</v>
      </c>
      <c r="D360" t="n">
        <v>2858</v>
      </c>
      <c r="E360" t="n">
        <v>36</v>
      </c>
      <c r="F360">
        <f>IF(C360="","",C360*7/B360)</f>
        <v/>
      </c>
    </row>
    <row r="361">
      <c r="A361" s="3" t="n">
        <v>40872</v>
      </c>
      <c r="B361" t="n">
        <v>209847</v>
      </c>
      <c r="C361" t="n">
        <v>529</v>
      </c>
      <c r="D361" t="n">
        <v>2858</v>
      </c>
      <c r="E361" t="n">
        <v>36</v>
      </c>
      <c r="F361">
        <f>IF(C361="","",C361*7/B361)</f>
        <v/>
      </c>
    </row>
    <row r="362">
      <c r="A362" s="3" t="n">
        <v>40879</v>
      </c>
      <c r="B362" t="n">
        <v>214994</v>
      </c>
      <c r="C362" t="n">
        <v>529</v>
      </c>
      <c r="D362" t="n">
        <v>2858</v>
      </c>
      <c r="E362" t="n">
        <v>36</v>
      </c>
      <c r="F362">
        <f>IF(C362="","",C362*7/B362)</f>
        <v/>
      </c>
    </row>
    <row r="363">
      <c r="A363" s="3" t="n">
        <v>40886</v>
      </c>
      <c r="B363" t="n">
        <v>218818</v>
      </c>
      <c r="C363" t="n">
        <v>523</v>
      </c>
      <c r="D363" t="n">
        <v>2844</v>
      </c>
      <c r="E363" t="n">
        <v>36</v>
      </c>
      <c r="F363">
        <f>IF(C363="","",C363*7/B363)</f>
        <v/>
      </c>
    </row>
    <row r="364">
      <c r="A364" s="3" t="n">
        <v>40893</v>
      </c>
      <c r="B364" t="n">
        <v>218406</v>
      </c>
      <c r="C364" t="n">
        <v>523</v>
      </c>
      <c r="D364" t="n">
        <v>2844</v>
      </c>
      <c r="E364" t="n">
        <v>36</v>
      </c>
      <c r="F364">
        <f>IF(C364="","",C364*7/B364)</f>
        <v/>
      </c>
    </row>
    <row r="365">
      <c r="A365" s="3" t="n">
        <v>40900</v>
      </c>
      <c r="B365" t="n">
        <v>217714</v>
      </c>
      <c r="C365" t="n">
        <v>523</v>
      </c>
      <c r="D365" t="n">
        <v>2844</v>
      </c>
      <c r="E365" t="n">
        <v>36</v>
      </c>
      <c r="F365">
        <f>IF(C365="","",C365*7/B365)</f>
        <v/>
      </c>
    </row>
    <row r="366">
      <c r="A366" s="3" t="n">
        <v>40907</v>
      </c>
      <c r="B366" t="n">
        <v>220193</v>
      </c>
      <c r="C366" t="n">
        <v>523</v>
      </c>
      <c r="D366" t="n">
        <v>2844</v>
      </c>
      <c r="E366" t="n">
        <v>36</v>
      </c>
      <c r="F366">
        <f>IF(C366="","",C366*7/B366)</f>
        <v/>
      </c>
    </row>
    <row r="367">
      <c r="A367" s="3" t="n">
        <v>40914</v>
      </c>
      <c r="B367" t="n">
        <v>223803</v>
      </c>
      <c r="C367" t="n">
        <v>523</v>
      </c>
      <c r="D367" t="n">
        <v>2844</v>
      </c>
      <c r="E367" t="n">
        <v>36</v>
      </c>
      <c r="F367">
        <f>IF(C367="","",C367*7/B367)</f>
        <v/>
      </c>
    </row>
    <row r="368">
      <c r="A368" s="3" t="n">
        <v>40921</v>
      </c>
      <c r="B368" t="n">
        <v>227520</v>
      </c>
      <c r="C368" t="n">
        <v>626</v>
      </c>
      <c r="D368" t="n">
        <v>2884</v>
      </c>
      <c r="E368" t="n">
        <v>37</v>
      </c>
      <c r="F368">
        <f>IF(C368="","",C368*7/B368)</f>
        <v/>
      </c>
    </row>
    <row r="369">
      <c r="A369" s="3" t="n">
        <v>40928</v>
      </c>
      <c r="B369" t="n">
        <v>227130</v>
      </c>
      <c r="C369" t="n">
        <v>626</v>
      </c>
      <c r="D369" t="n">
        <v>2884</v>
      </c>
      <c r="E369" t="n">
        <v>37</v>
      </c>
      <c r="F369">
        <f>IF(C369="","",C369*7/B369)</f>
        <v/>
      </c>
    </row>
    <row r="370">
      <c r="A370" s="3" t="n">
        <v>40935</v>
      </c>
      <c r="B370" t="n">
        <v>230147</v>
      </c>
      <c r="C370" t="n">
        <v>626</v>
      </c>
      <c r="D370" t="n">
        <v>2884</v>
      </c>
      <c r="E370" t="n">
        <v>37</v>
      </c>
      <c r="F370">
        <f>IF(C370="","",C370*7/B370)</f>
        <v/>
      </c>
    </row>
    <row r="371">
      <c r="A371" s="3" t="n">
        <v>40942</v>
      </c>
      <c r="B371" t="n">
        <v>231776</v>
      </c>
      <c r="C371" t="n">
        <v>626</v>
      </c>
      <c r="D371" t="n">
        <v>2884</v>
      </c>
      <c r="E371" t="n">
        <v>37</v>
      </c>
      <c r="F371">
        <f>IF(C371="","",C371*7/B371)</f>
        <v/>
      </c>
    </row>
    <row r="372">
      <c r="A372" s="3" t="n">
        <v>40949</v>
      </c>
      <c r="B372" t="n">
        <v>232176</v>
      </c>
      <c r="C372" t="n">
        <v>556</v>
      </c>
      <c r="D372" t="n">
        <v>3059</v>
      </c>
      <c r="E372" t="n">
        <v>37</v>
      </c>
      <c r="F372">
        <f>IF(C372="","",C372*7/B372)</f>
        <v/>
      </c>
    </row>
    <row r="373">
      <c r="A373" s="3" t="n">
        <v>40956</v>
      </c>
      <c r="B373" t="n">
        <v>231527</v>
      </c>
      <c r="C373" t="n">
        <v>616</v>
      </c>
      <c r="D373" t="n">
        <v>3119</v>
      </c>
      <c r="E373" t="n">
        <v>37</v>
      </c>
      <c r="F373">
        <f>IF(C373="","",C373*7/B373)</f>
        <v/>
      </c>
    </row>
    <row r="374">
      <c r="A374" s="3" t="n">
        <v>40963</v>
      </c>
      <c r="B374" t="n">
        <v>229927</v>
      </c>
      <c r="C374" t="n">
        <v>616</v>
      </c>
      <c r="D374" t="n">
        <v>3119</v>
      </c>
      <c r="E374" t="n">
        <v>37</v>
      </c>
      <c r="F374">
        <f>IF(C374="","",C374*7/B374)</f>
        <v/>
      </c>
    </row>
    <row r="375">
      <c r="A375" s="3" t="n">
        <v>40970</v>
      </c>
      <c r="B375" t="n">
        <v>229531</v>
      </c>
      <c r="C375" t="n">
        <v>616</v>
      </c>
      <c r="D375" t="n">
        <v>3119</v>
      </c>
      <c r="E375" t="n">
        <v>37</v>
      </c>
      <c r="F375">
        <f>IF(C375="","",C375*7/B375)</f>
        <v/>
      </c>
    </row>
    <row r="376">
      <c r="A376" s="3" t="n">
        <v>40977</v>
      </c>
      <c r="B376" t="n">
        <v>228121</v>
      </c>
      <c r="C376" t="n">
        <v>616</v>
      </c>
      <c r="D376" t="n">
        <v>3119</v>
      </c>
      <c r="E376" t="n">
        <v>37</v>
      </c>
      <c r="F376">
        <f>IF(C376="","",C376*7/B376)</f>
        <v/>
      </c>
    </row>
    <row r="377">
      <c r="A377" s="3" t="n">
        <v>40984</v>
      </c>
      <c r="B377" t="n">
        <v>226907</v>
      </c>
      <c r="C377" t="n">
        <v>380</v>
      </c>
      <c r="D377" t="n">
        <v>2696</v>
      </c>
      <c r="E377" t="n">
        <v>38</v>
      </c>
      <c r="F377">
        <f>IF(C377="","",C377*7/B377)</f>
        <v/>
      </c>
    </row>
    <row r="378">
      <c r="A378" s="3" t="n">
        <v>40991</v>
      </c>
      <c r="B378" t="n">
        <v>223370</v>
      </c>
      <c r="C378" t="n">
        <v>380</v>
      </c>
      <c r="D378" t="n">
        <v>2696</v>
      </c>
      <c r="E378" t="n">
        <v>38</v>
      </c>
      <c r="F378">
        <f>IF(C378="","",C378*7/B378)</f>
        <v/>
      </c>
    </row>
    <row r="379">
      <c r="A379" s="3" t="n">
        <v>40998</v>
      </c>
      <c r="B379" t="n">
        <v>221913</v>
      </c>
      <c r="C379" t="n">
        <v>380</v>
      </c>
      <c r="D379" t="n">
        <v>2696</v>
      </c>
      <c r="E379" t="n">
        <v>38</v>
      </c>
      <c r="F379">
        <f>IF(C379="","",C379*7/B379)</f>
        <v/>
      </c>
    </row>
    <row r="380">
      <c r="A380" s="3" t="n">
        <v>41005</v>
      </c>
      <c r="B380" t="n">
        <v>217636</v>
      </c>
      <c r="C380" t="n">
        <v>380</v>
      </c>
      <c r="D380" t="n">
        <v>2696</v>
      </c>
      <c r="E380" t="n">
        <v>38</v>
      </c>
      <c r="F380">
        <f>IF(C380="","",C380*7/B380)</f>
        <v/>
      </c>
    </row>
    <row r="381">
      <c r="A381" s="3" t="n">
        <v>41012</v>
      </c>
      <c r="B381" t="n">
        <v>213965</v>
      </c>
      <c r="C381" t="n">
        <v>412</v>
      </c>
      <c r="D381" t="n">
        <v>2687</v>
      </c>
      <c r="E381" t="n">
        <v>39</v>
      </c>
      <c r="F381">
        <f>IF(C381="","",C381*7/B381)</f>
        <v/>
      </c>
    </row>
    <row r="382">
      <c r="A382" s="3" t="n">
        <v>41019</v>
      </c>
      <c r="B382" t="n">
        <v>211730</v>
      </c>
      <c r="C382" t="n">
        <v>412</v>
      </c>
      <c r="D382" t="n">
        <v>2687</v>
      </c>
      <c r="E382" t="n">
        <v>39</v>
      </c>
      <c r="F382">
        <f>IF(C382="","",C382*7/B382)</f>
        <v/>
      </c>
    </row>
    <row r="383">
      <c r="A383" s="3" t="n">
        <v>41026</v>
      </c>
      <c r="B383" t="n">
        <v>209721</v>
      </c>
      <c r="C383" t="n">
        <v>412</v>
      </c>
      <c r="D383" t="n">
        <v>2687</v>
      </c>
      <c r="E383" t="n">
        <v>39</v>
      </c>
      <c r="F383">
        <f>IF(C383="","",C383*7/B383)</f>
        <v/>
      </c>
    </row>
    <row r="384">
      <c r="A384" s="3" t="n">
        <v>41033</v>
      </c>
      <c r="B384" t="n">
        <v>207108</v>
      </c>
      <c r="C384" t="n">
        <v>412</v>
      </c>
      <c r="D384" t="n">
        <v>2687</v>
      </c>
      <c r="E384" t="n">
        <v>39</v>
      </c>
      <c r="F384">
        <f>IF(C384="","",C384*7/B384)</f>
        <v/>
      </c>
    </row>
    <row r="385">
      <c r="A385" s="3" t="n">
        <v>41040</v>
      </c>
      <c r="B385" t="n">
        <v>204311</v>
      </c>
      <c r="C385" t="n">
        <v>411</v>
      </c>
      <c r="D385" t="n">
        <v>2852</v>
      </c>
      <c r="E385" t="n">
        <v>39</v>
      </c>
      <c r="F385">
        <f>IF(C385="","",C385*7/B385)</f>
        <v/>
      </c>
    </row>
    <row r="386">
      <c r="A386" s="3" t="n">
        <v>41047</v>
      </c>
      <c r="B386" t="n">
        <v>201012</v>
      </c>
      <c r="C386" t="n">
        <v>411</v>
      </c>
      <c r="D386" t="n">
        <v>2852</v>
      </c>
      <c r="E386" t="n">
        <v>39</v>
      </c>
      <c r="F386">
        <f>IF(C386="","",C386*7/B386)</f>
        <v/>
      </c>
    </row>
    <row r="387">
      <c r="A387" s="3" t="n">
        <v>41054</v>
      </c>
      <c r="B387" t="n">
        <v>200179</v>
      </c>
      <c r="C387" t="n">
        <v>411</v>
      </c>
      <c r="D387" t="n">
        <v>2852</v>
      </c>
      <c r="E387" t="n">
        <v>39</v>
      </c>
      <c r="F387">
        <f>IF(C387="","",C387*7/B387)</f>
        <v/>
      </c>
    </row>
    <row r="388">
      <c r="A388" s="3" t="n">
        <v>41061</v>
      </c>
      <c r="B388" t="n">
        <v>203525</v>
      </c>
      <c r="C388" t="n">
        <v>411</v>
      </c>
      <c r="D388" t="n">
        <v>2852</v>
      </c>
      <c r="E388" t="n">
        <v>39</v>
      </c>
      <c r="F388">
        <f>IF(C388="","",C388*7/B388)</f>
        <v/>
      </c>
    </row>
    <row r="389">
      <c r="A389" s="3" t="n">
        <v>41068</v>
      </c>
      <c r="B389" t="n">
        <v>201801</v>
      </c>
      <c r="C389" t="n">
        <v>378</v>
      </c>
      <c r="D389" t="n">
        <v>2896</v>
      </c>
      <c r="E389" t="n">
        <v>39</v>
      </c>
      <c r="F389">
        <f>IF(C389="","",C389*7/B389)</f>
        <v/>
      </c>
    </row>
    <row r="390">
      <c r="A390" s="3" t="n">
        <v>41075</v>
      </c>
      <c r="B390" t="n">
        <v>202744</v>
      </c>
      <c r="C390" t="n">
        <v>378</v>
      </c>
      <c r="D390" t="n">
        <v>2896</v>
      </c>
      <c r="E390" t="n">
        <v>39</v>
      </c>
      <c r="F390">
        <f>IF(C390="","",C390*7/B390)</f>
        <v/>
      </c>
    </row>
    <row r="391">
      <c r="A391" s="3" t="n">
        <v>41082</v>
      </c>
      <c r="B391" t="n">
        <v>204822</v>
      </c>
      <c r="C391" t="n">
        <v>378</v>
      </c>
      <c r="D391" t="n">
        <v>2896</v>
      </c>
      <c r="E391" t="n">
        <v>39</v>
      </c>
      <c r="F391">
        <f>IF(C391="","",C391*7/B391)</f>
        <v/>
      </c>
    </row>
    <row r="392">
      <c r="A392" s="3" t="n">
        <v>41089</v>
      </c>
      <c r="B392" t="n">
        <v>204973</v>
      </c>
      <c r="C392" t="n">
        <v>404</v>
      </c>
      <c r="D392" t="n">
        <v>2896</v>
      </c>
      <c r="E392" t="n">
        <v>39</v>
      </c>
      <c r="F392">
        <f>IF(C392="","",C392*7/B392)</f>
        <v/>
      </c>
    </row>
    <row r="393">
      <c r="A393" s="3" t="n">
        <v>41096</v>
      </c>
      <c r="B393" t="n">
        <v>207725</v>
      </c>
      <c r="C393" t="n">
        <v>404</v>
      </c>
      <c r="D393" t="n">
        <v>2896</v>
      </c>
      <c r="E393" t="n">
        <v>39</v>
      </c>
      <c r="F393">
        <f>IF(C393="","",C393*7/B393)</f>
        <v/>
      </c>
    </row>
    <row r="394">
      <c r="A394" s="3" t="n">
        <v>41103</v>
      </c>
      <c r="B394" t="n">
        <v>205910</v>
      </c>
      <c r="C394" t="n">
        <v>404</v>
      </c>
      <c r="D394" t="n">
        <v>2896</v>
      </c>
      <c r="E394" t="n">
        <v>39</v>
      </c>
      <c r="F394">
        <f>IF(C394="","",C394*7/B394)</f>
        <v/>
      </c>
    </row>
    <row r="395">
      <c r="A395" s="3" t="n">
        <v>41110</v>
      </c>
      <c r="B395" t="n">
        <v>210044</v>
      </c>
      <c r="C395" t="n">
        <v>343</v>
      </c>
      <c r="D395" t="n">
        <v>2806</v>
      </c>
      <c r="E395" t="n">
        <v>40</v>
      </c>
      <c r="F395">
        <f>IF(C395="","",C395*7/B395)</f>
        <v/>
      </c>
    </row>
    <row r="396">
      <c r="A396" s="3" t="n">
        <v>41117</v>
      </c>
      <c r="B396" t="n">
        <v>207870</v>
      </c>
      <c r="C396" t="n">
        <v>343</v>
      </c>
      <c r="D396" t="n">
        <v>2806</v>
      </c>
      <c r="E396" t="n">
        <v>40</v>
      </c>
      <c r="F396">
        <f>IF(C396="","",C396*7/B396)</f>
        <v/>
      </c>
    </row>
    <row r="397">
      <c r="A397" s="3" t="n">
        <v>41124</v>
      </c>
      <c r="B397" t="n">
        <v>206069</v>
      </c>
      <c r="C397" t="n">
        <v>343</v>
      </c>
      <c r="D397" t="n">
        <v>2806</v>
      </c>
      <c r="E397" t="n">
        <v>40</v>
      </c>
      <c r="F397">
        <f>IF(C397="","",C397*7/B397)</f>
        <v/>
      </c>
    </row>
    <row r="398">
      <c r="A398" s="3" t="n">
        <v>41131</v>
      </c>
      <c r="B398" t="n">
        <v>203698</v>
      </c>
      <c r="C398" t="n">
        <v>329</v>
      </c>
      <c r="D398" t="n">
        <v>2826</v>
      </c>
      <c r="E398" t="n">
        <v>40</v>
      </c>
      <c r="F398">
        <f>IF(C398="","",C398*7/B398)</f>
        <v/>
      </c>
    </row>
    <row r="399">
      <c r="A399" s="3" t="n">
        <v>41138</v>
      </c>
      <c r="B399" t="n">
        <v>202736</v>
      </c>
      <c r="C399" t="n">
        <v>329</v>
      </c>
      <c r="D399" t="n">
        <v>2826</v>
      </c>
      <c r="E399" t="n">
        <v>40</v>
      </c>
      <c r="F399">
        <f>IF(C399="","",C399*7/B399)</f>
        <v/>
      </c>
    </row>
    <row r="400">
      <c r="A400" s="3" t="n">
        <v>41145</v>
      </c>
      <c r="B400" t="n">
        <v>201227</v>
      </c>
      <c r="C400" t="n">
        <v>329</v>
      </c>
      <c r="D400" t="n">
        <v>2826</v>
      </c>
      <c r="E400" t="n">
        <v>40</v>
      </c>
      <c r="F400">
        <f>IF(C400="","",C400*7/B400)</f>
        <v/>
      </c>
    </row>
    <row r="401">
      <c r="A401" s="3" t="n">
        <v>41152</v>
      </c>
      <c r="B401" t="n">
        <v>198893</v>
      </c>
      <c r="C401" t="n">
        <v>329</v>
      </c>
      <c r="D401" t="n">
        <v>2826</v>
      </c>
      <c r="E401" t="n">
        <v>40</v>
      </c>
      <c r="F401">
        <f>IF(C401="","",C401*7/B401)</f>
        <v/>
      </c>
    </row>
    <row r="402">
      <c r="A402" s="3" t="n">
        <v>41159</v>
      </c>
      <c r="B402" t="n">
        <v>197716</v>
      </c>
      <c r="C402" t="n">
        <v>329</v>
      </c>
      <c r="D402" t="n">
        <v>2826</v>
      </c>
      <c r="E402" t="n">
        <v>40</v>
      </c>
      <c r="F402">
        <f>IF(C402="","",C402*7/B402)</f>
        <v/>
      </c>
    </row>
    <row r="403">
      <c r="A403" s="3" t="n">
        <v>41166</v>
      </c>
      <c r="B403" t="n">
        <v>196309</v>
      </c>
      <c r="C403" t="n">
        <v>374</v>
      </c>
      <c r="D403" t="n">
        <v>2872</v>
      </c>
      <c r="E403" t="n">
        <v>41</v>
      </c>
      <c r="F403">
        <f>IF(C403="","",C403*7/B403)</f>
        <v/>
      </c>
    </row>
    <row r="404">
      <c r="A404" s="3" t="n">
        <v>41173</v>
      </c>
      <c r="B404" t="n">
        <v>195828</v>
      </c>
      <c r="C404" t="n">
        <v>374</v>
      </c>
      <c r="D404" t="n">
        <v>2872</v>
      </c>
      <c r="E404" t="n">
        <v>41</v>
      </c>
      <c r="F404">
        <f>IF(C404="","",C404*7/B404)</f>
        <v/>
      </c>
    </row>
    <row r="405">
      <c r="A405" s="3" t="n">
        <v>41180</v>
      </c>
      <c r="B405" t="n">
        <v>195942</v>
      </c>
      <c r="C405" t="n">
        <v>374</v>
      </c>
      <c r="D405" t="n">
        <v>2872</v>
      </c>
      <c r="E405" t="n">
        <v>41</v>
      </c>
      <c r="F405">
        <f>IF(C405="","",C405*7/B405)</f>
        <v/>
      </c>
    </row>
    <row r="406">
      <c r="A406" s="3" t="n">
        <v>41187</v>
      </c>
      <c r="B406" t="n">
        <v>195408</v>
      </c>
      <c r="C406" t="n">
        <v>374</v>
      </c>
      <c r="D406" t="n">
        <v>2872</v>
      </c>
      <c r="E406" t="n">
        <v>41</v>
      </c>
      <c r="F406">
        <f>IF(C406="","",C406*7/B406)</f>
        <v/>
      </c>
    </row>
    <row r="407">
      <c r="A407" s="3" t="n">
        <v>41194</v>
      </c>
      <c r="B407" t="n">
        <v>197128</v>
      </c>
      <c r="C407" t="n">
        <v>324</v>
      </c>
      <c r="D407" t="n">
        <v>2737</v>
      </c>
      <c r="E407" t="n">
        <v>41</v>
      </c>
      <c r="F407">
        <f>IF(C407="","",C407*7/B407)</f>
        <v/>
      </c>
    </row>
    <row r="408">
      <c r="A408" s="3" t="n">
        <v>41201</v>
      </c>
      <c r="B408" t="n">
        <v>198567</v>
      </c>
      <c r="C408" t="n">
        <v>324</v>
      </c>
      <c r="D408" t="n">
        <v>2737</v>
      </c>
      <c r="E408" t="n">
        <v>41</v>
      </c>
      <c r="F408">
        <f>IF(C408="","",C408*7/B408)</f>
        <v/>
      </c>
    </row>
    <row r="409">
      <c r="A409" s="3" t="n">
        <v>41208</v>
      </c>
      <c r="B409" t="n">
        <v>199502</v>
      </c>
      <c r="C409" t="n">
        <v>324</v>
      </c>
      <c r="D409" t="n">
        <v>2737</v>
      </c>
      <c r="E409" t="n">
        <v>41</v>
      </c>
      <c r="F409">
        <f>IF(C409="","",C409*7/B409)</f>
        <v/>
      </c>
    </row>
    <row r="410">
      <c r="A410" s="3" t="n">
        <v>41215</v>
      </c>
      <c r="B410" t="n">
        <v>202377</v>
      </c>
      <c r="C410" t="n">
        <v>324</v>
      </c>
      <c r="D410" t="n">
        <v>2737</v>
      </c>
      <c r="E410" t="n">
        <v>41</v>
      </c>
      <c r="F410">
        <f>IF(C410="","",C410*7/B410)</f>
        <v/>
      </c>
    </row>
    <row r="411">
      <c r="A411" s="3" t="n">
        <v>41222</v>
      </c>
      <c r="B411" t="n">
        <v>201937</v>
      </c>
      <c r="C411" t="n">
        <v>338</v>
      </c>
      <c r="D411" t="n">
        <v>2777</v>
      </c>
      <c r="E411" t="n">
        <v>42</v>
      </c>
      <c r="F411">
        <f>IF(C411="","",C411*7/B411)</f>
        <v/>
      </c>
    </row>
    <row r="412">
      <c r="A412" s="3" t="n">
        <v>41229</v>
      </c>
      <c r="B412" t="n">
        <v>200390</v>
      </c>
      <c r="C412" t="n">
        <v>338</v>
      </c>
      <c r="D412" t="n">
        <v>2777</v>
      </c>
      <c r="E412" t="n">
        <v>42</v>
      </c>
      <c r="F412">
        <f>IF(C412="","",C412*7/B412)</f>
        <v/>
      </c>
    </row>
    <row r="413">
      <c r="A413" s="3" t="n">
        <v>41236</v>
      </c>
      <c r="B413" t="n">
        <v>204255</v>
      </c>
      <c r="C413" t="n">
        <v>338</v>
      </c>
      <c r="D413" t="n">
        <v>2777</v>
      </c>
      <c r="E413" t="n">
        <v>42</v>
      </c>
      <c r="F413">
        <f>IF(C413="","",C413*7/B413)</f>
        <v/>
      </c>
    </row>
    <row r="414">
      <c r="A414" s="3" t="n">
        <v>41243</v>
      </c>
      <c r="B414" t="n">
        <v>212115</v>
      </c>
      <c r="C414" t="n">
        <v>338</v>
      </c>
      <c r="D414" t="n">
        <v>2777</v>
      </c>
      <c r="E414" t="n">
        <v>42</v>
      </c>
      <c r="F414">
        <f>IF(C414="","",C414*7/B414)</f>
        <v/>
      </c>
    </row>
    <row r="415">
      <c r="A415" s="3" t="n">
        <v>41250</v>
      </c>
      <c r="B415" t="n">
        <v>217115</v>
      </c>
      <c r="C415" t="n">
        <v>338</v>
      </c>
      <c r="D415" t="n">
        <v>2777</v>
      </c>
      <c r="E415" t="n">
        <v>42</v>
      </c>
      <c r="F415">
        <f>IF(C415="","",C415*7/B415)</f>
        <v/>
      </c>
    </row>
    <row r="416">
      <c r="A416" s="3" t="n">
        <v>41257</v>
      </c>
      <c r="B416" t="n">
        <v>219322</v>
      </c>
      <c r="C416" t="n">
        <v>462</v>
      </c>
      <c r="D416" t="n">
        <v>2901</v>
      </c>
      <c r="E416" t="n">
        <v>43</v>
      </c>
      <c r="F416">
        <f>IF(C416="","",C416*7/B416)</f>
        <v/>
      </c>
    </row>
    <row r="417">
      <c r="A417" s="3" t="n">
        <v>41264</v>
      </c>
      <c r="B417" t="n">
        <v>223104</v>
      </c>
      <c r="C417" t="n">
        <v>462</v>
      </c>
      <c r="D417" t="n">
        <v>2901</v>
      </c>
      <c r="E417" t="n">
        <v>43</v>
      </c>
      <c r="F417">
        <f>IF(C417="","",C417*7/B417)</f>
        <v/>
      </c>
    </row>
    <row r="418">
      <c r="A418" s="3" t="n">
        <v>41271</v>
      </c>
      <c r="B418" t="n">
        <v>225673</v>
      </c>
      <c r="C418" t="n">
        <v>462</v>
      </c>
      <c r="D418" t="n">
        <v>2901</v>
      </c>
      <c r="E418" t="n">
        <v>43</v>
      </c>
      <c r="F418">
        <f>IF(C418="","",C418*7/B418)</f>
        <v/>
      </c>
    </row>
    <row r="419">
      <c r="A419" s="3" t="n">
        <v>41278</v>
      </c>
      <c r="B419" t="n">
        <v>233085</v>
      </c>
      <c r="C419" t="n">
        <v>462</v>
      </c>
      <c r="D419" t="n">
        <v>2901</v>
      </c>
      <c r="E419" t="n">
        <v>43</v>
      </c>
      <c r="F419">
        <f>IF(C419="","",C419*7/B419)</f>
        <v/>
      </c>
    </row>
    <row r="420">
      <c r="A420" s="3" t="n">
        <v>41285</v>
      </c>
      <c r="B420" t="n">
        <v>234995</v>
      </c>
      <c r="C420" t="n">
        <v>462</v>
      </c>
      <c r="D420" t="n">
        <v>2901</v>
      </c>
      <c r="E420" t="n">
        <v>43</v>
      </c>
      <c r="F420">
        <f>IF(C420="","",C420*7/B420)</f>
        <v/>
      </c>
    </row>
    <row r="421">
      <c r="A421" s="3" t="n">
        <v>41292</v>
      </c>
      <c r="B421" t="n">
        <v>233257</v>
      </c>
      <c r="C421" t="n">
        <v>484</v>
      </c>
      <c r="D421" t="n">
        <v>3047</v>
      </c>
      <c r="E421" t="n">
        <v>44</v>
      </c>
      <c r="F421">
        <f>IF(C421="","",C421*7/B421)</f>
        <v/>
      </c>
    </row>
    <row r="422">
      <c r="A422" s="3" t="n">
        <v>41299</v>
      </c>
      <c r="B422" t="n">
        <v>232301</v>
      </c>
      <c r="C422" t="n">
        <v>484</v>
      </c>
      <c r="D422" t="n">
        <v>3047</v>
      </c>
      <c r="E422" t="n">
        <v>44</v>
      </c>
      <c r="F422">
        <f>IF(C422="","",C422*7/B422)</f>
        <v/>
      </c>
    </row>
    <row r="423">
      <c r="A423" s="3" t="n">
        <v>41306</v>
      </c>
      <c r="B423" t="n">
        <v>234039</v>
      </c>
      <c r="C423" t="n">
        <v>484</v>
      </c>
      <c r="D423" t="n">
        <v>3047</v>
      </c>
      <c r="E423" t="n">
        <v>44</v>
      </c>
      <c r="F423">
        <f>IF(C423="","",C423*7/B423)</f>
        <v/>
      </c>
    </row>
    <row r="424">
      <c r="A424" s="3" t="n">
        <v>41313</v>
      </c>
      <c r="B424" t="n">
        <v>233236</v>
      </c>
      <c r="C424" t="n">
        <v>484</v>
      </c>
      <c r="D424" t="n">
        <v>3047</v>
      </c>
      <c r="E424" t="n">
        <v>44</v>
      </c>
      <c r="F424">
        <f>IF(C424="","",C424*7/B424)</f>
        <v/>
      </c>
    </row>
    <row r="425">
      <c r="A425" s="3" t="n">
        <v>41320</v>
      </c>
      <c r="B425" t="n">
        <v>230352</v>
      </c>
      <c r="C425" t="n">
        <v>484</v>
      </c>
      <c r="D425" t="n">
        <v>3047</v>
      </c>
      <c r="E425" t="n">
        <v>44</v>
      </c>
      <c r="F425">
        <f>IF(C425="","",C425*7/B425)</f>
        <v/>
      </c>
    </row>
    <row r="426">
      <c r="A426" s="3" t="n">
        <v>41327</v>
      </c>
      <c r="B426" t="n">
        <v>228495</v>
      </c>
      <c r="C426" t="n">
        <v>590</v>
      </c>
      <c r="D426" t="n">
        <v>3239</v>
      </c>
      <c r="E426" t="n">
        <v>44</v>
      </c>
      <c r="F426">
        <f>IF(C426="","",C426*7/B426)</f>
        <v/>
      </c>
    </row>
    <row r="427">
      <c r="A427" s="3" t="n">
        <v>41334</v>
      </c>
      <c r="B427" t="n">
        <v>227879</v>
      </c>
      <c r="C427" t="n">
        <v>590</v>
      </c>
      <c r="D427" t="n">
        <v>3239</v>
      </c>
      <c r="E427" t="n">
        <v>44</v>
      </c>
      <c r="F427">
        <f>IF(C427="","",C427*7/B427)</f>
        <v/>
      </c>
    </row>
    <row r="428">
      <c r="A428" s="3" t="n">
        <v>41341</v>
      </c>
      <c r="B428" t="n">
        <v>224308</v>
      </c>
      <c r="C428" t="n">
        <v>590</v>
      </c>
      <c r="D428" t="n">
        <v>3239</v>
      </c>
      <c r="E428" t="n">
        <v>44</v>
      </c>
      <c r="F428">
        <f>IF(C428="","",C428*7/B428)</f>
        <v/>
      </c>
    </row>
    <row r="429">
      <c r="A429" s="3" t="n">
        <v>41348</v>
      </c>
      <c r="B429" t="n">
        <v>222832</v>
      </c>
      <c r="C429" t="n">
        <v>548</v>
      </c>
      <c r="D429" t="n">
        <v>2849</v>
      </c>
      <c r="E429" t="n">
        <v>45</v>
      </c>
      <c r="F429">
        <f>IF(C429="","",C429*7/B429)</f>
        <v/>
      </c>
    </row>
    <row r="430">
      <c r="A430" s="3" t="n">
        <v>41355</v>
      </c>
      <c r="B430" t="n">
        <v>221236</v>
      </c>
      <c r="C430" t="n">
        <v>548</v>
      </c>
      <c r="D430" t="n">
        <v>2849</v>
      </c>
      <c r="E430" t="n">
        <v>45</v>
      </c>
      <c r="F430">
        <f>IF(C430="","",C430*7/B430)</f>
        <v/>
      </c>
    </row>
    <row r="431">
      <c r="A431" s="3" t="n">
        <v>41362</v>
      </c>
      <c r="B431" t="n">
        <v>220664</v>
      </c>
      <c r="C431" t="n">
        <v>548</v>
      </c>
      <c r="D431" t="n">
        <v>2849</v>
      </c>
      <c r="E431" t="n">
        <v>45</v>
      </c>
      <c r="F431">
        <f>IF(C431="","",C431*7/B431)</f>
        <v/>
      </c>
    </row>
    <row r="432">
      <c r="A432" s="3" t="n">
        <v>41369</v>
      </c>
      <c r="B432" t="n">
        <v>222363</v>
      </c>
      <c r="C432" t="n">
        <v>548</v>
      </c>
      <c r="D432" t="n">
        <v>2849</v>
      </c>
      <c r="E432" t="n">
        <v>45</v>
      </c>
      <c r="F432">
        <f>IF(C432="","",C432*7/B432)</f>
        <v/>
      </c>
    </row>
    <row r="433">
      <c r="A433" s="3" t="n">
        <v>41376</v>
      </c>
      <c r="B433" t="n">
        <v>221730</v>
      </c>
      <c r="C433" t="n">
        <v>548</v>
      </c>
      <c r="D433" t="n">
        <v>2849</v>
      </c>
      <c r="E433" t="n">
        <v>45</v>
      </c>
      <c r="F433">
        <f>IF(C433="","",C433*7/B433)</f>
        <v/>
      </c>
    </row>
    <row r="434">
      <c r="A434" s="3" t="n">
        <v>41383</v>
      </c>
      <c r="B434" t="n">
        <v>217802</v>
      </c>
      <c r="C434" t="n">
        <v>485</v>
      </c>
      <c r="D434" t="n">
        <v>2846</v>
      </c>
      <c r="E434" t="n">
        <v>47</v>
      </c>
      <c r="F434">
        <f>IF(C434="","",C434*7/B434)</f>
        <v/>
      </c>
    </row>
    <row r="435">
      <c r="A435" s="3" t="n">
        <v>41390</v>
      </c>
      <c r="B435" t="n">
        <v>215984</v>
      </c>
      <c r="C435" t="n">
        <v>485</v>
      </c>
      <c r="D435" t="n">
        <v>2846</v>
      </c>
      <c r="E435" t="n">
        <v>47</v>
      </c>
      <c r="F435">
        <f>IF(C435="","",C435*7/B435)</f>
        <v/>
      </c>
    </row>
    <row r="436">
      <c r="A436" s="3" t="n">
        <v>41397</v>
      </c>
      <c r="B436" t="n">
        <v>215074</v>
      </c>
      <c r="C436" t="n">
        <v>485</v>
      </c>
      <c r="D436" t="n">
        <v>2846</v>
      </c>
      <c r="E436" t="n">
        <v>47</v>
      </c>
      <c r="F436">
        <f>IF(C436="","",C436*7/B436)</f>
        <v/>
      </c>
    </row>
    <row r="437">
      <c r="A437" s="3" t="n">
        <v>41404</v>
      </c>
      <c r="B437" t="n">
        <v>217662</v>
      </c>
      <c r="C437" t="n">
        <v>485</v>
      </c>
      <c r="D437" t="n">
        <v>2846</v>
      </c>
      <c r="E437" t="n">
        <v>47</v>
      </c>
      <c r="F437">
        <f>IF(C437="","",C437*7/B437)</f>
        <v/>
      </c>
    </row>
    <row r="438">
      <c r="A438" s="3" t="n">
        <v>41411</v>
      </c>
      <c r="B438" t="n">
        <v>220677</v>
      </c>
      <c r="C438" t="n">
        <v>308</v>
      </c>
      <c r="D438" t="n">
        <v>2682</v>
      </c>
      <c r="E438" t="n">
        <v>48</v>
      </c>
      <c r="F438">
        <f>IF(C438="","",C438*7/B438)</f>
        <v/>
      </c>
    </row>
    <row r="439">
      <c r="A439" s="3" t="n">
        <v>41418</v>
      </c>
      <c r="B439" t="n">
        <v>219163</v>
      </c>
      <c r="C439" t="n">
        <v>308</v>
      </c>
      <c r="D439" t="n">
        <v>2682</v>
      </c>
      <c r="E439" t="n">
        <v>48</v>
      </c>
      <c r="F439">
        <f>IF(C439="","",C439*7/B439)</f>
        <v/>
      </c>
    </row>
    <row r="440">
      <c r="A440" s="3" t="n">
        <v>41425</v>
      </c>
      <c r="B440" t="n">
        <v>218797</v>
      </c>
      <c r="C440" t="n">
        <v>308</v>
      </c>
      <c r="D440" t="n">
        <v>2682</v>
      </c>
      <c r="E440" t="n">
        <v>48</v>
      </c>
      <c r="F440">
        <f>IF(C440="","",C440*7/B440)</f>
        <v/>
      </c>
    </row>
    <row r="441">
      <c r="A441" s="3" t="n">
        <v>41432</v>
      </c>
      <c r="B441" t="n">
        <v>221545</v>
      </c>
      <c r="C441" t="n">
        <v>308</v>
      </c>
      <c r="D441" t="n">
        <v>2682</v>
      </c>
      <c r="E441" t="n">
        <v>48</v>
      </c>
      <c r="F441">
        <f>IF(C441="","",C441*7/B441)</f>
        <v/>
      </c>
    </row>
    <row r="442">
      <c r="A442" s="3" t="n">
        <v>41439</v>
      </c>
      <c r="B442" t="n">
        <v>221728</v>
      </c>
      <c r="C442" t="n">
        <v>308</v>
      </c>
      <c r="D442" t="n">
        <v>2682</v>
      </c>
      <c r="E442" t="n">
        <v>48</v>
      </c>
      <c r="F442">
        <f>IF(C442="","",C442*7/B442)</f>
        <v/>
      </c>
    </row>
    <row r="443">
      <c r="A443" s="3" t="n">
        <v>41446</v>
      </c>
      <c r="B443" t="n">
        <v>225381</v>
      </c>
      <c r="C443" t="n">
        <v>319</v>
      </c>
      <c r="D443" t="n">
        <v>2807</v>
      </c>
      <c r="E443" t="n">
        <v>50</v>
      </c>
      <c r="F443">
        <f>IF(C443="","",C443*7/B443)</f>
        <v/>
      </c>
    </row>
    <row r="444">
      <c r="A444" s="3" t="n">
        <v>41453</v>
      </c>
      <c r="B444" t="n">
        <v>223662</v>
      </c>
      <c r="C444" t="n">
        <v>319</v>
      </c>
      <c r="D444" t="n">
        <v>2807</v>
      </c>
      <c r="E444" t="n">
        <v>50</v>
      </c>
      <c r="F444">
        <f>IF(C444="","",C444*7/B444)</f>
        <v/>
      </c>
    </row>
    <row r="445">
      <c r="A445" s="3" t="n">
        <v>41460</v>
      </c>
      <c r="B445" t="n">
        <v>221028</v>
      </c>
      <c r="C445" t="n">
        <v>319</v>
      </c>
      <c r="D445" t="n">
        <v>2807</v>
      </c>
      <c r="E445" t="n">
        <v>50</v>
      </c>
      <c r="F445">
        <f>IF(C445="","",C445*7/B445)</f>
        <v/>
      </c>
    </row>
    <row r="446">
      <c r="A446" s="3" t="n">
        <v>41467</v>
      </c>
      <c r="B446" t="n">
        <v>224083</v>
      </c>
      <c r="C446" t="n">
        <v>319</v>
      </c>
      <c r="D446" t="n">
        <v>2807</v>
      </c>
      <c r="E446" t="n">
        <v>50</v>
      </c>
      <c r="F446">
        <f>IF(C446="","",C446*7/B446)</f>
        <v/>
      </c>
    </row>
    <row r="447">
      <c r="A447" s="3" t="n">
        <v>41474</v>
      </c>
      <c r="B447" t="n">
        <v>222694</v>
      </c>
      <c r="C447" t="n">
        <v>258</v>
      </c>
      <c r="D447" t="n">
        <v>2903</v>
      </c>
      <c r="E447" t="n">
        <v>52</v>
      </c>
      <c r="F447">
        <f>IF(C447="","",C447*7/B447)</f>
        <v/>
      </c>
    </row>
    <row r="448">
      <c r="A448" s="3" t="n">
        <v>41481</v>
      </c>
      <c r="B448" t="n">
        <v>223464</v>
      </c>
      <c r="C448" t="n">
        <v>258</v>
      </c>
      <c r="D448" t="n">
        <v>2903</v>
      </c>
      <c r="E448" t="n">
        <v>52</v>
      </c>
      <c r="F448">
        <f>IF(C448="","",C448*7/B448)</f>
        <v/>
      </c>
    </row>
    <row r="449">
      <c r="A449" s="3" t="n">
        <v>41488</v>
      </c>
      <c r="B449" t="n">
        <v>223599</v>
      </c>
      <c r="C449" t="n">
        <v>258</v>
      </c>
      <c r="D449" t="n">
        <v>2903</v>
      </c>
      <c r="E449" t="n">
        <v>52</v>
      </c>
      <c r="F449">
        <f>IF(C449="","",C449*7/B449)</f>
        <v/>
      </c>
    </row>
    <row r="450">
      <c r="A450" s="3" t="n">
        <v>41495</v>
      </c>
      <c r="B450" t="n">
        <v>222430</v>
      </c>
      <c r="C450" t="n">
        <v>258</v>
      </c>
      <c r="D450" t="n">
        <v>2903</v>
      </c>
      <c r="E450" t="n">
        <v>52</v>
      </c>
      <c r="F450">
        <f>IF(C450="","",C450*7/B450)</f>
        <v/>
      </c>
    </row>
    <row r="451">
      <c r="A451" s="3" t="n">
        <v>41502</v>
      </c>
      <c r="B451" t="n">
        <v>218401</v>
      </c>
      <c r="C451" t="n">
        <v>347</v>
      </c>
      <c r="D451" t="n">
        <v>3190</v>
      </c>
      <c r="E451" t="n">
        <v>55</v>
      </c>
      <c r="F451">
        <f>IF(C451="","",C451*7/B451)</f>
        <v/>
      </c>
    </row>
    <row r="452">
      <c r="A452" s="3" t="n">
        <v>41509</v>
      </c>
      <c r="B452" t="n">
        <v>217814</v>
      </c>
      <c r="C452" t="n">
        <v>347</v>
      </c>
      <c r="D452" t="n">
        <v>3190</v>
      </c>
      <c r="E452" t="n">
        <v>55</v>
      </c>
      <c r="F452">
        <f>IF(C452="","",C452*7/B452)</f>
        <v/>
      </c>
    </row>
    <row r="453">
      <c r="A453" s="3" t="n">
        <v>41516</v>
      </c>
      <c r="B453" t="n">
        <v>215987</v>
      </c>
      <c r="C453" t="n">
        <v>347</v>
      </c>
      <c r="D453" t="n">
        <v>3190</v>
      </c>
      <c r="E453" t="n">
        <v>55</v>
      </c>
      <c r="F453">
        <f>IF(C453="","",C453*7/B453)</f>
        <v/>
      </c>
    </row>
    <row r="454">
      <c r="A454" s="3" t="n">
        <v>41523</v>
      </c>
      <c r="B454" t="n">
        <v>217645</v>
      </c>
      <c r="C454" t="n">
        <v>347</v>
      </c>
      <c r="D454" t="n">
        <v>3190</v>
      </c>
      <c r="E454" t="n">
        <v>55</v>
      </c>
      <c r="F454">
        <f>IF(C454="","",C454*7/B454)</f>
        <v/>
      </c>
    </row>
    <row r="455">
      <c r="A455" s="3" t="n">
        <v>41530</v>
      </c>
      <c r="B455" t="n">
        <v>216018</v>
      </c>
      <c r="C455" t="n">
        <v>347</v>
      </c>
      <c r="D455" t="n">
        <v>3190</v>
      </c>
      <c r="E455" t="n">
        <v>55</v>
      </c>
      <c r="F455">
        <f>IF(C455="","",C455*7/B455)</f>
        <v/>
      </c>
    </row>
    <row r="456">
      <c r="A456" s="3" t="n">
        <v>41537</v>
      </c>
      <c r="B456" t="n">
        <v>216235</v>
      </c>
      <c r="C456" t="n">
        <v>373</v>
      </c>
      <c r="D456" t="n">
        <v>3372</v>
      </c>
      <c r="E456" t="n">
        <v>56</v>
      </c>
      <c r="F456">
        <f>IF(C456="","",C456*7/B456)</f>
        <v/>
      </c>
    </row>
    <row r="457">
      <c r="A457" s="3" t="n">
        <v>41544</v>
      </c>
      <c r="B457" t="n">
        <v>219730</v>
      </c>
      <c r="C457" t="n">
        <v>373</v>
      </c>
      <c r="D457" t="n">
        <v>3372</v>
      </c>
      <c r="E457" t="n">
        <v>56</v>
      </c>
      <c r="F457">
        <f>IF(C457="","",C457*7/B457)</f>
        <v/>
      </c>
    </row>
    <row r="458">
      <c r="A458" s="3" t="n">
        <v>41551</v>
      </c>
      <c r="B458" t="n">
        <v>219879</v>
      </c>
      <c r="C458" t="n">
        <v>373</v>
      </c>
      <c r="D458" t="n">
        <v>3372</v>
      </c>
      <c r="E458" t="n">
        <v>56</v>
      </c>
      <c r="F458">
        <f>IF(C458="","",C458*7/B458)</f>
        <v/>
      </c>
    </row>
    <row r="459">
      <c r="A459" s="3" t="n">
        <v>41558</v>
      </c>
      <c r="B459" t="n">
        <v>217309</v>
      </c>
      <c r="C459" t="n">
        <v>373</v>
      </c>
      <c r="D459" t="n">
        <v>3372</v>
      </c>
      <c r="E459" t="n">
        <v>56</v>
      </c>
      <c r="F459">
        <f>IF(C459="","",C459*7/B459)</f>
        <v/>
      </c>
    </row>
    <row r="460">
      <c r="A460" s="3" t="n">
        <v>41565</v>
      </c>
      <c r="B460" t="n">
        <v>215504</v>
      </c>
      <c r="C460" t="n">
        <v>373</v>
      </c>
      <c r="D460" t="n">
        <v>3372</v>
      </c>
      <c r="E460" t="n">
        <v>56</v>
      </c>
      <c r="F460">
        <f>IF(C460="","",C460*7/B460)</f>
        <v/>
      </c>
    </row>
    <row r="461">
      <c r="A461" s="3" t="n">
        <v>41572</v>
      </c>
      <c r="B461" t="n">
        <v>213791</v>
      </c>
      <c r="C461" t="n">
        <v>380</v>
      </c>
      <c r="D461" t="n">
        <v>3323</v>
      </c>
      <c r="E461" t="n">
        <v>56</v>
      </c>
      <c r="F461">
        <f>IF(C461="","",C461*7/B461)</f>
        <v/>
      </c>
    </row>
    <row r="462">
      <c r="A462" s="3" t="n">
        <v>41579</v>
      </c>
      <c r="B462" t="n">
        <v>210036</v>
      </c>
      <c r="C462" t="n">
        <v>380</v>
      </c>
      <c r="D462" t="n">
        <v>3323</v>
      </c>
      <c r="E462" t="n">
        <v>56</v>
      </c>
      <c r="F462">
        <f>IF(C462="","",C462*7/B462)</f>
        <v/>
      </c>
    </row>
    <row r="463">
      <c r="A463" s="3" t="n">
        <v>41586</v>
      </c>
      <c r="B463" t="n">
        <v>209198</v>
      </c>
      <c r="C463" t="n">
        <v>380</v>
      </c>
      <c r="D463" t="n">
        <v>3323</v>
      </c>
      <c r="E463" t="n">
        <v>56</v>
      </c>
      <c r="F463">
        <f>IF(C463="","",C463*7/B463)</f>
        <v/>
      </c>
    </row>
    <row r="464">
      <c r="A464" s="3" t="n">
        <v>41593</v>
      </c>
      <c r="B464" t="n">
        <v>208853</v>
      </c>
      <c r="C464" t="n">
        <v>380</v>
      </c>
      <c r="D464" t="n">
        <v>3323</v>
      </c>
      <c r="E464" t="n">
        <v>56</v>
      </c>
      <c r="F464">
        <f>IF(C464="","",C464*7/B464)</f>
        <v/>
      </c>
    </row>
    <row r="465">
      <c r="A465" s="3" t="n">
        <v>41600</v>
      </c>
      <c r="B465" t="n">
        <v>210604</v>
      </c>
      <c r="C465" t="n">
        <v>363</v>
      </c>
      <c r="D465" t="n">
        <v>3386</v>
      </c>
      <c r="E465" t="n">
        <v>57</v>
      </c>
      <c r="F465">
        <f>IF(C465="","",C465*7/B465)</f>
        <v/>
      </c>
    </row>
    <row r="466">
      <c r="A466" s="3" t="n">
        <v>41607</v>
      </c>
      <c r="B466" t="n">
        <v>212432</v>
      </c>
      <c r="C466" t="n">
        <v>363</v>
      </c>
      <c r="D466" t="n">
        <v>3386</v>
      </c>
      <c r="E466" t="n">
        <v>57</v>
      </c>
      <c r="F466">
        <f>IF(C466="","",C466*7/B466)</f>
        <v/>
      </c>
    </row>
    <row r="467">
      <c r="A467" s="3" t="n">
        <v>41614</v>
      </c>
      <c r="B467" t="n">
        <v>219149</v>
      </c>
      <c r="C467" t="n">
        <v>363</v>
      </c>
      <c r="D467" t="n">
        <v>3386</v>
      </c>
      <c r="E467" t="n">
        <v>57</v>
      </c>
      <c r="F467">
        <f>IF(C467="","",C467*7/B467)</f>
        <v/>
      </c>
    </row>
    <row r="468">
      <c r="A468" s="3" t="n">
        <v>41621</v>
      </c>
      <c r="B468" t="n">
        <v>220486</v>
      </c>
      <c r="C468" t="n">
        <v>363</v>
      </c>
      <c r="D468" t="n">
        <v>3386</v>
      </c>
      <c r="E468" t="n">
        <v>57</v>
      </c>
      <c r="F468">
        <f>IF(C468="","",C468*7/B468)</f>
        <v/>
      </c>
    </row>
    <row r="469">
      <c r="A469" s="3" t="n">
        <v>41628</v>
      </c>
      <c r="B469" t="n">
        <v>219872</v>
      </c>
      <c r="C469" t="n">
        <v>498</v>
      </c>
      <c r="D469" t="n">
        <v>3583</v>
      </c>
      <c r="E469" t="n">
        <v>58</v>
      </c>
      <c r="F469">
        <f>IF(C469="","",C469*7/B469)</f>
        <v/>
      </c>
    </row>
    <row r="470">
      <c r="A470" s="3" t="n">
        <v>41635</v>
      </c>
      <c r="B470" t="n">
        <v>220716</v>
      </c>
      <c r="C470" t="n">
        <v>498</v>
      </c>
      <c r="D470" t="n">
        <v>3583</v>
      </c>
      <c r="E470" t="n">
        <v>58</v>
      </c>
      <c r="F470">
        <f>IF(C470="","",C470*7/B470)</f>
        <v/>
      </c>
    </row>
    <row r="471">
      <c r="A471" s="3" t="n">
        <v>41642</v>
      </c>
      <c r="B471" t="n">
        <v>226959</v>
      </c>
      <c r="C471" t="n">
        <v>498</v>
      </c>
      <c r="D471" t="n">
        <v>3583</v>
      </c>
      <c r="E471" t="n">
        <v>58</v>
      </c>
      <c r="F471">
        <f>IF(C471="","",C471*7/B471)</f>
        <v/>
      </c>
    </row>
    <row r="472">
      <c r="A472" s="3" t="n">
        <v>41649</v>
      </c>
      <c r="B472" t="n">
        <v>233142</v>
      </c>
      <c r="C472" t="n">
        <v>498</v>
      </c>
      <c r="D472" t="n">
        <v>3583</v>
      </c>
      <c r="E472" t="n">
        <v>58</v>
      </c>
      <c r="F472">
        <f>IF(C472="","",C472*7/B472)</f>
        <v/>
      </c>
    </row>
    <row r="473">
      <c r="A473" s="3" t="n">
        <v>41656</v>
      </c>
      <c r="B473" t="n">
        <v>235265</v>
      </c>
      <c r="C473" t="n">
        <v>498</v>
      </c>
      <c r="D473" t="n">
        <v>3583</v>
      </c>
      <c r="E473" t="n">
        <v>58</v>
      </c>
      <c r="F473">
        <f>IF(C473="","",C473*7/B473)</f>
        <v/>
      </c>
    </row>
    <row r="474">
      <c r="A474" s="3" t="n">
        <v>41663</v>
      </c>
      <c r="B474" t="n">
        <v>234446</v>
      </c>
      <c r="C474" t="n">
        <v>586</v>
      </c>
      <c r="D474" t="n">
        <v>3661</v>
      </c>
      <c r="E474" t="n">
        <v>61</v>
      </c>
      <c r="F474">
        <f>IF(C474="","",C474*7/B474)</f>
        <v/>
      </c>
    </row>
    <row r="475">
      <c r="A475" s="3" t="n">
        <v>41670</v>
      </c>
      <c r="B475" t="n">
        <v>234951</v>
      </c>
      <c r="C475" t="n">
        <v>586</v>
      </c>
      <c r="D475" t="n">
        <v>3661</v>
      </c>
      <c r="E475" t="n">
        <v>61</v>
      </c>
      <c r="F475">
        <f>IF(C475="","",C475*7/B475)</f>
        <v/>
      </c>
    </row>
    <row r="476">
      <c r="A476" s="3" t="n">
        <v>41677</v>
      </c>
      <c r="B476" t="n">
        <v>233098</v>
      </c>
      <c r="C476" t="n">
        <v>586</v>
      </c>
      <c r="D476" t="n">
        <v>3661</v>
      </c>
      <c r="E476" t="n">
        <v>61</v>
      </c>
      <c r="F476">
        <f>IF(C476="","",C476*7/B476)</f>
        <v/>
      </c>
    </row>
    <row r="477">
      <c r="A477" s="3" t="n">
        <v>41684</v>
      </c>
      <c r="B477" t="n">
        <v>233407</v>
      </c>
      <c r="C477" t="n">
        <v>586</v>
      </c>
      <c r="D477" t="n">
        <v>3661</v>
      </c>
      <c r="E477" t="n">
        <v>61</v>
      </c>
      <c r="F477">
        <f>IF(C477="","",C477*7/B477)</f>
        <v/>
      </c>
    </row>
    <row r="478">
      <c r="A478" s="3" t="n">
        <v>41691</v>
      </c>
      <c r="B478" t="n">
        <v>230600</v>
      </c>
      <c r="C478" t="n">
        <v>576</v>
      </c>
      <c r="D478" t="n">
        <v>3749</v>
      </c>
      <c r="E478" t="n">
        <v>64</v>
      </c>
      <c r="F478">
        <f>IF(C478="","",C478*7/B478)</f>
        <v/>
      </c>
    </row>
    <row r="479">
      <c r="A479" s="3" t="n">
        <v>41698</v>
      </c>
      <c r="B479" t="n">
        <v>228996</v>
      </c>
      <c r="C479" t="n">
        <v>576</v>
      </c>
      <c r="D479" t="n">
        <v>3749</v>
      </c>
      <c r="E479" t="n">
        <v>64</v>
      </c>
      <c r="F479">
        <f>IF(C479="","",C479*7/B479)</f>
        <v/>
      </c>
    </row>
    <row r="480">
      <c r="A480" s="3" t="n">
        <v>41705</v>
      </c>
      <c r="B480" t="n">
        <v>223766</v>
      </c>
      <c r="C480" t="n">
        <v>576</v>
      </c>
      <c r="D480" t="n">
        <v>3749</v>
      </c>
      <c r="E480" t="n">
        <v>64</v>
      </c>
      <c r="F480">
        <f>IF(C480="","",C480*7/B480)</f>
        <v/>
      </c>
    </row>
    <row r="481">
      <c r="A481" s="3" t="n">
        <v>41712</v>
      </c>
      <c r="B481" t="n">
        <v>222299</v>
      </c>
      <c r="C481" t="n">
        <v>576</v>
      </c>
      <c r="D481" t="n">
        <v>3749</v>
      </c>
      <c r="E481" t="n">
        <v>64</v>
      </c>
      <c r="F481">
        <f>IF(C481="","",C481*7/B481)</f>
        <v/>
      </c>
    </row>
    <row r="482">
      <c r="A482" s="3" t="n">
        <v>41719</v>
      </c>
      <c r="B482" t="n">
        <v>217198</v>
      </c>
      <c r="C482" t="n">
        <v>576</v>
      </c>
      <c r="D482" t="n">
        <v>3749</v>
      </c>
      <c r="E482" t="n">
        <v>64</v>
      </c>
      <c r="F482">
        <f>IF(C482="","",C482*7/B482)</f>
        <v/>
      </c>
    </row>
    <row r="483">
      <c r="A483" s="3" t="n">
        <v>41726</v>
      </c>
      <c r="B483" t="n">
        <v>215624</v>
      </c>
      <c r="C483" t="n">
        <v>529</v>
      </c>
      <c r="D483" t="n">
        <v>3542</v>
      </c>
      <c r="E483" t="n">
        <v>67</v>
      </c>
      <c r="F483">
        <f>IF(C483="","",C483*7/B483)</f>
        <v/>
      </c>
    </row>
    <row r="484">
      <c r="A484" s="3" t="n">
        <v>41733</v>
      </c>
      <c r="B484" t="n">
        <v>210436</v>
      </c>
      <c r="C484" t="n">
        <v>529</v>
      </c>
      <c r="D484" t="n">
        <v>3542</v>
      </c>
      <c r="E484" t="n">
        <v>67</v>
      </c>
      <c r="F484">
        <f>IF(C484="","",C484*7/B484)</f>
        <v/>
      </c>
    </row>
    <row r="485">
      <c r="A485" s="3" t="n">
        <v>41740</v>
      </c>
      <c r="B485" t="n">
        <v>210282</v>
      </c>
      <c r="C485" t="n">
        <v>529</v>
      </c>
      <c r="D485" t="n">
        <v>3542</v>
      </c>
      <c r="E485" t="n">
        <v>67</v>
      </c>
      <c r="F485">
        <f>IF(C485="","",C485*7/B485)</f>
        <v/>
      </c>
    </row>
    <row r="486">
      <c r="A486" s="3" t="n">
        <v>41747</v>
      </c>
      <c r="B486" t="n">
        <v>210008</v>
      </c>
      <c r="C486" t="n">
        <v>529</v>
      </c>
      <c r="D486" t="n">
        <v>3542</v>
      </c>
      <c r="E486" t="n">
        <v>67</v>
      </c>
      <c r="F486">
        <f>IF(C486="","",C486*7/B486)</f>
        <v/>
      </c>
    </row>
    <row r="487">
      <c r="A487" s="3" t="n">
        <v>41754</v>
      </c>
      <c r="B487" t="n">
        <v>211572</v>
      </c>
      <c r="C487" t="n">
        <v>399</v>
      </c>
      <c r="D487" t="n">
        <v>3004</v>
      </c>
      <c r="E487" t="n">
        <v>71</v>
      </c>
      <c r="F487">
        <f>IF(C487="","",C487*7/B487)</f>
        <v/>
      </c>
    </row>
    <row r="488">
      <c r="A488" s="3" t="n">
        <v>41761</v>
      </c>
      <c r="B488" t="n">
        <v>213180</v>
      </c>
      <c r="C488" t="n">
        <v>399</v>
      </c>
      <c r="D488" t="n">
        <v>3004</v>
      </c>
      <c r="E488" t="n">
        <v>71</v>
      </c>
      <c r="F488">
        <f>IF(C488="","",C488*7/B488)</f>
        <v/>
      </c>
    </row>
    <row r="489">
      <c r="A489" s="3" t="n">
        <v>41768</v>
      </c>
      <c r="B489" t="n">
        <v>212408</v>
      </c>
      <c r="C489" t="n">
        <v>399</v>
      </c>
      <c r="D489" t="n">
        <v>3004</v>
      </c>
      <c r="E489" t="n">
        <v>71</v>
      </c>
      <c r="F489">
        <f>IF(C489="","",C489*7/B489)</f>
        <v/>
      </c>
    </row>
    <row r="490">
      <c r="A490" s="3" t="n">
        <v>41775</v>
      </c>
      <c r="B490" t="n">
        <v>213378</v>
      </c>
      <c r="C490" t="n">
        <v>399</v>
      </c>
      <c r="D490" t="n">
        <v>3004</v>
      </c>
      <c r="E490" t="n">
        <v>71</v>
      </c>
      <c r="F490">
        <f>IF(C490="","",C490*7/B490)</f>
        <v/>
      </c>
    </row>
    <row r="491">
      <c r="A491" s="3" t="n">
        <v>41782</v>
      </c>
      <c r="B491" t="n">
        <v>211575</v>
      </c>
      <c r="C491" t="n">
        <v>386</v>
      </c>
      <c r="D491" t="n">
        <v>3079</v>
      </c>
      <c r="E491" t="n">
        <v>74</v>
      </c>
      <c r="F491">
        <f>IF(C491="","",C491*7/B491)</f>
        <v/>
      </c>
    </row>
    <row r="492">
      <c r="A492" s="3" t="n">
        <v>41789</v>
      </c>
      <c r="B492" t="n">
        <v>211785</v>
      </c>
      <c r="C492" t="n">
        <v>386</v>
      </c>
      <c r="D492" t="n">
        <v>3079</v>
      </c>
      <c r="E492" t="n">
        <v>74</v>
      </c>
      <c r="F492">
        <f>IF(C492="","",C492*7/B492)</f>
        <v/>
      </c>
    </row>
    <row r="493">
      <c r="A493" s="3" t="n">
        <v>41796</v>
      </c>
      <c r="B493" t="n">
        <v>213482</v>
      </c>
      <c r="C493" t="n">
        <v>386</v>
      </c>
      <c r="D493" t="n">
        <v>3079</v>
      </c>
      <c r="E493" t="n">
        <v>74</v>
      </c>
      <c r="F493">
        <f>IF(C493="","",C493*7/B493)</f>
        <v/>
      </c>
    </row>
    <row r="494">
      <c r="A494" s="3" t="n">
        <v>41803</v>
      </c>
      <c r="B494" t="n">
        <v>214267</v>
      </c>
      <c r="C494" t="n">
        <v>386</v>
      </c>
      <c r="D494" t="n">
        <v>3079</v>
      </c>
      <c r="E494" t="n">
        <v>74</v>
      </c>
      <c r="F494">
        <f>IF(C494="","",C494*7/B494)</f>
        <v/>
      </c>
    </row>
    <row r="495">
      <c r="A495" s="3" t="n">
        <v>41810</v>
      </c>
      <c r="B495" t="n">
        <v>214977</v>
      </c>
      <c r="C495" t="n">
        <v>375</v>
      </c>
      <c r="D495" t="n">
        <v>3119</v>
      </c>
      <c r="E495" t="n">
        <v>273</v>
      </c>
      <c r="F495">
        <f>IF(C495="","",C495*7/B495)</f>
        <v/>
      </c>
    </row>
    <row r="496">
      <c r="A496" s="3" t="n">
        <v>41817</v>
      </c>
      <c r="B496" t="n">
        <v>213742</v>
      </c>
      <c r="C496" t="n">
        <v>375</v>
      </c>
      <c r="D496" t="n">
        <v>3119</v>
      </c>
      <c r="E496" t="n">
        <v>273</v>
      </c>
      <c r="F496">
        <f>IF(C496="","",C496*7/B496)</f>
        <v/>
      </c>
    </row>
    <row r="497">
      <c r="A497" s="3" t="n">
        <v>41824</v>
      </c>
      <c r="B497" t="n">
        <v>214321</v>
      </c>
      <c r="C497" t="n">
        <v>375</v>
      </c>
      <c r="D497" t="n">
        <v>3119</v>
      </c>
      <c r="E497" t="n">
        <v>273</v>
      </c>
      <c r="F497">
        <f>IF(C497="","",C497*7/B497)</f>
        <v/>
      </c>
    </row>
    <row r="498">
      <c r="A498" s="3" t="n">
        <v>41831</v>
      </c>
      <c r="B498" t="n">
        <v>214492</v>
      </c>
      <c r="C498" t="n">
        <v>375</v>
      </c>
      <c r="D498" t="n">
        <v>3119</v>
      </c>
      <c r="E498" t="n">
        <v>273</v>
      </c>
      <c r="F498">
        <f>IF(C498="","",C498*7/B498)</f>
        <v/>
      </c>
    </row>
    <row r="499">
      <c r="A499" s="3" t="n">
        <v>41838</v>
      </c>
      <c r="B499" t="n">
        <v>217871</v>
      </c>
      <c r="C499" t="n">
        <v>375</v>
      </c>
      <c r="D499" t="n">
        <v>3119</v>
      </c>
      <c r="E499" t="n">
        <v>273</v>
      </c>
      <c r="F499">
        <f>IF(C499="","",C499*7/B499)</f>
        <v/>
      </c>
    </row>
    <row r="500">
      <c r="A500" s="3" t="n">
        <v>41845</v>
      </c>
      <c r="B500" t="n">
        <v>218236</v>
      </c>
      <c r="C500" t="n">
        <v>487</v>
      </c>
      <c r="D500" t="n">
        <v>3512</v>
      </c>
      <c r="E500" t="n">
        <v>295</v>
      </c>
      <c r="F500">
        <f>IF(C500="","",C500*7/B500)</f>
        <v/>
      </c>
    </row>
    <row r="501">
      <c r="A501" s="3" t="n">
        <v>41852</v>
      </c>
      <c r="B501" t="n">
        <v>213849</v>
      </c>
      <c r="C501" t="n">
        <v>487</v>
      </c>
      <c r="D501" t="n">
        <v>3512</v>
      </c>
      <c r="E501" t="n">
        <v>295</v>
      </c>
      <c r="F501">
        <f>IF(C501="","",C501*7/B501)</f>
        <v/>
      </c>
    </row>
    <row r="502">
      <c r="A502" s="3" t="n">
        <v>41859</v>
      </c>
      <c r="B502" t="n">
        <v>212689</v>
      </c>
      <c r="C502" t="n">
        <v>487</v>
      </c>
      <c r="D502" t="n">
        <v>3512</v>
      </c>
      <c r="E502" t="n">
        <v>295</v>
      </c>
      <c r="F502">
        <f>IF(C502="","",C502*7/B502)</f>
        <v/>
      </c>
    </row>
    <row r="503">
      <c r="A503" s="3" t="n">
        <v>41866</v>
      </c>
      <c r="B503" t="n">
        <v>213274</v>
      </c>
      <c r="C503" t="n">
        <v>487</v>
      </c>
      <c r="D503" t="n">
        <v>3512</v>
      </c>
      <c r="E503" t="n">
        <v>295</v>
      </c>
      <c r="F503">
        <f>IF(C503="","",C503*7/B503)</f>
        <v/>
      </c>
    </row>
    <row r="504">
      <c r="A504" s="3" t="n">
        <v>41873</v>
      </c>
      <c r="B504" t="n">
        <v>212314</v>
      </c>
      <c r="C504" t="n">
        <v>362</v>
      </c>
      <c r="D504" t="n">
        <v>3336</v>
      </c>
      <c r="E504" t="n">
        <v>385</v>
      </c>
      <c r="F504">
        <f>IF(C504="","",C504*7/B504)</f>
        <v/>
      </c>
    </row>
    <row r="505">
      <c r="A505" s="3" t="n">
        <v>41880</v>
      </c>
      <c r="B505" t="n">
        <v>209992</v>
      </c>
      <c r="C505" t="n">
        <v>362</v>
      </c>
      <c r="D505" t="n">
        <v>3336</v>
      </c>
      <c r="E505" t="n">
        <v>385</v>
      </c>
      <c r="F505">
        <f>IF(C505="","",C505*7/B505)</f>
        <v/>
      </c>
    </row>
    <row r="506">
      <c r="A506" s="3" t="n">
        <v>41887</v>
      </c>
      <c r="B506" t="n">
        <v>212373</v>
      </c>
      <c r="C506" t="n">
        <v>362</v>
      </c>
      <c r="D506" t="n">
        <v>3336</v>
      </c>
      <c r="E506" t="n">
        <v>385</v>
      </c>
      <c r="F506">
        <f>IF(C506="","",C506*7/B506)</f>
        <v/>
      </c>
    </row>
    <row r="507">
      <c r="A507" s="3" t="n">
        <v>41894</v>
      </c>
      <c r="B507" t="n">
        <v>210738</v>
      </c>
      <c r="C507" t="n">
        <v>362</v>
      </c>
      <c r="D507" t="n">
        <v>3336</v>
      </c>
      <c r="E507" t="n">
        <v>385</v>
      </c>
      <c r="F507">
        <f>IF(C507="","",C507*7/B507)</f>
        <v/>
      </c>
    </row>
    <row r="508">
      <c r="A508" s="3" t="n">
        <v>41901</v>
      </c>
      <c r="B508" t="n">
        <v>210324</v>
      </c>
      <c r="C508" t="n">
        <v>362</v>
      </c>
      <c r="D508" t="n">
        <v>3336</v>
      </c>
      <c r="E508" t="n">
        <v>385</v>
      </c>
      <c r="F508">
        <f>IF(C508="","",C508*7/B508)</f>
        <v/>
      </c>
    </row>
    <row r="509">
      <c r="A509" s="3" t="n">
        <v>41908</v>
      </c>
      <c r="B509" t="n">
        <v>208488</v>
      </c>
      <c r="C509" t="n">
        <v>447</v>
      </c>
      <c r="D509" t="n">
        <v>3554</v>
      </c>
      <c r="E509" t="n">
        <v>420</v>
      </c>
      <c r="F509">
        <f>IF(C509="","",C509*7/B509)</f>
        <v/>
      </c>
    </row>
    <row r="510">
      <c r="A510" s="3" t="n">
        <v>41915</v>
      </c>
      <c r="B510" t="n">
        <v>209668</v>
      </c>
      <c r="C510" t="n">
        <v>447</v>
      </c>
      <c r="D510" t="n">
        <v>3554</v>
      </c>
      <c r="E510" t="n">
        <v>420</v>
      </c>
      <c r="F510">
        <f>IF(C510="","",C510*7/B510)</f>
        <v/>
      </c>
    </row>
    <row r="511">
      <c r="A511" s="3" t="n">
        <v>41922</v>
      </c>
      <c r="B511" t="n">
        <v>205673</v>
      </c>
      <c r="C511" t="n">
        <v>447</v>
      </c>
      <c r="D511" t="n">
        <v>3554</v>
      </c>
      <c r="E511" t="n">
        <v>420</v>
      </c>
      <c r="F511">
        <f>IF(C511="","",C511*7/B511)</f>
        <v/>
      </c>
    </row>
    <row r="512">
      <c r="A512" s="3" t="n">
        <v>41929</v>
      </c>
      <c r="B512" t="n">
        <v>204374</v>
      </c>
      <c r="C512" t="n">
        <v>447</v>
      </c>
      <c r="D512" t="n">
        <v>3554</v>
      </c>
      <c r="E512" t="n">
        <v>420</v>
      </c>
      <c r="F512">
        <f>IF(C512="","",C512*7/B512)</f>
        <v/>
      </c>
    </row>
    <row r="513">
      <c r="A513" s="3" t="n">
        <v>41936</v>
      </c>
      <c r="B513" t="n">
        <v>203138</v>
      </c>
      <c r="C513" t="n">
        <v>422</v>
      </c>
      <c r="D513" t="n">
        <v>3607</v>
      </c>
      <c r="E513" t="n">
        <v>411</v>
      </c>
      <c r="F513">
        <f>IF(C513="","",C513*7/B513)</f>
        <v/>
      </c>
    </row>
    <row r="514">
      <c r="A514" s="3" t="n">
        <v>41943</v>
      </c>
      <c r="B514" t="n">
        <v>201760</v>
      </c>
      <c r="C514" t="n">
        <v>422</v>
      </c>
      <c r="D514" t="n">
        <v>3607</v>
      </c>
      <c r="E514" t="n">
        <v>411</v>
      </c>
      <c r="F514">
        <f>IF(C514="","",C514*7/B514)</f>
        <v/>
      </c>
    </row>
    <row r="515">
      <c r="A515" s="3" t="n">
        <v>41950</v>
      </c>
      <c r="B515" t="n">
        <v>203565</v>
      </c>
      <c r="C515" t="n">
        <v>422</v>
      </c>
      <c r="D515" t="n">
        <v>3607</v>
      </c>
      <c r="E515" t="n">
        <v>411</v>
      </c>
      <c r="F515">
        <f>IF(C515="","",C515*7/B515)</f>
        <v/>
      </c>
    </row>
    <row r="516">
      <c r="A516" s="3" t="n">
        <v>41957</v>
      </c>
      <c r="B516" t="n">
        <v>204599</v>
      </c>
      <c r="C516" t="n">
        <v>422</v>
      </c>
      <c r="D516" t="n">
        <v>3607</v>
      </c>
      <c r="E516" t="n">
        <v>411</v>
      </c>
      <c r="F516">
        <f>IF(C516="","",C516*7/B516)</f>
        <v/>
      </c>
    </row>
    <row r="517">
      <c r="A517" s="3" t="n">
        <v>41964</v>
      </c>
      <c r="B517" t="n">
        <v>206424</v>
      </c>
      <c r="C517" t="n">
        <v>345</v>
      </c>
      <c r="D517" t="n">
        <v>3404</v>
      </c>
      <c r="E517" t="n">
        <v>374</v>
      </c>
      <c r="F517">
        <f>IF(C517="","",C517*7/B517)</f>
        <v/>
      </c>
    </row>
    <row r="518">
      <c r="A518" s="3" t="n">
        <v>41971</v>
      </c>
      <c r="B518" t="n">
        <v>208567</v>
      </c>
      <c r="C518" t="n">
        <v>345</v>
      </c>
      <c r="D518" t="n">
        <v>3404</v>
      </c>
      <c r="E518" t="n">
        <v>374</v>
      </c>
      <c r="F518">
        <f>IF(C518="","",C518*7/B518)</f>
        <v/>
      </c>
    </row>
    <row r="519">
      <c r="A519" s="3" t="n">
        <v>41978</v>
      </c>
      <c r="B519" t="n">
        <v>216764</v>
      </c>
      <c r="C519" t="n">
        <v>345</v>
      </c>
      <c r="D519" t="n">
        <v>3404</v>
      </c>
      <c r="E519" t="n">
        <v>374</v>
      </c>
      <c r="F519">
        <f>IF(C519="","",C519*7/B519)</f>
        <v/>
      </c>
    </row>
    <row r="520">
      <c r="A520" s="3" t="n">
        <v>41985</v>
      </c>
      <c r="B520" t="n">
        <v>222014</v>
      </c>
      <c r="C520" t="n">
        <v>345</v>
      </c>
      <c r="D520" t="n">
        <v>3404</v>
      </c>
      <c r="E520" t="n">
        <v>374</v>
      </c>
      <c r="F520">
        <f>IF(C520="","",C520*7/B520)</f>
        <v/>
      </c>
    </row>
    <row r="521">
      <c r="A521" s="3" t="n">
        <v>41992</v>
      </c>
      <c r="B521" t="n">
        <v>226097</v>
      </c>
      <c r="C521" t="n">
        <v>363</v>
      </c>
      <c r="D521" t="n">
        <v>3371</v>
      </c>
      <c r="E521" t="n">
        <v>388</v>
      </c>
      <c r="F521">
        <f>IF(C521="","",C521*7/B521)</f>
        <v/>
      </c>
    </row>
    <row r="522">
      <c r="A522" s="3" t="n">
        <v>41999</v>
      </c>
      <c r="B522" t="n">
        <v>229048</v>
      </c>
      <c r="C522" t="n">
        <v>363</v>
      </c>
      <c r="D522" t="n">
        <v>3371</v>
      </c>
      <c r="E522" t="n">
        <v>388</v>
      </c>
      <c r="F522">
        <f>IF(C522="","",C522*7/B522)</f>
        <v/>
      </c>
    </row>
    <row r="523">
      <c r="A523" s="3" t="n">
        <v>42006</v>
      </c>
      <c r="B523" t="n">
        <v>237163</v>
      </c>
      <c r="C523" t="n">
        <v>363</v>
      </c>
      <c r="D523" t="n">
        <v>3371</v>
      </c>
      <c r="E523" t="n">
        <v>388</v>
      </c>
      <c r="F523">
        <f>IF(C523="","",C523*7/B523)</f>
        <v/>
      </c>
    </row>
    <row r="524">
      <c r="A524" s="3" t="n">
        <v>42013</v>
      </c>
      <c r="B524" t="n">
        <v>240334</v>
      </c>
      <c r="C524" t="n">
        <v>363</v>
      </c>
      <c r="D524" t="n">
        <v>3371</v>
      </c>
      <c r="E524" t="n">
        <v>388</v>
      </c>
      <c r="F524">
        <f>IF(C524="","",C524*7/B524)</f>
        <v/>
      </c>
    </row>
    <row r="525">
      <c r="A525" s="3" t="n">
        <v>42020</v>
      </c>
      <c r="B525" t="n">
        <v>240922</v>
      </c>
      <c r="C525" t="n">
        <v>363</v>
      </c>
      <c r="D525" t="n">
        <v>3371</v>
      </c>
      <c r="E525" t="n">
        <v>388</v>
      </c>
      <c r="F525">
        <f>IF(C525="","",C525*7/B525)</f>
        <v/>
      </c>
    </row>
    <row r="526">
      <c r="A526" s="3" t="n">
        <v>42027</v>
      </c>
      <c r="B526" t="n">
        <v>238335</v>
      </c>
      <c r="C526" t="n">
        <v>497</v>
      </c>
      <c r="D526" t="n">
        <v>3590</v>
      </c>
      <c r="E526" t="n">
        <v>502</v>
      </c>
      <c r="F526">
        <f>IF(C526="","",C526*7/B526)</f>
        <v/>
      </c>
    </row>
    <row r="527">
      <c r="A527" s="3" t="n">
        <v>42034</v>
      </c>
      <c r="B527" t="n">
        <v>240670</v>
      </c>
      <c r="C527" t="n">
        <v>497</v>
      </c>
      <c r="D527" t="n">
        <v>3590</v>
      </c>
      <c r="E527" t="n">
        <v>502</v>
      </c>
      <c r="F527">
        <f>IF(C527="","",C527*7/B527)</f>
        <v/>
      </c>
    </row>
    <row r="528">
      <c r="A528" s="3" t="n">
        <v>42041</v>
      </c>
      <c r="B528" t="n">
        <v>242647</v>
      </c>
      <c r="C528" t="n">
        <v>497</v>
      </c>
      <c r="D528" t="n">
        <v>3590</v>
      </c>
      <c r="E528" t="n">
        <v>502</v>
      </c>
      <c r="F528">
        <f>IF(C528="","",C528*7/B528)</f>
        <v/>
      </c>
    </row>
    <row r="529">
      <c r="A529" s="3" t="n">
        <v>42048</v>
      </c>
      <c r="B529" t="n">
        <v>243132</v>
      </c>
      <c r="C529" t="n">
        <v>497</v>
      </c>
      <c r="D529" t="n">
        <v>3590</v>
      </c>
      <c r="E529" t="n">
        <v>502</v>
      </c>
      <c r="F529">
        <f>IF(C529="","",C529*7/B529)</f>
        <v/>
      </c>
    </row>
    <row r="530">
      <c r="A530" s="3" t="n">
        <v>42055</v>
      </c>
      <c r="B530" t="n">
        <v>240014</v>
      </c>
      <c r="C530" t="n">
        <v>679</v>
      </c>
      <c r="D530" t="n">
        <v>3949</v>
      </c>
      <c r="E530" t="n">
        <v>478</v>
      </c>
      <c r="F530">
        <f>IF(C530="","",C530*7/B530)</f>
        <v/>
      </c>
    </row>
    <row r="531">
      <c r="A531" s="3" t="n">
        <v>42062</v>
      </c>
      <c r="B531" t="n">
        <v>240060</v>
      </c>
      <c r="C531" t="n">
        <v>679</v>
      </c>
      <c r="D531" t="n">
        <v>3949</v>
      </c>
      <c r="E531" t="n">
        <v>478</v>
      </c>
      <c r="F531">
        <f>IF(C531="","",C531*7/B531)</f>
        <v/>
      </c>
    </row>
    <row r="532">
      <c r="A532" s="3" t="n">
        <v>42069</v>
      </c>
      <c r="B532" t="n">
        <v>239873</v>
      </c>
      <c r="C532" t="n">
        <v>679</v>
      </c>
      <c r="D532" t="n">
        <v>3949</v>
      </c>
      <c r="E532" t="n">
        <v>478</v>
      </c>
      <c r="F532">
        <f>IF(C532="","",C532*7/B532)</f>
        <v/>
      </c>
    </row>
    <row r="533">
      <c r="A533" s="3" t="n">
        <v>42076</v>
      </c>
      <c r="B533" t="n">
        <v>235400</v>
      </c>
      <c r="C533" t="n">
        <v>679</v>
      </c>
      <c r="D533" t="n">
        <v>3949</v>
      </c>
      <c r="E533" t="n">
        <v>478</v>
      </c>
      <c r="F533">
        <f>IF(C533="","",C533*7/B533)</f>
        <v/>
      </c>
    </row>
    <row r="534">
      <c r="A534" s="3" t="n">
        <v>42083</v>
      </c>
      <c r="B534" t="n">
        <v>233386</v>
      </c>
      <c r="C534" t="n">
        <v>546</v>
      </c>
      <c r="D534" t="n">
        <v>3757</v>
      </c>
      <c r="E534" t="n">
        <v>503</v>
      </c>
      <c r="F534">
        <f>IF(C534="","",C534*7/B534)</f>
        <v/>
      </c>
    </row>
    <row r="535">
      <c r="A535" s="3" t="n">
        <v>42090</v>
      </c>
      <c r="B535" t="n">
        <v>229128</v>
      </c>
      <c r="C535" t="n">
        <v>546</v>
      </c>
      <c r="D535" t="n">
        <v>3757</v>
      </c>
      <c r="E535" t="n">
        <v>503</v>
      </c>
      <c r="F535">
        <f>IF(C535="","",C535*7/B535)</f>
        <v/>
      </c>
    </row>
    <row r="536">
      <c r="A536" s="3" t="n">
        <v>42097</v>
      </c>
      <c r="B536" t="n">
        <v>229945</v>
      </c>
      <c r="C536" t="n">
        <v>546</v>
      </c>
      <c r="D536" t="n">
        <v>3757</v>
      </c>
      <c r="E536" t="n">
        <v>503</v>
      </c>
      <c r="F536">
        <f>IF(C536="","",C536*7/B536)</f>
        <v/>
      </c>
    </row>
    <row r="537">
      <c r="A537" s="3" t="n">
        <v>42104</v>
      </c>
      <c r="B537" t="n">
        <v>227873</v>
      </c>
      <c r="C537" t="n">
        <v>546</v>
      </c>
      <c r="D537" t="n">
        <v>3757</v>
      </c>
      <c r="E537" t="n">
        <v>503</v>
      </c>
      <c r="F537">
        <f>IF(C537="","",C537*7/B537)</f>
        <v/>
      </c>
    </row>
    <row r="538">
      <c r="A538" s="3" t="n">
        <v>42111</v>
      </c>
      <c r="B538" t="n">
        <v>225738</v>
      </c>
      <c r="C538" t="n">
        <v>546</v>
      </c>
      <c r="D538" t="n">
        <v>3757</v>
      </c>
      <c r="E538" t="n">
        <v>503</v>
      </c>
      <c r="F538">
        <f>IF(C538="","",C538*7/B538)</f>
        <v/>
      </c>
    </row>
    <row r="539">
      <c r="A539" s="3" t="n">
        <v>42118</v>
      </c>
      <c r="B539" t="n">
        <v>227451</v>
      </c>
      <c r="C539" t="n">
        <v>547</v>
      </c>
      <c r="D539" t="n">
        <v>3516</v>
      </c>
      <c r="E539" t="n">
        <v>467</v>
      </c>
      <c r="F539">
        <f>IF(C539="","",C539*7/B539)</f>
        <v/>
      </c>
    </row>
    <row r="540">
      <c r="A540" s="3" t="n">
        <v>42125</v>
      </c>
      <c r="B540" t="n">
        <v>227852</v>
      </c>
      <c r="C540" t="n">
        <v>547</v>
      </c>
      <c r="D540" t="n">
        <v>3516</v>
      </c>
      <c r="E540" t="n">
        <v>467</v>
      </c>
      <c r="F540">
        <f>IF(C540="","",C540*7/B540)</f>
        <v/>
      </c>
    </row>
    <row r="541">
      <c r="A541" s="3" t="n">
        <v>42132</v>
      </c>
      <c r="B541" t="n">
        <v>226710</v>
      </c>
      <c r="C541" t="n">
        <v>547</v>
      </c>
      <c r="D541" t="n">
        <v>3516</v>
      </c>
      <c r="E541" t="n">
        <v>467</v>
      </c>
      <c r="F541">
        <f>IF(C541="","",C541*7/B541)</f>
        <v/>
      </c>
    </row>
    <row r="542">
      <c r="A542" s="3" t="n">
        <v>42139</v>
      </c>
      <c r="B542" t="n">
        <v>223936</v>
      </c>
      <c r="C542" t="n">
        <v>547</v>
      </c>
      <c r="D542" t="n">
        <v>3516</v>
      </c>
      <c r="E542" t="n">
        <v>467</v>
      </c>
      <c r="F542">
        <f>IF(C542="","",C542*7/B542)</f>
        <v/>
      </c>
    </row>
    <row r="543">
      <c r="A543" s="3" t="n">
        <v>42146</v>
      </c>
      <c r="B543" t="n">
        <v>220627</v>
      </c>
      <c r="C543" t="n">
        <v>426</v>
      </c>
      <c r="D543" t="n">
        <v>3353</v>
      </c>
      <c r="E543" t="n">
        <v>441</v>
      </c>
      <c r="F543">
        <f>IF(C543="","",C543*7/B543)</f>
        <v/>
      </c>
    </row>
    <row r="544">
      <c r="A544" s="3" t="n">
        <v>42153</v>
      </c>
      <c r="B544" t="n">
        <v>220293</v>
      </c>
      <c r="C544" t="n">
        <v>426</v>
      </c>
      <c r="D544" t="n">
        <v>3353</v>
      </c>
      <c r="E544" t="n">
        <v>441</v>
      </c>
      <c r="F544">
        <f>IF(C544="","",C544*7/B544)</f>
        <v/>
      </c>
    </row>
    <row r="545">
      <c r="A545" s="3" t="n">
        <v>42160</v>
      </c>
      <c r="B545" t="n">
        <v>217354</v>
      </c>
      <c r="C545" t="n">
        <v>426</v>
      </c>
      <c r="D545" t="n">
        <v>3353</v>
      </c>
      <c r="E545" t="n">
        <v>441</v>
      </c>
      <c r="F545">
        <f>IF(C545="","",C545*7/B545)</f>
        <v/>
      </c>
    </row>
    <row r="546">
      <c r="A546" s="3" t="n">
        <v>42167</v>
      </c>
      <c r="B546" t="n">
        <v>217814</v>
      </c>
      <c r="C546" t="n">
        <v>426</v>
      </c>
      <c r="D546" t="n">
        <v>3353</v>
      </c>
      <c r="E546" t="n">
        <v>441</v>
      </c>
      <c r="F546">
        <f>IF(C546="","",C546*7/B546)</f>
        <v/>
      </c>
    </row>
    <row r="547">
      <c r="A547" s="3" t="n">
        <v>42174</v>
      </c>
      <c r="B547" t="n">
        <v>218494</v>
      </c>
      <c r="C547" t="n">
        <v>366</v>
      </c>
      <c r="D547" t="n">
        <v>3741</v>
      </c>
      <c r="E547" t="n">
        <v>571</v>
      </c>
      <c r="F547">
        <f>IF(C547="","",C547*7/B547)</f>
        <v/>
      </c>
    </row>
    <row r="548">
      <c r="A548" s="3" t="n">
        <v>42181</v>
      </c>
      <c r="B548" t="n">
        <v>216737</v>
      </c>
      <c r="C548" t="n">
        <v>366</v>
      </c>
      <c r="D548" t="n">
        <v>3741</v>
      </c>
      <c r="E548" t="n">
        <v>571</v>
      </c>
      <c r="F548">
        <f>IF(C548="","",C548*7/B548)</f>
        <v/>
      </c>
    </row>
    <row r="549">
      <c r="A549" s="3" t="n">
        <v>42188</v>
      </c>
      <c r="B549" t="n">
        <v>217952</v>
      </c>
      <c r="C549" t="n">
        <v>366</v>
      </c>
      <c r="D549" t="n">
        <v>3741</v>
      </c>
      <c r="E549" t="n">
        <v>571</v>
      </c>
      <c r="F549">
        <f>IF(C549="","",C549*7/B549)</f>
        <v/>
      </c>
    </row>
    <row r="550">
      <c r="A550" s="3" t="n">
        <v>42195</v>
      </c>
      <c r="B550" t="n">
        <v>218010</v>
      </c>
      <c r="C550" t="n">
        <v>366</v>
      </c>
      <c r="D550" t="n">
        <v>3741</v>
      </c>
      <c r="E550" t="n">
        <v>571</v>
      </c>
      <c r="F550">
        <f>IF(C550="","",C550*7/B550)</f>
        <v/>
      </c>
    </row>
    <row r="551">
      <c r="A551" s="3" t="n">
        <v>42202</v>
      </c>
      <c r="B551" t="n">
        <v>216285</v>
      </c>
      <c r="C551" t="n">
        <v>366</v>
      </c>
      <c r="D551" t="n">
        <v>3741</v>
      </c>
      <c r="E551" t="n">
        <v>571</v>
      </c>
      <c r="F551">
        <f>IF(C551="","",C551*7/B551)</f>
        <v/>
      </c>
    </row>
    <row r="552">
      <c r="A552" s="3" t="n">
        <v>42209</v>
      </c>
      <c r="B552" t="n">
        <v>215922</v>
      </c>
      <c r="C552" t="n">
        <v>366</v>
      </c>
      <c r="D552" t="n">
        <v>3741</v>
      </c>
      <c r="E552" t="n">
        <v>571</v>
      </c>
      <c r="F552">
        <f>IF(C552="","",C552*7/B552)</f>
        <v/>
      </c>
    </row>
    <row r="553">
      <c r="A553" s="3" t="n">
        <v>42216</v>
      </c>
      <c r="B553" t="n">
        <v>216733</v>
      </c>
      <c r="C553" t="n">
        <v>444</v>
      </c>
      <c r="D553" t="n">
        <v>3884</v>
      </c>
      <c r="E553" t="n">
        <v>576</v>
      </c>
      <c r="F553">
        <f>IF(C553="","",C553*7/B553)</f>
        <v/>
      </c>
    </row>
    <row r="554">
      <c r="A554" s="3" t="n">
        <v>42223</v>
      </c>
      <c r="B554" t="n">
        <v>215482</v>
      </c>
      <c r="C554" t="n">
        <v>444</v>
      </c>
      <c r="D554" t="n">
        <v>3884</v>
      </c>
      <c r="E554" t="n">
        <v>576</v>
      </c>
      <c r="F554">
        <f>IF(C554="","",C554*7/B554)</f>
        <v/>
      </c>
    </row>
    <row r="555">
      <c r="A555" s="3" t="n">
        <v>42230</v>
      </c>
      <c r="B555" t="n">
        <v>212774</v>
      </c>
      <c r="C555" t="n">
        <v>444</v>
      </c>
      <c r="D555" t="n">
        <v>3884</v>
      </c>
      <c r="E555" t="n">
        <v>576</v>
      </c>
      <c r="F555">
        <f>IF(C555="","",C555*7/B555)</f>
        <v/>
      </c>
    </row>
    <row r="556">
      <c r="A556" s="3" t="n">
        <v>42237</v>
      </c>
      <c r="B556" t="n">
        <v>214434</v>
      </c>
      <c r="C556" t="n">
        <v>419</v>
      </c>
      <c r="D556" t="n">
        <v>3695</v>
      </c>
      <c r="E556" t="n">
        <v>477</v>
      </c>
      <c r="F556">
        <f>IF(C556="","",C556*7/B556)</f>
        <v/>
      </c>
    </row>
    <row r="557">
      <c r="A557" s="3" t="n">
        <v>42244</v>
      </c>
      <c r="B557" t="n">
        <v>214163</v>
      </c>
      <c r="C557" t="n">
        <v>419</v>
      </c>
      <c r="D557" t="n">
        <v>3695</v>
      </c>
      <c r="E557" t="n">
        <v>477</v>
      </c>
      <c r="F557">
        <f>IF(C557="","",C557*7/B557)</f>
        <v/>
      </c>
    </row>
    <row r="558">
      <c r="A558" s="3" t="n">
        <v>42251</v>
      </c>
      <c r="B558" t="n">
        <v>214547</v>
      </c>
      <c r="C558" t="n">
        <v>419</v>
      </c>
      <c r="D558" t="n">
        <v>3695</v>
      </c>
      <c r="E558" t="n">
        <v>477</v>
      </c>
      <c r="F558">
        <f>IF(C558="","",C558*7/B558)</f>
        <v/>
      </c>
    </row>
    <row r="559">
      <c r="A559" s="3" t="n">
        <v>42258</v>
      </c>
      <c r="B559" t="n">
        <v>217387</v>
      </c>
      <c r="C559" t="n">
        <v>419</v>
      </c>
      <c r="D559" t="n">
        <v>3695</v>
      </c>
      <c r="E559" t="n">
        <v>477</v>
      </c>
      <c r="F559">
        <f>IF(C559="","",C559*7/B559)</f>
        <v/>
      </c>
    </row>
    <row r="560">
      <c r="A560" s="3" t="n">
        <v>42265</v>
      </c>
      <c r="B560" t="n">
        <v>218756</v>
      </c>
      <c r="C560" t="n">
        <v>419</v>
      </c>
      <c r="D560" t="n">
        <v>3695</v>
      </c>
      <c r="E560" t="n">
        <v>477</v>
      </c>
      <c r="F560">
        <f>IF(C560="","",C560*7/B560)</f>
        <v/>
      </c>
    </row>
    <row r="561">
      <c r="A561" s="3" t="n">
        <v>42272</v>
      </c>
      <c r="B561" t="n">
        <v>222010</v>
      </c>
      <c r="C561" t="n">
        <v>513</v>
      </c>
      <c r="D561" t="n">
        <v>4035</v>
      </c>
      <c r="E561" t="n">
        <v>526</v>
      </c>
      <c r="F561">
        <f>IF(C561="","",C561*7/B561)</f>
        <v/>
      </c>
    </row>
    <row r="562">
      <c r="A562" s="3" t="n">
        <v>42279</v>
      </c>
      <c r="B562" t="n">
        <v>223920</v>
      </c>
      <c r="C562" t="n">
        <v>513</v>
      </c>
      <c r="D562" t="n">
        <v>4035</v>
      </c>
      <c r="E562" t="n">
        <v>526</v>
      </c>
      <c r="F562">
        <f>IF(C562="","",C562*7/B562)</f>
        <v/>
      </c>
    </row>
    <row r="563">
      <c r="A563" s="3" t="n">
        <v>42286</v>
      </c>
      <c r="B563" t="n">
        <v>221302</v>
      </c>
      <c r="C563" t="n">
        <v>513</v>
      </c>
      <c r="D563" t="n">
        <v>4035</v>
      </c>
      <c r="E563" t="n">
        <v>526</v>
      </c>
      <c r="F563">
        <f>IF(C563="","",C563*7/B563)</f>
        <v/>
      </c>
    </row>
    <row r="564">
      <c r="A564" s="3" t="n">
        <v>42293</v>
      </c>
      <c r="B564" t="n">
        <v>219784</v>
      </c>
      <c r="C564" t="n">
        <v>513</v>
      </c>
      <c r="D564" t="n">
        <v>4035</v>
      </c>
      <c r="E564" t="n">
        <v>526</v>
      </c>
      <c r="F564">
        <f>IF(C564="","",C564*7/B564)</f>
        <v/>
      </c>
    </row>
    <row r="565">
      <c r="A565" s="3" t="n">
        <v>42300</v>
      </c>
      <c r="B565" t="n">
        <v>218647</v>
      </c>
      <c r="C565" t="n">
        <v>439</v>
      </c>
      <c r="D565" t="n">
        <v>3693</v>
      </c>
      <c r="E565" t="n">
        <v>504</v>
      </c>
      <c r="F565">
        <f>IF(C565="","",C565*7/B565)</f>
        <v/>
      </c>
    </row>
    <row r="566">
      <c r="A566" s="3" t="n">
        <v>42307</v>
      </c>
      <c r="B566" t="n">
        <v>215347</v>
      </c>
      <c r="C566" t="n">
        <v>439</v>
      </c>
      <c r="D566" t="n">
        <v>3693</v>
      </c>
      <c r="E566" t="n">
        <v>504</v>
      </c>
      <c r="F566">
        <f>IF(C566="","",C566*7/B566)</f>
        <v/>
      </c>
    </row>
    <row r="567">
      <c r="A567" s="3" t="n">
        <v>42314</v>
      </c>
      <c r="B567" t="n">
        <v>213245</v>
      </c>
      <c r="C567" t="n">
        <v>439</v>
      </c>
      <c r="D567" t="n">
        <v>3693</v>
      </c>
      <c r="E567" t="n">
        <v>504</v>
      </c>
      <c r="F567">
        <f>IF(C567="","",C567*7/B567)</f>
        <v/>
      </c>
    </row>
    <row r="568">
      <c r="A568" s="3" t="n">
        <v>42321</v>
      </c>
      <c r="B568" t="n">
        <v>214254</v>
      </c>
      <c r="C568" t="n">
        <v>439</v>
      </c>
      <c r="D568" t="n">
        <v>3693</v>
      </c>
      <c r="E568" t="n">
        <v>504</v>
      </c>
      <c r="F568">
        <f>IF(C568="","",C568*7/B568)</f>
        <v/>
      </c>
    </row>
    <row r="569">
      <c r="A569" s="3" t="n">
        <v>42328</v>
      </c>
      <c r="B569" t="n">
        <v>216732</v>
      </c>
      <c r="C569" t="n">
        <v>616</v>
      </c>
      <c r="D569" t="n">
        <v>4153</v>
      </c>
      <c r="E569" t="n">
        <v>445</v>
      </c>
      <c r="F569">
        <f>IF(C569="","",C569*7/B569)</f>
        <v/>
      </c>
    </row>
    <row r="570">
      <c r="A570" s="3" t="n">
        <v>42335</v>
      </c>
      <c r="B570" t="n">
        <v>216867</v>
      </c>
      <c r="C570" t="n">
        <v>616</v>
      </c>
      <c r="D570" t="n">
        <v>4153</v>
      </c>
      <c r="E570" t="n">
        <v>445</v>
      </c>
      <c r="F570">
        <f>IF(C570="","",C570*7/B570)</f>
        <v/>
      </c>
    </row>
    <row r="571">
      <c r="A571" s="3" t="n">
        <v>42342</v>
      </c>
      <c r="B571" t="n">
        <v>217653</v>
      </c>
      <c r="C571" t="n">
        <v>616</v>
      </c>
      <c r="D571" t="n">
        <v>4153</v>
      </c>
      <c r="E571" t="n">
        <v>445</v>
      </c>
      <c r="F571">
        <f>IF(C571="","",C571*7/B571)</f>
        <v/>
      </c>
    </row>
    <row r="572">
      <c r="A572" s="3" t="n">
        <v>42349</v>
      </c>
      <c r="B572" t="n">
        <v>219384</v>
      </c>
      <c r="C572" t="n">
        <v>616</v>
      </c>
      <c r="D572" t="n">
        <v>4153</v>
      </c>
      <c r="E572" t="n">
        <v>445</v>
      </c>
      <c r="F572">
        <f>IF(C572="","",C572*7/B572)</f>
        <v/>
      </c>
    </row>
    <row r="573">
      <c r="A573" s="3" t="n">
        <v>42356</v>
      </c>
      <c r="B573" t="n">
        <v>220495</v>
      </c>
      <c r="C573" t="n">
        <v>472</v>
      </c>
      <c r="D573" t="n">
        <v>3843</v>
      </c>
      <c r="E573" t="n">
        <v>500</v>
      </c>
      <c r="F573">
        <f>IF(C573="","",C573*7/B573)</f>
        <v/>
      </c>
    </row>
    <row r="574">
      <c r="A574" s="3" t="n">
        <v>42363</v>
      </c>
      <c r="B574" t="n">
        <v>221420</v>
      </c>
      <c r="C574" t="n">
        <v>472</v>
      </c>
      <c r="D574" t="n">
        <v>3843</v>
      </c>
      <c r="E574" t="n">
        <v>500</v>
      </c>
      <c r="F574">
        <f>IF(C574="","",C574*7/B574)</f>
        <v/>
      </c>
    </row>
    <row r="575">
      <c r="A575" s="3" t="n">
        <v>42370</v>
      </c>
      <c r="B575" t="n">
        <v>231996</v>
      </c>
      <c r="C575" t="n">
        <v>472</v>
      </c>
      <c r="D575" t="n">
        <v>3843</v>
      </c>
      <c r="E575" t="n">
        <v>500</v>
      </c>
      <c r="F575">
        <f>IF(C575="","",C575*7/B575)</f>
        <v/>
      </c>
    </row>
    <row r="576">
      <c r="A576" s="3" t="n">
        <v>42377</v>
      </c>
      <c r="B576" t="n">
        <v>240434</v>
      </c>
      <c r="C576" t="n">
        <v>472</v>
      </c>
      <c r="D576" t="n">
        <v>3843</v>
      </c>
      <c r="E576" t="n">
        <v>500</v>
      </c>
      <c r="F576">
        <f>IF(C576="","",C576*7/B576)</f>
        <v/>
      </c>
    </row>
    <row r="577">
      <c r="A577" s="3" t="n">
        <v>42384</v>
      </c>
      <c r="B577" t="n">
        <v>244997</v>
      </c>
      <c r="C577" t="n">
        <v>472</v>
      </c>
      <c r="D577" t="n">
        <v>3843</v>
      </c>
      <c r="E577" t="n">
        <v>500</v>
      </c>
      <c r="F577">
        <f>IF(C577="","",C577*7/B577)</f>
        <v/>
      </c>
    </row>
    <row r="578">
      <c r="A578" s="3" t="n">
        <v>42391</v>
      </c>
      <c r="B578" t="n">
        <v>248461</v>
      </c>
      <c r="C578" t="n">
        <v>460</v>
      </c>
      <c r="D578" t="n">
        <v>3965</v>
      </c>
      <c r="E578" t="n">
        <v>399</v>
      </c>
      <c r="F578">
        <f>IF(C578="","",C578*7/B578)</f>
        <v/>
      </c>
    </row>
    <row r="579">
      <c r="A579" s="3" t="n">
        <v>42398</v>
      </c>
      <c r="B579" t="n">
        <v>254399</v>
      </c>
      <c r="C579" t="n">
        <v>460</v>
      </c>
      <c r="D579" t="n">
        <v>3965</v>
      </c>
      <c r="E579" t="n">
        <v>399</v>
      </c>
      <c r="F579">
        <f>IF(C579="","",C579*7/B579)</f>
        <v/>
      </c>
    </row>
    <row r="580">
      <c r="A580" s="3" t="n">
        <v>42405</v>
      </c>
      <c r="B580" t="n">
        <v>255657</v>
      </c>
      <c r="C580" t="n">
        <v>460</v>
      </c>
      <c r="D580" t="n">
        <v>3965</v>
      </c>
      <c r="E580" t="n">
        <v>399</v>
      </c>
      <c r="F580">
        <f>IF(C580="","",C580*7/B580)</f>
        <v/>
      </c>
    </row>
    <row r="581">
      <c r="A581" s="3" t="n">
        <v>42412</v>
      </c>
      <c r="B581" t="n">
        <v>258693</v>
      </c>
      <c r="C581" t="n">
        <v>460</v>
      </c>
      <c r="D581" t="n">
        <v>3965</v>
      </c>
      <c r="E581" t="n">
        <v>399</v>
      </c>
      <c r="F581">
        <f>IF(C581="","",C581*7/B581)</f>
        <v/>
      </c>
    </row>
    <row r="582">
      <c r="A582" s="3" t="n">
        <v>42419</v>
      </c>
      <c r="B582" t="n">
        <v>256457</v>
      </c>
      <c r="C582" t="n">
        <v>460</v>
      </c>
      <c r="D582" t="n">
        <v>3965</v>
      </c>
      <c r="E582" t="n">
        <v>399</v>
      </c>
      <c r="F582">
        <f>IF(C582="","",C582*7/B582)</f>
        <v/>
      </c>
    </row>
    <row r="583">
      <c r="A583" s="3" t="n">
        <v>42426</v>
      </c>
      <c r="B583" t="n">
        <v>254989</v>
      </c>
      <c r="C583" t="n">
        <v>398</v>
      </c>
      <c r="D583" t="n">
        <v>4385</v>
      </c>
      <c r="E583" t="n">
        <v>387</v>
      </c>
      <c r="F583">
        <f>IF(C583="","",C583*7/B583)</f>
        <v/>
      </c>
    </row>
    <row r="584">
      <c r="A584" s="3" t="n">
        <v>42433</v>
      </c>
      <c r="B584" t="n">
        <v>250463</v>
      </c>
      <c r="C584" t="n">
        <v>398</v>
      </c>
      <c r="D584" t="n">
        <v>4385</v>
      </c>
      <c r="E584" t="n">
        <v>387</v>
      </c>
      <c r="F584">
        <f>IF(C584="","",C584*7/B584)</f>
        <v/>
      </c>
    </row>
    <row r="585">
      <c r="A585" s="3" t="n">
        <v>42440</v>
      </c>
      <c r="B585" t="n">
        <v>249716</v>
      </c>
      <c r="C585" t="n">
        <v>398</v>
      </c>
      <c r="D585" t="n">
        <v>4385</v>
      </c>
      <c r="E585" t="n">
        <v>387</v>
      </c>
      <c r="F585">
        <f>IF(C585="","",C585*7/B585)</f>
        <v/>
      </c>
    </row>
    <row r="586">
      <c r="A586" s="3" t="n">
        <v>42447</v>
      </c>
      <c r="B586" t="n">
        <v>245074</v>
      </c>
      <c r="C586" t="n">
        <v>398</v>
      </c>
      <c r="D586" t="n">
        <v>4385</v>
      </c>
      <c r="E586" t="n">
        <v>387</v>
      </c>
      <c r="F586">
        <f>IF(C586="","",C586*7/B586)</f>
        <v/>
      </c>
    </row>
    <row r="587">
      <c r="A587" s="3" t="n">
        <v>42454</v>
      </c>
      <c r="B587" t="n">
        <v>242560</v>
      </c>
      <c r="C587" t="n">
        <v>398</v>
      </c>
      <c r="D587" t="n">
        <v>4385</v>
      </c>
      <c r="E587" t="n">
        <v>387</v>
      </c>
      <c r="F587">
        <f>IF(C587="","",C587*7/B587)</f>
        <v/>
      </c>
    </row>
    <row r="588">
      <c r="A588" s="3" t="n">
        <v>42461</v>
      </c>
      <c r="B588" t="n">
        <v>243998</v>
      </c>
      <c r="C588" t="n">
        <v>389</v>
      </c>
      <c r="D588" t="n">
        <v>3684</v>
      </c>
      <c r="E588" t="n">
        <v>339</v>
      </c>
      <c r="F588">
        <f>IF(C588="","",C588*7/B588)</f>
        <v/>
      </c>
    </row>
    <row r="589">
      <c r="A589" s="3" t="n">
        <v>42468</v>
      </c>
      <c r="B589" t="n">
        <v>239761</v>
      </c>
      <c r="C589" t="n">
        <v>389</v>
      </c>
      <c r="D589" t="n">
        <v>3684</v>
      </c>
      <c r="E589" t="n">
        <v>339</v>
      </c>
      <c r="F589">
        <f>IF(C589="","",C589*7/B589)</f>
        <v/>
      </c>
    </row>
    <row r="590">
      <c r="A590" s="3" t="n">
        <v>42475</v>
      </c>
      <c r="B590" t="n">
        <v>239651</v>
      </c>
      <c r="C590" t="n">
        <v>389</v>
      </c>
      <c r="D590" t="n">
        <v>3684</v>
      </c>
      <c r="E590" t="n">
        <v>339</v>
      </c>
      <c r="F590">
        <f>IF(C590="","",C590*7/B590)</f>
        <v/>
      </c>
    </row>
    <row r="591">
      <c r="A591" s="3" t="n">
        <v>42482</v>
      </c>
      <c r="B591" t="n">
        <v>241259</v>
      </c>
      <c r="C591" t="n">
        <v>413</v>
      </c>
      <c r="D591" t="n">
        <v>3608</v>
      </c>
      <c r="E591" t="n">
        <v>390</v>
      </c>
      <c r="F591">
        <f>IF(C591="","",C591*7/B591)</f>
        <v/>
      </c>
    </row>
    <row r="592">
      <c r="A592" s="3" t="n">
        <v>42489</v>
      </c>
      <c r="B592" t="n">
        <v>241795</v>
      </c>
      <c r="C592" t="n">
        <v>413</v>
      </c>
      <c r="D592" t="n">
        <v>3608</v>
      </c>
      <c r="E592" t="n">
        <v>390</v>
      </c>
      <c r="F592">
        <f>IF(C592="","",C592*7/B592)</f>
        <v/>
      </c>
    </row>
    <row r="593">
      <c r="A593" s="3" t="n">
        <v>42496</v>
      </c>
      <c r="B593" t="n">
        <v>240564</v>
      </c>
      <c r="C593" t="n">
        <v>413</v>
      </c>
      <c r="D593" t="n">
        <v>3608</v>
      </c>
      <c r="E593" t="n">
        <v>390</v>
      </c>
      <c r="F593">
        <f>IF(C593="","",C593*7/B593)</f>
        <v/>
      </c>
    </row>
    <row r="594">
      <c r="A594" s="3" t="n">
        <v>42503</v>
      </c>
      <c r="B594" t="n">
        <v>238068</v>
      </c>
      <c r="C594" t="n">
        <v>413</v>
      </c>
      <c r="D594" t="n">
        <v>3608</v>
      </c>
      <c r="E594" t="n">
        <v>390</v>
      </c>
      <c r="F594">
        <f>IF(C594="","",C594*7/B594)</f>
        <v/>
      </c>
    </row>
    <row r="595">
      <c r="A595" s="3" t="n">
        <v>42510</v>
      </c>
      <c r="B595" t="n">
        <v>240111</v>
      </c>
      <c r="C595" t="n">
        <v>413</v>
      </c>
      <c r="D595" t="n">
        <v>3608</v>
      </c>
      <c r="E595" t="n">
        <v>390</v>
      </c>
      <c r="F595">
        <f>IF(C595="","",C595*7/B595)</f>
        <v/>
      </c>
    </row>
    <row r="596">
      <c r="A596" s="3" t="n">
        <v>42517</v>
      </c>
      <c r="B596" t="n">
        <v>238619</v>
      </c>
      <c r="C596" t="n">
        <v>374</v>
      </c>
      <c r="D596" t="n">
        <v>3729</v>
      </c>
      <c r="E596" t="n">
        <v>489</v>
      </c>
      <c r="F596">
        <f>IF(C596="","",C596*7/B596)</f>
        <v/>
      </c>
    </row>
    <row r="597">
      <c r="A597" s="3" t="n">
        <v>42524</v>
      </c>
      <c r="B597" t="n">
        <v>239629</v>
      </c>
      <c r="C597" t="n">
        <v>374</v>
      </c>
      <c r="D597" t="n">
        <v>3729</v>
      </c>
      <c r="E597" t="n">
        <v>489</v>
      </c>
      <c r="F597">
        <f>IF(C597="","",C597*7/B597)</f>
        <v/>
      </c>
    </row>
    <row r="598">
      <c r="A598" s="3" t="n">
        <v>42531</v>
      </c>
      <c r="B598" t="n">
        <v>237004</v>
      </c>
      <c r="C598" t="n">
        <v>374</v>
      </c>
      <c r="D598" t="n">
        <v>3729</v>
      </c>
      <c r="E598" t="n">
        <v>489</v>
      </c>
      <c r="F598">
        <f>IF(C598="","",C598*7/B598)</f>
        <v/>
      </c>
    </row>
    <row r="599">
      <c r="A599" s="3" t="n">
        <v>42538</v>
      </c>
      <c r="B599" t="n">
        <v>237631</v>
      </c>
      <c r="C599" t="n">
        <v>374</v>
      </c>
      <c r="D599" t="n">
        <v>3729</v>
      </c>
      <c r="E599" t="n">
        <v>489</v>
      </c>
      <c r="F599">
        <f>IF(C599="","",C599*7/B599)</f>
        <v/>
      </c>
    </row>
    <row r="600">
      <c r="A600" s="3" t="n">
        <v>42545</v>
      </c>
      <c r="B600" t="n">
        <v>238998</v>
      </c>
      <c r="C600" t="n">
        <v>395</v>
      </c>
      <c r="D600" t="n">
        <v>3894</v>
      </c>
      <c r="E600" t="n">
        <v>598</v>
      </c>
      <c r="F600">
        <f>IF(C600="","",C600*7/B600)</f>
        <v/>
      </c>
    </row>
    <row r="601">
      <c r="A601" s="3" t="n">
        <v>42552</v>
      </c>
      <c r="B601" t="n">
        <v>238876</v>
      </c>
      <c r="C601" t="n">
        <v>395</v>
      </c>
      <c r="D601" t="n">
        <v>3894</v>
      </c>
      <c r="E601" t="n">
        <v>598</v>
      </c>
      <c r="F601">
        <f>IF(C601="","",C601*7/B601)</f>
        <v/>
      </c>
    </row>
    <row r="602">
      <c r="A602" s="3" t="n">
        <v>42559</v>
      </c>
      <c r="B602" t="n">
        <v>240089</v>
      </c>
      <c r="C602" t="n">
        <v>395</v>
      </c>
      <c r="D602" t="n">
        <v>3894</v>
      </c>
      <c r="E602" t="n">
        <v>598</v>
      </c>
      <c r="F602">
        <f>IF(C602="","",C602*7/B602)</f>
        <v/>
      </c>
    </row>
    <row r="603">
      <c r="A603" s="3" t="n">
        <v>42566</v>
      </c>
      <c r="B603" t="n">
        <v>241000</v>
      </c>
      <c r="C603" t="n">
        <v>395</v>
      </c>
      <c r="D603" t="n">
        <v>3894</v>
      </c>
      <c r="E603" t="n">
        <v>598</v>
      </c>
      <c r="F603">
        <f>IF(C603="","",C603*7/B603)</f>
        <v/>
      </c>
    </row>
    <row r="604">
      <c r="A604" s="3" t="n">
        <v>42573</v>
      </c>
      <c r="B604" t="n">
        <v>241452</v>
      </c>
      <c r="C604" t="n">
        <v>454</v>
      </c>
      <c r="D604" t="n">
        <v>3901</v>
      </c>
      <c r="E604" t="n">
        <v>677</v>
      </c>
      <c r="F604">
        <f>IF(C604="","",C604*7/B604)</f>
        <v/>
      </c>
    </row>
    <row r="605">
      <c r="A605" s="3" t="n">
        <v>42580</v>
      </c>
      <c r="B605" t="n">
        <v>238190</v>
      </c>
      <c r="C605" t="n">
        <v>454</v>
      </c>
      <c r="D605" t="n">
        <v>3901</v>
      </c>
      <c r="E605" t="n">
        <v>677</v>
      </c>
      <c r="F605">
        <f>IF(C605="","",C605*7/B605)</f>
        <v/>
      </c>
    </row>
    <row r="606">
      <c r="A606" s="3" t="n">
        <v>42587</v>
      </c>
      <c r="B606" t="n">
        <v>235383</v>
      </c>
      <c r="C606" t="n">
        <v>454</v>
      </c>
      <c r="D606" t="n">
        <v>3901</v>
      </c>
      <c r="E606" t="n">
        <v>677</v>
      </c>
      <c r="F606">
        <f>IF(C606="","",C606*7/B606)</f>
        <v/>
      </c>
    </row>
    <row r="607">
      <c r="A607" s="3" t="n">
        <v>42594</v>
      </c>
      <c r="B607" t="n">
        <v>232659</v>
      </c>
      <c r="C607" t="n">
        <v>454</v>
      </c>
      <c r="D607" t="n">
        <v>3901</v>
      </c>
      <c r="E607" t="n">
        <v>677</v>
      </c>
      <c r="F607">
        <f>IF(C607="","",C607*7/B607)</f>
        <v/>
      </c>
    </row>
    <row r="608">
      <c r="A608" s="3" t="n">
        <v>42601</v>
      </c>
      <c r="B608" t="n">
        <v>232695</v>
      </c>
      <c r="C608" t="n">
        <v>454</v>
      </c>
      <c r="D608" t="n">
        <v>3901</v>
      </c>
      <c r="E608" t="n">
        <v>677</v>
      </c>
      <c r="F608">
        <f>IF(C608="","",C608*7/B608)</f>
        <v/>
      </c>
    </row>
    <row r="609">
      <c r="A609" s="3" t="n">
        <v>42608</v>
      </c>
      <c r="B609" t="n">
        <v>232004</v>
      </c>
      <c r="C609" t="n">
        <v>549</v>
      </c>
      <c r="D609" t="n">
        <v>4278</v>
      </c>
      <c r="E609" t="n">
        <v>698</v>
      </c>
      <c r="F609">
        <f>IF(C609="","",C609*7/B609)</f>
        <v/>
      </c>
    </row>
    <row r="610">
      <c r="A610" s="3" t="n">
        <v>42615</v>
      </c>
      <c r="B610" t="n">
        <v>227793</v>
      </c>
      <c r="C610" t="n">
        <v>655</v>
      </c>
      <c r="D610" t="n">
        <v>3565</v>
      </c>
      <c r="E610" t="n">
        <v>501</v>
      </c>
      <c r="F610">
        <f>IF(C610="","",C610*7/B610)</f>
        <v/>
      </c>
    </row>
    <row r="611">
      <c r="A611" s="3" t="n">
        <v>42622</v>
      </c>
      <c r="B611" t="n">
        <v>228360</v>
      </c>
      <c r="C611" t="n">
        <v>553</v>
      </c>
      <c r="D611" t="n">
        <v>3785</v>
      </c>
      <c r="E611" t="n">
        <v>418</v>
      </c>
      <c r="F611">
        <f>IF(C611="","",C611*7/B611)</f>
        <v/>
      </c>
    </row>
    <row r="612">
      <c r="A612" s="3" t="n">
        <v>42629</v>
      </c>
      <c r="B612" t="n">
        <v>225156</v>
      </c>
      <c r="C612" t="n">
        <v>606</v>
      </c>
      <c r="D612" t="n">
        <v>5148</v>
      </c>
      <c r="E612" t="n">
        <v>588</v>
      </c>
      <c r="F612">
        <f>IF(C612="","",C612*7/B612)</f>
        <v/>
      </c>
    </row>
    <row r="613">
      <c r="A613" s="3" t="n">
        <v>42636</v>
      </c>
      <c r="B613" t="n">
        <v>227183</v>
      </c>
      <c r="C613" t="n">
        <v>547</v>
      </c>
      <c r="D613" t="n">
        <v>4957</v>
      </c>
      <c r="E613" t="n">
        <v>507</v>
      </c>
      <c r="F613">
        <f>IF(C613="","",C613*7/B613)</f>
        <v/>
      </c>
    </row>
    <row r="614">
      <c r="A614" s="3" t="n">
        <v>42643</v>
      </c>
      <c r="B614" t="n">
        <v>227405</v>
      </c>
      <c r="C614" t="n">
        <v>727</v>
      </c>
      <c r="D614" t="n">
        <v>4850</v>
      </c>
      <c r="E614" t="n">
        <v>440</v>
      </c>
      <c r="F614">
        <f>IF(C614="","",C614*7/B614)</f>
        <v/>
      </c>
    </row>
    <row r="615">
      <c r="A615" s="3" t="n">
        <v>42650</v>
      </c>
      <c r="B615" t="n">
        <v>225498</v>
      </c>
      <c r="C615" t="n">
        <v>805</v>
      </c>
      <c r="D615" t="n">
        <v>4130</v>
      </c>
      <c r="E615" t="n">
        <v>481</v>
      </c>
      <c r="F615">
        <f>IF(C615="","",C615*7/B615)</f>
        <v/>
      </c>
    </row>
    <row r="616">
      <c r="A616" s="3" t="n">
        <v>42657</v>
      </c>
      <c r="B616" t="n">
        <v>227967</v>
      </c>
      <c r="C616" t="n">
        <v>644</v>
      </c>
      <c r="D616" t="n">
        <v>3507</v>
      </c>
      <c r="E616" t="n">
        <v>439</v>
      </c>
      <c r="F616">
        <f>IF(C616="","",C616*7/B616)</f>
        <v/>
      </c>
    </row>
    <row r="617">
      <c r="A617" s="3" t="n">
        <v>42664</v>
      </c>
      <c r="B617" t="n">
        <v>226011</v>
      </c>
      <c r="C617" t="n">
        <v>811</v>
      </c>
      <c r="D617" t="n">
        <v>4185</v>
      </c>
      <c r="E617" t="n">
        <v>415</v>
      </c>
      <c r="F617">
        <f>IF(C617="","",C617*7/B617)</f>
        <v/>
      </c>
    </row>
    <row r="618">
      <c r="A618" s="3" t="n">
        <v>42671</v>
      </c>
      <c r="B618" t="n">
        <v>223804</v>
      </c>
      <c r="C618" t="n">
        <v>794</v>
      </c>
      <c r="D618" t="n">
        <v>4194</v>
      </c>
      <c r="E618" t="n">
        <v>404</v>
      </c>
      <c r="F618">
        <f>IF(C618="","",C618*7/B618)</f>
        <v/>
      </c>
    </row>
    <row r="619">
      <c r="A619" s="3" t="n">
        <v>42678</v>
      </c>
      <c r="B619" t="n">
        <v>220963</v>
      </c>
      <c r="C619" t="n">
        <v>1069</v>
      </c>
      <c r="D619" t="n">
        <v>4480</v>
      </c>
      <c r="E619" t="n">
        <v>410</v>
      </c>
      <c r="F619">
        <f>IF(C619="","",C619*7/B619)</f>
        <v/>
      </c>
    </row>
    <row r="620">
      <c r="A620" s="3" t="n">
        <v>42685</v>
      </c>
      <c r="B620" t="n">
        <v>221709</v>
      </c>
      <c r="C620" t="n">
        <v>960</v>
      </c>
      <c r="D620" t="n">
        <v>4758</v>
      </c>
      <c r="E620" t="n">
        <v>481</v>
      </c>
      <c r="F620">
        <f>IF(C620="","",C620*7/B620)</f>
        <v/>
      </c>
    </row>
    <row r="621">
      <c r="A621" s="3" t="n">
        <v>42692</v>
      </c>
      <c r="B621" t="n">
        <v>224026</v>
      </c>
      <c r="C621" t="n">
        <v>874</v>
      </c>
      <c r="D621" t="n">
        <v>4343</v>
      </c>
      <c r="E621" t="n">
        <v>469</v>
      </c>
      <c r="F621">
        <f>IF(C621="","",C621*7/B621)</f>
        <v/>
      </c>
    </row>
    <row r="622">
      <c r="A622" s="3" t="n">
        <v>42699</v>
      </c>
      <c r="B622" t="n">
        <v>226123</v>
      </c>
      <c r="C622" t="n">
        <v>879</v>
      </c>
      <c r="D622" t="n">
        <v>4608</v>
      </c>
      <c r="E622" t="n">
        <v>474</v>
      </c>
      <c r="F622">
        <f>IF(C622="","",C622*7/B622)</f>
        <v/>
      </c>
    </row>
    <row r="623">
      <c r="A623" s="3" t="n">
        <v>42706</v>
      </c>
      <c r="B623" t="n">
        <v>229548</v>
      </c>
      <c r="C623" t="n">
        <v>992</v>
      </c>
      <c r="D623" t="n">
        <v>4767</v>
      </c>
      <c r="E623" t="n">
        <v>499</v>
      </c>
      <c r="F623">
        <f>IF(C623="","",C623*7/B623)</f>
        <v/>
      </c>
    </row>
    <row r="624">
      <c r="A624" s="3" t="n">
        <v>42713</v>
      </c>
      <c r="B624" t="n">
        <v>230045</v>
      </c>
      <c r="C624" t="n">
        <v>1131</v>
      </c>
      <c r="D624" t="n">
        <v>5259</v>
      </c>
      <c r="E624" t="n">
        <v>485</v>
      </c>
      <c r="F624">
        <f>IF(C624="","",C624*7/B624)</f>
        <v/>
      </c>
    </row>
    <row r="625">
      <c r="A625" s="3" t="n">
        <v>42720</v>
      </c>
      <c r="B625" t="n">
        <v>228736</v>
      </c>
      <c r="C625" t="n">
        <v>795</v>
      </c>
      <c r="D625" t="n">
        <v>4874</v>
      </c>
      <c r="E625" t="n">
        <v>557</v>
      </c>
      <c r="F625">
        <f>IF(C625="","",C625*7/B625)</f>
        <v/>
      </c>
    </row>
    <row r="626">
      <c r="A626" s="3" t="n">
        <v>42727</v>
      </c>
      <c r="B626" t="n">
        <v>227143</v>
      </c>
      <c r="C626" t="n">
        <v>1149</v>
      </c>
      <c r="D626" t="n">
        <v>5867</v>
      </c>
      <c r="E626" t="n">
        <v>627</v>
      </c>
      <c r="F626">
        <f>IF(C626="","",C626*7/B626)</f>
        <v/>
      </c>
    </row>
    <row r="627">
      <c r="A627" s="3" t="n">
        <v>42734</v>
      </c>
      <c r="B627" t="n">
        <v>235450</v>
      </c>
      <c r="C627" t="n">
        <v>996</v>
      </c>
      <c r="D627" t="n">
        <v>4986</v>
      </c>
      <c r="E627" t="n">
        <v>686</v>
      </c>
      <c r="F627">
        <f>IF(C627="","",C627*7/B627)</f>
        <v/>
      </c>
    </row>
    <row r="628">
      <c r="A628" s="3" t="n">
        <v>42741</v>
      </c>
      <c r="B628" t="n">
        <v>240473</v>
      </c>
      <c r="C628" t="n">
        <v>981</v>
      </c>
      <c r="D628" t="n">
        <v>5219</v>
      </c>
      <c r="E628" t="n">
        <v>727</v>
      </c>
      <c r="F628">
        <f>IF(C628="","",C628*7/B628)</f>
        <v/>
      </c>
    </row>
    <row r="629">
      <c r="A629" s="3" t="n">
        <v>42748</v>
      </c>
      <c r="B629" t="n">
        <v>246424</v>
      </c>
      <c r="C629" t="n">
        <v>923</v>
      </c>
      <c r="D629" t="n">
        <v>4610</v>
      </c>
      <c r="E629" t="n">
        <v>704</v>
      </c>
      <c r="F629">
        <f>IF(C629="","",C629*7/B629)</f>
        <v/>
      </c>
    </row>
    <row r="630">
      <c r="A630" s="3" t="n">
        <v>42755</v>
      </c>
      <c r="B630" t="n">
        <v>253220</v>
      </c>
      <c r="C630" t="n">
        <v>874</v>
      </c>
      <c r="D630" t="n">
        <v>4941</v>
      </c>
      <c r="E630" t="n">
        <v>599</v>
      </c>
      <c r="F630">
        <f>IF(C630="","",C630*7/B630)</f>
        <v/>
      </c>
    </row>
    <row r="631">
      <c r="A631" s="3" t="n">
        <v>42762</v>
      </c>
      <c r="B631" t="n">
        <v>257086</v>
      </c>
      <c r="C631" t="n">
        <v>902</v>
      </c>
      <c r="D631" t="n">
        <v>4740</v>
      </c>
      <c r="E631" t="n">
        <v>549</v>
      </c>
      <c r="F631">
        <f>IF(C631="","",C631*7/B631)</f>
        <v/>
      </c>
    </row>
    <row r="632">
      <c r="A632" s="3" t="n">
        <v>42769</v>
      </c>
      <c r="B632" t="n">
        <v>256217</v>
      </c>
      <c r="C632" t="n">
        <v>902</v>
      </c>
      <c r="D632" t="n">
        <v>5381</v>
      </c>
      <c r="E632" t="n">
        <v>567</v>
      </c>
      <c r="F632">
        <f>IF(C632="","",C632*7/B632)</f>
        <v/>
      </c>
    </row>
    <row r="633">
      <c r="A633" s="3" t="n">
        <v>42776</v>
      </c>
      <c r="B633" t="n">
        <v>259063</v>
      </c>
      <c r="C633" t="n">
        <v>555</v>
      </c>
      <c r="D633" t="n">
        <v>4507</v>
      </c>
      <c r="E633" t="n">
        <v>1026</v>
      </c>
      <c r="F633">
        <f>IF(C633="","",C633*7/B633)</f>
        <v/>
      </c>
    </row>
    <row r="634">
      <c r="A634" s="3" t="n">
        <v>42783</v>
      </c>
      <c r="B634" t="n">
        <v>256435</v>
      </c>
      <c r="C634" t="n">
        <v>848</v>
      </c>
      <c r="D634" t="n">
        <v>4687</v>
      </c>
      <c r="E634" t="n">
        <v>1211</v>
      </c>
      <c r="F634">
        <f>IF(C634="","",C634*7/B634)</f>
        <v/>
      </c>
    </row>
    <row r="635">
      <c r="A635" s="3" t="n">
        <v>42790</v>
      </c>
      <c r="B635" t="n">
        <v>255889</v>
      </c>
      <c r="C635" t="n">
        <v>891</v>
      </c>
      <c r="D635" t="n">
        <v>4614</v>
      </c>
      <c r="E635" t="n">
        <v>721</v>
      </c>
      <c r="F635">
        <f>IF(C635="","",C635*7/B635)</f>
        <v/>
      </c>
    </row>
    <row r="636">
      <c r="A636" s="3" t="n">
        <v>42797</v>
      </c>
      <c r="B636" t="n">
        <v>249334</v>
      </c>
      <c r="C636" t="n">
        <v>741</v>
      </c>
      <c r="D636" t="n">
        <v>5327</v>
      </c>
      <c r="E636" t="n">
        <v>897</v>
      </c>
      <c r="F636">
        <f>IF(C636="","",C636*7/B636)</f>
        <v/>
      </c>
    </row>
    <row r="637">
      <c r="A637" s="3" t="n">
        <v>42804</v>
      </c>
      <c r="B637" t="n">
        <v>246279</v>
      </c>
      <c r="C637" t="n">
        <v>535</v>
      </c>
      <c r="D637" t="n">
        <v>4968</v>
      </c>
      <c r="E637" t="n">
        <v>717</v>
      </c>
      <c r="F637">
        <f>IF(C637="","",C637*7/B637)</f>
        <v/>
      </c>
    </row>
    <row r="638">
      <c r="A638" s="3" t="n">
        <v>42811</v>
      </c>
      <c r="B638" t="n">
        <v>243468</v>
      </c>
      <c r="C638" t="n">
        <v>592</v>
      </c>
      <c r="D638" t="n">
        <v>4784</v>
      </c>
      <c r="E638" t="n">
        <v>550</v>
      </c>
      <c r="F638">
        <f>IF(C638="","",C638*7/B638)</f>
        <v/>
      </c>
    </row>
    <row r="639">
      <c r="A639" s="3" t="n">
        <v>42818</v>
      </c>
      <c r="B639" t="n">
        <v>239721</v>
      </c>
      <c r="C639" t="n">
        <v>608</v>
      </c>
      <c r="D639" t="n">
        <v>5200</v>
      </c>
      <c r="E639" t="n">
        <v>1010</v>
      </c>
      <c r="F639">
        <f>IF(C639="","",C639*7/B639)</f>
        <v/>
      </c>
    </row>
    <row r="640">
      <c r="A640" s="3" t="n">
        <v>42825</v>
      </c>
      <c r="B640" t="n">
        <v>239103</v>
      </c>
      <c r="C640" t="n">
        <v>589</v>
      </c>
      <c r="D640" t="n">
        <v>4735</v>
      </c>
      <c r="E640" t="n">
        <v>575</v>
      </c>
      <c r="F640">
        <f>IF(C640="","",C640*7/B640)</f>
        <v/>
      </c>
    </row>
    <row r="641">
      <c r="A641" s="3" t="n">
        <v>42832</v>
      </c>
      <c r="B641" t="n">
        <v>236130</v>
      </c>
      <c r="C641" t="n">
        <v>710</v>
      </c>
      <c r="D641" t="n">
        <v>4344</v>
      </c>
      <c r="E641" t="n">
        <v>689</v>
      </c>
      <c r="F641">
        <f>IF(C641="","",C641*7/B641)</f>
        <v/>
      </c>
    </row>
    <row r="642">
      <c r="A642" s="3" t="n">
        <v>42839</v>
      </c>
      <c r="B642" t="n">
        <v>237672</v>
      </c>
      <c r="C642" t="n">
        <v>648</v>
      </c>
      <c r="D642" t="n">
        <v>5302</v>
      </c>
      <c r="E642" t="n">
        <v>565</v>
      </c>
      <c r="F642">
        <f>IF(C642="","",C642*7/B642)</f>
        <v/>
      </c>
    </row>
    <row r="643">
      <c r="A643" s="3" t="n">
        <v>42846</v>
      </c>
      <c r="B643" t="n">
        <v>241041</v>
      </c>
      <c r="C643" t="n">
        <v>625</v>
      </c>
      <c r="D643" t="n">
        <v>4827</v>
      </c>
      <c r="E643" t="n">
        <v>1152</v>
      </c>
      <c r="F643">
        <f>IF(C643="","",C643*7/B643)</f>
        <v/>
      </c>
    </row>
    <row r="644">
      <c r="A644" s="3" t="n">
        <v>42853</v>
      </c>
      <c r="B644" t="n">
        <v>241232</v>
      </c>
      <c r="C644" t="n">
        <v>732</v>
      </c>
      <c r="D644" t="n">
        <v>4737</v>
      </c>
      <c r="E644" t="n">
        <v>538</v>
      </c>
      <c r="F644">
        <f>IF(C644="","",C644*7/B644)</f>
        <v/>
      </c>
    </row>
    <row r="645">
      <c r="A645" s="3" t="n">
        <v>42860</v>
      </c>
      <c r="B645" t="n">
        <v>241082</v>
      </c>
      <c r="C645" t="n">
        <v>717</v>
      </c>
      <c r="D645" t="n">
        <v>4582</v>
      </c>
      <c r="E645" t="n">
        <v>693</v>
      </c>
      <c r="F645">
        <f>IF(C645="","",C645*7/B645)</f>
        <v/>
      </c>
    </row>
    <row r="646">
      <c r="A646" s="3" t="n">
        <v>42867</v>
      </c>
      <c r="B646" t="n">
        <v>240669</v>
      </c>
      <c r="C646" t="n">
        <v>508</v>
      </c>
      <c r="D646" t="n">
        <v>4919</v>
      </c>
      <c r="E646" t="n">
        <v>1086</v>
      </c>
      <c r="F646">
        <f>IF(C646="","",C646*7/B646)</f>
        <v/>
      </c>
    </row>
    <row r="647">
      <c r="A647" s="3" t="n">
        <v>42874</v>
      </c>
      <c r="B647" t="n">
        <v>239882</v>
      </c>
      <c r="C647" t="n">
        <v>589</v>
      </c>
      <c r="D647" t="n">
        <v>4642</v>
      </c>
      <c r="E647" t="n">
        <v>625</v>
      </c>
      <c r="F647">
        <f>IF(C647="","",C647*7/B647)</f>
        <v/>
      </c>
    </row>
    <row r="648">
      <c r="A648" s="3" t="n">
        <v>42881</v>
      </c>
      <c r="B648" t="n">
        <v>237024</v>
      </c>
      <c r="C648" t="n">
        <v>641</v>
      </c>
      <c r="D648" t="n">
        <v>4930</v>
      </c>
      <c r="E648" t="n">
        <v>1303</v>
      </c>
      <c r="F648">
        <f>IF(C648="","",C648*7/B648)</f>
        <v/>
      </c>
    </row>
    <row r="649">
      <c r="A649" s="3" t="n">
        <v>42888</v>
      </c>
      <c r="B649" t="n">
        <v>240348</v>
      </c>
      <c r="C649" t="n">
        <v>555</v>
      </c>
      <c r="D649" t="n">
        <v>4560</v>
      </c>
      <c r="E649" t="n">
        <v>557</v>
      </c>
      <c r="F649">
        <f>IF(C649="","",C649*7/B649)</f>
        <v/>
      </c>
    </row>
    <row r="650">
      <c r="A650" s="3" t="n">
        <v>42895</v>
      </c>
      <c r="B650" t="n">
        <v>242444</v>
      </c>
      <c r="C650" t="n">
        <v>525</v>
      </c>
      <c r="D650" t="n">
        <v>4448</v>
      </c>
      <c r="E650" t="n">
        <v>722</v>
      </c>
      <c r="F650">
        <f>IF(C650="","",C650*7/B650)</f>
        <v/>
      </c>
    </row>
    <row r="651">
      <c r="A651" s="3" t="n">
        <v>42902</v>
      </c>
      <c r="B651" t="n">
        <v>241866</v>
      </c>
      <c r="C651" t="n">
        <v>657</v>
      </c>
      <c r="D651" t="n">
        <v>4380</v>
      </c>
      <c r="E651" t="n">
        <v>517</v>
      </c>
      <c r="F651">
        <f>IF(C651="","",C651*7/B651)</f>
        <v/>
      </c>
    </row>
    <row r="652">
      <c r="A652" s="3" t="n">
        <v>42909</v>
      </c>
      <c r="B652" t="n">
        <v>240972</v>
      </c>
      <c r="C652" t="n">
        <v>662</v>
      </c>
      <c r="D652" t="n">
        <v>5071</v>
      </c>
      <c r="E652" t="n">
        <v>528</v>
      </c>
      <c r="F652">
        <f>IF(C652="","",C652*7/B652)</f>
        <v/>
      </c>
    </row>
    <row r="653">
      <c r="A653" s="3" t="n">
        <v>42916</v>
      </c>
      <c r="B653" t="n">
        <v>237303</v>
      </c>
      <c r="C653" t="n">
        <v>713</v>
      </c>
      <c r="D653" t="n">
        <v>4348</v>
      </c>
      <c r="E653" t="n">
        <v>768</v>
      </c>
      <c r="F653">
        <f>IF(C653="","",C653*7/B653)</f>
        <v/>
      </c>
    </row>
    <row r="654">
      <c r="A654" s="3" t="n">
        <v>42923</v>
      </c>
      <c r="B654" t="n">
        <v>235656</v>
      </c>
      <c r="C654" t="n">
        <v>547</v>
      </c>
      <c r="D654" t="n">
        <v>4702</v>
      </c>
      <c r="E654" t="n">
        <v>918</v>
      </c>
      <c r="F654">
        <f>IF(C654="","",C654*7/B654)</f>
        <v/>
      </c>
    </row>
    <row r="655">
      <c r="A655" s="3" t="n">
        <v>42930</v>
      </c>
      <c r="B655" t="n">
        <v>231211</v>
      </c>
      <c r="C655" t="n">
        <v>573</v>
      </c>
      <c r="D655" t="n">
        <v>4809</v>
      </c>
      <c r="E655" t="n">
        <v>728</v>
      </c>
      <c r="F655">
        <f>IF(C655="","",C655*7/B655)</f>
        <v/>
      </c>
    </row>
    <row r="656">
      <c r="A656" s="3" t="n">
        <v>42937</v>
      </c>
      <c r="B656" t="n">
        <v>230196</v>
      </c>
      <c r="C656" t="n">
        <v>595</v>
      </c>
      <c r="D656" t="n">
        <v>4510</v>
      </c>
      <c r="E656" t="n">
        <v>1030</v>
      </c>
      <c r="F656">
        <f>IF(C656="","",C656*7/B656)</f>
        <v/>
      </c>
    </row>
    <row r="657">
      <c r="A657" s="3" t="n">
        <v>42944</v>
      </c>
      <c r="B657" t="n">
        <v>227679</v>
      </c>
      <c r="C657" t="n">
        <v>512</v>
      </c>
      <c r="D657" t="n">
        <v>4377</v>
      </c>
      <c r="E657" t="n">
        <v>702</v>
      </c>
      <c r="F657">
        <f>IF(C657="","",C657*7/B657)</f>
        <v/>
      </c>
    </row>
    <row r="658">
      <c r="A658" s="3" t="n">
        <v>42951</v>
      </c>
      <c r="B658" t="n">
        <v>231103</v>
      </c>
      <c r="C658" t="n">
        <v>454</v>
      </c>
      <c r="D658" t="n">
        <v>4183</v>
      </c>
      <c r="E658" t="n">
        <v>707</v>
      </c>
      <c r="F658">
        <f>IF(C658="","",C658*7/B658)</f>
        <v/>
      </c>
    </row>
    <row r="659">
      <c r="A659" s="3" t="n">
        <v>42958</v>
      </c>
      <c r="B659" t="n">
        <v>231125</v>
      </c>
      <c r="C659" t="n">
        <v>670</v>
      </c>
      <c r="D659" t="n">
        <v>4756</v>
      </c>
      <c r="E659" t="n">
        <v>877</v>
      </c>
      <c r="F659">
        <f>IF(C659="","",C659*7/B659)</f>
        <v/>
      </c>
    </row>
    <row r="660">
      <c r="A660" s="3" t="n">
        <v>42965</v>
      </c>
      <c r="B660" t="n">
        <v>229902</v>
      </c>
      <c r="C660" t="n">
        <v>693</v>
      </c>
      <c r="D660" t="n">
        <v>4403</v>
      </c>
      <c r="E660" t="n">
        <v>936</v>
      </c>
      <c r="F660">
        <f>IF(C660="","",C660*7/B660)</f>
        <v/>
      </c>
    </row>
    <row r="661">
      <c r="A661" s="3" t="n">
        <v>42972</v>
      </c>
      <c r="B661" t="n">
        <v>229937</v>
      </c>
      <c r="C661" t="n">
        <v>737</v>
      </c>
      <c r="D661" t="n">
        <v>4509</v>
      </c>
      <c r="E661" t="n">
        <v>902</v>
      </c>
      <c r="F661">
        <f>IF(C661="","",C661*7/B661)</f>
        <v/>
      </c>
    </row>
    <row r="662">
      <c r="A662" s="3" t="n">
        <v>42979</v>
      </c>
      <c r="B662" t="n">
        <v>226738</v>
      </c>
      <c r="C662" t="n">
        <v>319</v>
      </c>
      <c r="D662" t="n">
        <v>2027</v>
      </c>
      <c r="E662" t="n">
        <v>153</v>
      </c>
      <c r="F662">
        <f>IF(C662="","",C662*7/B662)</f>
        <v/>
      </c>
    </row>
    <row r="663">
      <c r="A663" s="3" t="n">
        <v>42986</v>
      </c>
      <c r="B663" t="n">
        <v>218310</v>
      </c>
      <c r="C663" t="n">
        <v>528</v>
      </c>
      <c r="D663" t="n">
        <v>2961</v>
      </c>
      <c r="E663" t="n">
        <v>774</v>
      </c>
      <c r="F663">
        <f>IF(C663="","",C663*7/B663)</f>
        <v/>
      </c>
    </row>
    <row r="664">
      <c r="A664" s="3" t="n">
        <v>42993</v>
      </c>
      <c r="B664" t="n">
        <v>216185</v>
      </c>
      <c r="C664" t="n">
        <v>544</v>
      </c>
      <c r="D664" t="n">
        <v>4489</v>
      </c>
      <c r="E664" t="n">
        <v>928</v>
      </c>
      <c r="F664">
        <f>IF(C664="","",C664*7/B664)</f>
        <v/>
      </c>
    </row>
    <row r="665">
      <c r="A665" s="3" t="n">
        <v>43000</v>
      </c>
      <c r="B665" t="n">
        <v>217292</v>
      </c>
      <c r="C665" t="n">
        <v>550</v>
      </c>
      <c r="D665" t="n">
        <v>4594</v>
      </c>
      <c r="E665" t="n">
        <v>1491</v>
      </c>
      <c r="F665">
        <f>IF(C665="","",C665*7/B665)</f>
        <v/>
      </c>
    </row>
    <row r="666">
      <c r="A666" s="3" t="n">
        <v>43007</v>
      </c>
      <c r="B666" t="n">
        <v>218936</v>
      </c>
      <c r="C666" t="n">
        <v>640</v>
      </c>
      <c r="D666" t="n">
        <v>5039</v>
      </c>
      <c r="E666" t="n">
        <v>1984</v>
      </c>
      <c r="F666">
        <f>IF(C666="","",C666*7/B666)</f>
        <v/>
      </c>
    </row>
    <row r="667">
      <c r="A667" s="3" t="n">
        <v>43014</v>
      </c>
      <c r="B667" t="n">
        <v>221426</v>
      </c>
      <c r="C667" t="n">
        <v>409</v>
      </c>
      <c r="D667" t="n">
        <v>4675</v>
      </c>
      <c r="E667" t="n">
        <v>1270</v>
      </c>
      <c r="F667">
        <f>IF(C667="","",C667*7/B667)</f>
        <v/>
      </c>
    </row>
    <row r="668">
      <c r="A668" s="3" t="n">
        <v>43021</v>
      </c>
      <c r="B668" t="n">
        <v>222334</v>
      </c>
      <c r="C668" t="n">
        <v>636</v>
      </c>
      <c r="D668" t="n">
        <v>5048</v>
      </c>
      <c r="E668" t="n">
        <v>1798</v>
      </c>
      <c r="F668">
        <f>IF(C668="","",C668*7/B668)</f>
        <v/>
      </c>
    </row>
    <row r="669">
      <c r="A669" s="3" t="n">
        <v>43028</v>
      </c>
      <c r="B669" t="n">
        <v>216869</v>
      </c>
      <c r="C669" t="n">
        <v>906</v>
      </c>
      <c r="D669" t="n">
        <v>5739</v>
      </c>
      <c r="E669" t="n">
        <v>1924</v>
      </c>
      <c r="F669">
        <f>IF(C669="","",C669*7/B669)</f>
        <v/>
      </c>
    </row>
    <row r="670">
      <c r="A670" s="3" t="n">
        <v>43035</v>
      </c>
      <c r="B670" t="n">
        <v>212849</v>
      </c>
      <c r="C670" t="n">
        <v>767</v>
      </c>
      <c r="D670" t="n">
        <v>5545</v>
      </c>
      <c r="E670" t="n">
        <v>2133</v>
      </c>
      <c r="F670">
        <f>IF(C670="","",C670*7/B670)</f>
        <v/>
      </c>
    </row>
    <row r="671">
      <c r="A671" s="3" t="n">
        <v>43042</v>
      </c>
      <c r="B671" t="n">
        <v>209537</v>
      </c>
      <c r="C671" t="n">
        <v>632</v>
      </c>
      <c r="D671" t="n">
        <v>4985</v>
      </c>
      <c r="E671" t="n">
        <v>869</v>
      </c>
      <c r="F671">
        <f>IF(C671="","",C671*7/B671)</f>
        <v/>
      </c>
    </row>
    <row r="672">
      <c r="A672" s="3" t="n">
        <v>43049</v>
      </c>
      <c r="B672" t="n">
        <v>210431</v>
      </c>
      <c r="C672" t="n">
        <v>844</v>
      </c>
      <c r="D672" t="n">
        <v>5013</v>
      </c>
      <c r="E672" t="n">
        <v>1129</v>
      </c>
      <c r="F672">
        <f>IF(C672="","",C672*7/B672)</f>
        <v/>
      </c>
    </row>
    <row r="673">
      <c r="A673" s="3" t="n">
        <v>43056</v>
      </c>
      <c r="B673" t="n">
        <v>210475</v>
      </c>
      <c r="C673" t="n">
        <v>782</v>
      </c>
      <c r="D673" t="n">
        <v>5421</v>
      </c>
      <c r="E673" t="n">
        <v>1591</v>
      </c>
      <c r="F673">
        <f>IF(C673="","",C673*7/B673)</f>
        <v/>
      </c>
    </row>
    <row r="674">
      <c r="A674" s="3" t="n">
        <v>43063</v>
      </c>
      <c r="B674" t="n">
        <v>214102</v>
      </c>
      <c r="C674" t="n">
        <v>1213</v>
      </c>
      <c r="D674" t="n">
        <v>5916</v>
      </c>
      <c r="E674" t="n">
        <v>1412</v>
      </c>
      <c r="F674">
        <f>IF(C674="","",C674*7/B674)</f>
        <v/>
      </c>
    </row>
    <row r="675">
      <c r="A675" s="3" t="n">
        <v>43070</v>
      </c>
      <c r="B675" t="n">
        <v>220882</v>
      </c>
      <c r="C675" t="n">
        <v>894</v>
      </c>
      <c r="D675" t="n">
        <v>5041</v>
      </c>
      <c r="E675" t="n">
        <v>1358</v>
      </c>
      <c r="F675">
        <f>IF(C675="","",C675*7/B675)</f>
        <v/>
      </c>
    </row>
    <row r="676">
      <c r="A676" s="3" t="n">
        <v>43077</v>
      </c>
      <c r="B676" t="n">
        <v>226546</v>
      </c>
      <c r="C676" t="n">
        <v>731</v>
      </c>
      <c r="D676" t="n">
        <v>4546</v>
      </c>
      <c r="E676" t="n">
        <v>1086</v>
      </c>
      <c r="F676">
        <f>IF(C676="","",C676*7/B676)</f>
        <v/>
      </c>
    </row>
    <row r="677">
      <c r="A677" s="3" t="n">
        <v>43084</v>
      </c>
      <c r="B677" t="n">
        <v>227783</v>
      </c>
      <c r="C677" t="n">
        <v>804</v>
      </c>
      <c r="D677" t="n">
        <v>5695</v>
      </c>
      <c r="E677" t="n">
        <v>1858</v>
      </c>
      <c r="F677">
        <f>IF(C677="","",C677*7/B677)</f>
        <v/>
      </c>
    </row>
    <row r="678">
      <c r="A678" s="3" t="n">
        <v>43091</v>
      </c>
      <c r="B678" t="n">
        <v>228374</v>
      </c>
      <c r="C678" t="n">
        <v>862</v>
      </c>
      <c r="D678" t="n">
        <v>5587</v>
      </c>
      <c r="E678" t="n">
        <v>1210</v>
      </c>
      <c r="F678">
        <f>IF(C678="","",C678*7/B678)</f>
        <v/>
      </c>
    </row>
    <row r="679">
      <c r="A679" s="3" t="n">
        <v>43098</v>
      </c>
      <c r="B679" t="n">
        <v>233187</v>
      </c>
      <c r="C679" t="n">
        <v>953</v>
      </c>
      <c r="D679" t="n">
        <v>4470</v>
      </c>
      <c r="E679" t="n">
        <v>1475</v>
      </c>
      <c r="F679">
        <f>IF(C679="","",C679*7/B679)</f>
        <v/>
      </c>
    </row>
    <row r="680">
      <c r="A680" s="3" t="n">
        <v>43105</v>
      </c>
      <c r="B680" t="n">
        <v>237322</v>
      </c>
      <c r="C680" t="n">
        <v>804</v>
      </c>
      <c r="D680" t="n">
        <v>5130</v>
      </c>
      <c r="E680" t="n">
        <v>1015</v>
      </c>
      <c r="F680">
        <f>IF(C680="","",C680*7/B680)</f>
        <v/>
      </c>
    </row>
    <row r="681">
      <c r="A681" s="3" t="n">
        <v>43112</v>
      </c>
      <c r="B681" t="n">
        <v>240942</v>
      </c>
      <c r="C681" t="n">
        <v>948</v>
      </c>
      <c r="D681" t="n">
        <v>5107</v>
      </c>
      <c r="E681" t="n">
        <v>1249</v>
      </c>
      <c r="F681">
        <f>IF(C681="","",C681*7/B681)</f>
        <v/>
      </c>
    </row>
    <row r="682">
      <c r="A682" s="3" t="n">
        <v>43119</v>
      </c>
      <c r="B682" t="n">
        <v>244040</v>
      </c>
      <c r="C682" t="n">
        <v>827</v>
      </c>
      <c r="D682" t="n">
        <v>4802</v>
      </c>
      <c r="E682" t="n">
        <v>1411</v>
      </c>
      <c r="F682">
        <f>IF(C682="","",C682*7/B682)</f>
        <v/>
      </c>
    </row>
    <row r="683">
      <c r="A683" s="3" t="n">
        <v>43126</v>
      </c>
      <c r="B683" t="n">
        <v>242060</v>
      </c>
      <c r="C683" t="n">
        <v>615</v>
      </c>
      <c r="D683" t="n">
        <v>4884</v>
      </c>
      <c r="E683" t="n">
        <v>1765</v>
      </c>
      <c r="F683">
        <f>IF(C683="","",C683*7/B683)</f>
        <v/>
      </c>
    </row>
    <row r="684">
      <c r="A684" s="3" t="n">
        <v>43133</v>
      </c>
      <c r="B684" t="n">
        <v>245474</v>
      </c>
      <c r="C684" t="n">
        <v>829</v>
      </c>
      <c r="D684" t="n">
        <v>4435</v>
      </c>
      <c r="E684" t="n">
        <v>1287</v>
      </c>
      <c r="F684">
        <f>IF(C684="","",C684*7/B684)</f>
        <v/>
      </c>
    </row>
    <row r="685">
      <c r="A685" s="3" t="n">
        <v>43140</v>
      </c>
      <c r="B685" t="n">
        <v>249073</v>
      </c>
      <c r="C685" t="n">
        <v>639</v>
      </c>
      <c r="D685" t="n">
        <v>4952</v>
      </c>
      <c r="E685" t="n">
        <v>1322</v>
      </c>
      <c r="F685">
        <f>IF(C685="","",C685*7/B685)</f>
        <v/>
      </c>
    </row>
    <row r="686">
      <c r="A686" s="3" t="n">
        <v>43147</v>
      </c>
      <c r="B686" t="n">
        <v>249334</v>
      </c>
      <c r="C686" t="n">
        <v>918</v>
      </c>
      <c r="D686" t="n">
        <v>4708</v>
      </c>
      <c r="E686" t="n">
        <v>2044</v>
      </c>
      <c r="F686">
        <f>IF(C686="","",C686*7/B686)</f>
        <v/>
      </c>
    </row>
    <row r="687">
      <c r="A687" s="3" t="n">
        <v>43154</v>
      </c>
      <c r="B687" t="n">
        <v>251817</v>
      </c>
      <c r="C687" t="n">
        <v>536</v>
      </c>
      <c r="D687" t="n">
        <v>4224</v>
      </c>
      <c r="E687" t="n">
        <v>1445</v>
      </c>
      <c r="F687">
        <f>IF(C687="","",C687*7/B687)</f>
        <v/>
      </c>
    </row>
    <row r="688">
      <c r="A688" s="3" t="n">
        <v>43161</v>
      </c>
      <c r="B688" t="n">
        <v>251029</v>
      </c>
      <c r="C688" t="n">
        <v>760</v>
      </c>
      <c r="D688" t="n">
        <v>4905</v>
      </c>
      <c r="E688" t="n">
        <v>1498</v>
      </c>
      <c r="F688">
        <f>IF(C688="","",C688*7/B688)</f>
        <v/>
      </c>
    </row>
    <row r="689">
      <c r="A689" s="3" t="n">
        <v>43168</v>
      </c>
      <c r="B689" t="n">
        <v>244758</v>
      </c>
      <c r="C689" t="n">
        <v>785</v>
      </c>
      <c r="D689" t="n">
        <v>5162</v>
      </c>
      <c r="E689" t="n">
        <v>1487</v>
      </c>
      <c r="F689">
        <f>IF(C689="","",C689*7/B689)</f>
        <v/>
      </c>
    </row>
    <row r="690">
      <c r="A690" s="3" t="n">
        <v>43175</v>
      </c>
      <c r="B690" t="n">
        <v>243065</v>
      </c>
      <c r="C690" t="n">
        <v>686</v>
      </c>
      <c r="D690" t="n">
        <v>4993</v>
      </c>
      <c r="E690" t="n">
        <v>1573</v>
      </c>
      <c r="F690">
        <f>IF(C690="","",C690*7/B690)</f>
        <v/>
      </c>
    </row>
    <row r="691">
      <c r="A691" s="3" t="n">
        <v>43182</v>
      </c>
      <c r="B691" t="n">
        <v>239593</v>
      </c>
      <c r="C691" t="n">
        <v>1099</v>
      </c>
      <c r="D691" t="n">
        <v>4913</v>
      </c>
      <c r="E691" t="n">
        <v>1578</v>
      </c>
      <c r="F691">
        <f>IF(C691="","",C691*7/B691)</f>
        <v/>
      </c>
    </row>
    <row r="692">
      <c r="A692" s="3" t="n">
        <v>43189</v>
      </c>
      <c r="B692" t="n">
        <v>238477</v>
      </c>
      <c r="C692" t="n">
        <v>966</v>
      </c>
      <c r="D692" t="n">
        <v>4744</v>
      </c>
      <c r="E692" t="n">
        <v>2175</v>
      </c>
      <c r="F692">
        <f>IF(C692="","",C692*7/B692)</f>
        <v/>
      </c>
    </row>
    <row r="693">
      <c r="A693" s="3" t="n">
        <v>43196</v>
      </c>
      <c r="B693" t="n">
        <v>238935</v>
      </c>
      <c r="C693" t="n">
        <v>789</v>
      </c>
      <c r="D693" t="n">
        <v>5024</v>
      </c>
      <c r="E693" t="n">
        <v>1205</v>
      </c>
      <c r="F693">
        <f>IF(C693="","",C693*7/B693)</f>
        <v/>
      </c>
    </row>
    <row r="694">
      <c r="A694" s="3" t="n">
        <v>43203</v>
      </c>
      <c r="B694" t="n">
        <v>235967</v>
      </c>
      <c r="C694" t="n">
        <v>647</v>
      </c>
      <c r="D694" t="n">
        <v>4976</v>
      </c>
      <c r="E694" t="n">
        <v>1749</v>
      </c>
      <c r="F694">
        <f>IF(C694="","",C694*7/B694)</f>
        <v/>
      </c>
    </row>
    <row r="695">
      <c r="A695" s="3" t="n">
        <v>43210</v>
      </c>
      <c r="B695" t="n">
        <v>236807</v>
      </c>
      <c r="C695" t="n">
        <v>791</v>
      </c>
      <c r="D695" t="n">
        <v>6001</v>
      </c>
      <c r="E695" t="n">
        <v>2331</v>
      </c>
      <c r="F695">
        <f>IF(C695="","",C695*7/B695)</f>
        <v/>
      </c>
    </row>
    <row r="696">
      <c r="A696" s="3" t="n">
        <v>43217</v>
      </c>
      <c r="B696" t="n">
        <v>237978</v>
      </c>
      <c r="C696" t="n">
        <v>901</v>
      </c>
      <c r="D696" t="n">
        <v>5010</v>
      </c>
      <c r="E696" t="n">
        <v>2148</v>
      </c>
      <c r="F696">
        <f>IF(C696="","",C696*7/B696)</f>
        <v/>
      </c>
    </row>
    <row r="697">
      <c r="A697" s="3" t="n">
        <v>43224</v>
      </c>
      <c r="B697" t="n">
        <v>235804</v>
      </c>
      <c r="C697" t="n">
        <v>581</v>
      </c>
      <c r="D697" t="n">
        <v>4815</v>
      </c>
      <c r="E697" t="n">
        <v>1877</v>
      </c>
      <c r="F697">
        <f>IF(C697="","",C697*7/B697)</f>
        <v/>
      </c>
    </row>
    <row r="698">
      <c r="A698" s="3" t="n">
        <v>43231</v>
      </c>
      <c r="B698" t="n">
        <v>232014</v>
      </c>
      <c r="C698" t="n">
        <v>925</v>
      </c>
      <c r="D698" t="n">
        <v>4639</v>
      </c>
      <c r="E698" t="n">
        <v>2566</v>
      </c>
      <c r="F698">
        <f>IF(C698="","",C698*7/B698)</f>
        <v/>
      </c>
    </row>
    <row r="699">
      <c r="A699" s="3" t="n">
        <v>43238</v>
      </c>
      <c r="B699" t="n">
        <v>233897</v>
      </c>
      <c r="C699" t="n">
        <v>356</v>
      </c>
      <c r="D699" t="n">
        <v>5133</v>
      </c>
      <c r="E699" t="n">
        <v>1748</v>
      </c>
      <c r="F699">
        <f>IF(C699="","",C699*7/B699)</f>
        <v/>
      </c>
    </row>
    <row r="700">
      <c r="A700" s="3" t="n">
        <v>43245</v>
      </c>
      <c r="B700" t="n">
        <v>234431</v>
      </c>
      <c r="C700" t="n">
        <v>656</v>
      </c>
      <c r="D700" t="n">
        <v>4643</v>
      </c>
      <c r="E700" t="n">
        <v>2179</v>
      </c>
      <c r="F700">
        <f>IF(C700="","",C700*7/B700)</f>
        <v/>
      </c>
    </row>
    <row r="701">
      <c r="A701" s="3" t="n">
        <v>43252</v>
      </c>
      <c r="B701" t="n">
        <v>239034</v>
      </c>
      <c r="C701" t="n">
        <v>538</v>
      </c>
      <c r="D701" t="n">
        <v>5317</v>
      </c>
      <c r="E701" t="n">
        <v>1714</v>
      </c>
      <c r="F701">
        <f>IF(C701="","",C701*7/B701)</f>
        <v/>
      </c>
    </row>
    <row r="702">
      <c r="A702" s="3" t="n">
        <v>43259</v>
      </c>
      <c r="B702" t="n">
        <v>236763</v>
      </c>
      <c r="C702" t="n">
        <v>607</v>
      </c>
      <c r="D702" t="n">
        <v>4682</v>
      </c>
      <c r="E702" t="n">
        <v>2030</v>
      </c>
      <c r="F702">
        <f>IF(C702="","",C702*7/B702)</f>
        <v/>
      </c>
    </row>
    <row r="703">
      <c r="A703" s="3" t="n">
        <v>43266</v>
      </c>
      <c r="B703" t="n">
        <v>240040</v>
      </c>
      <c r="C703" t="n">
        <v>603</v>
      </c>
      <c r="D703" t="n">
        <v>5223</v>
      </c>
      <c r="E703" t="n">
        <v>2374</v>
      </c>
      <c r="F703">
        <f>IF(C703="","",C703*7/B703)</f>
        <v/>
      </c>
    </row>
    <row r="704">
      <c r="A704" s="3" t="n">
        <v>43273</v>
      </c>
      <c r="B704" t="n">
        <v>241196</v>
      </c>
      <c r="C704" t="n">
        <v>613</v>
      </c>
      <c r="D704" t="n">
        <v>5544</v>
      </c>
      <c r="E704" t="n">
        <v>3000</v>
      </c>
      <c r="F704">
        <f>IF(C704="","",C704*7/B704)</f>
        <v/>
      </c>
    </row>
    <row r="705">
      <c r="A705" s="3" t="n">
        <v>43280</v>
      </c>
      <c r="B705" t="n">
        <v>239691</v>
      </c>
      <c r="C705" t="n">
        <v>487</v>
      </c>
      <c r="D705" t="n">
        <v>5140</v>
      </c>
      <c r="E705" t="n">
        <v>2336</v>
      </c>
      <c r="F705">
        <f>IF(C705="","",C705*7/B705)</f>
        <v/>
      </c>
    </row>
    <row r="706">
      <c r="A706" s="3" t="n">
        <v>43287</v>
      </c>
      <c r="B706" t="n">
        <v>238997</v>
      </c>
      <c r="C706" t="n">
        <v>1186</v>
      </c>
      <c r="D706" t="n">
        <v>5627</v>
      </c>
      <c r="E706" t="n">
        <v>2027</v>
      </c>
      <c r="F706">
        <f>IF(C706="","",C706*7/B706)</f>
        <v/>
      </c>
    </row>
    <row r="707">
      <c r="A707" s="3" t="n">
        <v>43294</v>
      </c>
      <c r="B707" t="n">
        <v>235832</v>
      </c>
      <c r="C707" t="n">
        <v>734</v>
      </c>
      <c r="D707" t="n">
        <v>4742</v>
      </c>
      <c r="E707" t="n">
        <v>1461</v>
      </c>
      <c r="F707">
        <f>IF(C707="","",C707*7/B707)</f>
        <v/>
      </c>
    </row>
    <row r="708">
      <c r="A708" s="3" t="n">
        <v>43301</v>
      </c>
      <c r="B708" t="n">
        <v>233504</v>
      </c>
      <c r="C708" t="n">
        <v>669</v>
      </c>
      <c r="D708" t="n">
        <v>5368</v>
      </c>
      <c r="E708" t="n">
        <v>2683</v>
      </c>
      <c r="F708">
        <f>IF(C708="","",C708*7/B708)</f>
        <v/>
      </c>
    </row>
    <row r="709">
      <c r="A709" s="3" t="n">
        <v>43308</v>
      </c>
      <c r="B709" t="n">
        <v>230968</v>
      </c>
      <c r="C709" t="n">
        <v>513</v>
      </c>
      <c r="D709" t="n">
        <v>5028</v>
      </c>
      <c r="E709" t="n">
        <v>1310</v>
      </c>
      <c r="F709">
        <f>IF(C709="","",C709*7/B709)</f>
        <v/>
      </c>
    </row>
    <row r="710">
      <c r="A710" s="3" t="n">
        <v>43315</v>
      </c>
      <c r="B710" t="n">
        <v>233868</v>
      </c>
      <c r="C710" t="n">
        <v>588</v>
      </c>
      <c r="D710" t="n">
        <v>5202</v>
      </c>
      <c r="E710" t="n">
        <v>1850</v>
      </c>
      <c r="F710">
        <f>IF(C710="","",C710*7/B710)</f>
        <v/>
      </c>
    </row>
    <row r="711">
      <c r="A711" s="3" t="n">
        <v>43322</v>
      </c>
      <c r="B711" t="n">
        <v>233128</v>
      </c>
      <c r="C711" t="n">
        <v>935</v>
      </c>
      <c r="D711" t="n">
        <v>5277</v>
      </c>
      <c r="E711" t="n">
        <v>1592</v>
      </c>
      <c r="F711">
        <f>IF(C711="","",C711*7/B711)</f>
        <v/>
      </c>
    </row>
    <row r="712">
      <c r="A712" s="3" t="n">
        <v>43329</v>
      </c>
      <c r="B712" t="n">
        <v>234328</v>
      </c>
      <c r="C712" t="n">
        <v>644</v>
      </c>
      <c r="D712" t="n">
        <v>5373</v>
      </c>
      <c r="E712" t="n">
        <v>1155</v>
      </c>
      <c r="F712">
        <f>IF(C712="","",C712*7/B712)</f>
        <v/>
      </c>
    </row>
    <row r="713">
      <c r="A713" s="3" t="n">
        <v>43336</v>
      </c>
      <c r="B713" t="n">
        <v>232774</v>
      </c>
      <c r="C713" t="n">
        <v>585</v>
      </c>
      <c r="D713" t="n">
        <v>4847</v>
      </c>
      <c r="E713" t="n">
        <v>1779</v>
      </c>
      <c r="F713">
        <f>IF(C713="","",C713*7/B713)</f>
        <v/>
      </c>
    </row>
    <row r="714">
      <c r="A714" s="3" t="n">
        <v>43343</v>
      </c>
      <c r="B714" t="n">
        <v>234619</v>
      </c>
      <c r="C714" t="n">
        <v>477</v>
      </c>
      <c r="D714" t="n">
        <v>4061</v>
      </c>
      <c r="E714" t="n">
        <v>1508</v>
      </c>
      <c r="F714">
        <f>IF(C714="","",C714*7/B714)</f>
        <v/>
      </c>
    </row>
    <row r="715">
      <c r="A715" s="3" t="n">
        <v>43350</v>
      </c>
      <c r="B715" t="n">
        <v>235869</v>
      </c>
      <c r="C715" t="n">
        <v>680</v>
      </c>
      <c r="D715" t="n">
        <v>4860</v>
      </c>
      <c r="E715" t="n">
        <v>1828</v>
      </c>
      <c r="F715">
        <f>IF(C715="","",C715*7/B715)</f>
        <v/>
      </c>
    </row>
    <row r="716">
      <c r="A716" s="3" t="n">
        <v>43357</v>
      </c>
      <c r="B716" t="n">
        <v>234150</v>
      </c>
      <c r="C716" t="n">
        <v>696</v>
      </c>
      <c r="D716" t="n">
        <v>5223</v>
      </c>
      <c r="E716" t="n">
        <v>2367</v>
      </c>
      <c r="F716">
        <f>IF(C716="","",C716*7/B716)</f>
        <v/>
      </c>
    </row>
    <row r="717">
      <c r="A717" s="3" t="n">
        <v>43364</v>
      </c>
      <c r="B717" t="n">
        <v>235680</v>
      </c>
      <c r="C717" t="n">
        <v>961</v>
      </c>
      <c r="D717" t="n">
        <v>5197</v>
      </c>
      <c r="E717" t="n">
        <v>2640</v>
      </c>
      <c r="F717">
        <f>IF(C717="","",C717*7/B717)</f>
        <v/>
      </c>
    </row>
    <row r="718">
      <c r="A718" s="3" t="n">
        <v>43371</v>
      </c>
      <c r="B718" t="n">
        <v>235221</v>
      </c>
      <c r="C718" t="n">
        <v>816</v>
      </c>
      <c r="D718" t="n">
        <v>5675</v>
      </c>
      <c r="E718" t="n">
        <v>1723</v>
      </c>
      <c r="F718">
        <f>IF(C718="","",C718*7/B718)</f>
        <v/>
      </c>
    </row>
    <row r="719">
      <c r="A719" s="3" t="n">
        <v>43378</v>
      </c>
      <c r="B719" t="n">
        <v>236172</v>
      </c>
      <c r="C719" t="n">
        <v>1029</v>
      </c>
      <c r="D719" t="n">
        <v>4899</v>
      </c>
      <c r="E719" t="n">
        <v>2576</v>
      </c>
      <c r="F719">
        <f>IF(C719="","",C719*7/B719)</f>
        <v/>
      </c>
    </row>
    <row r="720">
      <c r="A720" s="3" t="n">
        <v>43385</v>
      </c>
      <c r="B720" t="n">
        <v>234156</v>
      </c>
      <c r="C720" t="n">
        <v>1164</v>
      </c>
      <c r="D720" t="n">
        <v>5772</v>
      </c>
      <c r="E720" t="n">
        <v>1782</v>
      </c>
      <c r="F720">
        <f>IF(C720="","",C720*7/B720)</f>
        <v/>
      </c>
    </row>
    <row r="721">
      <c r="A721" s="3" t="n">
        <v>43392</v>
      </c>
      <c r="B721" t="n">
        <v>229330</v>
      </c>
      <c r="C721" t="n">
        <v>969</v>
      </c>
      <c r="D721" t="n">
        <v>5348</v>
      </c>
      <c r="E721" t="n">
        <v>2180</v>
      </c>
      <c r="F721">
        <f>IF(C721="","",C721*7/B721)</f>
        <v/>
      </c>
    </row>
    <row r="722">
      <c r="A722" s="3" t="n">
        <v>43399</v>
      </c>
      <c r="B722" t="n">
        <v>226169</v>
      </c>
      <c r="C722" t="n">
        <v>1012</v>
      </c>
      <c r="D722" t="n">
        <v>5354</v>
      </c>
      <c r="E722" t="n">
        <v>2485</v>
      </c>
      <c r="F722">
        <f>IF(C722="","",C722*7/B722)</f>
        <v/>
      </c>
    </row>
    <row r="723">
      <c r="A723" s="3" t="n">
        <v>43406</v>
      </c>
      <c r="B723" t="n">
        <v>228021</v>
      </c>
      <c r="C723" t="n">
        <v>694</v>
      </c>
      <c r="D723" t="n">
        <v>4932</v>
      </c>
      <c r="E723" t="n">
        <v>2405</v>
      </c>
      <c r="F723">
        <f>IF(C723="","",C723*7/B723)</f>
        <v/>
      </c>
    </row>
    <row r="724">
      <c r="A724" s="3" t="n">
        <v>43413</v>
      </c>
      <c r="B724" t="n">
        <v>226610</v>
      </c>
      <c r="C724" t="n">
        <v>740</v>
      </c>
      <c r="D724" t="n">
        <v>4405</v>
      </c>
      <c r="E724" t="n">
        <v>2050</v>
      </c>
      <c r="F724">
        <f>IF(C724="","",C724*7/B724)</f>
        <v/>
      </c>
    </row>
    <row r="725">
      <c r="A725" s="3" t="n">
        <v>43420</v>
      </c>
      <c r="B725" t="n">
        <v>225315</v>
      </c>
      <c r="C725" t="n">
        <v>885</v>
      </c>
      <c r="D725" t="n">
        <v>5202</v>
      </c>
      <c r="E725" t="n">
        <v>1969</v>
      </c>
      <c r="F725">
        <f>IF(C725="","",C725*7/B725)</f>
        <v/>
      </c>
    </row>
    <row r="726">
      <c r="A726" s="3" t="n">
        <v>43427</v>
      </c>
      <c r="B726" t="n">
        <v>224551</v>
      </c>
      <c r="C726" t="n">
        <v>1061</v>
      </c>
      <c r="D726" t="n">
        <v>6272</v>
      </c>
      <c r="E726" t="n">
        <v>2442</v>
      </c>
      <c r="F726">
        <f>IF(C726="","",C726*7/B726)</f>
        <v/>
      </c>
    </row>
    <row r="727">
      <c r="A727" s="3" t="n">
        <v>43434</v>
      </c>
      <c r="B727" t="n">
        <v>226250</v>
      </c>
      <c r="C727" t="n">
        <v>1001</v>
      </c>
      <c r="D727" t="n">
        <v>5846</v>
      </c>
      <c r="E727" t="n">
        <v>3203</v>
      </c>
      <c r="F727">
        <f>IF(C727="","",C727*7/B727)</f>
        <v/>
      </c>
    </row>
    <row r="728">
      <c r="A728" s="3" t="n">
        <v>43441</v>
      </c>
      <c r="B728" t="n">
        <v>228337</v>
      </c>
      <c r="C728" t="n">
        <v>1311</v>
      </c>
      <c r="D728" t="n">
        <v>5540</v>
      </c>
      <c r="E728" t="n">
        <v>2274</v>
      </c>
      <c r="F728">
        <f>IF(C728="","",C728*7/B728)</f>
        <v/>
      </c>
    </row>
    <row r="729">
      <c r="A729" s="3" t="n">
        <v>43448</v>
      </c>
      <c r="B729" t="n">
        <v>230103</v>
      </c>
      <c r="C729" t="n">
        <v>948</v>
      </c>
      <c r="D729" t="n">
        <v>5452</v>
      </c>
      <c r="E729" t="n">
        <v>2325</v>
      </c>
      <c r="F729">
        <f>IF(C729="","",C729*7/B729)</f>
        <v/>
      </c>
    </row>
    <row r="730">
      <c r="A730" s="3" t="n">
        <v>43455</v>
      </c>
      <c r="B730" t="n">
        <v>233106</v>
      </c>
      <c r="C730" t="n">
        <v>851</v>
      </c>
      <c r="D730" t="n">
        <v>5887</v>
      </c>
      <c r="E730" t="n">
        <v>2969</v>
      </c>
      <c r="F730">
        <f>IF(C730="","",C730*7/B730)</f>
        <v/>
      </c>
    </row>
    <row r="731">
      <c r="A731" s="3" t="n">
        <v>43462</v>
      </c>
      <c r="B731" t="n">
        <v>239996</v>
      </c>
      <c r="C731" t="n">
        <v>872</v>
      </c>
      <c r="D731" t="n">
        <v>5379</v>
      </c>
      <c r="E731" t="n">
        <v>2237</v>
      </c>
      <c r="F731">
        <f>IF(C731="","",C731*7/B731)</f>
        <v/>
      </c>
    </row>
    <row r="732">
      <c r="A732" s="3" t="n">
        <v>43469</v>
      </c>
      <c r="B732" t="n">
        <v>248062</v>
      </c>
      <c r="C732" t="n">
        <v>727</v>
      </c>
      <c r="D732" t="n">
        <v>4872</v>
      </c>
      <c r="E732" t="n">
        <v>2065</v>
      </c>
      <c r="F732">
        <f>IF(C732="","",C732*7/B732)</f>
        <v/>
      </c>
    </row>
    <row r="733">
      <c r="A733" s="3" t="n">
        <v>43476</v>
      </c>
      <c r="B733" t="n">
        <v>255565</v>
      </c>
      <c r="C733" t="n">
        <v>830</v>
      </c>
      <c r="D733" t="n">
        <v>4719</v>
      </c>
      <c r="E733" t="n">
        <v>2966</v>
      </c>
      <c r="F733">
        <f>IF(C733="","",C733*7/B733)</f>
        <v/>
      </c>
    </row>
    <row r="734">
      <c r="A734" s="3" t="n">
        <v>43483</v>
      </c>
      <c r="B734" t="n">
        <v>259615</v>
      </c>
      <c r="C734" t="n">
        <v>547</v>
      </c>
      <c r="D734" t="n">
        <v>4919</v>
      </c>
      <c r="E734" t="n">
        <v>2035</v>
      </c>
      <c r="F734">
        <f>IF(C734="","",C734*7/B734)</f>
        <v/>
      </c>
    </row>
    <row r="735">
      <c r="A735" s="3" t="n">
        <v>43490</v>
      </c>
      <c r="B735" t="n">
        <v>257380</v>
      </c>
      <c r="C735" t="n">
        <v>607</v>
      </c>
      <c r="D735" t="n">
        <v>5054</v>
      </c>
      <c r="E735" t="n">
        <v>1944</v>
      </c>
      <c r="F735">
        <f>IF(C735="","",C735*7/B735)</f>
        <v/>
      </c>
    </row>
    <row r="736">
      <c r="A736" s="3" t="n">
        <v>43497</v>
      </c>
      <c r="B736" t="n">
        <v>257893</v>
      </c>
      <c r="C736" t="n">
        <v>895</v>
      </c>
      <c r="D736" t="n">
        <v>5152</v>
      </c>
      <c r="E736" t="n">
        <v>2870</v>
      </c>
      <c r="F736">
        <f>IF(C736="","",C736*7/B736)</f>
        <v/>
      </c>
    </row>
    <row r="737">
      <c r="A737" s="3" t="n">
        <v>43504</v>
      </c>
      <c r="B737" t="n">
        <v>258301</v>
      </c>
      <c r="C737" t="n">
        <v>959</v>
      </c>
      <c r="D737" t="n">
        <v>5177</v>
      </c>
      <c r="E737" t="n">
        <v>2364</v>
      </c>
      <c r="F737">
        <f>IF(C737="","",C737*7/B737)</f>
        <v/>
      </c>
    </row>
    <row r="738">
      <c r="A738" s="3" t="n">
        <v>43511</v>
      </c>
      <c r="B738" t="n">
        <v>256847</v>
      </c>
      <c r="C738" t="n">
        <v>812</v>
      </c>
      <c r="D738" t="n">
        <v>4723</v>
      </c>
      <c r="E738" t="n">
        <v>3607</v>
      </c>
      <c r="F738">
        <f>IF(C738="","",C738*7/B738)</f>
        <v/>
      </c>
    </row>
    <row r="739">
      <c r="A739" s="3" t="n">
        <v>43518</v>
      </c>
      <c r="B739" t="n">
        <v>254941</v>
      </c>
      <c r="C739" t="n">
        <v>815</v>
      </c>
      <c r="D739" t="n">
        <v>4805</v>
      </c>
      <c r="E739" t="n">
        <v>3359</v>
      </c>
      <c r="F739">
        <f>IF(C739="","",C739*7/B739)</f>
        <v/>
      </c>
    </row>
    <row r="740">
      <c r="A740" s="3" t="n">
        <v>43525</v>
      </c>
      <c r="B740" t="n">
        <v>250714</v>
      </c>
      <c r="C740" t="n">
        <v>911</v>
      </c>
      <c r="D740" t="n">
        <v>5469</v>
      </c>
      <c r="E740" t="n">
        <v>2803</v>
      </c>
      <c r="F740">
        <f>IF(C740="","",C740*7/B740)</f>
        <v/>
      </c>
    </row>
    <row r="741">
      <c r="A741" s="3" t="n">
        <v>43532</v>
      </c>
      <c r="B741" t="n">
        <v>246090</v>
      </c>
      <c r="C741" t="n">
        <v>931</v>
      </c>
      <c r="D741" t="n">
        <v>5239</v>
      </c>
      <c r="E741" t="n">
        <v>2546</v>
      </c>
      <c r="F741">
        <f>IF(C741="","",C741*7/B741)</f>
        <v/>
      </c>
    </row>
    <row r="742">
      <c r="A742" s="3" t="n">
        <v>43539</v>
      </c>
      <c r="B742" t="n">
        <v>241503</v>
      </c>
      <c r="C742" t="n">
        <v>659</v>
      </c>
      <c r="D742" t="n">
        <v>4197</v>
      </c>
      <c r="E742" t="n">
        <v>3392</v>
      </c>
      <c r="F742">
        <f>IF(C742="","",C742*7/B742)</f>
        <v/>
      </c>
    </row>
    <row r="743">
      <c r="A743" s="3" t="n">
        <v>43546</v>
      </c>
      <c r="B743" t="n">
        <v>238620</v>
      </c>
      <c r="C743" t="n">
        <v>693</v>
      </c>
      <c r="D743" t="n">
        <v>5198</v>
      </c>
      <c r="E743" t="n">
        <v>2886</v>
      </c>
      <c r="F743">
        <f>IF(C743="","",C743*7/B743)</f>
        <v/>
      </c>
    </row>
    <row r="744">
      <c r="A744" s="3" t="n">
        <v>43553</v>
      </c>
      <c r="B744" t="n">
        <v>236839</v>
      </c>
      <c r="C744" t="n">
        <v>615</v>
      </c>
      <c r="D744" t="n">
        <v>4871</v>
      </c>
      <c r="E744" t="n">
        <v>2723</v>
      </c>
      <c r="F744">
        <f>IF(C744="","",C744*7/B744)</f>
        <v/>
      </c>
    </row>
    <row r="745">
      <c r="A745" s="3" t="n">
        <v>43560</v>
      </c>
      <c r="B745" t="n">
        <v>229129</v>
      </c>
      <c r="C745" t="n">
        <v>656</v>
      </c>
      <c r="D745" t="n">
        <v>5196</v>
      </c>
      <c r="E745" t="n">
        <v>2349</v>
      </c>
      <c r="F745">
        <f>IF(C745="","",C745*7/B745)</f>
        <v/>
      </c>
    </row>
    <row r="746">
      <c r="A746" s="3" t="n">
        <v>43567</v>
      </c>
      <c r="B746" t="n">
        <v>227955</v>
      </c>
      <c r="C746" t="n">
        <v>599</v>
      </c>
      <c r="D746" t="n">
        <v>5315</v>
      </c>
      <c r="E746" t="n">
        <v>2401</v>
      </c>
      <c r="F746">
        <f>IF(C746="","",C746*7/B746)</f>
        <v/>
      </c>
    </row>
    <row r="747">
      <c r="A747" s="3" t="n">
        <v>43574</v>
      </c>
      <c r="B747" t="n">
        <v>225826</v>
      </c>
      <c r="C747" t="n">
        <v>546</v>
      </c>
      <c r="D747" t="n">
        <v>5549</v>
      </c>
      <c r="E747" t="n">
        <v>2681</v>
      </c>
      <c r="F747">
        <f>IF(C747="","",C747*7/B747)</f>
        <v/>
      </c>
    </row>
    <row r="748">
      <c r="A748" s="3" t="n">
        <v>43581</v>
      </c>
      <c r="B748" t="n">
        <v>226743</v>
      </c>
      <c r="C748" t="n">
        <v>688</v>
      </c>
      <c r="D748" t="n">
        <v>5156</v>
      </c>
      <c r="E748" t="n">
        <v>2611</v>
      </c>
      <c r="F748">
        <f>IF(C748="","",C748*7/B748)</f>
        <v/>
      </c>
    </row>
    <row r="749">
      <c r="A749" s="3" t="n">
        <v>43588</v>
      </c>
      <c r="B749" t="n">
        <v>226147</v>
      </c>
      <c r="C749" t="n">
        <v>491</v>
      </c>
      <c r="D749" t="n">
        <v>5226</v>
      </c>
      <c r="E749" t="n">
        <v>2322</v>
      </c>
      <c r="F749">
        <f>IF(C749="","",C749*7/B749)</f>
        <v/>
      </c>
    </row>
    <row r="750">
      <c r="A750" s="3" t="n">
        <v>43595</v>
      </c>
      <c r="B750" t="n">
        <v>225024</v>
      </c>
      <c r="C750" t="n">
        <v>785</v>
      </c>
      <c r="D750" t="n">
        <v>5215</v>
      </c>
      <c r="E750" t="n">
        <v>3347</v>
      </c>
      <c r="F750">
        <f>IF(C750="","",C750*7/B750)</f>
        <v/>
      </c>
    </row>
    <row r="751">
      <c r="A751" s="3" t="n">
        <v>43602</v>
      </c>
      <c r="B751" t="n">
        <v>228740</v>
      </c>
      <c r="C751" t="n">
        <v>416</v>
      </c>
      <c r="D751" t="n">
        <v>5145</v>
      </c>
      <c r="E751" t="n">
        <v>2922</v>
      </c>
      <c r="F751">
        <f>IF(C751="","",C751*7/B751)</f>
        <v/>
      </c>
    </row>
    <row r="752">
      <c r="A752" s="3" t="n">
        <v>43609</v>
      </c>
      <c r="B752" t="n">
        <v>230944</v>
      </c>
      <c r="C752" t="n">
        <v>717</v>
      </c>
      <c r="D752" t="n">
        <v>5246</v>
      </c>
      <c r="E752" t="n">
        <v>3317</v>
      </c>
      <c r="F752">
        <f>IF(C752="","",C752*7/B752)</f>
        <v/>
      </c>
    </row>
    <row r="753">
      <c r="A753" s="3" t="n">
        <v>43616</v>
      </c>
      <c r="B753" t="n">
        <v>234149</v>
      </c>
      <c r="C753" t="n">
        <v>679</v>
      </c>
      <c r="D753" t="n">
        <v>5046</v>
      </c>
      <c r="E753" t="n">
        <v>3298</v>
      </c>
      <c r="F753">
        <f>IF(C753="","",C753*7/B753)</f>
        <v/>
      </c>
    </row>
    <row r="754">
      <c r="A754" s="3" t="n">
        <v>43623</v>
      </c>
      <c r="B754" t="n">
        <v>234913</v>
      </c>
      <c r="C754" t="n">
        <v>531</v>
      </c>
      <c r="D754" t="n">
        <v>4730</v>
      </c>
      <c r="E754" t="n">
        <v>3122</v>
      </c>
      <c r="F754">
        <f>IF(C754="","",C754*7/B754)</f>
        <v/>
      </c>
    </row>
    <row r="755">
      <c r="A755" s="3" t="n">
        <v>43630</v>
      </c>
      <c r="B755" t="n">
        <v>233221</v>
      </c>
      <c r="C755" t="n">
        <v>630</v>
      </c>
      <c r="D755" t="n">
        <v>5409</v>
      </c>
      <c r="E755" t="n">
        <v>3422</v>
      </c>
      <c r="F755">
        <f>IF(C755="","",C755*7/B755)</f>
        <v/>
      </c>
    </row>
    <row r="756">
      <c r="A756" s="3" t="n">
        <v>43637</v>
      </c>
      <c r="B756" t="n">
        <v>232225</v>
      </c>
      <c r="C756" t="n">
        <v>939</v>
      </c>
      <c r="D756" t="n">
        <v>5607</v>
      </c>
      <c r="E756" t="n">
        <v>3770</v>
      </c>
      <c r="F756">
        <f>IF(C756="","",C756*7/B756)</f>
        <v/>
      </c>
    </row>
    <row r="757">
      <c r="A757" s="3" t="n">
        <v>43644</v>
      </c>
      <c r="B757" t="n">
        <v>230642</v>
      </c>
      <c r="C757" t="n">
        <v>563</v>
      </c>
      <c r="D757" t="n">
        <v>4935</v>
      </c>
      <c r="E757" t="n">
        <v>2990</v>
      </c>
      <c r="F757">
        <f>IF(C757="","",C757*7/B757)</f>
        <v/>
      </c>
    </row>
    <row r="758">
      <c r="A758" s="3" t="n">
        <v>43651</v>
      </c>
      <c r="B758" t="n">
        <v>229187</v>
      </c>
      <c r="C758" t="n">
        <v>700</v>
      </c>
      <c r="D758" t="n">
        <v>5289</v>
      </c>
      <c r="E758" t="n">
        <v>3048</v>
      </c>
      <c r="F758">
        <f>IF(C758="","",C758*7/B758)</f>
        <v/>
      </c>
    </row>
    <row r="759">
      <c r="A759" s="3" t="n">
        <v>43658</v>
      </c>
      <c r="B759" t="n">
        <v>232752</v>
      </c>
      <c r="C759" t="n">
        <v>617</v>
      </c>
      <c r="D759" t="n">
        <v>4524</v>
      </c>
      <c r="E759" t="n">
        <v>2534</v>
      </c>
      <c r="F759">
        <f>IF(C759="","",C759*7/B759)</f>
        <v/>
      </c>
    </row>
    <row r="760">
      <c r="A760" s="3" t="n">
        <v>43665</v>
      </c>
      <c r="B760" t="n">
        <v>232526</v>
      </c>
      <c r="C760" t="n">
        <v>558</v>
      </c>
      <c r="D760" t="n">
        <v>4702</v>
      </c>
      <c r="E760" t="n">
        <v>3292</v>
      </c>
      <c r="F760">
        <f>IF(C760="","",C760*7/B760)</f>
        <v/>
      </c>
    </row>
    <row r="761">
      <c r="A761" s="3" t="n">
        <v>43672</v>
      </c>
      <c r="B761" t="n">
        <v>230735</v>
      </c>
      <c r="C761" t="n">
        <v>809</v>
      </c>
      <c r="D761" t="n">
        <v>5827</v>
      </c>
      <c r="E761" t="n">
        <v>2574</v>
      </c>
      <c r="F761">
        <f>IF(C761="","",C761*7/B761)</f>
        <v/>
      </c>
    </row>
    <row r="762">
      <c r="A762" s="3" t="n">
        <v>43679</v>
      </c>
      <c r="B762" t="n">
        <v>235172</v>
      </c>
      <c r="C762" t="n">
        <v>777</v>
      </c>
      <c r="D762" t="n">
        <v>5054</v>
      </c>
      <c r="E762" t="n">
        <v>1865</v>
      </c>
      <c r="F762">
        <f>IF(C762="","",C762*7/B762)</f>
        <v/>
      </c>
    </row>
    <row r="763">
      <c r="A763" s="3" t="n">
        <v>43686</v>
      </c>
      <c r="B763" t="n">
        <v>233760</v>
      </c>
      <c r="C763" t="n">
        <v>453</v>
      </c>
      <c r="D763" t="n">
        <v>5053</v>
      </c>
      <c r="E763" t="n">
        <v>2683</v>
      </c>
      <c r="F763">
        <f>IF(C763="","",C763*7/B763)</f>
        <v/>
      </c>
    </row>
    <row r="764">
      <c r="A764" s="3" t="n">
        <v>43693</v>
      </c>
      <c r="B764" t="n">
        <v>234072</v>
      </c>
      <c r="C764" t="n">
        <v>676</v>
      </c>
      <c r="D764" t="n">
        <v>5285</v>
      </c>
      <c r="E764" t="n">
        <v>2803</v>
      </c>
      <c r="F764">
        <f>IF(C764="","",C764*7/B764)</f>
        <v/>
      </c>
    </row>
    <row r="765">
      <c r="A765" s="3" t="n">
        <v>43700</v>
      </c>
      <c r="B765" t="n">
        <v>231982</v>
      </c>
      <c r="C765" t="n">
        <v>700</v>
      </c>
      <c r="D765" t="n">
        <v>5313</v>
      </c>
      <c r="E765" t="n">
        <v>3019</v>
      </c>
      <c r="F765">
        <f>IF(C765="","",C765*7/B765)</f>
        <v/>
      </c>
    </row>
    <row r="766">
      <c r="A766" s="3" t="n">
        <v>43707</v>
      </c>
      <c r="B766" t="n">
        <v>229586</v>
      </c>
      <c r="C766" t="n">
        <v>819</v>
      </c>
      <c r="D766" t="n">
        <v>5323</v>
      </c>
      <c r="E766" t="n">
        <v>3061</v>
      </c>
      <c r="F766">
        <f>IF(C766="","",C766*7/B766)</f>
        <v/>
      </c>
    </row>
    <row r="767">
      <c r="A767" s="3" t="n">
        <v>43714</v>
      </c>
      <c r="B767" t="n">
        <v>228904</v>
      </c>
      <c r="C767" t="n">
        <v>637</v>
      </c>
      <c r="D767" t="n">
        <v>4626</v>
      </c>
      <c r="E767" t="n">
        <v>3295</v>
      </c>
      <c r="F767">
        <f>IF(C767="","",C767*7/B767)</f>
        <v/>
      </c>
    </row>
    <row r="768">
      <c r="A768" s="3" t="n">
        <v>43721</v>
      </c>
      <c r="B768" t="n">
        <v>229685</v>
      </c>
      <c r="C768" t="n">
        <v>692</v>
      </c>
      <c r="D768" t="n">
        <v>5550</v>
      </c>
      <c r="E768" t="n">
        <v>3175</v>
      </c>
      <c r="F768">
        <f>IF(C768="","",C768*7/B768)</f>
        <v/>
      </c>
    </row>
    <row r="769">
      <c r="A769" s="3" t="n">
        <v>43728</v>
      </c>
      <c r="B769" t="n">
        <v>230204</v>
      </c>
      <c r="C769" t="n">
        <v>805</v>
      </c>
      <c r="D769" t="n">
        <v>5112</v>
      </c>
      <c r="E769" t="n">
        <v>2983</v>
      </c>
      <c r="F769">
        <f>IF(C769="","",C769*7/B769)</f>
        <v/>
      </c>
    </row>
    <row r="770">
      <c r="A770" s="3" t="n">
        <v>43735</v>
      </c>
      <c r="B770" t="n">
        <v>229976</v>
      </c>
      <c r="C770" t="n">
        <v>920</v>
      </c>
      <c r="D770" t="n">
        <v>4921</v>
      </c>
      <c r="E770" t="n">
        <v>2867</v>
      </c>
      <c r="F770">
        <f>IF(C770="","",C770*7/B770)</f>
        <v/>
      </c>
    </row>
    <row r="771">
      <c r="A771" s="3" t="n">
        <v>43742</v>
      </c>
      <c r="B771" t="n">
        <v>228763</v>
      </c>
      <c r="C771" t="n">
        <v>796</v>
      </c>
      <c r="D771" t="n">
        <v>5219</v>
      </c>
      <c r="E771" t="n">
        <v>3401</v>
      </c>
      <c r="F771">
        <f>IF(C771="","",C771*7/B771)</f>
        <v/>
      </c>
    </row>
    <row r="772">
      <c r="A772" s="3" t="n">
        <v>43749</v>
      </c>
      <c r="B772" t="n">
        <v>226201</v>
      </c>
      <c r="C772" t="n">
        <v>781</v>
      </c>
      <c r="D772" t="n">
        <v>4985</v>
      </c>
      <c r="E772" t="n">
        <v>3248</v>
      </c>
      <c r="F772">
        <f>IF(C772="","",C772*7/B772)</f>
        <v/>
      </c>
    </row>
    <row r="773">
      <c r="A773" s="3" t="n">
        <v>43756</v>
      </c>
      <c r="B773" t="n">
        <v>223094</v>
      </c>
      <c r="C773" t="n">
        <v>625</v>
      </c>
      <c r="D773" t="n">
        <v>4936</v>
      </c>
      <c r="E773" t="n">
        <v>3683</v>
      </c>
      <c r="F773">
        <f>IF(C773="","",C773*7/B773)</f>
        <v/>
      </c>
    </row>
    <row r="774">
      <c r="A774" s="3" t="n">
        <v>43763</v>
      </c>
      <c r="B774" t="n">
        <v>220057</v>
      </c>
      <c r="C774" t="n">
        <v>652</v>
      </c>
      <c r="D774" t="n">
        <v>5101</v>
      </c>
      <c r="E774" t="n">
        <v>3327</v>
      </c>
      <c r="F774">
        <f>IF(C774="","",C774*7/B774)</f>
        <v/>
      </c>
    </row>
    <row r="775">
      <c r="A775" s="3" t="n">
        <v>43770</v>
      </c>
      <c r="B775" t="n">
        <v>217229</v>
      </c>
      <c r="C775" t="n">
        <v>1009</v>
      </c>
      <c r="D775" t="n">
        <v>4653</v>
      </c>
      <c r="E775" t="n">
        <v>2371</v>
      </c>
      <c r="F775">
        <f>IF(C775="","",C775*7/B775)</f>
        <v/>
      </c>
    </row>
    <row r="776">
      <c r="A776" s="3" t="n">
        <v>43777</v>
      </c>
      <c r="B776" t="n">
        <v>219090</v>
      </c>
      <c r="C776" t="n">
        <v>814</v>
      </c>
      <c r="D776" t="n">
        <v>5094</v>
      </c>
      <c r="E776" t="n">
        <v>2633</v>
      </c>
      <c r="F776">
        <f>IF(C776="","",C776*7/B776)</f>
        <v/>
      </c>
    </row>
    <row r="777">
      <c r="A777" s="3" t="n">
        <v>43784</v>
      </c>
      <c r="B777" t="n">
        <v>220846</v>
      </c>
      <c r="C777" t="n">
        <v>889</v>
      </c>
      <c r="D777" t="n">
        <v>5384</v>
      </c>
      <c r="E777" t="n">
        <v>3027</v>
      </c>
      <c r="F777">
        <f>IF(C777="","",C777*7/B777)</f>
        <v/>
      </c>
    </row>
    <row r="778">
      <c r="A778" s="3" t="n">
        <v>43791</v>
      </c>
      <c r="B778" t="n">
        <v>225978</v>
      </c>
      <c r="C778" t="n">
        <v>935</v>
      </c>
      <c r="D778" t="n">
        <v>5205</v>
      </c>
      <c r="E778" t="n">
        <v>3480</v>
      </c>
      <c r="F778">
        <f>IF(C778="","",C778*7/B778)</f>
        <v/>
      </c>
    </row>
    <row r="779">
      <c r="A779" s="3" t="n">
        <v>43798</v>
      </c>
      <c r="B779" t="n">
        <v>229363</v>
      </c>
      <c r="C779" t="n">
        <v>873</v>
      </c>
      <c r="D779" t="n">
        <v>5278</v>
      </c>
      <c r="E779" t="n">
        <v>3135</v>
      </c>
      <c r="F779">
        <f>IF(C779="","",C779*7/B779)</f>
        <v/>
      </c>
    </row>
    <row r="780">
      <c r="A780" s="3" t="n">
        <v>43805</v>
      </c>
      <c r="B780" t="n">
        <v>234768</v>
      </c>
      <c r="C780" t="n">
        <v>916</v>
      </c>
      <c r="D780" t="n">
        <v>5537</v>
      </c>
      <c r="E780" t="n">
        <v>3400</v>
      </c>
      <c r="F780">
        <f>IF(C780="","",C780*7/B780)</f>
        <v/>
      </c>
    </row>
    <row r="781">
      <c r="A781" s="3" t="n">
        <v>43812</v>
      </c>
      <c r="B781" t="n">
        <v>237297</v>
      </c>
      <c r="C781" t="n">
        <v>590</v>
      </c>
      <c r="D781" t="n">
        <v>4969</v>
      </c>
      <c r="E781" t="n">
        <v>3633</v>
      </c>
      <c r="F781">
        <f>IF(C781="","",C781*7/B781)</f>
        <v/>
      </c>
    </row>
    <row r="782">
      <c r="A782" s="3" t="n">
        <v>43819</v>
      </c>
      <c r="B782" t="n">
        <v>239260</v>
      </c>
      <c r="C782" t="n">
        <v>870</v>
      </c>
      <c r="D782" t="n">
        <v>5729</v>
      </c>
      <c r="E782" t="n">
        <v>3397</v>
      </c>
      <c r="F782">
        <f>IF(C782="","",C782*7/B782)</f>
        <v/>
      </c>
    </row>
    <row r="783">
      <c r="A783" s="3" t="n">
        <v>43826</v>
      </c>
      <c r="B783" t="n">
        <v>242472</v>
      </c>
      <c r="C783" t="n">
        <v>1025</v>
      </c>
      <c r="D783" t="n">
        <v>5672</v>
      </c>
      <c r="E783" t="n">
        <v>4462</v>
      </c>
      <c r="F783">
        <f>IF(C783="","",C783*7/B783)</f>
        <v/>
      </c>
    </row>
    <row r="784">
      <c r="A784" s="3" t="n">
        <v>43833</v>
      </c>
      <c r="B784" t="n">
        <v>251609</v>
      </c>
      <c r="C784" t="n">
        <v>806</v>
      </c>
      <c r="D784" t="n">
        <v>5169</v>
      </c>
      <c r="E784" t="n">
        <v>3064</v>
      </c>
      <c r="F784">
        <f>IF(C784="","",C784*7/B784)</f>
        <v/>
      </c>
    </row>
    <row r="785">
      <c r="A785" s="3" t="n">
        <v>43840</v>
      </c>
      <c r="B785" t="n">
        <v>258287</v>
      </c>
      <c r="C785" t="n">
        <v>608</v>
      </c>
      <c r="D785" t="n">
        <v>4815</v>
      </c>
      <c r="E785" t="n">
        <v>3481</v>
      </c>
      <c r="F785">
        <f>IF(C785="","",C785*7/B785)</f>
        <v/>
      </c>
    </row>
    <row r="786">
      <c r="A786" s="3" t="n">
        <v>43847</v>
      </c>
      <c r="B786" t="n">
        <v>260032</v>
      </c>
      <c r="C786" t="n">
        <v>809</v>
      </c>
      <c r="D786" t="n">
        <v>5372</v>
      </c>
      <c r="E786" t="n">
        <v>3414</v>
      </c>
      <c r="F786">
        <f>IF(C786="","",C786*7/B786)</f>
        <v/>
      </c>
    </row>
    <row r="787">
      <c r="A787" s="3" t="n">
        <v>43854</v>
      </c>
      <c r="B787" t="n">
        <v>261235</v>
      </c>
      <c r="C787" t="n">
        <v>649</v>
      </c>
      <c r="D787" t="n">
        <v>5851</v>
      </c>
      <c r="E787" t="n">
        <v>3509</v>
      </c>
      <c r="F787">
        <f>IF(C787="","",C787*7/B787)</f>
        <v/>
      </c>
    </row>
    <row r="788">
      <c r="A788" s="3" t="n">
        <v>43861</v>
      </c>
      <c r="B788" t="n">
        <v>261144</v>
      </c>
      <c r="C788" t="n">
        <v>986</v>
      </c>
      <c r="D788" t="n">
        <v>5740</v>
      </c>
      <c r="E788" t="n">
        <v>3413</v>
      </c>
      <c r="F788">
        <f>IF(C788="","",C788*7/B788)</f>
        <v/>
      </c>
    </row>
    <row r="789">
      <c r="A789" s="3" t="n">
        <v>43868</v>
      </c>
      <c r="B789" t="n">
        <v>261049</v>
      </c>
      <c r="C789" t="n">
        <v>622</v>
      </c>
      <c r="D789" t="n">
        <v>5358</v>
      </c>
      <c r="E789" t="n">
        <v>2970</v>
      </c>
      <c r="F789">
        <f>IF(C789="","",C789*7/B789)</f>
        <v/>
      </c>
    </row>
    <row r="790">
      <c r="A790" s="3" t="n">
        <v>43875</v>
      </c>
      <c r="B790" t="n">
        <v>259078</v>
      </c>
      <c r="C790" t="n">
        <v>770</v>
      </c>
      <c r="D790" t="n">
        <v>5726</v>
      </c>
      <c r="E790" t="n">
        <v>3564</v>
      </c>
      <c r="F790">
        <f>IF(C790="","",C790*7/B790)</f>
        <v/>
      </c>
    </row>
    <row r="791">
      <c r="A791" s="3" t="n">
        <v>43882</v>
      </c>
      <c r="B791" t="n">
        <v>256387</v>
      </c>
      <c r="C791" t="n">
        <v>842</v>
      </c>
      <c r="D791" t="n">
        <v>5540</v>
      </c>
      <c r="E791" t="n">
        <v>3657</v>
      </c>
      <c r="F791">
        <f>IF(C791="","",C791*7/B791)</f>
        <v/>
      </c>
    </row>
    <row r="792">
      <c r="A792" s="3" t="n">
        <v>43889</v>
      </c>
      <c r="B792" t="n">
        <v>252048</v>
      </c>
      <c r="C792" t="n">
        <v>812</v>
      </c>
      <c r="D792" t="n">
        <v>5577</v>
      </c>
      <c r="E792" t="n">
        <v>4154</v>
      </c>
      <c r="F792">
        <f>IF(C792="","",C792*7/B792)</f>
        <v/>
      </c>
    </row>
    <row r="793">
      <c r="A793" s="3" t="n">
        <v>43896</v>
      </c>
      <c r="B793" t="n">
        <v>246999</v>
      </c>
      <c r="C793" t="n">
        <v>745</v>
      </c>
      <c r="D793" t="n">
        <v>5640</v>
      </c>
      <c r="E793" t="n">
        <v>3410</v>
      </c>
      <c r="F793">
        <f>IF(C793="","",C793*7/B793)</f>
        <v/>
      </c>
    </row>
    <row r="794">
      <c r="A794" s="3" t="n">
        <v>43903</v>
      </c>
      <c r="B794" t="n">
        <v>240819</v>
      </c>
      <c r="C794" t="n">
        <v>603</v>
      </c>
      <c r="D794" t="n">
        <v>5469</v>
      </c>
      <c r="E794" t="n">
        <v>4378</v>
      </c>
      <c r="F794">
        <f>IF(C794="","",C794*7/B794)</f>
        <v/>
      </c>
    </row>
    <row r="795">
      <c r="A795" s="3" t="n">
        <v>43910</v>
      </c>
      <c r="B795" t="n">
        <v>239282</v>
      </c>
      <c r="C795" t="n">
        <v>835</v>
      </c>
      <c r="D795" t="n">
        <v>5629</v>
      </c>
      <c r="E795" t="n">
        <v>3850</v>
      </c>
      <c r="F795">
        <f>IF(C795="","",C795*7/B795)</f>
        <v/>
      </c>
    </row>
    <row r="796">
      <c r="A796" s="3" t="n">
        <v>43917</v>
      </c>
      <c r="B796" t="n">
        <v>246806</v>
      </c>
      <c r="C796" t="n">
        <v>673</v>
      </c>
      <c r="D796" t="n">
        <v>5296</v>
      </c>
      <c r="E796" t="n">
        <v>3155</v>
      </c>
      <c r="F796">
        <f>IF(C796="","",C796*7/B796)</f>
        <v/>
      </c>
    </row>
    <row r="797">
      <c r="A797" s="3" t="n">
        <v>43924</v>
      </c>
      <c r="B797" t="n">
        <v>257303</v>
      </c>
      <c r="C797" t="n">
        <v>770</v>
      </c>
      <c r="D797" t="n">
        <v>5529</v>
      </c>
      <c r="E797" t="n">
        <v>2833</v>
      </c>
      <c r="F797">
        <f>IF(C797="","",C797*7/B797)</f>
        <v/>
      </c>
    </row>
    <row r="798">
      <c r="A798" s="3" t="n">
        <v>43931</v>
      </c>
      <c r="B798" t="n">
        <v>262217</v>
      </c>
      <c r="C798" t="n">
        <v>755</v>
      </c>
      <c r="D798" t="n">
        <v>6347</v>
      </c>
      <c r="E798" t="n">
        <v>3436</v>
      </c>
      <c r="F798">
        <f>IF(C798="","",C798*7/B798)</f>
        <v/>
      </c>
    </row>
    <row r="799">
      <c r="A799" s="3" t="n">
        <v>43938</v>
      </c>
      <c r="B799" t="n">
        <v>263234</v>
      </c>
      <c r="C799" t="n">
        <v>784</v>
      </c>
      <c r="D799" t="n">
        <v>5138</v>
      </c>
      <c r="E799" t="n">
        <v>2890</v>
      </c>
      <c r="F799">
        <f>IF(C799="","",C799*7/B799)</f>
        <v/>
      </c>
    </row>
    <row r="800">
      <c r="A800" s="3" t="n">
        <v>43945</v>
      </c>
      <c r="B800" t="n">
        <v>259565</v>
      </c>
      <c r="C800" t="n">
        <v>905</v>
      </c>
      <c r="D800" t="n">
        <v>5374</v>
      </c>
      <c r="E800" t="n">
        <v>3302</v>
      </c>
      <c r="F800">
        <f>IF(C800="","",C800*7/B800)</f>
        <v/>
      </c>
    </row>
    <row r="801">
      <c r="A801" s="3" t="n">
        <v>43952</v>
      </c>
      <c r="B801" t="n">
        <v>256407</v>
      </c>
      <c r="C801" t="n">
        <v>532</v>
      </c>
      <c r="D801" t="n">
        <v>4328</v>
      </c>
      <c r="E801" t="n">
        <v>3546</v>
      </c>
      <c r="F801">
        <f>IF(C801="","",C801*7/B801)</f>
        <v/>
      </c>
    </row>
    <row r="802">
      <c r="A802" s="3" t="n">
        <v>43959</v>
      </c>
      <c r="B802" t="n">
        <v>252894</v>
      </c>
      <c r="C802" t="n">
        <v>174</v>
      </c>
      <c r="D802" t="n">
        <v>3934</v>
      </c>
      <c r="E802" t="n">
        <v>3525</v>
      </c>
      <c r="F802">
        <f>IF(C802="","",C802*7/B802)</f>
        <v/>
      </c>
    </row>
    <row r="803">
      <c r="A803" s="3" t="n">
        <v>43966</v>
      </c>
      <c r="B803" t="n">
        <v>255724</v>
      </c>
      <c r="C803" t="n">
        <v>244</v>
      </c>
      <c r="D803" t="n">
        <v>3680</v>
      </c>
      <c r="E803" t="n">
        <v>3239</v>
      </c>
      <c r="F803">
        <f>IF(C803="","",C803*7/B803)</f>
        <v/>
      </c>
    </row>
    <row r="804">
      <c r="A804" s="3" t="n">
        <v>43973</v>
      </c>
      <c r="B804" t="n">
        <v>255000</v>
      </c>
      <c r="C804" t="n">
        <v>210</v>
      </c>
      <c r="D804" t="n">
        <v>4347</v>
      </c>
      <c r="E804" t="n">
        <v>3176</v>
      </c>
      <c r="F804">
        <f>IF(C804="","",C804*7/B804)</f>
        <v/>
      </c>
    </row>
    <row r="805">
      <c r="A805" s="3" t="n">
        <v>43980</v>
      </c>
      <c r="B805" t="n">
        <v>257795</v>
      </c>
      <c r="C805" t="n">
        <v>263</v>
      </c>
      <c r="D805" t="n">
        <v>4426</v>
      </c>
      <c r="E805" t="n">
        <v>2794</v>
      </c>
      <c r="F805">
        <f>IF(C805="","",C805*7/B805)</f>
        <v/>
      </c>
    </row>
    <row r="806">
      <c r="A806" s="3" t="n">
        <v>43987</v>
      </c>
      <c r="B806" t="n">
        <v>258661</v>
      </c>
      <c r="C806" t="n">
        <v>308</v>
      </c>
      <c r="D806" t="n">
        <v>4618</v>
      </c>
      <c r="E806" t="n">
        <v>2439</v>
      </c>
      <c r="F806">
        <f>IF(C806="","",C806*7/B806)</f>
        <v/>
      </c>
    </row>
    <row r="807">
      <c r="A807" s="3" t="n">
        <v>43994</v>
      </c>
      <c r="B807" t="n">
        <v>256995</v>
      </c>
      <c r="C807" t="n">
        <v>495</v>
      </c>
      <c r="D807" t="n">
        <v>4353</v>
      </c>
      <c r="E807" t="n">
        <v>2462</v>
      </c>
      <c r="F807">
        <f>IF(C807="","",C807*7/B807)</f>
        <v/>
      </c>
    </row>
    <row r="808">
      <c r="A808" s="3" t="n">
        <v>44001</v>
      </c>
      <c r="B808" t="n">
        <v>255322</v>
      </c>
      <c r="C808" t="n">
        <v>286</v>
      </c>
      <c r="D808" t="n">
        <v>4629</v>
      </c>
      <c r="E808" t="n">
        <v>3157</v>
      </c>
      <c r="F808">
        <f>IF(C808="","",C808*7/B808)</f>
        <v/>
      </c>
    </row>
    <row r="809">
      <c r="A809" s="3" t="n">
        <v>44008</v>
      </c>
      <c r="B809" t="n">
        <v>256521</v>
      </c>
      <c r="C809" t="n">
        <v>483</v>
      </c>
      <c r="D809" t="n">
        <v>4744</v>
      </c>
      <c r="E809" t="n">
        <v>3092</v>
      </c>
      <c r="F809">
        <f>IF(C809="","",C809*7/B809)</f>
        <v/>
      </c>
    </row>
    <row r="810">
      <c r="A810" s="3" t="n">
        <v>44015</v>
      </c>
      <c r="B810" t="n">
        <v>251682</v>
      </c>
      <c r="C810" t="n">
        <v>524</v>
      </c>
      <c r="D810" t="n">
        <v>5217</v>
      </c>
      <c r="E810" t="n">
        <v>2387</v>
      </c>
      <c r="F810">
        <f>IF(C810="","",C810*7/B810)</f>
        <v/>
      </c>
    </row>
    <row r="811">
      <c r="A811" s="3" t="n">
        <v>44022</v>
      </c>
      <c r="B811" t="n">
        <v>248535</v>
      </c>
      <c r="C811" t="n">
        <v>601</v>
      </c>
      <c r="D811" t="n">
        <v>4832</v>
      </c>
      <c r="E811" t="n">
        <v>2543</v>
      </c>
      <c r="F811">
        <f>IF(C811="","",C811*7/B811)</f>
        <v/>
      </c>
    </row>
    <row r="812">
      <c r="A812" s="3" t="n">
        <v>44029</v>
      </c>
      <c r="B812" t="n">
        <v>246733</v>
      </c>
      <c r="C812" t="n">
        <v>479</v>
      </c>
      <c r="D812" t="n">
        <v>4900</v>
      </c>
      <c r="E812" t="n">
        <v>2993</v>
      </c>
      <c r="F812">
        <f>IF(C812="","",C812*7/B812)</f>
        <v/>
      </c>
    </row>
    <row r="813">
      <c r="A813" s="3" t="n">
        <v>44036</v>
      </c>
      <c r="B813" t="n">
        <v>247387</v>
      </c>
      <c r="C813" t="n">
        <v>441</v>
      </c>
      <c r="D813" t="n">
        <v>4079</v>
      </c>
      <c r="E813" t="n">
        <v>3211</v>
      </c>
      <c r="F813">
        <f>IF(C813="","",C813*7/B813)</f>
        <v/>
      </c>
    </row>
    <row r="814">
      <c r="A814" s="3" t="n">
        <v>44043</v>
      </c>
      <c r="B814" t="n">
        <v>247806</v>
      </c>
      <c r="C814" t="n">
        <v>770</v>
      </c>
      <c r="D814" t="n">
        <v>5259</v>
      </c>
      <c r="E814" t="n">
        <v>2819</v>
      </c>
      <c r="F814">
        <f>IF(C814="","",C814*7/B814)</f>
        <v/>
      </c>
    </row>
    <row r="815">
      <c r="A815" s="3" t="n">
        <v>44050</v>
      </c>
      <c r="B815" t="n">
        <v>247084</v>
      </c>
      <c r="C815" t="n">
        <v>794</v>
      </c>
      <c r="D815" t="n">
        <v>4662</v>
      </c>
      <c r="E815" t="n">
        <v>3143</v>
      </c>
      <c r="F815">
        <f>IF(C815="","",C815*7/B815)</f>
        <v/>
      </c>
    </row>
    <row r="816">
      <c r="A816" s="3" t="n">
        <v>44057</v>
      </c>
      <c r="B816" t="n">
        <v>243762</v>
      </c>
      <c r="C816" t="n">
        <v>809</v>
      </c>
      <c r="D816" t="n">
        <v>5653</v>
      </c>
      <c r="E816" t="n">
        <v>2137</v>
      </c>
      <c r="F816">
        <f>IF(C816="","",C816*7/B816)</f>
        <v/>
      </c>
    </row>
    <row r="817">
      <c r="A817" s="3" t="n">
        <v>44064</v>
      </c>
      <c r="B817" t="n">
        <v>239179</v>
      </c>
      <c r="C817" t="n">
        <v>620</v>
      </c>
      <c r="D817" t="n">
        <v>4519</v>
      </c>
      <c r="E817" t="n">
        <v>3363</v>
      </c>
      <c r="F817">
        <f>IF(C817="","",C817*7/B817)</f>
        <v/>
      </c>
    </row>
    <row r="818">
      <c r="A818" s="3" t="n">
        <v>44071</v>
      </c>
      <c r="B818" t="n">
        <v>234859</v>
      </c>
      <c r="C818" t="n">
        <v>569</v>
      </c>
      <c r="D818" t="n">
        <v>5069</v>
      </c>
      <c r="E818" t="n">
        <v>3002</v>
      </c>
      <c r="F818">
        <f>IF(C818="","",C818*7/B818)</f>
        <v/>
      </c>
    </row>
    <row r="819">
      <c r="A819" s="3" t="n">
        <v>44078</v>
      </c>
      <c r="B819" t="n">
        <v>231905</v>
      </c>
      <c r="C819" t="n">
        <v>709</v>
      </c>
      <c r="D819" t="n">
        <v>4242</v>
      </c>
      <c r="E819" t="n">
        <v>2944</v>
      </c>
      <c r="F819">
        <f>IF(C819="","",C819*7/B819)</f>
        <v/>
      </c>
    </row>
    <row r="820">
      <c r="A820" s="3" t="n">
        <v>44085</v>
      </c>
      <c r="B820" t="n">
        <v>231524</v>
      </c>
      <c r="C820" t="n">
        <v>506</v>
      </c>
      <c r="D820" t="n">
        <v>4415</v>
      </c>
      <c r="E820" t="n">
        <v>2595</v>
      </c>
      <c r="F820">
        <f>IF(C820="","",C820*7/B820)</f>
        <v/>
      </c>
    </row>
    <row r="821">
      <c r="A821" s="3" t="n">
        <v>44092</v>
      </c>
      <c r="B821" t="n">
        <v>227499</v>
      </c>
      <c r="C821" t="n">
        <v>746</v>
      </c>
      <c r="D821" t="n">
        <v>4973</v>
      </c>
      <c r="E821" t="n">
        <v>3022</v>
      </c>
      <c r="F821">
        <f>IF(C821="","",C821*7/B821)</f>
        <v/>
      </c>
    </row>
    <row r="822">
      <c r="A822" s="3" t="n">
        <v>44099</v>
      </c>
      <c r="B822" t="n">
        <v>228182</v>
      </c>
      <c r="C822" t="n">
        <v>668</v>
      </c>
      <c r="D822" t="n">
        <v>5140</v>
      </c>
      <c r="E822" t="n">
        <v>3512</v>
      </c>
      <c r="F822">
        <f>IF(C822="","",C822*7/B822)</f>
        <v/>
      </c>
    </row>
    <row r="823">
      <c r="A823" s="3" t="n">
        <v>44106</v>
      </c>
      <c r="B823" t="n">
        <v>226747</v>
      </c>
      <c r="C823" t="n">
        <v>903</v>
      </c>
      <c r="D823" t="n">
        <v>5240</v>
      </c>
      <c r="E823" t="n">
        <v>2659</v>
      </c>
      <c r="F823">
        <f>IF(C823="","",C823*7/B823)</f>
        <v/>
      </c>
    </row>
    <row r="824">
      <c r="A824" s="3" t="n">
        <v>44113</v>
      </c>
      <c r="B824" t="n">
        <v>225121</v>
      </c>
      <c r="C824" t="n">
        <v>725</v>
      </c>
      <c r="D824" t="n">
        <v>5390</v>
      </c>
      <c r="E824" t="n">
        <v>2135</v>
      </c>
      <c r="F824">
        <f>IF(C824="","",C824*7/B824)</f>
        <v/>
      </c>
    </row>
    <row r="825">
      <c r="A825" s="3" t="n">
        <v>44120</v>
      </c>
      <c r="B825" t="n">
        <v>227016</v>
      </c>
      <c r="C825" t="n">
        <v>699</v>
      </c>
      <c r="D825" t="n">
        <v>4992</v>
      </c>
      <c r="E825" t="n">
        <v>3036</v>
      </c>
      <c r="F825">
        <f>IF(C825="","",C825*7/B825)</f>
        <v/>
      </c>
    </row>
    <row r="826">
      <c r="A826" s="3" t="n">
        <v>44127</v>
      </c>
      <c r="B826" t="n">
        <v>226124</v>
      </c>
      <c r="C826" t="n">
        <v>530</v>
      </c>
      <c r="D826" t="n">
        <v>4622</v>
      </c>
      <c r="E826" t="n">
        <v>3460</v>
      </c>
      <c r="F826">
        <f>IF(C826="","",C826*7/B826)</f>
        <v/>
      </c>
    </row>
    <row r="827">
      <c r="A827" s="3" t="n">
        <v>44134</v>
      </c>
      <c r="B827" t="n">
        <v>227665</v>
      </c>
      <c r="C827" t="n">
        <v>716</v>
      </c>
      <c r="D827" t="n">
        <v>5303</v>
      </c>
      <c r="E827" t="n">
        <v>2265</v>
      </c>
      <c r="F827">
        <f>IF(C827="","",C827*7/B827)</f>
        <v/>
      </c>
    </row>
    <row r="828">
      <c r="A828" s="3" t="n">
        <v>44141</v>
      </c>
      <c r="B828" t="n">
        <v>225356</v>
      </c>
      <c r="C828" t="n">
        <v>710</v>
      </c>
      <c r="D828" t="n">
        <v>4801</v>
      </c>
      <c r="E828" t="n">
        <v>2765</v>
      </c>
      <c r="F828">
        <f>IF(C828="","",C828*7/B828)</f>
        <v/>
      </c>
    </row>
    <row r="829">
      <c r="A829" s="3" t="n">
        <v>44148</v>
      </c>
      <c r="B829" t="n">
        <v>227967</v>
      </c>
      <c r="C829" t="n">
        <v>690</v>
      </c>
      <c r="D829" t="n">
        <v>5070</v>
      </c>
      <c r="E829" t="n">
        <v>2748</v>
      </c>
      <c r="F829">
        <f>IF(C829="","",C829*7/B829)</f>
        <v/>
      </c>
    </row>
    <row r="830">
      <c r="A830" s="3" t="n">
        <v>44155</v>
      </c>
      <c r="B830" t="n">
        <v>230147</v>
      </c>
      <c r="C830" t="n">
        <v>760</v>
      </c>
      <c r="D830" t="n">
        <v>4555</v>
      </c>
      <c r="E830" t="n">
        <v>2831</v>
      </c>
      <c r="F830">
        <f>IF(C830="","",C830*7/B830)</f>
        <v/>
      </c>
    </row>
    <row r="831">
      <c r="A831" s="3" t="n">
        <v>44162</v>
      </c>
      <c r="B831" t="n">
        <v>233638</v>
      </c>
      <c r="C831" t="n">
        <v>689</v>
      </c>
      <c r="D831" t="n">
        <v>5263</v>
      </c>
      <c r="E831" t="n">
        <v>3456</v>
      </c>
      <c r="F831">
        <f>IF(C831="","",C831*7/B831)</f>
        <v/>
      </c>
    </row>
    <row r="832">
      <c r="A832" s="3" t="n">
        <v>44169</v>
      </c>
      <c r="B832" t="n">
        <v>237859</v>
      </c>
      <c r="C832" t="n">
        <v>905</v>
      </c>
      <c r="D832" t="n">
        <v>4754</v>
      </c>
      <c r="E832" t="n">
        <v>1834</v>
      </c>
      <c r="F832">
        <f>IF(C832="","",C832*7/B832)</f>
        <v/>
      </c>
    </row>
    <row r="833">
      <c r="A833" s="3" t="n">
        <v>44176</v>
      </c>
      <c r="B833" t="n">
        <v>238879</v>
      </c>
      <c r="C833" t="n">
        <v>784</v>
      </c>
      <c r="D833" t="n">
        <v>4938</v>
      </c>
      <c r="E833" t="n">
        <v>2627</v>
      </c>
      <c r="F833">
        <f>IF(C833="","",C833*7/B833)</f>
        <v/>
      </c>
    </row>
    <row r="834">
      <c r="A834" s="3" t="n">
        <v>44183</v>
      </c>
      <c r="B834" t="n">
        <v>237754</v>
      </c>
      <c r="C834" t="n">
        <v>757</v>
      </c>
      <c r="D834" t="n">
        <v>5714</v>
      </c>
      <c r="E834" t="n">
        <v>3099</v>
      </c>
      <c r="F834">
        <f>IF(C834="","",C834*7/B834)</f>
        <v/>
      </c>
    </row>
    <row r="835">
      <c r="A835" s="3" t="n">
        <v>44190</v>
      </c>
      <c r="B835" t="n">
        <v>236562</v>
      </c>
      <c r="C835" t="n">
        <v>911</v>
      </c>
      <c r="D835" t="n">
        <v>5656</v>
      </c>
      <c r="E835" t="n">
        <v>3625</v>
      </c>
      <c r="F835">
        <f>IF(C835="","",C835*7/B835)</f>
        <v/>
      </c>
    </row>
    <row r="836">
      <c r="A836" s="3" t="n">
        <v>44197</v>
      </c>
      <c r="B836" t="n">
        <v>241081</v>
      </c>
      <c r="C836" t="n">
        <v>883</v>
      </c>
      <c r="D836" t="n">
        <v>4867</v>
      </c>
      <c r="E836" t="n">
        <v>3632</v>
      </c>
      <c r="F836">
        <f>IF(C836="","",C836*7/B836)</f>
        <v/>
      </c>
    </row>
    <row r="837">
      <c r="A837" s="3" t="n">
        <v>44204</v>
      </c>
      <c r="B837" t="n">
        <v>245476</v>
      </c>
      <c r="C837" t="n">
        <v>598</v>
      </c>
      <c r="D837" t="n">
        <v>5129</v>
      </c>
      <c r="E837" t="n">
        <v>3011</v>
      </c>
      <c r="F837">
        <f>IF(C837="","",C837*7/B837)</f>
        <v/>
      </c>
    </row>
    <row r="838">
      <c r="A838" s="3" t="n">
        <v>44211</v>
      </c>
      <c r="B838" t="n">
        <v>245217</v>
      </c>
      <c r="C838" t="n">
        <v>731</v>
      </c>
      <c r="D838" t="n">
        <v>5404</v>
      </c>
      <c r="E838" t="n">
        <v>2251</v>
      </c>
      <c r="F838">
        <f>IF(C838="","",C838*7/B838)</f>
        <v/>
      </c>
    </row>
    <row r="839">
      <c r="A839" s="3" t="n">
        <v>44218</v>
      </c>
      <c r="B839" t="n">
        <v>247686</v>
      </c>
      <c r="C839" t="n">
        <v>804</v>
      </c>
      <c r="D839" t="n">
        <v>4859</v>
      </c>
      <c r="E839" t="n">
        <v>3355</v>
      </c>
      <c r="F839">
        <f>IF(C839="","",C839*7/B839)</f>
        <v/>
      </c>
    </row>
    <row r="840">
      <c r="A840" s="3" t="n">
        <v>44225</v>
      </c>
      <c r="B840" t="n">
        <v>252153</v>
      </c>
      <c r="C840" t="n">
        <v>780</v>
      </c>
      <c r="D840" t="n">
        <v>5419</v>
      </c>
      <c r="E840" t="n">
        <v>3483</v>
      </c>
      <c r="F840">
        <f>IF(C840="","",C840*7/B840)</f>
        <v/>
      </c>
    </row>
    <row r="841">
      <c r="A841" s="3" t="n">
        <v>44232</v>
      </c>
      <c r="B841" t="n">
        <v>256412</v>
      </c>
      <c r="C841" t="n">
        <v>737</v>
      </c>
      <c r="D841" t="n">
        <v>4856</v>
      </c>
      <c r="E841" t="n">
        <v>2617</v>
      </c>
      <c r="F841">
        <f>IF(C841="","",C841*7/B841)</f>
        <v/>
      </c>
    </row>
    <row r="842">
      <c r="A842" s="3" t="n">
        <v>44239</v>
      </c>
      <c r="B842" t="n">
        <v>257084</v>
      </c>
      <c r="C842" t="n">
        <v>576</v>
      </c>
      <c r="D842" t="n">
        <v>4702</v>
      </c>
      <c r="E842" t="n">
        <v>3862</v>
      </c>
      <c r="F842">
        <f>IF(C842="","",C842*7/B842)</f>
        <v/>
      </c>
    </row>
    <row r="843">
      <c r="A843" s="3" t="n">
        <v>44246</v>
      </c>
      <c r="B843" t="n">
        <v>257096</v>
      </c>
      <c r="C843" t="n">
        <v>517</v>
      </c>
      <c r="D843" t="n">
        <v>4431</v>
      </c>
      <c r="E843" t="n">
        <v>2314</v>
      </c>
      <c r="F843">
        <f>IF(C843="","",C843*7/B843)</f>
        <v/>
      </c>
    </row>
    <row r="844">
      <c r="A844" s="3" t="n">
        <v>44253</v>
      </c>
      <c r="B844" t="n">
        <v>243472</v>
      </c>
      <c r="C844" t="n">
        <v>493</v>
      </c>
      <c r="D844" t="n">
        <v>3993</v>
      </c>
      <c r="E844" t="n">
        <v>2351</v>
      </c>
      <c r="F844">
        <f>IF(C844="","",C844*7/B844)</f>
        <v/>
      </c>
    </row>
    <row r="845">
      <c r="A845" s="3" t="n">
        <v>44260</v>
      </c>
      <c r="B845" t="n">
        <v>231603</v>
      </c>
      <c r="C845" t="n">
        <v>677</v>
      </c>
      <c r="D845" t="n">
        <v>4237</v>
      </c>
      <c r="E845" t="n">
        <v>2633</v>
      </c>
      <c r="F845">
        <f>IF(C845="","",C845*7/B845)</f>
        <v/>
      </c>
    </row>
    <row r="846">
      <c r="A846" s="3" t="n">
        <v>44267</v>
      </c>
      <c r="B846" t="n">
        <v>232075</v>
      </c>
      <c r="C846" t="n">
        <v>580</v>
      </c>
      <c r="D846" t="n">
        <v>4327</v>
      </c>
      <c r="E846" t="n">
        <v>2520</v>
      </c>
      <c r="F846">
        <f>IF(C846="","",C846*7/B846)</f>
        <v/>
      </c>
    </row>
    <row r="847">
      <c r="A847" s="3" t="n">
        <v>44274</v>
      </c>
      <c r="B847" t="n">
        <v>232279</v>
      </c>
      <c r="C847" t="n">
        <v>433</v>
      </c>
      <c r="D847" t="n">
        <v>5222</v>
      </c>
      <c r="E847" t="n">
        <v>2481</v>
      </c>
      <c r="F847">
        <f>IF(C847="","",C847*7/B847)</f>
        <v/>
      </c>
    </row>
    <row r="848">
      <c r="A848" s="3" t="n">
        <v>44281</v>
      </c>
      <c r="B848" t="n">
        <v>230544</v>
      </c>
      <c r="C848" t="n">
        <v>541</v>
      </c>
      <c r="D848" t="n">
        <v>4254</v>
      </c>
      <c r="E848" t="n">
        <v>3174</v>
      </c>
      <c r="F848">
        <f>IF(C848="","",C848*7/B848)</f>
        <v/>
      </c>
    </row>
    <row r="849">
      <c r="A849" s="3" t="n">
        <v>44288</v>
      </c>
      <c r="B849" t="n">
        <v>234588</v>
      </c>
      <c r="C849" t="n">
        <v>792</v>
      </c>
      <c r="D849" t="n">
        <v>4745</v>
      </c>
      <c r="E849" t="n">
        <v>3434</v>
      </c>
      <c r="F849">
        <f>IF(C849="","",C849*7/B849)</f>
        <v/>
      </c>
    </row>
    <row r="850">
      <c r="A850" s="3" t="n">
        <v>44295</v>
      </c>
      <c r="B850" t="n">
        <v>234897</v>
      </c>
      <c r="C850" t="n">
        <v>663</v>
      </c>
      <c r="D850" t="n">
        <v>5061</v>
      </c>
      <c r="E850" t="n">
        <v>2579</v>
      </c>
      <c r="F850">
        <f>IF(C850="","",C850*7/B850)</f>
        <v/>
      </c>
    </row>
    <row r="851">
      <c r="A851" s="3" t="n">
        <v>44302</v>
      </c>
      <c r="B851" t="n">
        <v>234982</v>
      </c>
      <c r="C851" t="n">
        <v>677</v>
      </c>
      <c r="D851" t="n">
        <v>5467</v>
      </c>
      <c r="E851" t="n">
        <v>2548</v>
      </c>
      <c r="F851">
        <f>IF(C851="","",C851*7/B851)</f>
        <v/>
      </c>
    </row>
    <row r="852">
      <c r="A852" s="3" t="n">
        <v>44309</v>
      </c>
      <c r="B852" t="n">
        <v>235074</v>
      </c>
      <c r="C852" t="n">
        <v>604</v>
      </c>
      <c r="D852" t="n">
        <v>4867</v>
      </c>
      <c r="E852" t="n">
        <v>2541</v>
      </c>
      <c r="F852">
        <f>IF(C852="","",C852*7/B852)</f>
        <v/>
      </c>
    </row>
    <row r="853">
      <c r="A853" s="3" t="n">
        <v>44316</v>
      </c>
      <c r="B853" t="n">
        <v>235811</v>
      </c>
      <c r="C853" t="n">
        <v>555</v>
      </c>
      <c r="D853" t="n">
        <v>5104</v>
      </c>
      <c r="E853" t="n">
        <v>4122</v>
      </c>
      <c r="F853">
        <f>IF(C853="","",C853*7/B853)</f>
        <v/>
      </c>
    </row>
    <row r="854">
      <c r="A854" s="3" t="n">
        <v>44323</v>
      </c>
      <c r="B854" t="n">
        <v>236189</v>
      </c>
      <c r="C854" t="n">
        <v>994</v>
      </c>
      <c r="D854" t="n">
        <v>6058</v>
      </c>
      <c r="E854" t="n">
        <v>1796</v>
      </c>
      <c r="F854">
        <f>IF(C854="","",C854*7/B854)</f>
        <v/>
      </c>
    </row>
    <row r="855">
      <c r="A855" s="3" t="n">
        <v>44330</v>
      </c>
      <c r="B855" t="n">
        <v>234226</v>
      </c>
      <c r="C855" t="n">
        <v>833</v>
      </c>
      <c r="D855" t="n">
        <v>5407</v>
      </c>
      <c r="E855" t="n">
        <v>3306</v>
      </c>
      <c r="F855">
        <f>IF(C855="","",C855*7/B855)</f>
        <v/>
      </c>
    </row>
    <row r="856">
      <c r="A856" s="3" t="n">
        <v>44337</v>
      </c>
      <c r="B856" t="n">
        <v>232481</v>
      </c>
      <c r="C856" t="n">
        <v>733</v>
      </c>
      <c r="D856" t="n">
        <v>5503</v>
      </c>
      <c r="E856" t="n">
        <v>3433</v>
      </c>
      <c r="F856">
        <f>IF(C856="","",C856*7/B856)</f>
        <v/>
      </c>
    </row>
    <row r="857">
      <c r="A857" s="3" t="n">
        <v>44344</v>
      </c>
      <c r="B857" t="n">
        <v>233980</v>
      </c>
      <c r="C857" t="n">
        <v>560</v>
      </c>
      <c r="D857" t="n">
        <v>4634</v>
      </c>
      <c r="E857" t="n">
        <v>2544</v>
      </c>
      <c r="F857">
        <f>IF(C857="","",C857*7/B857)</f>
        <v/>
      </c>
    </row>
    <row r="858">
      <c r="A858" s="3" t="n">
        <v>44351</v>
      </c>
      <c r="B858" t="n">
        <v>241026</v>
      </c>
      <c r="C858" t="n">
        <v>957</v>
      </c>
      <c r="D858" t="n">
        <v>5537</v>
      </c>
      <c r="E858" t="n">
        <v>2931</v>
      </c>
      <c r="F858">
        <f>IF(C858="","",C858*7/B858)</f>
        <v/>
      </c>
    </row>
    <row r="859">
      <c r="A859" s="3" t="n">
        <v>44358</v>
      </c>
      <c r="B859" t="n">
        <v>242980</v>
      </c>
      <c r="C859" t="n">
        <v>835</v>
      </c>
      <c r="D859" t="n">
        <v>5746</v>
      </c>
      <c r="E859" t="n">
        <v>3884</v>
      </c>
      <c r="F859">
        <f>IF(C859="","",C859*7/B859)</f>
        <v/>
      </c>
    </row>
    <row r="860">
      <c r="A860" s="3" t="n">
        <v>44365</v>
      </c>
      <c r="B860" t="n">
        <v>240050</v>
      </c>
      <c r="C860" t="n">
        <v>895</v>
      </c>
      <c r="D860" t="n">
        <v>5482</v>
      </c>
      <c r="E860" t="n">
        <v>3651</v>
      </c>
      <c r="F860">
        <f>IF(C860="","",C860*7/B860)</f>
        <v/>
      </c>
    </row>
    <row r="861">
      <c r="A861" s="3" t="n">
        <v>44372</v>
      </c>
      <c r="B861" t="n">
        <v>241572</v>
      </c>
      <c r="C861" t="n">
        <v>446</v>
      </c>
      <c r="D861" t="n">
        <v>4994</v>
      </c>
      <c r="E861" t="n">
        <v>3717</v>
      </c>
      <c r="F861">
        <f>IF(C861="","",C861*7/B861)</f>
        <v/>
      </c>
    </row>
    <row r="862">
      <c r="A862" s="3" t="n">
        <v>44379</v>
      </c>
      <c r="B862" t="n">
        <v>235497</v>
      </c>
      <c r="C862" t="n">
        <v>848</v>
      </c>
      <c r="D862" t="n">
        <v>5200</v>
      </c>
      <c r="E862" t="n">
        <v>2628</v>
      </c>
      <c r="F862">
        <f>IF(C862="","",C862*7/B862)</f>
        <v/>
      </c>
    </row>
    <row r="863">
      <c r="A863" s="3" t="n">
        <v>44386</v>
      </c>
      <c r="B863" t="n">
        <v>236535</v>
      </c>
      <c r="C863" t="n">
        <v>747</v>
      </c>
      <c r="D863" t="n">
        <v>5595</v>
      </c>
      <c r="E863" t="n">
        <v>4025</v>
      </c>
      <c r="F863">
        <f>IF(C863="","",C863*7/B863)</f>
        <v/>
      </c>
    </row>
    <row r="864">
      <c r="A864" s="3" t="n">
        <v>44393</v>
      </c>
      <c r="B864" t="n">
        <v>236414</v>
      </c>
      <c r="C864" t="n">
        <v>866</v>
      </c>
      <c r="D864" t="n">
        <v>5522</v>
      </c>
      <c r="E864" t="n">
        <v>2463</v>
      </c>
      <c r="F864">
        <f>IF(C864="","",C864*7/B864)</f>
        <v/>
      </c>
    </row>
    <row r="865">
      <c r="A865" s="3" t="n">
        <v>44400</v>
      </c>
      <c r="B865" t="n">
        <v>234161</v>
      </c>
      <c r="C865" t="n">
        <v>718</v>
      </c>
      <c r="D865" t="n">
        <v>5655</v>
      </c>
      <c r="E865" t="n">
        <v>2489</v>
      </c>
      <c r="F865">
        <f>IF(C865="","",C865*7/B865)</f>
        <v/>
      </c>
    </row>
    <row r="866">
      <c r="A866" s="3" t="n">
        <v>44407</v>
      </c>
      <c r="B866" t="n">
        <v>228870</v>
      </c>
      <c r="C866" t="n">
        <v>625</v>
      </c>
      <c r="D866" t="n">
        <v>5425</v>
      </c>
      <c r="E866" t="n">
        <v>1904</v>
      </c>
      <c r="F866">
        <f>IF(C866="","",C866*7/B866)</f>
        <v/>
      </c>
    </row>
    <row r="867">
      <c r="A867" s="3" t="n">
        <v>44414</v>
      </c>
      <c r="B867" t="n">
        <v>227469</v>
      </c>
      <c r="C867" t="n">
        <v>746</v>
      </c>
      <c r="D867" t="n">
        <v>6432</v>
      </c>
      <c r="E867" t="n">
        <v>2663</v>
      </c>
      <c r="F867">
        <f>IF(C867="","",C867*7/B867)</f>
        <v/>
      </c>
    </row>
    <row r="868">
      <c r="A868" s="3" t="n">
        <v>44421</v>
      </c>
      <c r="B868" t="n">
        <v>228165</v>
      </c>
      <c r="C868" t="n">
        <v>651</v>
      </c>
      <c r="D868" t="n">
        <v>4998</v>
      </c>
      <c r="E868" t="n">
        <v>3431</v>
      </c>
      <c r="F868">
        <f>IF(C868="","",C868*7/B868)</f>
        <v/>
      </c>
    </row>
    <row r="869">
      <c r="A869" s="3" t="n">
        <v>44428</v>
      </c>
      <c r="B869" t="n">
        <v>225924</v>
      </c>
      <c r="C869" t="n">
        <v>911</v>
      </c>
      <c r="D869" t="n">
        <v>5127</v>
      </c>
      <c r="E869" t="n">
        <v>2812</v>
      </c>
      <c r="F869">
        <f>IF(C869="","",C869*7/B869)</f>
        <v/>
      </c>
    </row>
    <row r="870">
      <c r="A870" s="3" t="n">
        <v>44435</v>
      </c>
      <c r="B870" t="n">
        <v>227214</v>
      </c>
      <c r="C870" t="n">
        <v>466</v>
      </c>
      <c r="D870" t="n">
        <v>4906</v>
      </c>
      <c r="E870" t="n">
        <v>3040</v>
      </c>
      <c r="F870">
        <f>IF(C870="","",C870*7/B870)</f>
        <v/>
      </c>
    </row>
    <row r="871">
      <c r="A871" s="3" t="n">
        <v>44442</v>
      </c>
      <c r="B871" t="n">
        <v>219999</v>
      </c>
      <c r="C871" t="n">
        <v>734</v>
      </c>
      <c r="D871" t="n">
        <v>5783</v>
      </c>
      <c r="E871" t="n">
        <v>2342</v>
      </c>
      <c r="F871">
        <f>IF(C871="","",C871*7/B871)</f>
        <v/>
      </c>
    </row>
    <row r="872">
      <c r="A872" s="3" t="n">
        <v>44449</v>
      </c>
      <c r="B872" t="n">
        <v>218142</v>
      </c>
      <c r="C872" t="n">
        <v>634</v>
      </c>
      <c r="D872" t="n">
        <v>4493</v>
      </c>
      <c r="E872" t="n">
        <v>2624</v>
      </c>
      <c r="F872">
        <f>IF(C872="","",C872*7/B872)</f>
        <v/>
      </c>
    </row>
    <row r="873">
      <c r="A873" s="3" t="n">
        <v>44456</v>
      </c>
      <c r="B873" t="n">
        <v>221616</v>
      </c>
      <c r="C873" t="n">
        <v>621</v>
      </c>
      <c r="D873" t="n">
        <v>4287</v>
      </c>
      <c r="E873" t="n">
        <v>2809</v>
      </c>
      <c r="F873">
        <f>IF(C873="","",C873*7/B873)</f>
        <v/>
      </c>
    </row>
    <row r="874">
      <c r="A874" s="3" t="n">
        <v>44463</v>
      </c>
      <c r="B874" t="n">
        <v>221809</v>
      </c>
      <c r="C874" t="n">
        <v>725</v>
      </c>
      <c r="D874" t="n">
        <v>4548</v>
      </c>
      <c r="E874" t="n">
        <v>3020</v>
      </c>
      <c r="F874">
        <f>IF(C874="","",C874*7/B874)</f>
        <v/>
      </c>
    </row>
    <row r="875">
      <c r="A875" s="3" t="n">
        <v>44470</v>
      </c>
      <c r="B875" t="n">
        <v>225065</v>
      </c>
      <c r="C875" t="n">
        <v>404</v>
      </c>
      <c r="D875" t="n">
        <v>4841</v>
      </c>
      <c r="E875" t="n">
        <v>2114</v>
      </c>
      <c r="F875">
        <f>IF(C875="","",C875*7/B875)</f>
        <v/>
      </c>
    </row>
    <row r="876">
      <c r="A876" s="3" t="n">
        <v>44477</v>
      </c>
      <c r="B876" t="n">
        <v>223107</v>
      </c>
      <c r="C876" t="n">
        <v>699</v>
      </c>
      <c r="D876" t="n">
        <v>5498</v>
      </c>
      <c r="E876" t="n">
        <v>2514</v>
      </c>
      <c r="F876">
        <f>IF(C876="","",C876*7/B876)</f>
        <v/>
      </c>
    </row>
    <row r="877">
      <c r="A877" s="3" t="n">
        <v>44484</v>
      </c>
      <c r="B877" t="n">
        <v>217739</v>
      </c>
      <c r="C877" t="n">
        <v>533</v>
      </c>
      <c r="D877" t="n">
        <v>4265</v>
      </c>
      <c r="E877" t="n">
        <v>3060</v>
      </c>
      <c r="F877">
        <f>IF(C877="","",C877*7/B877)</f>
        <v/>
      </c>
    </row>
    <row r="878">
      <c r="A878" s="3" t="n">
        <v>44491</v>
      </c>
      <c r="B878" t="n">
        <v>215746</v>
      </c>
      <c r="C878" t="n">
        <v>813</v>
      </c>
      <c r="D878" t="n">
        <v>5110</v>
      </c>
      <c r="E878" t="n">
        <v>2787</v>
      </c>
      <c r="F878">
        <f>IF(C878="","",C878*7/B878)</f>
        <v/>
      </c>
    </row>
    <row r="879">
      <c r="A879" s="3" t="n">
        <v>44498</v>
      </c>
      <c r="B879" t="n">
        <v>214258</v>
      </c>
      <c r="C879" t="n">
        <v>760</v>
      </c>
      <c r="D879" t="n">
        <v>5336</v>
      </c>
      <c r="E879" t="n">
        <v>2925</v>
      </c>
      <c r="F879">
        <f>IF(C879="","",C879*7/B879)</f>
        <v/>
      </c>
    </row>
    <row r="880">
      <c r="A880" s="3" t="n">
        <v>44505</v>
      </c>
      <c r="B880" t="n">
        <v>212703</v>
      </c>
      <c r="C880" t="n">
        <v>833</v>
      </c>
      <c r="D880" t="n">
        <v>6196</v>
      </c>
      <c r="E880" t="n">
        <v>3053</v>
      </c>
      <c r="F880">
        <f>IF(C880="","",C880*7/B880)</f>
        <v/>
      </c>
    </row>
    <row r="881">
      <c r="A881" s="3" t="n">
        <v>44512</v>
      </c>
      <c r="B881" t="n">
        <v>211996</v>
      </c>
      <c r="C881" t="n">
        <v>831</v>
      </c>
      <c r="D881" t="n">
        <v>5143</v>
      </c>
      <c r="E881" t="n">
        <v>3626</v>
      </c>
      <c r="F881">
        <f>IF(C881="","",C881*7/B881)</f>
        <v/>
      </c>
    </row>
    <row r="882">
      <c r="A882" s="3" t="n">
        <v>44519</v>
      </c>
      <c r="B882" t="n">
        <v>211393</v>
      </c>
      <c r="C882" t="n">
        <v>608</v>
      </c>
      <c r="D882" t="n">
        <v>4891</v>
      </c>
      <c r="E882" t="n">
        <v>2605</v>
      </c>
      <c r="F882">
        <f>IF(C882="","",C882*7/B882)</f>
        <v/>
      </c>
    </row>
    <row r="883">
      <c r="A883" s="3" t="n">
        <v>44526</v>
      </c>
      <c r="B883" t="n">
        <v>215422</v>
      </c>
      <c r="C883" t="n">
        <v>887</v>
      </c>
      <c r="D883" t="n">
        <v>4807</v>
      </c>
      <c r="E883" t="n">
        <v>2704</v>
      </c>
      <c r="F883">
        <f>IF(C883="","",C883*7/B883)</f>
        <v/>
      </c>
    </row>
    <row r="884">
      <c r="A884" s="3" t="n">
        <v>44533</v>
      </c>
      <c r="B884" t="n">
        <v>219304</v>
      </c>
      <c r="C884" t="n">
        <v>792</v>
      </c>
      <c r="D884" t="n">
        <v>5263</v>
      </c>
      <c r="E884" t="n">
        <v>2270</v>
      </c>
      <c r="F884">
        <f>IF(C884="","",C884*7/B884)</f>
        <v/>
      </c>
    </row>
    <row r="885">
      <c r="A885" s="3" t="n">
        <v>44540</v>
      </c>
      <c r="B885" t="n">
        <v>218585</v>
      </c>
      <c r="C885" t="n">
        <v>621</v>
      </c>
      <c r="D885" t="n">
        <v>4356</v>
      </c>
      <c r="E885" t="n">
        <v>3645</v>
      </c>
      <c r="F885">
        <f>IF(C885="","",C885*7/B885)</f>
        <v/>
      </c>
    </row>
    <row r="886">
      <c r="A886" s="3" t="n">
        <v>44547</v>
      </c>
      <c r="B886" t="n">
        <v>224118</v>
      </c>
      <c r="C886" t="n">
        <v>821</v>
      </c>
      <c r="D886" t="n">
        <v>5887</v>
      </c>
      <c r="E886" t="n">
        <v>2879</v>
      </c>
      <c r="F886">
        <f>IF(C886="","",C886*7/B886)</f>
        <v/>
      </c>
    </row>
    <row r="887">
      <c r="A887" s="3" t="n">
        <v>44554</v>
      </c>
      <c r="B887" t="n">
        <v>222659</v>
      </c>
      <c r="C887" t="n">
        <v>614</v>
      </c>
      <c r="D887" t="n">
        <v>5556</v>
      </c>
      <c r="E887" t="n">
        <v>2929</v>
      </c>
      <c r="F887">
        <f>IF(C887="","",C887*7/B887)</f>
        <v/>
      </c>
    </row>
    <row r="888">
      <c r="A888" s="3" t="n">
        <v>44561</v>
      </c>
      <c r="B888" t="n">
        <v>232787</v>
      </c>
      <c r="C888" t="n">
        <v>470</v>
      </c>
      <c r="D888" t="n">
        <v>4061</v>
      </c>
      <c r="E888" t="n">
        <v>2554</v>
      </c>
      <c r="F888">
        <f>IF(C888="","",C888*7/B888)</f>
        <v/>
      </c>
    </row>
    <row r="889">
      <c r="A889" s="3" t="n">
        <v>44568</v>
      </c>
      <c r="B889" t="n">
        <v>240748</v>
      </c>
      <c r="C889" t="n">
        <v>526</v>
      </c>
      <c r="D889" t="n">
        <v>4665</v>
      </c>
      <c r="E889" t="n">
        <v>1955</v>
      </c>
      <c r="F889">
        <f>IF(C889="","",C889*7/B889)</f>
        <v/>
      </c>
    </row>
    <row r="890">
      <c r="A890" s="3" t="n">
        <v>44575</v>
      </c>
      <c r="B890" t="n">
        <v>246621</v>
      </c>
      <c r="C890" t="n">
        <v>393</v>
      </c>
      <c r="D890" t="n">
        <v>3801</v>
      </c>
      <c r="E890" t="n">
        <v>2610</v>
      </c>
      <c r="F890">
        <f>IF(C890="","",C890*7/B890)</f>
        <v/>
      </c>
    </row>
    <row r="891">
      <c r="A891" s="3" t="n">
        <v>44582</v>
      </c>
      <c r="B891" t="n">
        <v>247918</v>
      </c>
      <c r="C891" t="n">
        <v>412</v>
      </c>
      <c r="D891" t="n">
        <v>3933</v>
      </c>
      <c r="E891" t="n">
        <v>2796</v>
      </c>
      <c r="F891">
        <f>IF(C891="","",C891*7/B891)</f>
        <v/>
      </c>
    </row>
    <row r="892">
      <c r="A892" s="3" t="n">
        <v>44589</v>
      </c>
      <c r="B892" t="n">
        <v>250037</v>
      </c>
      <c r="C892" t="n">
        <v>640</v>
      </c>
      <c r="D892" t="n">
        <v>4344</v>
      </c>
      <c r="E892" t="n">
        <v>2376</v>
      </c>
      <c r="F892">
        <f>IF(C892="","",C892*7/B892)</f>
        <v/>
      </c>
    </row>
    <row r="893">
      <c r="A893" s="3" t="n">
        <v>44596</v>
      </c>
      <c r="B893" t="n">
        <v>248393</v>
      </c>
      <c r="C893" t="n">
        <v>306</v>
      </c>
      <c r="D893" t="n">
        <v>4353</v>
      </c>
      <c r="E893" t="n">
        <v>3100</v>
      </c>
      <c r="F893">
        <f>IF(C893="","",C893*7/B893)</f>
        <v/>
      </c>
    </row>
    <row r="894">
      <c r="A894" s="3" t="n">
        <v>44603</v>
      </c>
      <c r="B894" t="n">
        <v>247061</v>
      </c>
      <c r="C894" t="n">
        <v>439</v>
      </c>
      <c r="D894" t="n">
        <v>4308</v>
      </c>
      <c r="E894" t="n">
        <v>2271</v>
      </c>
      <c r="F894">
        <f>IF(C894="","",C894*7/B894)</f>
        <v/>
      </c>
    </row>
    <row r="895">
      <c r="A895" s="3" t="n">
        <v>44610</v>
      </c>
      <c r="B895" t="n">
        <v>246479</v>
      </c>
      <c r="C895" t="n">
        <v>685</v>
      </c>
      <c r="D895" t="n">
        <v>4774</v>
      </c>
      <c r="E895" t="n">
        <v>2686</v>
      </c>
      <c r="F895">
        <f>IF(C895="","",C895*7/B895)</f>
        <v/>
      </c>
    </row>
    <row r="896">
      <c r="A896" s="3" t="n">
        <v>44617</v>
      </c>
      <c r="B896" t="n">
        <v>246011</v>
      </c>
      <c r="C896" t="n">
        <v>660</v>
      </c>
      <c r="D896" t="n">
        <v>5169</v>
      </c>
      <c r="E896" t="n">
        <v>3796</v>
      </c>
      <c r="F896">
        <f>IF(C896="","",C896*7/B896)</f>
        <v/>
      </c>
    </row>
    <row r="897">
      <c r="A897" s="3" t="n">
        <v>44624</v>
      </c>
      <c r="B897" t="n">
        <v>244606</v>
      </c>
      <c r="C897" t="n">
        <v>667</v>
      </c>
      <c r="D897" t="n">
        <v>5744</v>
      </c>
      <c r="E897" t="n">
        <v>2422</v>
      </c>
      <c r="F897">
        <f>IF(C897="","",C897*7/B897)</f>
        <v/>
      </c>
    </row>
    <row r="898">
      <c r="A898" s="3" t="n">
        <v>44631</v>
      </c>
      <c r="B898" t="n">
        <v>240991</v>
      </c>
      <c r="C898" t="n">
        <v>780</v>
      </c>
      <c r="D898" t="n">
        <v>6369</v>
      </c>
      <c r="E898" t="n">
        <v>2936</v>
      </c>
      <c r="F898">
        <f>IF(C898="","",C898*7/B898)</f>
        <v/>
      </c>
    </row>
    <row r="899">
      <c r="A899" s="3" t="n">
        <v>44638</v>
      </c>
      <c r="B899" t="n">
        <v>238043</v>
      </c>
      <c r="C899" t="n">
        <v>1058</v>
      </c>
      <c r="D899" t="n">
        <v>5685</v>
      </c>
      <c r="E899" t="n">
        <v>3844</v>
      </c>
      <c r="F899">
        <f>IF(C899="","",C899*7/B899)</f>
        <v/>
      </c>
    </row>
    <row r="900">
      <c r="A900" s="3" t="n">
        <v>44645</v>
      </c>
      <c r="B900" t="n">
        <v>238828</v>
      </c>
      <c r="C900" t="n">
        <v>608</v>
      </c>
      <c r="D900" t="n">
        <v>5610</v>
      </c>
      <c r="E900" t="n">
        <v>2988</v>
      </c>
      <c r="F900">
        <f>IF(C900="","",C900*7/B900)</f>
        <v/>
      </c>
    </row>
    <row r="901">
      <c r="A901" s="3" t="n">
        <v>44652</v>
      </c>
      <c r="B901" t="n">
        <v>236787</v>
      </c>
      <c r="C901" t="n">
        <v>980</v>
      </c>
      <c r="D901" t="n">
        <v>5938</v>
      </c>
      <c r="E901" t="n">
        <v>3693</v>
      </c>
      <c r="F901">
        <f>IF(C901="","",C901*7/B901)</f>
        <v/>
      </c>
    </row>
    <row r="902">
      <c r="A902" s="3" t="n">
        <v>44659</v>
      </c>
      <c r="B902" t="n">
        <v>233139</v>
      </c>
      <c r="C902" t="n">
        <v>886</v>
      </c>
      <c r="D902" t="n">
        <v>6807</v>
      </c>
      <c r="E902" t="n">
        <v>2180</v>
      </c>
      <c r="F902">
        <f>IF(C902="","",C902*7/B902)</f>
        <v/>
      </c>
    </row>
    <row r="903">
      <c r="A903" s="3" t="n">
        <v>44666</v>
      </c>
      <c r="B903" t="n">
        <v>232378</v>
      </c>
      <c r="C903" t="n">
        <v>918</v>
      </c>
      <c r="D903" t="n">
        <v>6330</v>
      </c>
      <c r="E903" t="n">
        <v>4270</v>
      </c>
      <c r="F903">
        <f>IF(C903="","",C903*7/B903)</f>
        <v/>
      </c>
    </row>
    <row r="904">
      <c r="A904" s="3" t="n">
        <v>44673</v>
      </c>
      <c r="B904" t="n">
        <v>230805</v>
      </c>
      <c r="C904" t="n">
        <v>958</v>
      </c>
      <c r="D904" t="n">
        <v>6060</v>
      </c>
      <c r="E904" t="n">
        <v>3721</v>
      </c>
      <c r="F904">
        <f>IF(C904="","",C904*7/B904)</f>
        <v/>
      </c>
    </row>
    <row r="905">
      <c r="A905" s="3" t="n">
        <v>44680</v>
      </c>
      <c r="B905" t="n">
        <v>228575</v>
      </c>
      <c r="C905" t="n">
        <v>836</v>
      </c>
      <c r="D905" t="n">
        <v>5884</v>
      </c>
      <c r="E905" t="n">
        <v>3574</v>
      </c>
      <c r="F905">
        <f>IF(C905="","",C905*7/B905)</f>
        <v/>
      </c>
    </row>
    <row r="906">
      <c r="A906" s="3" t="n">
        <v>44687</v>
      </c>
      <c r="B906" t="n">
        <v>224968</v>
      </c>
      <c r="C906" t="n">
        <v>942</v>
      </c>
      <c r="D906" t="n">
        <v>5908</v>
      </c>
      <c r="E906" t="n">
        <v>2879</v>
      </c>
      <c r="F906">
        <f>IF(C906="","",C906*7/B906)</f>
        <v/>
      </c>
    </row>
    <row r="907">
      <c r="A907" s="3" t="n">
        <v>44694</v>
      </c>
      <c r="B907" t="n">
        <v>220189</v>
      </c>
      <c r="C907" t="n">
        <v>957</v>
      </c>
      <c r="D907" t="n">
        <v>6044</v>
      </c>
      <c r="E907" t="n">
        <v>3520</v>
      </c>
      <c r="F907">
        <f>IF(C907="","",C907*7/B907)</f>
        <v/>
      </c>
    </row>
    <row r="908">
      <c r="A908" s="3" t="n">
        <v>44701</v>
      </c>
      <c r="B908" t="n">
        <v>219707</v>
      </c>
      <c r="C908" t="n">
        <v>774</v>
      </c>
      <c r="D908" t="n">
        <v>6235</v>
      </c>
      <c r="E908" t="n">
        <v>4341</v>
      </c>
      <c r="F908">
        <f>IF(C908="","",C908*7/B908)</f>
        <v/>
      </c>
    </row>
    <row r="909">
      <c r="A909" s="3" t="n">
        <v>44708</v>
      </c>
      <c r="B909" t="n">
        <v>218996</v>
      </c>
      <c r="C909" t="n">
        <v>1063</v>
      </c>
      <c r="D909" t="n">
        <v>6387</v>
      </c>
      <c r="E909" t="n">
        <v>3990</v>
      </c>
      <c r="F909">
        <f>IF(C909="","",C909*7/B909)</f>
        <v/>
      </c>
    </row>
    <row r="910">
      <c r="A910" s="3" t="n">
        <v>44715</v>
      </c>
      <c r="B910" t="n">
        <v>218184</v>
      </c>
      <c r="C910" t="n">
        <v>957</v>
      </c>
      <c r="D910" t="n">
        <v>5874</v>
      </c>
      <c r="E910" t="n">
        <v>2232</v>
      </c>
      <c r="F910">
        <f>IF(C910="","",C910*7/B910)</f>
        <v/>
      </c>
    </row>
    <row r="911">
      <c r="A911" s="3" t="n">
        <v>44722</v>
      </c>
      <c r="B911" t="n">
        <v>217474</v>
      </c>
      <c r="C911" t="n">
        <v>926</v>
      </c>
      <c r="D911" t="n">
        <v>6046</v>
      </c>
      <c r="E911" t="n">
        <v>3725</v>
      </c>
      <c r="F911">
        <f>IF(C911="","",C911*7/B911)</f>
        <v/>
      </c>
    </row>
    <row r="912">
      <c r="A912" s="3" t="n">
        <v>44729</v>
      </c>
      <c r="B912" t="n">
        <v>218963</v>
      </c>
      <c r="C912" t="n">
        <v>930</v>
      </c>
      <c r="D912" t="n">
        <v>6136</v>
      </c>
      <c r="E912" t="n">
        <v>3572</v>
      </c>
      <c r="F912">
        <f>IF(C912="","",C912*7/B912)</f>
        <v/>
      </c>
    </row>
    <row r="913">
      <c r="A913" s="3" t="n">
        <v>44736</v>
      </c>
      <c r="B913" t="n">
        <v>221608</v>
      </c>
      <c r="C913" t="n">
        <v>969</v>
      </c>
      <c r="D913" t="n">
        <v>6111</v>
      </c>
      <c r="E913" t="n">
        <v>3380</v>
      </c>
      <c r="F913">
        <f>IF(C913="","",C913*7/B913)</f>
        <v/>
      </c>
    </row>
    <row r="914">
      <c r="A914" s="3" t="n">
        <v>44743</v>
      </c>
      <c r="B914" t="n">
        <v>219112</v>
      </c>
      <c r="C914" t="n">
        <v>1015</v>
      </c>
      <c r="D914" t="n">
        <v>6961</v>
      </c>
      <c r="E914" t="n">
        <v>2612</v>
      </c>
      <c r="F914">
        <f>IF(C914="","",C914*7/B914)</f>
        <v/>
      </c>
    </row>
    <row r="915">
      <c r="A915" s="3" t="n">
        <v>44750</v>
      </c>
      <c r="B915" t="n">
        <v>224937</v>
      </c>
      <c r="C915" t="n">
        <v>840</v>
      </c>
      <c r="D915" t="n">
        <v>5827</v>
      </c>
      <c r="E915" t="n">
        <v>3024</v>
      </c>
      <c r="F915">
        <f>IF(C915="","",C915*7/B915)</f>
        <v/>
      </c>
    </row>
    <row r="916">
      <c r="A916" s="3" t="n">
        <v>44757</v>
      </c>
      <c r="B916" t="n">
        <v>228435</v>
      </c>
      <c r="C916" t="n">
        <v>806</v>
      </c>
      <c r="D916" t="n">
        <v>5601</v>
      </c>
      <c r="E916" t="n">
        <v>3759</v>
      </c>
      <c r="F916">
        <f>IF(C916="","",C916*7/B916)</f>
        <v/>
      </c>
    </row>
    <row r="917">
      <c r="A917" s="3" t="n">
        <v>44764</v>
      </c>
      <c r="B917" t="n">
        <v>225131</v>
      </c>
      <c r="C917" t="n">
        <v>768</v>
      </c>
      <c r="D917" t="n">
        <v>6320</v>
      </c>
      <c r="E917" t="n">
        <v>4548</v>
      </c>
      <c r="F917">
        <f>IF(C917="","",C917*7/B917)</f>
        <v/>
      </c>
    </row>
    <row r="918">
      <c r="A918" s="3" t="n">
        <v>44771</v>
      </c>
      <c r="B918" t="n">
        <v>225294</v>
      </c>
      <c r="C918" t="n">
        <v>840</v>
      </c>
      <c r="D918" t="n">
        <v>6446</v>
      </c>
      <c r="E918" t="n">
        <v>3512</v>
      </c>
      <c r="F918">
        <f>IF(C918="","",C918*7/B918)</f>
        <v/>
      </c>
    </row>
    <row r="919">
      <c r="A919" s="3" t="n">
        <v>44778</v>
      </c>
      <c r="B919" t="n">
        <v>220316</v>
      </c>
      <c r="C919" t="n">
        <v>1126</v>
      </c>
      <c r="D919" t="n">
        <v>6439</v>
      </c>
      <c r="E919" t="n">
        <v>2110</v>
      </c>
      <c r="F919">
        <f>IF(C919="","",C919*7/B919)</f>
        <v/>
      </c>
    </row>
    <row r="920">
      <c r="A920" s="3" t="n">
        <v>44785</v>
      </c>
      <c r="B920" t="n">
        <v>215674</v>
      </c>
      <c r="C920" t="n">
        <v>902</v>
      </c>
      <c r="D920" t="n">
        <v>5709</v>
      </c>
      <c r="E920" t="n">
        <v>5000</v>
      </c>
      <c r="F920">
        <f>IF(C920="","",C920*7/B920)</f>
        <v/>
      </c>
    </row>
    <row r="921">
      <c r="A921" s="3" t="n">
        <v>44792</v>
      </c>
      <c r="B921" t="n">
        <v>215647</v>
      </c>
      <c r="C921" t="n">
        <v>920</v>
      </c>
      <c r="D921" t="n">
        <v>6899</v>
      </c>
      <c r="E921" t="n">
        <v>4177</v>
      </c>
      <c r="F921">
        <f>IF(C921="","",C921*7/B921)</f>
        <v/>
      </c>
    </row>
    <row r="922">
      <c r="A922" s="3" t="n">
        <v>44799</v>
      </c>
      <c r="B922" t="n">
        <v>214475</v>
      </c>
      <c r="C922" t="n">
        <v>1040</v>
      </c>
      <c r="D922" t="n">
        <v>5975</v>
      </c>
      <c r="E922" t="n">
        <v>3967</v>
      </c>
      <c r="F922">
        <f>IF(C922="","",C922*7/B922)</f>
        <v/>
      </c>
    </row>
    <row r="923">
      <c r="A923" s="3" t="n">
        <v>44806</v>
      </c>
      <c r="B923" t="n">
        <v>214808</v>
      </c>
      <c r="C923" t="n">
        <v>1176</v>
      </c>
      <c r="D923" t="n">
        <v>6369</v>
      </c>
      <c r="E923" t="n">
        <v>3433</v>
      </c>
      <c r="F923">
        <f>IF(C923="","",C923*7/B923)</f>
        <v/>
      </c>
    </row>
    <row r="924">
      <c r="A924" s="3" t="n">
        <v>44813</v>
      </c>
      <c r="B924" t="n">
        <v>213040</v>
      </c>
      <c r="C924" t="n">
        <v>1070</v>
      </c>
      <c r="D924" t="n">
        <v>6301</v>
      </c>
      <c r="E924" t="n">
        <v>3515</v>
      </c>
      <c r="F924">
        <f>IF(C924="","",C924*7/B924)</f>
        <v/>
      </c>
    </row>
    <row r="925">
      <c r="A925" s="3" t="n">
        <v>44820</v>
      </c>
      <c r="B925" t="n">
        <v>214610</v>
      </c>
      <c r="C925" t="n">
        <v>1189</v>
      </c>
      <c r="D925" t="n">
        <v>6656</v>
      </c>
      <c r="E925" t="n">
        <v>3540</v>
      </c>
      <c r="F925">
        <f>IF(C925="","",C925*7/B925)</f>
        <v/>
      </c>
    </row>
    <row r="926">
      <c r="A926" s="3" t="n">
        <v>44827</v>
      </c>
      <c r="B926" t="n">
        <v>212188</v>
      </c>
      <c r="C926" t="n">
        <v>985</v>
      </c>
      <c r="D926" t="n">
        <v>6338</v>
      </c>
      <c r="E926" t="n">
        <v>4646</v>
      </c>
      <c r="F926">
        <f>IF(C926="","",C926*7/B926)</f>
        <v/>
      </c>
    </row>
    <row r="927">
      <c r="A927" s="3" t="n">
        <v>44834</v>
      </c>
      <c r="B927" t="n">
        <v>207460</v>
      </c>
      <c r="C927" t="n">
        <v>796</v>
      </c>
      <c r="D927" t="n">
        <v>6061</v>
      </c>
      <c r="E927" t="n">
        <v>4551</v>
      </c>
      <c r="F927">
        <f>IF(C927="","",C927*7/B927)</f>
        <v/>
      </c>
    </row>
    <row r="928">
      <c r="A928" s="3" t="n">
        <v>44841</v>
      </c>
      <c r="B928" t="n">
        <v>209482</v>
      </c>
      <c r="C928" t="n">
        <v>1052</v>
      </c>
      <c r="D928" t="n">
        <v>7056</v>
      </c>
      <c r="E928" t="n">
        <v>2872</v>
      </c>
      <c r="F928">
        <f>IF(C928="","",C928*7/B928)</f>
        <v/>
      </c>
    </row>
    <row r="929">
      <c r="A929" s="3" t="n">
        <v>44848</v>
      </c>
      <c r="B929" t="n">
        <v>209368</v>
      </c>
      <c r="C929" t="n">
        <v>781</v>
      </c>
      <c r="D929" t="n">
        <v>5330</v>
      </c>
      <c r="E929" t="n">
        <v>4138</v>
      </c>
      <c r="F929">
        <f>IF(C929="","",C929*7/B929)</f>
        <v/>
      </c>
    </row>
    <row r="930">
      <c r="A930" s="3" t="n">
        <v>44855</v>
      </c>
      <c r="B930" t="n">
        <v>207890</v>
      </c>
      <c r="C930" t="n">
        <v>876</v>
      </c>
      <c r="D930" t="n">
        <v>6297</v>
      </c>
      <c r="E930" t="n">
        <v>5129</v>
      </c>
      <c r="F930">
        <f>IF(C930="","",C930*7/B930)</f>
        <v/>
      </c>
    </row>
    <row r="931">
      <c r="A931" s="3" t="n">
        <v>44862</v>
      </c>
      <c r="B931" t="n">
        <v>206633</v>
      </c>
      <c r="C931" t="n">
        <v>837</v>
      </c>
      <c r="D931" t="n">
        <v>5537</v>
      </c>
      <c r="E931" t="n">
        <v>3925</v>
      </c>
      <c r="F931">
        <f>IF(C931="","",C931*7/B931)</f>
        <v/>
      </c>
    </row>
    <row r="932">
      <c r="A932" s="3" t="n">
        <v>44869</v>
      </c>
      <c r="B932" t="n">
        <v>205733</v>
      </c>
      <c r="C932" t="n">
        <v>992</v>
      </c>
      <c r="D932" t="n">
        <v>6171</v>
      </c>
      <c r="E932" t="n">
        <v>3521</v>
      </c>
      <c r="F932">
        <f>IF(C932="","",C932*7/B932)</f>
        <v/>
      </c>
    </row>
    <row r="933">
      <c r="A933" s="3" t="n">
        <v>44876</v>
      </c>
      <c r="B933" t="n">
        <v>207940</v>
      </c>
      <c r="C933" t="n">
        <v>927</v>
      </c>
      <c r="D933" t="n">
        <v>6025</v>
      </c>
      <c r="E933" t="n">
        <v>3862</v>
      </c>
      <c r="F933">
        <f>IF(C933="","",C933*7/B933)</f>
        <v/>
      </c>
    </row>
    <row r="934">
      <c r="A934" s="3" t="n">
        <v>44883</v>
      </c>
      <c r="B934" t="n">
        <v>210998</v>
      </c>
      <c r="C934" t="n">
        <v>898</v>
      </c>
      <c r="D934" t="n">
        <v>5685</v>
      </c>
      <c r="E934" t="n">
        <v>4242</v>
      </c>
      <c r="F934">
        <f>IF(C934="","",C934*7/B934)</f>
        <v/>
      </c>
    </row>
    <row r="935">
      <c r="A935" s="3" t="n">
        <v>44890</v>
      </c>
      <c r="B935" t="n">
        <v>213768</v>
      </c>
      <c r="C935" t="n">
        <v>1138</v>
      </c>
      <c r="D935" t="n">
        <v>6828</v>
      </c>
      <c r="E935" t="n">
        <v>4948</v>
      </c>
      <c r="F935">
        <f>IF(C935="","",C935*7/B935)</f>
        <v/>
      </c>
    </row>
    <row r="936">
      <c r="A936" s="3" t="n">
        <v>44897</v>
      </c>
      <c r="B936" t="n">
        <v>219087</v>
      </c>
      <c r="C936" t="n">
        <v>1012</v>
      </c>
      <c r="D936" t="n">
        <v>6295</v>
      </c>
      <c r="E936" t="n">
        <v>3430</v>
      </c>
      <c r="F936">
        <f>IF(C936="","",C936*7/B936)</f>
        <v/>
      </c>
    </row>
    <row r="937">
      <c r="A937" s="3" t="n">
        <v>44904</v>
      </c>
      <c r="B937" t="n">
        <v>223583</v>
      </c>
      <c r="C937" t="n">
        <v>1203</v>
      </c>
      <c r="D937" t="n">
        <v>6508</v>
      </c>
      <c r="E937" t="n">
        <v>4316</v>
      </c>
      <c r="F937">
        <f>IF(C937="","",C937*7/B937)</f>
        <v/>
      </c>
    </row>
    <row r="938">
      <c r="A938" s="3" t="n">
        <v>44911</v>
      </c>
      <c r="B938" t="n">
        <v>226113</v>
      </c>
      <c r="C938" t="n">
        <v>887</v>
      </c>
      <c r="D938" t="n">
        <v>6344</v>
      </c>
      <c r="E938" t="n">
        <v>4360</v>
      </c>
      <c r="F938">
        <f>IF(C938="","",C938*7/B938)</f>
        <v/>
      </c>
    </row>
    <row r="939">
      <c r="A939" s="3" t="n">
        <v>44918</v>
      </c>
      <c r="B939" t="n">
        <v>223008</v>
      </c>
      <c r="C939" t="n">
        <v>856</v>
      </c>
      <c r="D939" t="n">
        <v>5756</v>
      </c>
      <c r="E939" t="n">
        <v>3465</v>
      </c>
      <c r="F939">
        <f>IF(C939="","",C939*7/B939)</f>
        <v/>
      </c>
    </row>
    <row r="940">
      <c r="A940" s="3" t="n">
        <v>44925</v>
      </c>
      <c r="B940" t="n">
        <v>222662</v>
      </c>
      <c r="C940" t="n">
        <v>1057</v>
      </c>
      <c r="D940" t="n">
        <v>6347</v>
      </c>
      <c r="E940" t="n">
        <v>4207</v>
      </c>
      <c r="F940">
        <f>IF(C940="","",C940*7/B940)</f>
        <v/>
      </c>
    </row>
    <row r="941">
      <c r="A941" s="3" t="n">
        <v>44932</v>
      </c>
      <c r="B941" t="n">
        <v>226776</v>
      </c>
      <c r="C941" t="n">
        <v>867</v>
      </c>
      <c r="D941" t="n">
        <v>6603</v>
      </c>
      <c r="E941" t="n">
        <v>2137</v>
      </c>
      <c r="F941">
        <f>IF(C941="","",C941*7/B941)</f>
        <v/>
      </c>
    </row>
    <row r="942">
      <c r="A942" s="3" t="n">
        <v>44939</v>
      </c>
      <c r="B942" t="n">
        <v>230259</v>
      </c>
      <c r="C942" t="n">
        <v>934</v>
      </c>
      <c r="D942" t="n">
        <v>6317</v>
      </c>
      <c r="E942" t="n">
        <v>3872</v>
      </c>
      <c r="F942">
        <f>IF(C942="","",C942*7/B942)</f>
        <v/>
      </c>
    </row>
    <row r="943">
      <c r="A943" s="3" t="n">
        <v>44946</v>
      </c>
      <c r="B943" t="n">
        <v>232022</v>
      </c>
      <c r="C943" t="n">
        <v>893</v>
      </c>
      <c r="D943" t="n">
        <v>5787</v>
      </c>
      <c r="E943" t="n">
        <v>4707</v>
      </c>
      <c r="F943">
        <f>IF(C943="","",C943*7/B943)</f>
        <v/>
      </c>
    </row>
    <row r="944">
      <c r="A944" s="3" t="n">
        <v>44953</v>
      </c>
      <c r="B944" t="n">
        <v>234598</v>
      </c>
      <c r="C944" t="n">
        <v>926</v>
      </c>
      <c r="D944" t="n">
        <v>5778</v>
      </c>
      <c r="E944" t="n">
        <v>3492</v>
      </c>
      <c r="F944">
        <f>IF(C944="","",C944*7/B944)</f>
        <v/>
      </c>
    </row>
    <row r="945">
      <c r="A945" s="3" t="n">
        <v>44960</v>
      </c>
      <c r="B945" t="n">
        <v>239606</v>
      </c>
      <c r="C945" t="n">
        <v>943</v>
      </c>
      <c r="D945" t="n">
        <v>6262</v>
      </c>
      <c r="E945" t="n">
        <v>2900</v>
      </c>
      <c r="F945">
        <f>IF(C945="","",C945*7/B945)</f>
        <v/>
      </c>
    </row>
    <row r="946">
      <c r="A946" s="3" t="n">
        <v>44967</v>
      </c>
      <c r="B946" t="n">
        <v>241922</v>
      </c>
      <c r="C946" t="n">
        <v>786</v>
      </c>
      <c r="D946" t="n">
        <v>6060</v>
      </c>
      <c r="E946" t="n">
        <v>3146</v>
      </c>
      <c r="F946">
        <f>IF(C946="","",C946*7/B946)</f>
        <v/>
      </c>
    </row>
    <row r="947">
      <c r="A947" s="3" t="n">
        <v>44974</v>
      </c>
      <c r="B947" t="n">
        <v>240066</v>
      </c>
      <c r="C947" t="n">
        <v>768</v>
      </c>
      <c r="D947" t="n">
        <v>5992</v>
      </c>
      <c r="E947" t="n">
        <v>4597</v>
      </c>
      <c r="F947">
        <f>IF(C947="","",C947*7/B947)</f>
        <v/>
      </c>
    </row>
    <row r="948">
      <c r="A948" s="3" t="n">
        <v>44981</v>
      </c>
      <c r="B948" t="n">
        <v>239192</v>
      </c>
      <c r="C948" t="n">
        <v>651</v>
      </c>
      <c r="D948" t="n">
        <v>5499</v>
      </c>
      <c r="E948" t="n">
        <v>5629</v>
      </c>
      <c r="F948">
        <f>IF(C948="","",C948*7/B948)</f>
        <v/>
      </c>
    </row>
    <row r="949">
      <c r="A949" s="3" t="n">
        <v>44988</v>
      </c>
      <c r="B949" t="n">
        <v>238058</v>
      </c>
      <c r="C949" t="n">
        <v>831</v>
      </c>
      <c r="D949" t="n">
        <v>6010</v>
      </c>
      <c r="E949" t="n">
        <v>3362</v>
      </c>
      <c r="F949">
        <f>IF(C949="","",C949*7/B949)</f>
        <v/>
      </c>
    </row>
    <row r="950">
      <c r="A950" s="3" t="n">
        <v>44995</v>
      </c>
      <c r="B950" t="n">
        <v>235997</v>
      </c>
      <c r="C950" t="n">
        <v>891</v>
      </c>
      <c r="D950" t="n">
        <v>6203</v>
      </c>
      <c r="E950" t="n">
        <v>5027</v>
      </c>
      <c r="F950">
        <f>IF(C950="","",C950*7/B950)</f>
        <v/>
      </c>
    </row>
    <row r="951">
      <c r="A951" s="3" t="n">
        <v>45002</v>
      </c>
      <c r="B951" t="n">
        <v>229598</v>
      </c>
      <c r="C951" t="n">
        <v>892</v>
      </c>
      <c r="D951" t="n">
        <v>7012</v>
      </c>
      <c r="E951" t="n">
        <v>4932</v>
      </c>
      <c r="F951">
        <f>IF(C951="","",C951*7/B951)</f>
        <v/>
      </c>
    </row>
    <row r="952">
      <c r="A952" s="3" t="n">
        <v>45009</v>
      </c>
      <c r="B952" t="n">
        <v>226694</v>
      </c>
      <c r="C952" t="n">
        <v>826</v>
      </c>
      <c r="D952" t="n">
        <v>6038</v>
      </c>
      <c r="E952" t="n">
        <v>4584</v>
      </c>
      <c r="F952">
        <f>IF(C952="","",C952*7/B952)</f>
        <v/>
      </c>
    </row>
    <row r="953">
      <c r="A953" s="3" t="n">
        <v>45016</v>
      </c>
      <c r="B953" t="n">
        <v>222575</v>
      </c>
      <c r="C953" t="n">
        <v>859</v>
      </c>
      <c r="D953" t="n">
        <v>5930</v>
      </c>
      <c r="E953" t="n">
        <v>5239</v>
      </c>
      <c r="F953">
        <f>IF(C953="","",C953*7/B953)</f>
        <v/>
      </c>
    </row>
    <row r="954">
      <c r="A954" s="3" t="n">
        <v>45023</v>
      </c>
      <c r="B954" t="n">
        <v>222245</v>
      </c>
      <c r="C954" t="n">
        <v>785</v>
      </c>
      <c r="D954" t="n">
        <v>5944</v>
      </c>
      <c r="E954" t="n">
        <v>2727</v>
      </c>
      <c r="F954">
        <f>IF(C954="","",C954*7/B954)</f>
        <v/>
      </c>
    </row>
    <row r="955">
      <c r="A955" s="3" t="n">
        <v>45030</v>
      </c>
      <c r="B955" t="n">
        <v>223544</v>
      </c>
      <c r="C955" t="n">
        <v>943</v>
      </c>
      <c r="D955" t="n">
        <v>6513</v>
      </c>
      <c r="E955" t="n">
        <v>4571</v>
      </c>
      <c r="F955">
        <f>IF(C955="","",C955*7/B955)</f>
        <v/>
      </c>
    </row>
    <row r="956">
      <c r="A956" s="3" t="n">
        <v>45037</v>
      </c>
      <c r="B956" t="n">
        <v>221136</v>
      </c>
      <c r="C956" t="n">
        <v>734</v>
      </c>
      <c r="D956" t="n">
        <v>5697</v>
      </c>
      <c r="E956" t="n">
        <v>4819</v>
      </c>
      <c r="F956">
        <f>IF(C956="","",C956*7/B956)</f>
        <v/>
      </c>
    </row>
    <row r="957">
      <c r="A957" s="3" t="n">
        <v>45044</v>
      </c>
      <c r="B957" t="n">
        <v>222878</v>
      </c>
      <c r="C957" t="n">
        <v>841</v>
      </c>
      <c r="D957" t="n">
        <v>5920</v>
      </c>
      <c r="E957" t="n">
        <v>4737</v>
      </c>
      <c r="F957">
        <f>IF(C957="","",C957*7/B957)</f>
        <v/>
      </c>
    </row>
    <row r="958">
      <c r="A958" s="3" t="n">
        <v>45051</v>
      </c>
      <c r="B958" t="n">
        <v>219711</v>
      </c>
      <c r="C958" t="n">
        <v>760</v>
      </c>
      <c r="D958" t="n">
        <v>6361</v>
      </c>
      <c r="E958" t="n">
        <v>2876</v>
      </c>
      <c r="F958">
        <f>IF(C958="","",C958*7/B958)</f>
        <v/>
      </c>
    </row>
    <row r="959">
      <c r="A959" s="3" t="n">
        <v>45058</v>
      </c>
      <c r="B959" t="n">
        <v>218330</v>
      </c>
      <c r="C959" t="n">
        <v>930</v>
      </c>
      <c r="D959" t="n">
        <v>6496</v>
      </c>
      <c r="E959" t="n">
        <v>4310</v>
      </c>
      <c r="F959">
        <f>IF(C959="","",C959*7/B959)</f>
        <v/>
      </c>
    </row>
    <row r="960">
      <c r="A960" s="3" t="n">
        <v>45065</v>
      </c>
      <c r="B960" t="n">
        <v>216277</v>
      </c>
      <c r="C960" t="n">
        <v>711</v>
      </c>
      <c r="D960" t="n">
        <v>5551</v>
      </c>
      <c r="E960" t="n">
        <v>4549</v>
      </c>
      <c r="F960">
        <f>IF(C960="","",C960*7/B960)</f>
        <v/>
      </c>
    </row>
    <row r="961">
      <c r="A961" s="3" t="n">
        <v>45072</v>
      </c>
      <c r="B961" t="n">
        <v>216070</v>
      </c>
      <c r="C961" t="n">
        <v>951</v>
      </c>
      <c r="D961" t="n">
        <v>6279</v>
      </c>
      <c r="E961" t="n">
        <v>4915</v>
      </c>
      <c r="F961">
        <f>IF(C961="","",C961*7/B961)</f>
        <v/>
      </c>
    </row>
    <row r="962">
      <c r="A962" s="3" t="n">
        <v>45079</v>
      </c>
      <c r="B962" t="n">
        <v>218815</v>
      </c>
      <c r="C962" t="n">
        <v>988</v>
      </c>
      <c r="D962" t="n">
        <v>6177</v>
      </c>
      <c r="E962" t="n">
        <v>2475</v>
      </c>
      <c r="F962">
        <f>IF(C962="","",C962*7/B962)</f>
        <v/>
      </c>
    </row>
    <row r="963">
      <c r="A963" s="3" t="n">
        <v>45086</v>
      </c>
      <c r="B963" t="n">
        <v>220923</v>
      </c>
      <c r="C963" t="n">
        <v>957</v>
      </c>
      <c r="D963" t="n">
        <v>6391</v>
      </c>
      <c r="E963" t="n">
        <v>3270</v>
      </c>
      <c r="F963">
        <f>IF(C963="","",C963*7/B963)</f>
        <v/>
      </c>
    </row>
    <row r="964">
      <c r="A964" s="3" t="n">
        <v>45093</v>
      </c>
      <c r="B964" t="n">
        <v>221402</v>
      </c>
      <c r="C964" t="n">
        <v>859</v>
      </c>
      <c r="D964" t="n">
        <v>6046</v>
      </c>
      <c r="E964" t="n">
        <v>4543</v>
      </c>
      <c r="F964">
        <f>IF(C964="","",C964*7/B964)</f>
        <v/>
      </c>
    </row>
    <row r="965">
      <c r="A965" s="3" t="n">
        <v>45100</v>
      </c>
      <c r="B965" t="n">
        <v>222005</v>
      </c>
      <c r="C965" t="n">
        <v>867</v>
      </c>
      <c r="D965" t="n">
        <v>6437</v>
      </c>
      <c r="E965" t="n">
        <v>5338</v>
      </c>
      <c r="F965">
        <f>IF(C965="","",C965*7/B965)</f>
        <v/>
      </c>
    </row>
    <row r="966">
      <c r="A966" s="3" t="n">
        <v>45107</v>
      </c>
      <c r="B966" t="n">
        <v>219456</v>
      </c>
      <c r="C966" t="n">
        <v>863</v>
      </c>
      <c r="D966" t="n">
        <v>5942</v>
      </c>
      <c r="E966" t="n">
        <v>3901</v>
      </c>
      <c r="F966">
        <f>IF(C966="","",C966*7/B966)</f>
        <v/>
      </c>
    </row>
    <row r="967">
      <c r="A967" s="3" t="n">
        <v>45114</v>
      </c>
      <c r="B967" t="n">
        <v>219452</v>
      </c>
      <c r="C967" t="n">
        <v>1116</v>
      </c>
      <c r="D967" t="n">
        <v>7033</v>
      </c>
      <c r="E967" t="n">
        <v>2144</v>
      </c>
      <c r="F967">
        <f>IF(C967="","",C967*7/B967)</f>
        <v/>
      </c>
    </row>
    <row r="968">
      <c r="A968" s="3" t="n">
        <v>45121</v>
      </c>
      <c r="B968" t="n">
        <v>218386</v>
      </c>
      <c r="C968" t="n">
        <v>1073</v>
      </c>
      <c r="D968" t="n">
        <v>6561</v>
      </c>
      <c r="E968" t="n">
        <v>3814</v>
      </c>
      <c r="F968">
        <f>IF(C968="","",C968*7/B968)</f>
        <v/>
      </c>
    </row>
    <row r="969">
      <c r="A969" s="3" t="n">
        <v>45128</v>
      </c>
      <c r="B969" t="n">
        <v>217600</v>
      </c>
      <c r="C969" t="n">
        <v>995</v>
      </c>
      <c r="D969" t="n">
        <v>6340</v>
      </c>
      <c r="E969" t="n">
        <v>4591</v>
      </c>
      <c r="F969">
        <f>IF(C969="","",C969*7/B969)</f>
        <v/>
      </c>
    </row>
    <row r="970">
      <c r="A970" s="3" t="n">
        <v>45135</v>
      </c>
      <c r="B970" t="n">
        <v>219081</v>
      </c>
      <c r="C970" t="n">
        <v>818</v>
      </c>
      <c r="D970" t="n">
        <v>6496</v>
      </c>
      <c r="E970" t="n">
        <v>5283</v>
      </c>
      <c r="F970">
        <f>IF(C970="","",C970*7/B970)</f>
        <v/>
      </c>
    </row>
    <row r="971">
      <c r="A971" s="3" t="n">
        <v>45142</v>
      </c>
      <c r="B971" t="n">
        <v>216420</v>
      </c>
      <c r="C971" t="n">
        <v>941</v>
      </c>
      <c r="D971" t="n">
        <v>6411</v>
      </c>
      <c r="E971" t="n">
        <v>2360</v>
      </c>
      <c r="F971">
        <f>IF(C971="","",C971*7/B971)</f>
        <v/>
      </c>
    </row>
    <row r="972">
      <c r="A972" s="3" t="n">
        <v>45149</v>
      </c>
      <c r="B972" t="n">
        <v>216158</v>
      </c>
      <c r="C972" t="n">
        <v>881</v>
      </c>
      <c r="D972" t="n">
        <v>5856</v>
      </c>
      <c r="E972" t="n">
        <v>4599</v>
      </c>
      <c r="F972">
        <f>IF(C972="","",C972*7/B972)</f>
        <v/>
      </c>
    </row>
    <row r="973">
      <c r="A973" s="3" t="n">
        <v>45156</v>
      </c>
      <c r="B973" t="n">
        <v>217626</v>
      </c>
      <c r="C973" t="n">
        <v>830</v>
      </c>
      <c r="D973" t="n">
        <v>6286</v>
      </c>
      <c r="E973" t="n">
        <v>4258</v>
      </c>
      <c r="F973">
        <f>IF(C973="","",C973*7/B973)</f>
        <v/>
      </c>
    </row>
    <row r="974">
      <c r="A974" s="3" t="n">
        <v>45163</v>
      </c>
      <c r="B974" t="n">
        <v>217412</v>
      </c>
      <c r="C974" t="n">
        <v>854</v>
      </c>
      <c r="D974" t="n">
        <v>5881</v>
      </c>
      <c r="E974" t="n">
        <v>4528</v>
      </c>
      <c r="F974">
        <f>IF(C974="","",C974*7/B974)</f>
        <v/>
      </c>
    </row>
    <row r="975">
      <c r="A975" s="3" t="n">
        <v>45170</v>
      </c>
      <c r="B975" t="n">
        <v>214746</v>
      </c>
      <c r="C975" t="n">
        <v>1003</v>
      </c>
      <c r="D975" t="n">
        <v>6494</v>
      </c>
      <c r="E975" t="n">
        <v>4932</v>
      </c>
      <c r="F975">
        <f>IF(C975="","",C975*7/B975)</f>
        <v/>
      </c>
    </row>
    <row r="976">
      <c r="A976" s="3" t="n">
        <v>45177</v>
      </c>
      <c r="B976" t="n">
        <v>220307</v>
      </c>
      <c r="C976" t="n">
        <v>911</v>
      </c>
      <c r="D976" t="n">
        <v>5962</v>
      </c>
      <c r="E976" t="n">
        <v>3090</v>
      </c>
      <c r="F976">
        <f>IF(C976="","",C976*7/B976)</f>
        <v/>
      </c>
    </row>
    <row r="977">
      <c r="A977" s="3" t="n">
        <v>45184</v>
      </c>
      <c r="B977" t="n">
        <v>219476</v>
      </c>
      <c r="C977" t="n">
        <v>1144</v>
      </c>
      <c r="D977" t="n">
        <v>5627</v>
      </c>
      <c r="E977" t="n">
        <v>5067</v>
      </c>
      <c r="F977">
        <f>IF(C977="","",C977*7/B977)</f>
        <v/>
      </c>
    </row>
    <row r="978">
      <c r="A978" s="3" t="n">
        <v>45191</v>
      </c>
      <c r="B978" t="n">
        <v>220503</v>
      </c>
      <c r="C978" t="n">
        <v>814</v>
      </c>
      <c r="D978" t="n">
        <v>6323</v>
      </c>
      <c r="E978" t="n">
        <v>4012</v>
      </c>
      <c r="F978">
        <f>IF(C978="","",C978*7/B978)</f>
        <v/>
      </c>
    </row>
    <row r="979">
      <c r="A979" s="3" t="n">
        <v>45198</v>
      </c>
      <c r="B979" t="n">
        <v>226984</v>
      </c>
      <c r="C979" t="n">
        <v>837</v>
      </c>
      <c r="D979" t="n">
        <v>6544</v>
      </c>
      <c r="E979" t="n">
        <v>4956</v>
      </c>
      <c r="F979">
        <f>IF(C979="","",C979*7/B979)</f>
        <v/>
      </c>
    </row>
    <row r="980">
      <c r="A980" s="3" t="n">
        <v>45205</v>
      </c>
      <c r="B980" t="n">
        <v>225671</v>
      </c>
      <c r="C980" t="n">
        <v>1178</v>
      </c>
      <c r="D980" t="n">
        <v>7019</v>
      </c>
      <c r="E980" t="n">
        <v>3067</v>
      </c>
      <c r="F980">
        <f>IF(C980="","",C980*7/B980)</f>
        <v/>
      </c>
    </row>
    <row r="981">
      <c r="A981" s="3" t="n">
        <v>45212</v>
      </c>
      <c r="B981" t="n">
        <v>223301</v>
      </c>
      <c r="C981" t="n">
        <v>1081</v>
      </c>
      <c r="D981" t="n">
        <v>5355</v>
      </c>
      <c r="E981" t="n">
        <v>5301</v>
      </c>
      <c r="F981">
        <f>IF(C981="","",C981*7/B981)</f>
        <v/>
      </c>
    </row>
    <row r="982">
      <c r="A982" s="3" t="n">
        <v>45219</v>
      </c>
      <c r="B982" t="n">
        <v>223457</v>
      </c>
      <c r="C982" t="n">
        <v>833</v>
      </c>
      <c r="D982" t="n">
        <v>6019</v>
      </c>
      <c r="E982" t="n">
        <v>4833</v>
      </c>
      <c r="F982">
        <f>IF(C982="","",C982*7/B982)</f>
        <v/>
      </c>
    </row>
    <row r="983">
      <c r="A983" s="3" t="n">
        <v>45226</v>
      </c>
      <c r="B983" t="n">
        <v>223522</v>
      </c>
      <c r="C983" t="n">
        <v>835</v>
      </c>
      <c r="D983" t="n">
        <v>6389</v>
      </c>
      <c r="E983" t="n">
        <v>4897</v>
      </c>
      <c r="F983">
        <f>IF(C983="","",C983*7/B983)</f>
        <v/>
      </c>
    </row>
    <row r="984">
      <c r="A984" s="3" t="n">
        <v>45233</v>
      </c>
      <c r="B984" t="n">
        <v>217210</v>
      </c>
      <c r="C984" t="n">
        <v>982</v>
      </c>
      <c r="D984" t="n">
        <v>6197</v>
      </c>
      <c r="E984" t="n">
        <v>4525</v>
      </c>
      <c r="F984">
        <f>IF(C984="","",C984*7/B984)</f>
        <v/>
      </c>
    </row>
    <row r="985">
      <c r="A985" s="3" t="n">
        <v>45240</v>
      </c>
      <c r="B985" t="n">
        <v>215670</v>
      </c>
      <c r="C985" t="n">
        <v>933</v>
      </c>
      <c r="D985" t="n">
        <v>5990</v>
      </c>
      <c r="E985" t="n">
        <v>4889</v>
      </c>
      <c r="F985">
        <f>IF(C985="","",C985*7/B985)</f>
        <v/>
      </c>
    </row>
    <row r="986">
      <c r="A986" s="3" t="n">
        <v>45247</v>
      </c>
      <c r="B986" t="n">
        <v>216420</v>
      </c>
      <c r="C986" t="n">
        <v>896</v>
      </c>
      <c r="D986" t="n">
        <v>6151</v>
      </c>
      <c r="E986" t="n">
        <v>4786</v>
      </c>
      <c r="F986">
        <f>IF(C986="","",C986*7/B986)</f>
        <v/>
      </c>
    </row>
    <row r="987">
      <c r="A987" s="3" t="n">
        <v>45254</v>
      </c>
      <c r="B987" t="n">
        <v>218184</v>
      </c>
      <c r="C987" t="n">
        <v>1175</v>
      </c>
      <c r="D987" t="n">
        <v>6710</v>
      </c>
      <c r="E987" t="n">
        <v>4755</v>
      </c>
      <c r="F987">
        <f>IF(C987="","",C987*7/B987)</f>
        <v/>
      </c>
    </row>
    <row r="988">
      <c r="A988" s="3" t="n">
        <v>45261</v>
      </c>
      <c r="B988" t="n">
        <v>223604</v>
      </c>
      <c r="C988" t="n">
        <v>948</v>
      </c>
      <c r="D988" t="n">
        <v>6603</v>
      </c>
      <c r="E988" t="n">
        <v>4339</v>
      </c>
      <c r="F988">
        <f>IF(C988="","",C988*7/B988)</f>
        <v/>
      </c>
    </row>
    <row r="989">
      <c r="A989" s="3" t="n">
        <v>45268</v>
      </c>
      <c r="B989" t="n">
        <v>224013</v>
      </c>
      <c r="C989" t="n">
        <v>1131</v>
      </c>
      <c r="D989" t="n">
        <v>6553</v>
      </c>
      <c r="E989" t="n">
        <v>3771</v>
      </c>
      <c r="F989">
        <f>IF(C989="","",C989*7/B989)</f>
        <v/>
      </c>
    </row>
    <row r="990">
      <c r="A990" s="3" t="n">
        <v>45275</v>
      </c>
      <c r="B990" t="n">
        <v>226723</v>
      </c>
      <c r="C990" t="n">
        <v>1193</v>
      </c>
      <c r="D990" t="n">
        <v>6280</v>
      </c>
      <c r="E990" t="n">
        <v>4121</v>
      </c>
      <c r="F990">
        <f>IF(C990="","",C990*7/B990)</f>
        <v/>
      </c>
    </row>
    <row r="991">
      <c r="A991" s="3" t="n">
        <v>45282</v>
      </c>
      <c r="B991" t="n">
        <v>226054</v>
      </c>
      <c r="C991" t="n">
        <v>1101</v>
      </c>
      <c r="D991" t="n">
        <v>7211</v>
      </c>
      <c r="E991" t="n">
        <v>3915</v>
      </c>
      <c r="F991">
        <f>IF(C991="","",C991*7/B991)</f>
        <v/>
      </c>
    </row>
    <row r="992">
      <c r="A992" s="3" t="n">
        <v>45289</v>
      </c>
      <c r="B992" t="n">
        <v>236954</v>
      </c>
      <c r="C992" t="n">
        <v>911</v>
      </c>
      <c r="D992" t="n">
        <v>6571</v>
      </c>
      <c r="E992" t="n">
        <v>5292</v>
      </c>
      <c r="F992">
        <f>IF(C992="","",C992*7/B992)</f>
        <v/>
      </c>
    </row>
    <row r="993">
      <c r="A993" s="3" t="n">
        <v>45296</v>
      </c>
      <c r="B993" t="n">
        <v>244982</v>
      </c>
      <c r="C993" t="n">
        <v>823</v>
      </c>
      <c r="D993" t="n">
        <v>6238</v>
      </c>
      <c r="E993" t="n">
        <v>3322</v>
      </c>
      <c r="F993">
        <f>IF(C993="","",C993*7/B993)</f>
        <v/>
      </c>
    </row>
    <row r="994">
      <c r="A994" s="3" t="n">
        <v>45303</v>
      </c>
      <c r="B994" t="n">
        <v>248065</v>
      </c>
      <c r="C994" t="n">
        <v>1097</v>
      </c>
      <c r="D994" t="n">
        <v>6383</v>
      </c>
      <c r="E994" t="n">
        <v>5029</v>
      </c>
      <c r="F994">
        <f>IF(C994="","",C994*7/B994)</f>
        <v/>
      </c>
    </row>
    <row r="995">
      <c r="A995" s="3" t="n">
        <v>45310</v>
      </c>
      <c r="B995" t="n">
        <v>252977</v>
      </c>
      <c r="C995" t="n">
        <v>717</v>
      </c>
      <c r="D995" t="n">
        <v>6329</v>
      </c>
      <c r="E995" t="n">
        <v>4434</v>
      </c>
      <c r="F995">
        <f>IF(C995="","",C995*7/B995)</f>
        <v/>
      </c>
    </row>
    <row r="996">
      <c r="A996" s="3" t="n">
        <v>45317</v>
      </c>
      <c r="B996" t="n">
        <v>254134</v>
      </c>
      <c r="C996" t="n">
        <v>1033</v>
      </c>
      <c r="D996" t="n">
        <v>5925</v>
      </c>
      <c r="E996" t="n">
        <v>3894</v>
      </c>
      <c r="F996">
        <f>IF(C996="","",C996*7/B996)</f>
        <v/>
      </c>
    </row>
    <row r="997">
      <c r="A997" s="3" t="n">
        <v>45324</v>
      </c>
      <c r="B997" t="n">
        <v>250988</v>
      </c>
      <c r="C997" t="n">
        <v>747</v>
      </c>
      <c r="D997" t="n">
        <v>6372</v>
      </c>
      <c r="E997" t="n">
        <v>3596</v>
      </c>
      <c r="F997">
        <f>IF(C997="","",C997*7/B997)</f>
        <v/>
      </c>
    </row>
    <row r="998">
      <c r="A998" s="3" t="n">
        <v>45331</v>
      </c>
      <c r="B998" t="n">
        <v>247330</v>
      </c>
      <c r="C998" t="n">
        <v>968</v>
      </c>
      <c r="D998" t="n">
        <v>6266</v>
      </c>
      <c r="E998" t="n">
        <v>4347</v>
      </c>
      <c r="F998">
        <f>IF(C998="","",C998*7/B998)</f>
        <v/>
      </c>
    </row>
    <row r="999">
      <c r="A999" s="3" t="n">
        <v>45338</v>
      </c>
      <c r="B999" t="n">
        <v>247037</v>
      </c>
      <c r="C999" t="n">
        <v>908</v>
      </c>
      <c r="D999" t="n">
        <v>6962</v>
      </c>
      <c r="E999" t="n">
        <v>4965</v>
      </c>
      <c r="F999">
        <f>IF(C999="","",C999*7/B999)</f>
        <v/>
      </c>
    </row>
    <row r="1000">
      <c r="A1000" s="3" t="n">
        <v>45345</v>
      </c>
      <c r="B1000" t="n">
        <v>244205</v>
      </c>
      <c r="C1000" t="n">
        <v>752</v>
      </c>
      <c r="D1000" t="n">
        <v>6012</v>
      </c>
      <c r="E1000" t="n">
        <v>4728</v>
      </c>
      <c r="F1000">
        <f>IF(C1000="","",C1000*7/B1000)</f>
        <v/>
      </c>
    </row>
    <row r="1001">
      <c r="A1001" s="3" t="n">
        <v>45352</v>
      </c>
      <c r="B1001" t="n">
        <v>239745</v>
      </c>
      <c r="C1001" t="n">
        <v>782</v>
      </c>
      <c r="D1001" t="n">
        <v>6360</v>
      </c>
      <c r="E1001" t="n">
        <v>4637</v>
      </c>
      <c r="F1001">
        <f>IF(C1001="","",C1001*7/B1001)</f>
        <v/>
      </c>
    </row>
    <row r="1002">
      <c r="A1002" s="3" t="n">
        <v>45359</v>
      </c>
      <c r="B1002" t="n">
        <v>234083</v>
      </c>
      <c r="C1002" t="n">
        <v>999</v>
      </c>
      <c r="D1002" t="n">
        <v>6128</v>
      </c>
      <c r="E1002" t="n">
        <v>3147</v>
      </c>
      <c r="F1002">
        <f>IF(C1002="","",C1002*7/B1002)</f>
        <v/>
      </c>
    </row>
    <row r="1003">
      <c r="A1003" s="3" t="n">
        <v>45366</v>
      </c>
      <c r="B1003" t="n">
        <v>230773</v>
      </c>
      <c r="C1003" t="n">
        <v>1033</v>
      </c>
      <c r="D1003" t="n">
        <v>6894</v>
      </c>
      <c r="E1003" t="n">
        <v>4881</v>
      </c>
      <c r="F1003">
        <f>IF(C1003="","",C1003*7/B1003)</f>
        <v/>
      </c>
    </row>
    <row r="1004">
      <c r="A1004" s="3" t="n">
        <v>45373</v>
      </c>
      <c r="B1004" t="n">
        <v>232072</v>
      </c>
      <c r="C1004" t="n">
        <v>786</v>
      </c>
      <c r="D1004" t="n">
        <v>6649</v>
      </c>
      <c r="E1004" t="n">
        <v>4181</v>
      </c>
      <c r="F1004">
        <f>IF(C1004="","",C1004*7/B1004)</f>
        <v/>
      </c>
    </row>
    <row r="1005">
      <c r="A1005" s="3" t="n">
        <v>45380</v>
      </c>
      <c r="B1005" t="n">
        <v>227816</v>
      </c>
      <c r="C1005" t="n">
        <v>863</v>
      </c>
      <c r="D1005" t="n">
        <v>5938</v>
      </c>
      <c r="E1005" t="n">
        <v>4022</v>
      </c>
      <c r="F1005">
        <f>IF(C1005="","",C1005*7/B1005)</f>
        <v/>
      </c>
    </row>
    <row r="1006">
      <c r="A1006" s="3" t="n">
        <v>45387</v>
      </c>
      <c r="B1006" t="n">
        <v>228531</v>
      </c>
      <c r="C1006" t="n">
        <v>978</v>
      </c>
      <c r="D1006" t="n">
        <v>6853</v>
      </c>
      <c r="E1006" t="n">
        <v>2708</v>
      </c>
      <c r="F1006">
        <f>IF(C1006="","",C1006*7/B1006)</f>
        <v/>
      </c>
    </row>
    <row r="1007">
      <c r="A1007" s="3" t="n">
        <v>45394</v>
      </c>
      <c r="B1007" t="n">
        <v>227377</v>
      </c>
      <c r="C1007" t="n">
        <v>826</v>
      </c>
      <c r="D1007" t="n">
        <v>6373</v>
      </c>
      <c r="E1007" t="n">
        <v>4726</v>
      </c>
      <c r="F1007">
        <f>IF(C1007="","",C1007*7/B1007)</f>
        <v/>
      </c>
    </row>
    <row r="1008">
      <c r="A1008" s="3" t="n">
        <v>45401</v>
      </c>
      <c r="B1008" t="n">
        <v>226743</v>
      </c>
      <c r="C1008" t="n">
        <v>778</v>
      </c>
      <c r="D1008" t="n">
        <v>6915</v>
      </c>
      <c r="E1008" t="n">
        <v>5179</v>
      </c>
      <c r="F1008">
        <f>IF(C1008="","",C1008*7/B1008)</f>
        <v/>
      </c>
    </row>
    <row r="1009">
      <c r="A1009" s="3" t="n">
        <v>45408</v>
      </c>
      <c r="B1009" t="n">
        <v>227087</v>
      </c>
      <c r="C1009" t="n">
        <v>920</v>
      </c>
      <c r="D1009" t="n">
        <v>6401</v>
      </c>
      <c r="E1009" t="n">
        <v>3918</v>
      </c>
      <c r="F1009">
        <f>IF(C1009="","",C1009*7/B1009)</f>
        <v/>
      </c>
    </row>
    <row r="1010">
      <c r="A1010" s="3" t="n">
        <v>45415</v>
      </c>
      <c r="B1010" t="n">
        <v>228002</v>
      </c>
      <c r="C1010" t="n">
        <v>807</v>
      </c>
      <c r="D1010" t="n">
        <v>6828</v>
      </c>
      <c r="E1010" t="n">
        <v>4468</v>
      </c>
      <c r="F1010">
        <f>IF(C1010="","",C1010*7/B1010)</f>
        <v/>
      </c>
    </row>
    <row r="1011">
      <c r="A1011" s="3" t="n">
        <v>45422</v>
      </c>
      <c r="B1011" t="n">
        <v>227767</v>
      </c>
      <c r="C1011" t="n">
        <v>897</v>
      </c>
      <c r="D1011" t="n">
        <v>6152</v>
      </c>
      <c r="E1011" t="n">
        <v>4135</v>
      </c>
      <c r="F1011">
        <f>IF(C1011="","",C1011*7/B1011)</f>
        <v/>
      </c>
    </row>
    <row r="1012">
      <c r="A1012" s="3" t="n">
        <v>45429</v>
      </c>
      <c r="B1012" t="n">
        <v>226822</v>
      </c>
      <c r="C1012" t="n">
        <v>770</v>
      </c>
      <c r="D1012" t="n">
        <v>6646</v>
      </c>
      <c r="E1012" t="n">
        <v>4730</v>
      </c>
      <c r="F1012">
        <f>IF(C1012="","",C1012*7/B1012)</f>
        <v/>
      </c>
    </row>
    <row r="1013">
      <c r="A1013" s="3" t="n">
        <v>45436</v>
      </c>
      <c r="B1013" t="n">
        <v>228844</v>
      </c>
      <c r="C1013" t="n">
        <v>954</v>
      </c>
      <c r="D1013" t="n">
        <v>6550</v>
      </c>
      <c r="E1013" t="n">
        <v>4225</v>
      </c>
      <c r="F1013">
        <f>IF(C1013="","",C1013*7/B1013)</f>
        <v/>
      </c>
    </row>
    <row r="1014">
      <c r="A1014" s="3" t="n">
        <v>45443</v>
      </c>
      <c r="B1014" t="n">
        <v>230946</v>
      </c>
      <c r="C1014" t="n">
        <v>891</v>
      </c>
      <c r="D1014" t="n">
        <v>6076</v>
      </c>
      <c r="E1014" t="n">
        <v>4501</v>
      </c>
      <c r="F1014">
        <f>IF(C1014="","",C1014*7/B1014)</f>
        <v/>
      </c>
    </row>
    <row r="1015">
      <c r="A1015" s="3" t="n">
        <v>45450</v>
      </c>
      <c r="B1015" t="n">
        <v>233512</v>
      </c>
      <c r="C1015" t="n">
        <v>858</v>
      </c>
      <c r="D1015" t="n">
        <v>7502</v>
      </c>
      <c r="E1015" t="n">
        <v>3188</v>
      </c>
      <c r="F1015">
        <f>IF(C1015="","",C1015*7/B1015)</f>
        <v/>
      </c>
    </row>
    <row r="1016">
      <c r="A1016" s="3" t="n">
        <v>45457</v>
      </c>
      <c r="B1016" t="n">
        <v>231232</v>
      </c>
      <c r="C1016" t="n">
        <v>1010</v>
      </c>
      <c r="D1016" t="n">
        <v>6561</v>
      </c>
      <c r="E1016" t="n">
        <v>4418</v>
      </c>
      <c r="F1016">
        <f>IF(C1016="","",C1016*7/B1016)</f>
        <v/>
      </c>
    </row>
    <row r="1017">
      <c r="A1017" s="3" t="n">
        <v>45464</v>
      </c>
      <c r="B1017" t="n">
        <v>233886</v>
      </c>
      <c r="C1017" t="n">
        <v>876</v>
      </c>
      <c r="D1017" t="n">
        <v>6279</v>
      </c>
      <c r="E1017" t="n">
        <v>3910</v>
      </c>
      <c r="F1017">
        <f>IF(C1017="","",C1017*7/B1017)</f>
        <v/>
      </c>
    </row>
    <row r="1018">
      <c r="A1018" s="3" t="n">
        <v>45471</v>
      </c>
      <c r="B1018" t="n">
        <v>231672</v>
      </c>
      <c r="C1018" t="n">
        <v>971</v>
      </c>
      <c r="D1018" t="n">
        <v>7116</v>
      </c>
      <c r="E1018" t="n">
        <v>4401</v>
      </c>
      <c r="F1018">
        <f>IF(C1018="","",C1018*7/B1018)</f>
        <v/>
      </c>
    </row>
    <row r="1019">
      <c r="A1019" s="3" t="n">
        <v>45478</v>
      </c>
      <c r="B1019" t="n">
        <v>229666</v>
      </c>
      <c r="C1019" t="n">
        <v>919</v>
      </c>
      <c r="D1019" t="n">
        <v>6523</v>
      </c>
      <c r="E1019" t="n">
        <v>3999</v>
      </c>
      <c r="F1019">
        <f>IF(C1019="","",C1019*7/B1019)</f>
        <v/>
      </c>
    </row>
    <row r="1020">
      <c r="A1020" s="3" t="n">
        <v>45485</v>
      </c>
      <c r="B1020" t="n">
        <v>232994</v>
      </c>
      <c r="C1020" t="n">
        <v>851</v>
      </c>
      <c r="D1020" t="n">
        <v>6123</v>
      </c>
      <c r="E1020" t="n">
        <v>3964</v>
      </c>
      <c r="F1020">
        <f>IF(C1020="","",C1020*7/B1020)</f>
        <v/>
      </c>
    </row>
    <row r="1021">
      <c r="A1021" s="3" t="n">
        <v>45492</v>
      </c>
      <c r="B1021" t="n">
        <v>227422</v>
      </c>
      <c r="C1021" t="n">
        <v>915</v>
      </c>
      <c r="D1021" t="n">
        <v>6437</v>
      </c>
      <c r="E1021" t="n">
        <v>4186</v>
      </c>
      <c r="F1021">
        <f>IF(C1021="","",C1021*7/B1021)</f>
        <v/>
      </c>
    </row>
    <row r="1022">
      <c r="A1022" s="3" t="n">
        <v>45499</v>
      </c>
      <c r="B1022" t="n">
        <v>223757</v>
      </c>
      <c r="C1022" t="n">
        <v>1007</v>
      </c>
      <c r="D1022" t="n">
        <v>6585</v>
      </c>
      <c r="E1022" t="n">
        <v>4919</v>
      </c>
      <c r="F1022">
        <f>IF(C1022="","",C1022*7/B1022)</f>
        <v/>
      </c>
    </row>
    <row r="1023">
      <c r="A1023" s="3" t="n">
        <v>45506</v>
      </c>
      <c r="B1023" t="n">
        <v>225097</v>
      </c>
      <c r="C1023" t="n">
        <v>899</v>
      </c>
      <c r="D1023" t="n">
        <v>6793</v>
      </c>
      <c r="E1023" t="n">
        <v>3638</v>
      </c>
      <c r="F1023">
        <f>IF(C1023="","",C1023*7/B1023)</f>
        <v/>
      </c>
    </row>
    <row r="1024">
      <c r="A1024" s="3" t="n">
        <v>45513</v>
      </c>
      <c r="B1024" t="n">
        <v>222203</v>
      </c>
      <c r="C1024" t="n">
        <v>873</v>
      </c>
      <c r="D1024" t="n">
        <v>6799</v>
      </c>
      <c r="E1024" t="n">
        <v>3756</v>
      </c>
      <c r="F1024">
        <f>IF(C1024="","",C1024*7/B1024)</f>
        <v/>
      </c>
    </row>
    <row r="1025">
      <c r="A1025" s="3" t="n">
        <v>45520</v>
      </c>
      <c r="B1025" t="n">
        <v>220597</v>
      </c>
      <c r="C1025" t="n">
        <v>731</v>
      </c>
      <c r="D1025" t="n">
        <v>7307</v>
      </c>
      <c r="E1025" t="n">
        <v>4045</v>
      </c>
      <c r="F1025">
        <f>IF(C1025="","",C1025*7/B1025)</f>
        <v/>
      </c>
    </row>
    <row r="1026">
      <c r="A1026" s="3" t="n">
        <v>45527</v>
      </c>
      <c r="B1026" t="n">
        <v>218394</v>
      </c>
      <c r="C1026" t="n">
        <v>817</v>
      </c>
      <c r="D1026" t="n">
        <v>6567</v>
      </c>
      <c r="E1026" t="n">
        <v>3671</v>
      </c>
      <c r="F1026">
        <f>IF(C1026="","",C1026*7/B1026)</f>
        <v/>
      </c>
    </row>
    <row r="1027">
      <c r="A1027" s="3" t="n">
        <v>45534</v>
      </c>
      <c r="B1027" t="n">
        <v>219242</v>
      </c>
      <c r="C1027" t="n">
        <v>865</v>
      </c>
      <c r="D1027" t="n">
        <v>7330</v>
      </c>
      <c r="E1027" t="n">
        <v>3756</v>
      </c>
      <c r="F1027">
        <f>IF(C1027="","",C1027*7/B1027)</f>
        <v/>
      </c>
    </row>
    <row r="1028">
      <c r="A1028" s="3" t="n">
        <v>45541</v>
      </c>
      <c r="B1028" t="n">
        <v>221552</v>
      </c>
      <c r="C1028" t="n">
        <v>936</v>
      </c>
      <c r="D1028" t="n">
        <v>7238</v>
      </c>
      <c r="E1028" t="n">
        <v>3305</v>
      </c>
      <c r="F1028">
        <f>IF(C1028="","",C1028*7/B1028)</f>
        <v/>
      </c>
    </row>
    <row r="1029">
      <c r="A1029" s="3" t="n">
        <v>45548</v>
      </c>
      <c r="B1029" t="n">
        <v>221621</v>
      </c>
      <c r="C1029" t="n">
        <v>737</v>
      </c>
      <c r="D1029" t="n">
        <v>6661</v>
      </c>
      <c r="E1029" t="n">
        <v>4589</v>
      </c>
      <c r="F1029">
        <f>IF(C1029="","",C1029*7/B1029)</f>
        <v/>
      </c>
    </row>
    <row r="1030">
      <c r="A1030" s="3" t="n">
        <v>45555</v>
      </c>
      <c r="B1030" t="n">
        <v>220083</v>
      </c>
      <c r="C1030" t="n">
        <v>847</v>
      </c>
      <c r="D1030" t="n">
        <v>6762</v>
      </c>
      <c r="E1030" t="n">
        <v>3897</v>
      </c>
      <c r="F1030">
        <f>IF(C1030="","",C1030*7/B1030)</f>
        <v/>
      </c>
    </row>
    <row r="1031">
      <c r="A1031" s="3" t="n">
        <v>45562</v>
      </c>
      <c r="B1031" t="n">
        <v>221202</v>
      </c>
      <c r="C1031" t="n">
        <v>962</v>
      </c>
      <c r="D1031" t="n">
        <v>7168</v>
      </c>
      <c r="E1031" t="n">
        <v>3878</v>
      </c>
      <c r="F1031">
        <f>IF(C1031="","",C1031*7/B1031)</f>
        <v/>
      </c>
    </row>
    <row r="1032">
      <c r="A1032" s="3" t="n">
        <v>45569</v>
      </c>
      <c r="B1032" t="n">
        <v>214898</v>
      </c>
      <c r="C1032" t="n">
        <v>942</v>
      </c>
      <c r="D1032" t="n">
        <v>6797</v>
      </c>
      <c r="E1032" t="n">
        <v>3794</v>
      </c>
      <c r="F1032">
        <f>IF(C1032="","",C1032*7/B1032)</f>
        <v/>
      </c>
    </row>
    <row r="1033">
      <c r="A1033" s="3" t="n">
        <v>45576</v>
      </c>
      <c r="B1033" t="n">
        <v>212697</v>
      </c>
      <c r="C1033" t="n">
        <v>899</v>
      </c>
      <c r="D1033" t="n">
        <v>6431</v>
      </c>
      <c r="E1033" t="n">
        <v>4123</v>
      </c>
      <c r="F1033">
        <f>IF(C1033="","",C1033*7/B1033)</f>
        <v/>
      </c>
    </row>
    <row r="1034">
      <c r="A1034" s="3" t="n">
        <v>45583</v>
      </c>
      <c r="B1034" t="n">
        <v>213575</v>
      </c>
      <c r="C1034" t="n">
        <v>886</v>
      </c>
      <c r="D1034" t="n">
        <v>6429</v>
      </c>
      <c r="E1034" t="n">
        <v>4112</v>
      </c>
      <c r="F1034">
        <f>IF(C1034="","",C1034*7/B1034)</f>
        <v/>
      </c>
    </row>
    <row r="1035">
      <c r="A1035" s="3" t="n">
        <v>45590</v>
      </c>
      <c r="B1035" t="n">
        <v>210868</v>
      </c>
      <c r="C1035" t="n">
        <v>786</v>
      </c>
      <c r="D1035" t="n">
        <v>6286</v>
      </c>
      <c r="E1035" t="n">
        <v>4261</v>
      </c>
      <c r="F1035">
        <f>IF(C1035="","",C1035*7/B1035)</f>
        <v/>
      </c>
    </row>
    <row r="1036">
      <c r="A1036" s="3" t="n">
        <v>45597</v>
      </c>
      <c r="B1036" t="n">
        <v>211280</v>
      </c>
      <c r="C1036" t="n">
        <v>884</v>
      </c>
      <c r="D1036" t="n">
        <v>7617</v>
      </c>
      <c r="E1036" t="n">
        <v>2850</v>
      </c>
      <c r="F1036">
        <f>IF(C1036="","",C1036*7/B1036)</f>
        <v/>
      </c>
    </row>
    <row r="1037">
      <c r="A1037" s="3" t="n">
        <v>45604</v>
      </c>
      <c r="B1037" t="n">
        <v>206873</v>
      </c>
      <c r="C1037" t="n">
        <v>1177</v>
      </c>
      <c r="D1037" t="n">
        <v>6958</v>
      </c>
      <c r="E1037" t="n">
        <v>3440</v>
      </c>
      <c r="F1037">
        <f>IF(C1037="","",C1037*7/B1037)</f>
        <v/>
      </c>
    </row>
    <row r="1038">
      <c r="A1038" s="3" t="n">
        <v>45611</v>
      </c>
      <c r="B1038" t="n">
        <v>208927</v>
      </c>
      <c r="C1038" t="n">
        <v>816</v>
      </c>
      <c r="D1038" t="n">
        <v>6577</v>
      </c>
      <c r="E1038" t="n">
        <v>4378</v>
      </c>
      <c r="F1038">
        <f>IF(C1038="","",C1038*7/B1038)</f>
        <v/>
      </c>
    </row>
    <row r="1039">
      <c r="A1039" s="3" t="n">
        <v>45618</v>
      </c>
      <c r="B1039" t="n">
        <v>212241</v>
      </c>
      <c r="C1039" t="n">
        <v>1063</v>
      </c>
      <c r="D1039" t="n">
        <v>6657</v>
      </c>
      <c r="E1039" t="n">
        <v>4663</v>
      </c>
      <c r="F1039">
        <f>IF(C1039="","",C1039*7/B1039)</f>
        <v/>
      </c>
    </row>
    <row r="1040">
      <c r="A1040" s="3" t="n">
        <v>45625</v>
      </c>
      <c r="B1040" t="n">
        <v>214603</v>
      </c>
      <c r="C1040" t="n">
        <v>994</v>
      </c>
      <c r="D1040" t="n">
        <v>7542</v>
      </c>
      <c r="E1040" t="n">
        <v>4235</v>
      </c>
      <c r="F1040">
        <f>IF(C1040="","",C1040*7/B1040)</f>
        <v/>
      </c>
    </row>
    <row r="1041">
      <c r="A1041" s="3" t="n">
        <v>45632</v>
      </c>
      <c r="B1041" t="n">
        <v>219689</v>
      </c>
      <c r="C1041" t="n">
        <v>1039</v>
      </c>
      <c r="D1041" t="n">
        <v>6906</v>
      </c>
      <c r="E1041" t="n">
        <v>3099</v>
      </c>
      <c r="F1041">
        <f>IF(C1041="","",C1041*7/B1041)</f>
        <v/>
      </c>
    </row>
    <row r="1042">
      <c r="A1042" s="3" t="n">
        <v>45639</v>
      </c>
      <c r="B1042" t="n">
        <v>222037</v>
      </c>
      <c r="C1042" t="n">
        <v>1012</v>
      </c>
      <c r="D1042" t="n">
        <v>7065</v>
      </c>
      <c r="E1042" t="n">
        <v>4895</v>
      </c>
      <c r="F1042">
        <f>IF(C1042="","",C1042*7/B1042)</f>
        <v/>
      </c>
    </row>
    <row r="1043">
      <c r="A1043" s="3" t="n">
        <v>45646</v>
      </c>
      <c r="B1043" t="n">
        <v>223667</v>
      </c>
      <c r="C1043" t="n">
        <v>1053</v>
      </c>
      <c r="D1043" t="n">
        <v>6656</v>
      </c>
      <c r="E1043" t="n">
        <v>3722</v>
      </c>
      <c r="F1043">
        <f>IF(C1043="","",C1043*7/B1043)</f>
        <v/>
      </c>
    </row>
    <row r="1044">
      <c r="A1044" s="3" t="n">
        <v>45653</v>
      </c>
      <c r="B1044" t="n">
        <v>231384</v>
      </c>
      <c r="C1044" t="n">
        <v>978</v>
      </c>
      <c r="D1044" t="n">
        <v>7397</v>
      </c>
      <c r="E1044" t="n">
        <v>3854</v>
      </c>
      <c r="F1044">
        <f>IF(C1044="","",C1044*7/B1044)</f>
        <v/>
      </c>
    </row>
    <row r="1045">
      <c r="A1045" s="3" t="n">
        <v>45660</v>
      </c>
      <c r="B1045" t="n">
        <v>237714</v>
      </c>
      <c r="C1045" t="n">
        <v>843</v>
      </c>
      <c r="D1045" t="n">
        <v>6859</v>
      </c>
      <c r="E1045" t="n">
        <v>3078</v>
      </c>
      <c r="F1045">
        <f>IF(C1045="","",C1045*7/B1045)</f>
        <v/>
      </c>
    </row>
    <row r="1046">
      <c r="A1046" s="3" t="n">
        <v>45667</v>
      </c>
      <c r="B1046" t="n">
        <v>243566</v>
      </c>
      <c r="C1046" t="n">
        <v>973</v>
      </c>
      <c r="D1046" t="n">
        <v>6379</v>
      </c>
      <c r="E1046" t="n">
        <v>4078</v>
      </c>
      <c r="F1046">
        <f>IF(C1046="","",C1046*7/B1046)</f>
        <v/>
      </c>
    </row>
    <row r="1047">
      <c r="A1047" s="3" t="n">
        <v>45674</v>
      </c>
      <c r="B1047" t="n">
        <v>245898</v>
      </c>
      <c r="C1047" t="n">
        <v>993</v>
      </c>
      <c r="D1047" t="n">
        <v>6657</v>
      </c>
      <c r="E1047" t="n">
        <v>4515</v>
      </c>
      <c r="F1047">
        <f>IF(C1047="","",C1047*7/B1047)</f>
        <v/>
      </c>
    </row>
    <row r="1048">
      <c r="A1048" s="3" t="n">
        <v>45681</v>
      </c>
      <c r="B1048" t="n">
        <v>248855</v>
      </c>
      <c r="C1048" t="n">
        <v>762</v>
      </c>
      <c r="D1048" t="n">
        <v>6368</v>
      </c>
      <c r="E1048" t="n">
        <v>3686</v>
      </c>
      <c r="F1048">
        <f>IF(C1048="","",C1048*7/B1048)</f>
        <v/>
      </c>
    </row>
    <row r="1049">
      <c r="A1049" s="3" t="n">
        <v>45688</v>
      </c>
      <c r="B1049" t="n">
        <v>251088</v>
      </c>
      <c r="C1049" t="n">
        <v>860</v>
      </c>
      <c r="D1049" t="n">
        <v>6301</v>
      </c>
      <c r="E1049" t="n">
        <v>4331</v>
      </c>
      <c r="F1049">
        <f>IF(C1049="","",C1049*7/B1049)</f>
        <v/>
      </c>
    </row>
    <row r="1050">
      <c r="A1050" s="3" t="n">
        <v>45695</v>
      </c>
      <c r="B1050" t="n">
        <v>248053</v>
      </c>
      <c r="C1050" t="n">
        <v>970</v>
      </c>
      <c r="D1050" t="n">
        <v>6443</v>
      </c>
      <c r="E1050" t="n">
        <v>3909</v>
      </c>
      <c r="F1050">
        <f>IF(C1050="","",C1050*7/B1050)</f>
        <v/>
      </c>
    </row>
    <row r="1051">
      <c r="A1051" s="3" t="n">
        <v>45702</v>
      </c>
      <c r="B1051" t="n">
        <v>247902</v>
      </c>
      <c r="C1051" t="n">
        <v>898</v>
      </c>
      <c r="D1051" t="n">
        <v>6996</v>
      </c>
      <c r="E1051" t="n">
        <v>4381</v>
      </c>
      <c r="F1051">
        <f>IF(C1051="","",C1051*7/B1051)</f>
        <v/>
      </c>
    </row>
    <row r="1052">
      <c r="A1052" s="3" t="n">
        <v>45709</v>
      </c>
      <c r="B1052" t="n">
        <v>248271</v>
      </c>
      <c r="C1052" t="n">
        <v>849</v>
      </c>
      <c r="D1052" t="n">
        <v>5356</v>
      </c>
      <c r="E1052" t="n">
        <v>4188</v>
      </c>
      <c r="F1052">
        <f>IF(C1052="","",C1052*7/B1052)</f>
        <v/>
      </c>
    </row>
    <row r="1053">
      <c r="A1053" s="3" t="n">
        <v>45716</v>
      </c>
      <c r="B1053" t="n">
        <v>246838</v>
      </c>
      <c r="C1053" t="n">
        <v>816</v>
      </c>
      <c r="D1053" t="n">
        <v>7006</v>
      </c>
      <c r="E1053" t="n">
        <v>4136</v>
      </c>
      <c r="F1053">
        <f>IF(C1053="","",C1053*7/B1053)</f>
        <v/>
      </c>
    </row>
    <row r="1054">
      <c r="A1054" s="3" t="n">
        <v>45723</v>
      </c>
      <c r="B1054" t="n">
        <v>241101</v>
      </c>
      <c r="C1054" t="n">
        <v>840</v>
      </c>
      <c r="D1054" t="n">
        <v>6228</v>
      </c>
      <c r="E1054" t="n">
        <v>3290</v>
      </c>
      <c r="F1054">
        <f>IF(C1054="","",C1054*7/B1054)</f>
        <v/>
      </c>
    </row>
    <row r="1055">
      <c r="A1055" s="3" t="n">
        <v>45730</v>
      </c>
      <c r="B1055" t="n">
        <v>240574</v>
      </c>
      <c r="C1055" t="n">
        <v>894</v>
      </c>
      <c r="D1055" t="n">
        <v>6960</v>
      </c>
      <c r="E1055" t="n">
        <v>4644</v>
      </c>
      <c r="F1055">
        <f>IF(C1055="","",C1055*7/B1055)</f>
        <v/>
      </c>
    </row>
    <row r="1056">
      <c r="A1056" s="3" t="n">
        <v>45737</v>
      </c>
      <c r="B1056" t="n">
        <v>239128</v>
      </c>
      <c r="C1056" t="n">
        <v>665</v>
      </c>
      <c r="D1056" t="n">
        <v>6122</v>
      </c>
      <c r="E1056" t="n">
        <v>4609</v>
      </c>
      <c r="F1056">
        <f>IF(C1056="","",C1056*7/B1056)</f>
        <v/>
      </c>
    </row>
    <row r="1057">
      <c r="A1057" s="3" t="n">
        <v>45744</v>
      </c>
      <c r="B1057" t="n">
        <v>237577</v>
      </c>
      <c r="C1057" t="n">
        <v>853</v>
      </c>
      <c r="D1057" t="n">
        <v>6451</v>
      </c>
      <c r="E1057" t="n">
        <v>3881</v>
      </c>
      <c r="F1057">
        <f>IF(C1057="","",C1057*7/B1057)</f>
        <v/>
      </c>
    </row>
    <row r="1058">
      <c r="A1058" s="3" t="n">
        <v>45751</v>
      </c>
      <c r="B1058" t="n">
        <v>235977</v>
      </c>
      <c r="C1058" t="n">
        <v>794</v>
      </c>
      <c r="D1058" t="n">
        <v>7098</v>
      </c>
      <c r="E1058" t="n">
        <v>3244</v>
      </c>
      <c r="F1058">
        <f>IF(C1058="","",C1058*7/B1058)</f>
        <v/>
      </c>
    </row>
    <row r="1059">
      <c r="A1059" s="3" t="n">
        <v>45758</v>
      </c>
      <c r="B1059" t="n">
        <v>234019</v>
      </c>
      <c r="C1059" t="n">
        <v>854</v>
      </c>
      <c r="D1059" t="n">
        <v>6889</v>
      </c>
      <c r="E1059" t="n">
        <v>5100</v>
      </c>
      <c r="F1059">
        <f>IF(C1059="","",C1059*7/B1059)</f>
        <v/>
      </c>
    </row>
    <row r="1060">
      <c r="A1060" s="3" t="n">
        <v>45765</v>
      </c>
      <c r="B1060" t="n">
        <v>229543</v>
      </c>
      <c r="C1060" t="n">
        <v>675</v>
      </c>
      <c r="D1060" t="n">
        <v>6435</v>
      </c>
      <c r="E1060" t="n">
        <v>3549</v>
      </c>
      <c r="F1060">
        <f>IF(C1060="","",C1060*7/B1060)</f>
        <v/>
      </c>
    </row>
    <row r="1061">
      <c r="A1061" s="3" t="n">
        <v>45772</v>
      </c>
      <c r="B1061" t="n">
        <v>225540</v>
      </c>
      <c r="C1061" t="n">
        <v>705</v>
      </c>
      <c r="D1061" t="n">
        <v>6524</v>
      </c>
      <c r="E1061" t="n">
        <v>4121</v>
      </c>
      <c r="F1061">
        <f>IF(C1061="","",C1061*7/B1061)</f>
        <v/>
      </c>
    </row>
    <row r="1062">
      <c r="A1062" s="3" t="n">
        <v>45779</v>
      </c>
      <c r="B1062" t="n">
        <v>225728</v>
      </c>
      <c r="C1062" t="n">
        <v>975</v>
      </c>
      <c r="D1062" t="n">
        <v>6645</v>
      </c>
      <c r="E1062" t="n">
        <v>4006</v>
      </c>
      <c r="F1062">
        <f>IF(C1062="","",C1062*7/B1062)</f>
        <v/>
      </c>
    </row>
    <row r="1063">
      <c r="A1063" s="3" t="n">
        <v>45786</v>
      </c>
      <c r="B1063" t="n">
        <v>224706</v>
      </c>
      <c r="C1063" t="n">
        <v>933</v>
      </c>
      <c r="D1063" t="n">
        <v>7583</v>
      </c>
      <c r="E1063" t="n">
        <v>3369</v>
      </c>
      <c r="F1063">
        <f>IF(C1063="","",C1063*7/B1063)</f>
        <v/>
      </c>
    </row>
    <row r="1064">
      <c r="A1064" s="3" t="n">
        <v>45793</v>
      </c>
      <c r="B1064" t="n">
        <v>225522</v>
      </c>
      <c r="C1064" t="n">
        <v>983</v>
      </c>
      <c r="D1064" t="n">
        <v>6566</v>
      </c>
      <c r="E1064" t="n">
        <v>3507</v>
      </c>
      <c r="F1064">
        <f>IF(C1064="","",C1064*7/B1064)</f>
        <v/>
      </c>
    </row>
    <row r="1065">
      <c r="A1065" s="3" t="n">
        <v>45800</v>
      </c>
      <c r="B1065" t="n">
        <v>223081</v>
      </c>
      <c r="C1065" t="n">
        <v>626</v>
      </c>
      <c r="D1065" t="n">
        <v>6880</v>
      </c>
      <c r="E1065" t="n">
        <v>4301</v>
      </c>
      <c r="F1065">
        <f>IF(C1065="","",C1065*7/B1065)</f>
        <v/>
      </c>
    </row>
    <row r="1066">
      <c r="A1066" s="3" t="n">
        <v>45807</v>
      </c>
      <c r="B1066" t="n">
        <v>228300</v>
      </c>
      <c r="C1066" t="n">
        <v>938</v>
      </c>
      <c r="D1066" t="n">
        <v>6189</v>
      </c>
      <c r="E1066" t="n">
        <v>3907</v>
      </c>
      <c r="F1066">
        <f>IF(C1066="","",C1066*7/B1066)</f>
        <v/>
      </c>
    </row>
    <row r="1067">
      <c r="A1067" s="3" t="n">
        <v>45814</v>
      </c>
      <c r="B1067" t="n">
        <v>229804</v>
      </c>
      <c r="C1067" t="n">
        <v>857</v>
      </c>
      <c r="D1067" t="n">
        <v>7117</v>
      </c>
      <c r="E1067" t="n">
        <v>3286</v>
      </c>
      <c r="F1067">
        <f>IF(C1067="","",C1067*7/B1067)</f>
        <v/>
      </c>
    </row>
    <row r="1068">
      <c r="A1068" s="3" t="n">
        <v>45821</v>
      </c>
      <c r="B1068" t="n">
        <v>230013</v>
      </c>
      <c r="C1068" t="n">
        <v>801</v>
      </c>
      <c r="D1068" t="n">
        <v>6822</v>
      </c>
      <c r="E1068" t="n">
        <v>4361</v>
      </c>
      <c r="F1068">
        <f>IF(C1068="","",C1068*7/B1068)</f>
        <v/>
      </c>
    </row>
    <row r="1069">
      <c r="A1069" s="3" t="n">
        <v>45828</v>
      </c>
      <c r="B1069" t="n">
        <v>227938</v>
      </c>
      <c r="C1069" t="n">
        <v>763</v>
      </c>
      <c r="D1069" t="n">
        <v>7177</v>
      </c>
      <c r="E1069" t="n">
        <v>4270</v>
      </c>
      <c r="F1069">
        <f>IF(C1069="","",C1069*7/B1069)</f>
        <v/>
      </c>
    </row>
    <row r="1070">
      <c r="A1070" s="3" t="n">
        <v>45835</v>
      </c>
      <c r="B1070" t="n">
        <v>232126</v>
      </c>
      <c r="C1070" t="n">
        <v>783</v>
      </c>
      <c r="D1070" t="n">
        <v>6632</v>
      </c>
      <c r="E1070" t="n">
        <v>2305</v>
      </c>
      <c r="F1070">
        <f>IF(C1070="","",C1070*7/B1070)</f>
        <v/>
      </c>
    </row>
    <row r="1071">
      <c r="A1071" s="3" t="n">
        <v>45842</v>
      </c>
      <c r="B1071" t="n">
        <v>229468</v>
      </c>
      <c r="C1071" t="n">
        <v>1043</v>
      </c>
      <c r="D1071" t="n">
        <v>7073</v>
      </c>
      <c r="E1071" t="n">
        <v>2757</v>
      </c>
      <c r="F1071">
        <f>IF(C1071="","",C1071*7/B1071)</f>
        <v/>
      </c>
    </row>
    <row r="1072">
      <c r="A1072" s="3" t="n">
        <v>45849</v>
      </c>
      <c r="B1072" t="n">
        <v>232867</v>
      </c>
      <c r="C1072" t="n">
        <v>877</v>
      </c>
      <c r="D1072" t="n">
        <v>6529</v>
      </c>
      <c r="E1072" t="n">
        <v>3518</v>
      </c>
      <c r="F1072">
        <f>IF(C1072="","",C1072*7/B1072)</f>
        <v/>
      </c>
    </row>
    <row r="1073">
      <c r="A1073" s="3" t="n">
        <v>45856</v>
      </c>
      <c r="B1073" t="n">
        <v>231129</v>
      </c>
      <c r="C1073" t="n">
        <v>720</v>
      </c>
      <c r="D1073" t="n">
        <v>6699</v>
      </c>
      <c r="E1073" t="n">
        <v>3855</v>
      </c>
      <c r="F1073">
        <f>IF(C1073="","",C1073*7/B1073)</f>
        <v/>
      </c>
    </row>
    <row r="1074">
      <c r="A1074" s="3" t="n">
        <v>45863</v>
      </c>
      <c r="B1074" t="n">
        <v>228405</v>
      </c>
      <c r="C1074" t="n">
        <v>889</v>
      </c>
      <c r="D1074" t="n">
        <v>6711</v>
      </c>
      <c r="E1074" t="n">
        <v>2698</v>
      </c>
      <c r="F1074">
        <f>IF(C1074="","",C1074*7/B1074)</f>
        <v/>
      </c>
    </row>
    <row r="1075">
      <c r="A1075" s="3" t="n">
        <v>45870</v>
      </c>
      <c r="B1075" t="n">
        <v>227082</v>
      </c>
      <c r="C1075" t="n">
        <v>946</v>
      </c>
      <c r="D1075" t="n">
        <v>7345</v>
      </c>
      <c r="E1075" t="n">
        <v>3318</v>
      </c>
      <c r="F1075">
        <f>IF(C1075="","",C1075*7/B1075)</f>
        <v/>
      </c>
    </row>
    <row r="1076">
      <c r="A1076" s="3" t="n">
        <v>45877</v>
      </c>
      <c r="B1076" t="n">
        <v>226290</v>
      </c>
      <c r="C1076" t="n">
        <v>825</v>
      </c>
      <c r="D1076" t="n">
        <v>6564</v>
      </c>
      <c r="E1076" t="n">
        <v>3577</v>
      </c>
      <c r="F1076">
        <f>IF(C1076="","",C1076*7/B1076)</f>
        <v/>
      </c>
    </row>
    <row r="1077">
      <c r="A1077" s="3" t="n">
        <v>45884</v>
      </c>
      <c r="B1077" t="n">
        <v>223570</v>
      </c>
      <c r="C1077" t="n">
        <v>1019</v>
      </c>
      <c r="D1077" t="n">
        <v>6896</v>
      </c>
      <c r="E1077" t="n">
        <v>4372</v>
      </c>
      <c r="F1077">
        <f>IF(C1077="","",C1077*7/B1077)</f>
        <v/>
      </c>
    </row>
    <row r="1078">
      <c r="A1078" s="3" t="n">
        <v>45891</v>
      </c>
      <c r="B1078" t="n">
        <v>222334</v>
      </c>
      <c r="C1078" t="n">
        <v>714</v>
      </c>
      <c r="D1078" t="n">
        <v>7087</v>
      </c>
      <c r="E1078" t="n">
        <v>3810</v>
      </c>
      <c r="F1078">
        <f>IF(C1078="","",C1078*7/B1078)</f>
        <v/>
      </c>
    </row>
    <row r="1079">
      <c r="A1079" s="3" t="n">
        <v>45898</v>
      </c>
      <c r="B1079" t="n">
        <v>218539</v>
      </c>
      <c r="C1079" t="n">
        <v>982</v>
      </c>
      <c r="D1079" t="n">
        <v>6724</v>
      </c>
      <c r="E1079" t="n">
        <v>3884</v>
      </c>
      <c r="F1079">
        <f>IF(C1079="","",C1079*7/B1079)</f>
        <v/>
      </c>
    </row>
    <row r="1080">
      <c r="A1080" s="3" t="n">
        <v>45905</v>
      </c>
      <c r="B1080" t="n">
        <v>219997</v>
      </c>
      <c r="C1080" t="n">
        <v>993</v>
      </c>
      <c r="D1080" t="n">
        <v>7195</v>
      </c>
      <c r="E1080" t="n">
        <v>2745</v>
      </c>
      <c r="F1080">
        <f>IF(C1080="","",C1080*7/B1080)</f>
        <v/>
      </c>
    </row>
    <row r="1081">
      <c r="A1081" s="3" t="n">
        <v>45912</v>
      </c>
      <c r="B1081" t="n">
        <v>217650</v>
      </c>
      <c r="C1081" t="n">
        <v>972</v>
      </c>
      <c r="D1081" t="n">
        <v>6254</v>
      </c>
      <c r="E1081" t="n">
        <v>5277</v>
      </c>
      <c r="F1081">
        <f>IF(C1081="","",C1081*7/B1081)</f>
        <v/>
      </c>
    </row>
    <row r="1082">
      <c r="A1082" s="3" t="n">
        <v>45919</v>
      </c>
      <c r="B1082" t="n">
        <v>216569</v>
      </c>
      <c r="C1082" t="n">
        <v>901</v>
      </c>
      <c r="D1082" t="n">
        <v>7178</v>
      </c>
      <c r="E1082" t="n">
        <v>4484</v>
      </c>
      <c r="F1082">
        <f>IF(C1082="","",C1082*7/B1082)</f>
        <v/>
      </c>
    </row>
    <row r="1083">
      <c r="A1083" s="3" t="n">
        <v>45926</v>
      </c>
      <c r="B1083" t="n">
        <v>220694</v>
      </c>
      <c r="C1083" t="n">
        <v>919</v>
      </c>
      <c r="D1083" t="n">
        <v>7248</v>
      </c>
      <c r="E1083" t="n">
        <v>3751</v>
      </c>
      <c r="F1083">
        <f>IF(C1083="","",C1083*7/B1083)</f>
        <v/>
      </c>
    </row>
    <row r="1084">
      <c r="A1084" s="3" t="n">
        <v>45933</v>
      </c>
      <c r="B1084" t="n">
        <v>219093</v>
      </c>
      <c r="C1084" t="n">
        <v>905</v>
      </c>
      <c r="D1084" t="n">
        <v>6810</v>
      </c>
      <c r="E1084" t="n">
        <v>3590</v>
      </c>
      <c r="F1084">
        <f>IF(C1084="","",C1084*7/B1084)</f>
        <v/>
      </c>
    </row>
    <row r="1085">
      <c r="A1085" s="3" t="n">
        <v>45940</v>
      </c>
      <c r="B1085" t="n">
        <v>218826</v>
      </c>
      <c r="C1085" t="n">
        <v>1018</v>
      </c>
      <c r="D1085" t="n">
        <v>7000</v>
      </c>
      <c r="E1085" t="n">
        <v>4466</v>
      </c>
      <c r="F1085">
        <f>IF(C1085="","",C1085*7/B1085)</f>
        <v/>
      </c>
    </row>
    <row r="1086">
      <c r="A1086" s="3" t="n">
        <v>45947</v>
      </c>
      <c r="B1086" t="n">
        <v>216679</v>
      </c>
      <c r="C1086" t="n">
        <v>1212</v>
      </c>
      <c r="D1086" t="n">
        <v>7353</v>
      </c>
      <c r="E1086" t="n">
        <v>4203</v>
      </c>
      <c r="F1086">
        <f>IF(C1086="","",C1086*7/B1086)</f>
        <v/>
      </c>
    </row>
    <row r="1087">
      <c r="A1087" s="3" t="n">
        <v>45954</v>
      </c>
      <c r="B1087" t="n">
        <v>210738</v>
      </c>
      <c r="C1087" t="n">
        <v>849</v>
      </c>
      <c r="D1087" t="n">
        <v>6666</v>
      </c>
      <c r="E1087" t="n">
        <v>4361</v>
      </c>
      <c r="F1087">
        <f>IF(C1087="","",C1087*7/B1087)</f>
        <v/>
      </c>
    </row>
    <row r="1088">
      <c r="A1088" s="3" t="n">
        <v>45961</v>
      </c>
      <c r="B1088" t="n">
        <v>206009</v>
      </c>
      <c r="C1088" t="n">
        <v>1088</v>
      </c>
      <c r="D1088" t="n">
        <v>7026</v>
      </c>
      <c r="E1088" t="n">
        <v>4367</v>
      </c>
      <c r="F1088">
        <f>IF(C1088="","",C1088*7/B1088)</f>
        <v/>
      </c>
    </row>
    <row r="1089">
      <c r="A1089" s="3" t="n">
        <v>45968</v>
      </c>
      <c r="B1089" t="n">
        <v>205064</v>
      </c>
      <c r="C1089" t="n">
        <v>1005</v>
      </c>
      <c r="D1089" t="n">
        <v>7208</v>
      </c>
      <c r="E1089" t="n">
        <v>2816</v>
      </c>
      <c r="F1089">
        <f>IF(C1089="","",C1089*7/B1089)</f>
        <v/>
      </c>
    </row>
    <row r="1090">
      <c r="A1090" s="3" t="n">
        <v>45975</v>
      </c>
      <c r="B1090" t="n">
        <v>207391</v>
      </c>
      <c r="C1090" t="n">
        <v>973</v>
      </c>
      <c r="D1090" t="n">
        <v>6988</v>
      </c>
      <c r="E1090" t="n">
        <v>4158</v>
      </c>
      <c r="F1090">
        <f>IF(C1090="","",C1090*7/B1090)</f>
        <v/>
      </c>
    </row>
    <row r="1091">
      <c r="A1091" s="3" t="n">
        <v>45982</v>
      </c>
      <c r="B1091" t="n">
        <v>209904</v>
      </c>
      <c r="C1091" t="n">
        <v>1088</v>
      </c>
      <c r="D1091" t="n">
        <v>7732</v>
      </c>
      <c r="E1091" t="n">
        <v>3598</v>
      </c>
      <c r="F1091">
        <f>IF(C1091="","",C1091*7/B1091)</f>
        <v/>
      </c>
    </row>
    <row r="1092">
      <c r="A1092" s="3" t="n">
        <v>45989</v>
      </c>
      <c r="B1092" t="n">
        <v>214422</v>
      </c>
      <c r="C1092" t="n">
        <v>1246</v>
      </c>
      <c r="D1092" t="n">
        <v>7507</v>
      </c>
      <c r="E1092" t="n">
        <v>3613</v>
      </c>
      <c r="F1092">
        <f>IF(C1092="","",C1092*7/B1092)</f>
        <v/>
      </c>
    </row>
    <row r="1093">
      <c r="A1093" s="3" t="n">
        <v>45996</v>
      </c>
      <c r="B1093" t="n">
        <v>220819</v>
      </c>
      <c r="C1093" t="n">
        <v>1085</v>
      </c>
      <c r="D1093" t="n">
        <v>7183</v>
      </c>
      <c r="E1093" t="n">
        <v>4009</v>
      </c>
      <c r="F1093">
        <f>IF(C1093="","",C1093*7/B1093)</f>
        <v/>
      </c>
    </row>
    <row r="1094">
      <c r="A1094" s="3" t="n">
        <v>46003</v>
      </c>
      <c r="B1094" t="n">
        <v>225627</v>
      </c>
      <c r="C1094" t="n">
        <v>991</v>
      </c>
      <c r="D1094" t="n">
        <v>7500</v>
      </c>
      <c r="E1094" t="n">
        <v>4664</v>
      </c>
      <c r="F1094">
        <f>IF(C1094="","",C1094*7/B1094)</f>
        <v/>
      </c>
    </row>
    <row r="1095">
      <c r="A1095" s="3" t="n">
        <v>46010</v>
      </c>
      <c r="B1095" t="n">
        <v>228489</v>
      </c>
      <c r="C1095" t="n">
        <v>957</v>
      </c>
      <c r="D1095" t="n">
        <v>7768</v>
      </c>
      <c r="E1095" t="n">
        <v>3616</v>
      </c>
      <c r="F1095">
        <f>IF(C1095="","",C1095*7/B1095)</f>
        <v/>
      </c>
    </row>
    <row r="1096">
      <c r="A1096" s="3" t="n">
        <v>46017</v>
      </c>
      <c r="B1096" t="n">
        <v>234334</v>
      </c>
      <c r="C1096" t="n">
        <v>901</v>
      </c>
      <c r="D1096" t="n">
        <v>6672</v>
      </c>
      <c r="E1096" t="n">
        <v>3440</v>
      </c>
      <c r="F1096">
        <f>IF(C1096="","",C1096*7/B1096)</f>
        <v/>
      </c>
    </row>
    <row r="1097">
      <c r="A1097" s="3" t="n">
        <v>46024</v>
      </c>
      <c r="B1097" t="n">
        <v>242036</v>
      </c>
      <c r="C1097" t="n">
        <v>967</v>
      </c>
      <c r="D1097" t="n">
        <v>7245</v>
      </c>
      <c r="E1097" t="n">
        <v>4263</v>
      </c>
      <c r="F1097">
        <f>IF(C1097="","",C1097*7/B1097)</f>
        <v/>
      </c>
    </row>
    <row r="1098">
      <c r="A1098" s="3" t="n">
        <v>46031</v>
      </c>
      <c r="B1098" t="n">
        <v>251013</v>
      </c>
      <c r="C1098" t="n">
        <v>859</v>
      </c>
      <c r="D1098" t="n">
        <v>7078</v>
      </c>
      <c r="E1098" t="n">
        <v>4306</v>
      </c>
      <c r="F1098">
        <f>IF(C1098="","",C1098*7/B1098)</f>
        <v/>
      </c>
    </row>
    <row r="1099">
      <c r="A1099" s="3" t="n">
        <v>46038</v>
      </c>
      <c r="B1099" t="n">
        <v>256990</v>
      </c>
      <c r="C1099" t="n">
        <v>973</v>
      </c>
      <c r="D1099" t="n">
        <v>6882</v>
      </c>
      <c r="E1099" t="n">
        <v>3688</v>
      </c>
      <c r="F1099">
        <f>IF(C1099="","",C1099*7/B1099)</f>
        <v/>
      </c>
    </row>
    <row r="1100">
      <c r="A1100" s="3" t="n">
        <v>46045</v>
      </c>
      <c r="B1100" t="n">
        <v>257213</v>
      </c>
      <c r="C1100" t="n">
        <v>863</v>
      </c>
      <c r="D1100" t="n">
        <v>6737</v>
      </c>
      <c r="E1100" t="n">
        <v>4589</v>
      </c>
      <c r="F1100">
        <f>IF(C1100="","",C1100*7/B1100)</f>
        <v/>
      </c>
    </row>
    <row r="1101">
      <c r="A1101" s="3" t="n">
        <v>46052</v>
      </c>
      <c r="B1101" t="n">
        <v>257898</v>
      </c>
      <c r="C1101" t="n">
        <v>958</v>
      </c>
      <c r="D1101" t="n">
        <v>7279</v>
      </c>
      <c r="E1101" t="n">
        <v>4047</v>
      </c>
      <c r="F1101">
        <f>IF(C1101="","",C1101*7/B1101)</f>
        <v/>
      </c>
    </row>
    <row r="1102">
      <c r="A1102" s="3" t="n">
        <v>46059</v>
      </c>
      <c r="B1102" t="n">
        <v>259058</v>
      </c>
      <c r="C1102" t="n">
        <v>978</v>
      </c>
      <c r="D1102" t="n">
        <v>6657</v>
      </c>
      <c r="E1102" t="n">
        <v>3739</v>
      </c>
      <c r="F1102">
        <f>IF(C1102="","",C1102*7/B1102)</f>
        <v/>
      </c>
    </row>
    <row r="1103">
      <c r="A1103" s="3" t="n">
        <v>46066</v>
      </c>
      <c r="B1103" t="n">
        <v>255845</v>
      </c>
      <c r="C1103" t="n">
        <v>854</v>
      </c>
      <c r="D1103" t="n">
        <v>6953</v>
      </c>
      <c r="E1103" t="n">
        <v>4590</v>
      </c>
      <c r="F1103">
        <f>IF(C1103="","",C1103*7/B1103)</f>
        <v/>
      </c>
    </row>
    <row r="1104">
      <c r="A1104" s="3" t="n">
        <v>46073</v>
      </c>
      <c r="B1104" t="n">
        <v>254834</v>
      </c>
      <c r="C1104" t="n">
        <v>769</v>
      </c>
      <c r="D1104" t="n">
        <v>6601</v>
      </c>
      <c r="E1104" t="n">
        <v>4313</v>
      </c>
      <c r="F1104">
        <f>IF(C1104="","",C1104*7/B1104)</f>
        <v/>
      </c>
    </row>
    <row r="1105">
      <c r="A1105" s="3" t="n">
        <v>46080</v>
      </c>
      <c r="B1105" t="n">
        <v>253130</v>
      </c>
      <c r="C1105" t="n">
        <v>1067</v>
      </c>
      <c r="D1105" t="n">
        <v>7013</v>
      </c>
      <c r="E1105" t="n">
        <v>3997</v>
      </c>
      <c r="F1105">
        <f>IF(C1105="","",C1105*7/B1105)</f>
        <v/>
      </c>
    </row>
    <row r="1106">
      <c r="A1106" s="3" t="n">
        <v>46087</v>
      </c>
      <c r="B1106" t="n">
        <v>249476</v>
      </c>
      <c r="C1106" t="n">
        <v>880</v>
      </c>
      <c r="D1106" t="n">
        <v>7160</v>
      </c>
      <c r="E1106" t="n">
        <v>3434</v>
      </c>
      <c r="F1106">
        <f>IF(C1106="","",C1106*7/B1106)</f>
        <v/>
      </c>
    </row>
    <row r="1107">
      <c r="A1107" s="3" t="n">
        <v>46094</v>
      </c>
      <c r="B1107" t="n">
        <v>244040</v>
      </c>
      <c r="C1107" t="n">
        <v>949</v>
      </c>
      <c r="D1107" t="n">
        <v>6772</v>
      </c>
      <c r="E1107" t="n">
        <v>4898</v>
      </c>
      <c r="F1107">
        <f>IF(C1107="","",C1107*7/B1107)</f>
        <v/>
      </c>
    </row>
    <row r="1108">
      <c r="A1108" s="3" t="n">
        <v>46101</v>
      </c>
      <c r="B1108" t="n">
        <v>241447</v>
      </c>
      <c r="C1108" t="n">
        <v>870</v>
      </c>
      <c r="D1108" t="n">
        <v>7607</v>
      </c>
      <c r="E1108" t="n">
        <v>3322</v>
      </c>
      <c r="F1108">
        <f>IF(C1108="","",C1108*7/B1108)</f>
        <v/>
      </c>
    </row>
    <row r="1109">
      <c r="A1109" s="3" t="n">
        <v>46108</v>
      </c>
      <c r="B1109" t="n">
        <v>240861</v>
      </c>
      <c r="C1109" t="n">
        <v>829</v>
      </c>
      <c r="D1109" t="n">
        <v>7909</v>
      </c>
      <c r="E1109" t="n">
        <v>3521</v>
      </c>
      <c r="F1109">
        <f>IF(C1109="","",C1109*7/B1109)</f>
        <v/>
      </c>
    </row>
    <row r="1110">
      <c r="A1110" s="3" t="n">
        <v>46115</v>
      </c>
      <c r="B1110" t="n">
        <v>239272</v>
      </c>
      <c r="C1110" t="n">
        <v>880</v>
      </c>
      <c r="D1110" t="n">
        <v>7565</v>
      </c>
      <c r="E1110" t="n">
        <v>4149</v>
      </c>
      <c r="F1110">
        <f>IF(C1110="","",C1110*7/B1110)</f>
        <v/>
      </c>
    </row>
    <row r="1111">
      <c r="A1111" s="3" t="n">
        <v>46122</v>
      </c>
      <c r="B1111" t="n">
        <v>232944</v>
      </c>
      <c r="C1111" t="n">
        <v>900</v>
      </c>
      <c r="D1111" t="n">
        <v>7519</v>
      </c>
      <c r="E1111" t="n">
        <v>5225</v>
      </c>
      <c r="F1111">
        <f>IF(C1111="","",C1111*7/B1111)</f>
        <v/>
      </c>
    </row>
    <row r="1112">
      <c r="A1112" s="3" t="n">
        <v>46129</v>
      </c>
      <c r="B1112" t="n">
        <v>228374</v>
      </c>
      <c r="C1112" t="n">
        <v>915</v>
      </c>
      <c r="D1112" t="n">
        <v>8083</v>
      </c>
      <c r="E1112" t="n">
        <v>4798</v>
      </c>
      <c r="F1112">
        <f>IF(C1112="","",C1112*7/B1112)</f>
        <v/>
      </c>
    </row>
    <row r="1113">
      <c r="A1113" s="3" t="n">
        <v>46136</v>
      </c>
      <c r="B1113" t="n">
        <v>222299</v>
      </c>
      <c r="C1113" t="n">
        <v>775</v>
      </c>
      <c r="D1113" t="n">
        <v>7741</v>
      </c>
      <c r="E1113" t="n">
        <v>6438</v>
      </c>
      <c r="F1113">
        <f>IF(C1113="","",C1113*7/B1113)</f>
        <v/>
      </c>
    </row>
    <row r="1114">
      <c r="A1114" s="3" t="n">
        <v>46143</v>
      </c>
      <c r="B1114" t="n">
        <v>219795</v>
      </c>
      <c r="C1114" t="n">
        <v>856</v>
      </c>
      <c r="D1114" t="n">
        <v>8224</v>
      </c>
      <c r="E1114" t="n">
        <v>4750</v>
      </c>
      <c r="F1114">
        <f>IF(C1114="","",C1114*7/B1114)</f>
        <v/>
      </c>
    </row>
    <row r="1115">
      <c r="A1115" s="3" t="n">
        <v>46150</v>
      </c>
      <c r="B1115" t="n">
        <v>215711</v>
      </c>
      <c r="C1115" t="n">
        <v>1048</v>
      </c>
      <c r="D1115" t="n">
        <v>7645</v>
      </c>
      <c r="E1115" t="n">
        <v>5492</v>
      </c>
      <c r="F1115">
        <f>IF(C1115="","",C1115*7/B1115)</f>
        <v/>
      </c>
    </row>
    <row r="1116">
      <c r="A1116" s="3" t="n">
        <v>46157</v>
      </c>
      <c r="B1116" t="n">
        <v>214163</v>
      </c>
      <c r="C1116" t="n">
        <v>825</v>
      </c>
      <c r="D1116" t="n">
        <v>7492</v>
      </c>
      <c r="E1116" t="n">
        <v>5604</v>
      </c>
      <c r="F1116">
        <f>IF(C1116="","",C1116*7/B1116)</f>
        <v/>
      </c>
    </row>
    <row r="1117">
      <c r="A1117" s="3" t="n">
        <v>46164</v>
      </c>
      <c r="B1117" t="n">
        <v>211591</v>
      </c>
      <c r="C1117" t="n">
        <v>800</v>
      </c>
      <c r="D1117" t="n">
        <v>8083</v>
      </c>
      <c r="E1117" t="n">
        <v>4440</v>
      </c>
      <c r="F1117">
        <f>IF(C1117="","",C1117*7/B1117)</f>
        <v/>
      </c>
    </row>
    <row r="1118">
      <c r="A1118" s="3" t="n">
        <v>46171</v>
      </c>
      <c r="B1118" t="n">
        <v>214955</v>
      </c>
      <c r="C1118" t="n">
        <v>935</v>
      </c>
      <c r="D1118" t="n">
        <v>7726</v>
      </c>
      <c r="E1118" t="n">
        <v>5874</v>
      </c>
      <c r="F1118">
        <f>IF(C1118="","",C1118*7/B1118)</f>
        <v/>
      </c>
    </row>
    <row r="1119">
      <c r="A1119" s="3" t="n">
        <v>46178</v>
      </c>
      <c r="B1119" t="n">
        <v>215141</v>
      </c>
      <c r="C1119" t="n">
        <v>1143</v>
      </c>
      <c r="D1119" t="n">
        <v>7653</v>
      </c>
      <c r="E1119" t="n">
        <v>4840</v>
      </c>
      <c r="F1119">
        <f>IF(C1119="","",C1119*7/B1119)</f>
        <v/>
      </c>
    </row>
    <row r="1120">
      <c r="A1120" s="3" t="n">
        <v>46185</v>
      </c>
      <c r="B1120" t="n">
        <v>214235</v>
      </c>
      <c r="C1120" t="n">
        <v>989</v>
      </c>
      <c r="D1120" t="n">
        <v>7854</v>
      </c>
      <c r="E1120" t="n">
        <v>4327</v>
      </c>
      <c r="F1120">
        <f>IF(C1120="","",C1120*7/B1120)</f>
        <v/>
      </c>
    </row>
    <row r="1121">
      <c r="A1121" s="3" t="n">
        <v>46192</v>
      </c>
      <c r="B1121" t="n">
        <v>216299</v>
      </c>
      <c r="C1121" t="n">
        <v>762</v>
      </c>
      <c r="D1121" t="n">
        <v>7474</v>
      </c>
      <c r="E1121" t="n">
        <v>4669</v>
      </c>
      <c r="F1121">
        <f>IF(C1121="","",C1121*7/B1121)</f>
        <v/>
      </c>
    </row>
    <row r="1122">
      <c r="A1122" s="3" t="n">
        <v>46199</v>
      </c>
      <c r="B1122" t="n">
        <v>213966</v>
      </c>
      <c r="C1122" t="n">
        <v>1016</v>
      </c>
      <c r="D1122" t="n">
        <v>7254</v>
      </c>
      <c r="E1122" t="n">
        <v>4008</v>
      </c>
      <c r="F1122">
        <f>IF(C1122="","",C1122*7/B1122)</f>
        <v/>
      </c>
    </row>
    <row r="1123">
      <c r="A1123" s="3" t="n">
        <v>46206</v>
      </c>
      <c r="B1123" t="n">
        <v>212062</v>
      </c>
      <c r="C1123" t="n">
        <v>1026</v>
      </c>
      <c r="D1123" t="n">
        <v>8730</v>
      </c>
      <c r="E1123" t="n">
        <v>3262</v>
      </c>
      <c r="F1123">
        <f>IF(C1123="","",C1123*7/B1123)</f>
        <v/>
      </c>
    </row>
    <row r="1124">
      <c r="A1124" s="3" t="n">
        <v>46213</v>
      </c>
      <c r="B1124" t="n">
        <v>210529</v>
      </c>
      <c r="C1124" t="n">
        <v>967</v>
      </c>
      <c r="D1124" t="n">
        <v>6945</v>
      </c>
      <c r="E1124" t="n">
        <v>3721</v>
      </c>
      <c r="F1124">
        <f>IF(C1124="","",C1124*7/B1124)</f>
        <v/>
      </c>
    </row>
    <row r="1125">
      <c r="A1125" s="3" t="n">
        <v>46220</v>
      </c>
      <c r="B1125" t="n">
        <v>211294</v>
      </c>
      <c r="C1125" t="n">
        <v>807</v>
      </c>
      <c r="D1125" t="n">
        <v>6934</v>
      </c>
      <c r="E1125" t="n">
        <v>3353</v>
      </c>
      <c r="F1125">
        <f>IF(C1125="","",C1125*7/B1125)</f>
        <v/>
      </c>
    </row>
    <row r="1126">
      <c r="A1126" s="3" t="n">
        <v>46227</v>
      </c>
      <c r="B1126" t="n">
        <v>211301</v>
      </c>
      <c r="C1126" t="n">
        <v>890</v>
      </c>
      <c r="D1126" t="n">
        <v>8063</v>
      </c>
      <c r="E1126" t="n">
        <v>3467</v>
      </c>
      <c r="F1126">
        <f>IF(C1126="","",C1126*7/B1126)</f>
        <v/>
      </c>
    </row>
    <row r="1127">
      <c r="A1127" s="3" t="n">
        <v>46234</v>
      </c>
      <c r="B1127" t="n">
        <v>209658</v>
      </c>
      <c r="C1127" t="n">
        <v>807</v>
      </c>
      <c r="D1127" t="n">
        <v>7877</v>
      </c>
      <c r="E1127" t="n">
        <v>3685</v>
      </c>
      <c r="F1127">
        <f>IF(C1127="","",C1127*7/B1127)</f>
        <v/>
      </c>
    </row>
    <row r="1128">
      <c r="A1128" s="3" t="n">
        <v>46241</v>
      </c>
      <c r="B1128" t="n">
        <v>208690</v>
      </c>
      <c r="C1128" t="n">
        <v>852</v>
      </c>
      <c r="D1128" t="n">
        <v>8669</v>
      </c>
      <c r="E1128" t="n">
        <v>3058</v>
      </c>
      <c r="F1128">
        <f>IF(C1128="","",C1128*7/B1128)</f>
        <v/>
      </c>
    </row>
    <row r="1129">
      <c r="A1129" s="3" t="n">
        <v>46248</v>
      </c>
      <c r="B1129" t="n">
        <v>209378</v>
      </c>
      <c r="C1129" t="n">
        <v>852</v>
      </c>
      <c r="D1129" t="n">
        <v>8276</v>
      </c>
      <c r="E1129" t="n">
        <v>4066</v>
      </c>
      <c r="F1129">
        <f>IF(C1129="","",C1129*7/B1129)</f>
        <v/>
      </c>
    </row>
    <row r="1130">
      <c r="A1130" s="3" t="n">
        <v>46255</v>
      </c>
      <c r="B1130" t="n">
        <v>206842</v>
      </c>
      <c r="C1130" t="n">
        <v>890</v>
      </c>
      <c r="D1130" t="n">
        <v>7795</v>
      </c>
      <c r="E1130" t="n">
        <v>3792</v>
      </c>
      <c r="F1130">
        <f>IF(C1130="","",C1130*7/B1130)</f>
        <v/>
      </c>
    </row>
    <row r="1131">
      <c r="A1131" s="3" t="n">
        <v>46262</v>
      </c>
      <c r="B1131" t="n">
        <v>205669</v>
      </c>
      <c r="C1131" t="n">
        <v>934</v>
      </c>
      <c r="D1131" t="n">
        <v>7413</v>
      </c>
      <c r="E1131" t="n">
        <v>4483</v>
      </c>
      <c r="F1131">
        <f>IF(C1131="","",C1131*7/B1131)</f>
        <v/>
      </c>
    </row>
    <row r="1132">
      <c r="A1132" s="3" t="n">
        <v>46269</v>
      </c>
      <c r="B1132" t="n">
        <v>206938</v>
      </c>
      <c r="C1132" t="n">
        <v>872</v>
      </c>
      <c r="D1132" t="n">
        <v>8451</v>
      </c>
      <c r="E1132" t="n">
        <v>3417</v>
      </c>
      <c r="F1132">
        <f>IF(C1132="","",C1132*7/B1132)</f>
        <v/>
      </c>
    </row>
    <row r="1133">
      <c r="A1133" s="3" t="n">
        <v>46276</v>
      </c>
      <c r="B1133" t="n">
        <v>207732</v>
      </c>
      <c r="C1133" t="n">
        <v>955</v>
      </c>
      <c r="D1133" t="n">
        <v>7561</v>
      </c>
      <c r="E1133" t="n">
        <v>4831</v>
      </c>
      <c r="F1133">
        <f>IF(C1133="","",C1133*7/B1133)</f>
        <v/>
      </c>
    </row>
    <row r="1134">
      <c r="A1134" s="3" t="n">
        <v>46283</v>
      </c>
      <c r="B1134" t="n">
        <v>206046</v>
      </c>
      <c r="C1134" t="n">
        <v>838</v>
      </c>
      <c r="D1134" t="n">
        <v>7872</v>
      </c>
      <c r="E1134" t="n">
        <v>3281</v>
      </c>
      <c r="F1134">
        <f>IF(C1134="","",C1134*7/B1134)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2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0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CFTC Commitments of Traders, Disaggregated Futures-Only (history files). 067651 = NYMEX WTI light sweet crude; 111659 = NYMEX RBOB gasoline. Disaggregated data begin Jun 13, 2006, so early 2008 is covered but not 2005-06.</t>
        </is>
      </c>
      <c r="K1" s="6" t="inlineStr">
        <is>
          <t>Summary by year (formulas over the rows at left; new weeks appended by update.py are included)</t>
        </is>
      </c>
    </row>
    <row r="2" ht="60" customHeight="1">
      <c r="A2" s="1" t="inlineStr">
        <is>
          <t>Report date (Tue)</t>
        </is>
      </c>
      <c r="B2" s="1" t="inlineStr">
        <is>
          <t>CFTC contract code</t>
        </is>
      </c>
      <c r="C2" s="1" t="inlineStr">
        <is>
          <t>Market (CFTC name)</t>
        </is>
      </c>
      <c r="D2" s="1" t="inlineStr">
        <is>
          <t>Open interest, contracts</t>
        </is>
      </c>
      <c r="E2" s="1" t="inlineStr">
        <is>
          <t>Managed money long</t>
        </is>
      </c>
      <c r="F2" s="1" t="inlineStr">
        <is>
          <t>Managed money short</t>
        </is>
      </c>
      <c r="G2" s="1" t="inlineStr">
        <is>
          <t>Managed money spreading</t>
        </is>
      </c>
      <c r="H2" s="2" t="inlineStr">
        <is>
          <t>Managed money NET long [formula]</t>
        </is>
      </c>
      <c r="I2" s="2" t="inlineStr">
        <is>
          <t>Net long, % of open interest [formula]</t>
        </is>
      </c>
      <c r="K2" s="6" t="inlineStr">
        <is>
          <t>Year</t>
        </is>
      </c>
      <c r="L2" s="6" t="inlineStr">
        <is>
          <t>Contract</t>
        </is>
      </c>
      <c r="M2" s="6" t="inlineStr">
        <is>
          <t>Peak managed-money net long [formula]</t>
        </is>
      </c>
      <c r="N2" s="6" t="inlineStr">
        <is>
          <t>Average net long [formula]</t>
        </is>
      </c>
      <c r="O2" s="6" t="inlineStr">
        <is>
          <t>Average open interest [formula]</t>
        </is>
      </c>
    </row>
    <row r="3">
      <c r="A3" s="3" t="n">
        <v>38881</v>
      </c>
      <c r="B3" t="inlineStr">
        <is>
          <t>067651</t>
        </is>
      </c>
      <c r="C3" t="inlineStr">
        <is>
          <t>CRUDE OIL, LIGHT SWEET - NEW YORK MERCANTILE EXCHANGE</t>
        </is>
      </c>
      <c r="D3" t="n">
        <v>1044276</v>
      </c>
      <c r="E3" t="n">
        <v>105155</v>
      </c>
      <c r="F3" t="n">
        <v>95457</v>
      </c>
      <c r="G3" t="n">
        <v>123283</v>
      </c>
      <c r="H3">
        <f>E3-F3</f>
        <v/>
      </c>
      <c r="I3">
        <f>(E3-F3)/D3</f>
        <v/>
      </c>
      <c r="K3" t="n">
        <v>2008</v>
      </c>
      <c r="L3" t="inlineStr">
        <is>
          <t>067651</t>
        </is>
      </c>
      <c r="M3">
        <f>_xlfn.MAXIFS($H$3:$H$20000,$B$3:$B$20000,"067651",$A$3:$A$20000,"&gt;="&amp;DATE(2008,1,1),$A$3:$A$20000,"&lt;="&amp;DATE(2008,12,31))</f>
        <v/>
      </c>
      <c r="N3">
        <f>AVERAGEIFS($H$3:$H$20000,$B$3:$B$20000,"067651",$A$3:$A$20000,"&gt;="&amp;DATE(2008,1,1),$A$3:$A$20000,"&lt;="&amp;DATE(2008,12,31))</f>
        <v/>
      </c>
      <c r="O3">
        <f>AVERAGEIFS($D$3:$D$20000,$B$3:$B$20000,"067651",$A$3:$A$20000,"&gt;="&amp;DATE(2008,1,1),$A$3:$A$20000,"&lt;="&amp;DATE(2008,12,31))</f>
        <v/>
      </c>
    </row>
    <row r="4">
      <c r="A4" s="3" t="n">
        <v>38888</v>
      </c>
      <c r="B4" t="inlineStr">
        <is>
          <t>067651</t>
        </is>
      </c>
      <c r="C4" t="inlineStr">
        <is>
          <t>CRUDE OIL, LIGHT SWEET - NEW YORK MERCANTILE EXCHANGE</t>
        </is>
      </c>
      <c r="D4" t="n">
        <v>968619</v>
      </c>
      <c r="E4" t="n">
        <v>100497</v>
      </c>
      <c r="F4" t="n">
        <v>97984</v>
      </c>
      <c r="G4" t="n">
        <v>110135</v>
      </c>
      <c r="H4">
        <f>E4-F4</f>
        <v/>
      </c>
      <c r="I4">
        <f>(E4-F4)/D4</f>
        <v/>
      </c>
      <c r="K4" t="n">
        <v>2022</v>
      </c>
      <c r="L4" t="inlineStr">
        <is>
          <t>067651</t>
        </is>
      </c>
      <c r="M4">
        <f>_xlfn.MAXIFS($H$3:$H$20000,$B$3:$B$20000,"067651",$A$3:$A$20000,"&gt;="&amp;DATE(2022,1,1),$A$3:$A$20000,"&lt;="&amp;DATE(2022,12,31))</f>
        <v/>
      </c>
      <c r="N4">
        <f>AVERAGEIFS($H$3:$H$20000,$B$3:$B$20000,"067651",$A$3:$A$20000,"&gt;="&amp;DATE(2022,1,1),$A$3:$A$20000,"&lt;="&amp;DATE(2022,12,31))</f>
        <v/>
      </c>
      <c r="O4">
        <f>AVERAGEIFS($D$3:$D$20000,$B$3:$B$20000,"067651",$A$3:$A$20000,"&gt;="&amp;DATE(2022,1,1),$A$3:$A$20000,"&lt;="&amp;DATE(2022,12,31))</f>
        <v/>
      </c>
    </row>
    <row r="5">
      <c r="A5" s="3" t="n">
        <v>38895</v>
      </c>
      <c r="B5" t="inlineStr">
        <is>
          <t>067651</t>
        </is>
      </c>
      <c r="C5" t="inlineStr">
        <is>
          <t>CRUDE OIL, LIGHT SWEET - NEW YORK MERCANTILE EXCHANGE</t>
        </is>
      </c>
      <c r="D5" t="n">
        <v>991500</v>
      </c>
      <c r="E5" t="n">
        <v>107394</v>
      </c>
      <c r="F5" t="n">
        <v>80861</v>
      </c>
      <c r="G5" t="n">
        <v>116499</v>
      </c>
      <c r="H5">
        <f>E5-F5</f>
        <v/>
      </c>
      <c r="I5">
        <f>(E5-F5)/D5</f>
        <v/>
      </c>
      <c r="K5" t="n">
        <v>2026</v>
      </c>
      <c r="L5" t="inlineStr">
        <is>
          <t>067651</t>
        </is>
      </c>
      <c r="M5">
        <f>_xlfn.MAXIFS($H$3:$H$20000,$B$3:$B$20000,"067651",$A$3:$A$20000,"&gt;="&amp;DATE(2026,1,1),$A$3:$A$20000,"&lt;="&amp;DATE(2026,12,31))</f>
        <v/>
      </c>
      <c r="N5">
        <f>AVERAGEIFS($H$3:$H$20000,$B$3:$B$20000,"067651",$A$3:$A$20000,"&gt;="&amp;DATE(2026,1,1),$A$3:$A$20000,"&lt;="&amp;DATE(2026,12,31))</f>
        <v/>
      </c>
      <c r="O5">
        <f>AVERAGEIFS($D$3:$D$20000,$B$3:$B$20000,"067651",$A$3:$A$20000,"&gt;="&amp;DATE(2026,1,1),$A$3:$A$20000,"&lt;="&amp;DATE(2026,12,31))</f>
        <v/>
      </c>
    </row>
    <row r="6">
      <c r="A6" s="3" t="n">
        <v>38901</v>
      </c>
      <c r="B6" t="inlineStr">
        <is>
          <t>067651</t>
        </is>
      </c>
      <c r="C6" t="inlineStr">
        <is>
          <t>CRUDE OIL, LIGHT SWEET - NEW YORK MERCANTILE EXCHANGE</t>
        </is>
      </c>
      <c r="D6" t="n">
        <v>1013523</v>
      </c>
      <c r="E6" t="n">
        <v>118948</v>
      </c>
      <c r="F6" t="n">
        <v>71219</v>
      </c>
      <c r="G6" t="n">
        <v>119178</v>
      </c>
      <c r="H6">
        <f>E6-F6</f>
        <v/>
      </c>
      <c r="I6">
        <f>(E6-F6)/D6</f>
        <v/>
      </c>
      <c r="K6" t="n">
        <v>2008</v>
      </c>
      <c r="L6" t="inlineStr">
        <is>
          <t>111659</t>
        </is>
      </c>
      <c r="M6">
        <f>_xlfn.MAXIFS($H$3:$H$20000,$B$3:$B$20000,"111659",$A$3:$A$20000,"&gt;="&amp;DATE(2008,1,1),$A$3:$A$20000,"&lt;="&amp;DATE(2008,12,31))</f>
        <v/>
      </c>
      <c r="N6">
        <f>AVERAGEIFS($H$3:$H$20000,$B$3:$B$20000,"111659",$A$3:$A$20000,"&gt;="&amp;DATE(2008,1,1),$A$3:$A$20000,"&lt;="&amp;DATE(2008,12,31))</f>
        <v/>
      </c>
      <c r="O6">
        <f>AVERAGEIFS($D$3:$D$20000,$B$3:$B$20000,"111659",$A$3:$A$20000,"&gt;="&amp;DATE(2008,1,1),$A$3:$A$20000,"&lt;="&amp;DATE(2008,12,31))</f>
        <v/>
      </c>
    </row>
    <row r="7">
      <c r="A7" s="3" t="n">
        <v>38909</v>
      </c>
      <c r="B7" t="inlineStr">
        <is>
          <t>067651</t>
        </is>
      </c>
      <c r="C7" t="inlineStr">
        <is>
          <t>CRUDE OIL, LIGHT SWEET - NEW YORK MERCANTILE EXCHANGE</t>
        </is>
      </c>
      <c r="D7" t="n">
        <v>1061431</v>
      </c>
      <c r="E7" t="n">
        <v>127367</v>
      </c>
      <c r="F7" t="n">
        <v>76723</v>
      </c>
      <c r="G7" t="n">
        <v>127381</v>
      </c>
      <c r="H7">
        <f>E7-F7</f>
        <v/>
      </c>
      <c r="I7">
        <f>(E7-F7)/D7</f>
        <v/>
      </c>
      <c r="K7" t="n">
        <v>2022</v>
      </c>
      <c r="L7" t="inlineStr">
        <is>
          <t>111659</t>
        </is>
      </c>
      <c r="M7">
        <f>_xlfn.MAXIFS($H$3:$H$20000,$B$3:$B$20000,"111659",$A$3:$A$20000,"&gt;="&amp;DATE(2022,1,1),$A$3:$A$20000,"&lt;="&amp;DATE(2022,12,31))</f>
        <v/>
      </c>
      <c r="N7">
        <f>AVERAGEIFS($H$3:$H$20000,$B$3:$B$20000,"111659",$A$3:$A$20000,"&gt;="&amp;DATE(2022,1,1),$A$3:$A$20000,"&lt;="&amp;DATE(2022,12,31))</f>
        <v/>
      </c>
      <c r="O7">
        <f>AVERAGEIFS($D$3:$D$20000,$B$3:$B$20000,"111659",$A$3:$A$20000,"&gt;="&amp;DATE(2022,1,1),$A$3:$A$20000,"&lt;="&amp;DATE(2022,12,31))</f>
        <v/>
      </c>
    </row>
    <row r="8">
      <c r="A8" s="3" t="n">
        <v>38916</v>
      </c>
      <c r="B8" t="inlineStr">
        <is>
          <t>067651</t>
        </is>
      </c>
      <c r="C8" t="inlineStr">
        <is>
          <t>CRUDE OIL, LIGHT SWEET - NEW YORK MERCANTILE EXCHANGE</t>
        </is>
      </c>
      <c r="D8" t="n">
        <v>1086762</v>
      </c>
      <c r="E8" t="n">
        <v>134171</v>
      </c>
      <c r="F8" t="n">
        <v>80651</v>
      </c>
      <c r="G8" t="n">
        <v>135947</v>
      </c>
      <c r="H8">
        <f>E8-F8</f>
        <v/>
      </c>
      <c r="I8">
        <f>(E8-F8)/D8</f>
        <v/>
      </c>
      <c r="K8" t="n">
        <v>2026</v>
      </c>
      <c r="L8" t="inlineStr">
        <is>
          <t>111659</t>
        </is>
      </c>
      <c r="M8">
        <f>_xlfn.MAXIFS($H$3:$H$20000,$B$3:$B$20000,"111659",$A$3:$A$20000,"&gt;="&amp;DATE(2026,1,1),$A$3:$A$20000,"&lt;="&amp;DATE(2026,12,31))</f>
        <v/>
      </c>
      <c r="N8">
        <f>AVERAGEIFS($H$3:$H$20000,$B$3:$B$20000,"111659",$A$3:$A$20000,"&gt;="&amp;DATE(2026,1,1),$A$3:$A$20000,"&lt;="&amp;DATE(2026,12,31))</f>
        <v/>
      </c>
      <c r="O8">
        <f>AVERAGEIFS($D$3:$D$20000,$B$3:$B$20000,"111659",$A$3:$A$20000,"&gt;="&amp;DATE(2026,1,1),$A$3:$A$20000,"&lt;="&amp;DATE(2026,12,31))</f>
        <v/>
      </c>
    </row>
    <row r="9">
      <c r="A9" s="3" t="n">
        <v>38923</v>
      </c>
      <c r="B9" t="inlineStr">
        <is>
          <t>067651</t>
        </is>
      </c>
      <c r="C9" t="inlineStr">
        <is>
          <t>CRUDE OIL, LIGHT SWEET - NEW YORK MERCANTILE EXCHANGE</t>
        </is>
      </c>
      <c r="D9" t="n">
        <v>1051351</v>
      </c>
      <c r="E9" t="n">
        <v>118836</v>
      </c>
      <c r="F9" t="n">
        <v>82395</v>
      </c>
      <c r="G9" t="n">
        <v>134877</v>
      </c>
      <c r="H9">
        <f>E9-F9</f>
        <v/>
      </c>
      <c r="I9">
        <f>(E9-F9)/D9</f>
        <v/>
      </c>
    </row>
    <row r="10">
      <c r="A10" s="3" t="n">
        <v>38930</v>
      </c>
      <c r="B10" t="inlineStr">
        <is>
          <t>067651</t>
        </is>
      </c>
      <c r="C10" t="inlineStr">
        <is>
          <t>CRUDE OIL, LIGHT SWEET - NEW YORK MERCANTILE EXCHANGE</t>
        </is>
      </c>
      <c r="D10" t="n">
        <v>1109838</v>
      </c>
      <c r="E10" t="n">
        <v>125393</v>
      </c>
      <c r="F10" t="n">
        <v>79786</v>
      </c>
      <c r="G10" t="n">
        <v>142852</v>
      </c>
      <c r="H10">
        <f>E10-F10</f>
        <v/>
      </c>
      <c r="I10">
        <f>(E10-F10)/D10</f>
        <v/>
      </c>
    </row>
    <row r="11">
      <c r="A11" s="3" t="n">
        <v>38937</v>
      </c>
      <c r="B11" t="inlineStr">
        <is>
          <t>067651</t>
        </is>
      </c>
      <c r="C11" t="inlineStr">
        <is>
          <t>CRUDE OIL, LIGHT SWEET - NEW YORK MERCANTILE EXCHANGE</t>
        </is>
      </c>
      <c r="D11" t="n">
        <v>1164949</v>
      </c>
      <c r="E11" t="n">
        <v>133896</v>
      </c>
      <c r="F11" t="n">
        <v>78891</v>
      </c>
      <c r="G11" t="n">
        <v>145059</v>
      </c>
      <c r="H11">
        <f>E11-F11</f>
        <v/>
      </c>
      <c r="I11">
        <f>(E11-F11)/D11</f>
        <v/>
      </c>
    </row>
    <row r="12">
      <c r="A12" s="3" t="n">
        <v>38944</v>
      </c>
      <c r="B12" t="inlineStr">
        <is>
          <t>067651</t>
        </is>
      </c>
      <c r="C12" t="inlineStr">
        <is>
          <t>CRUDE OIL, LIGHT SWEET - NEW YORK MERCANTILE EXCHANGE</t>
        </is>
      </c>
      <c r="D12" t="n">
        <v>1209950</v>
      </c>
      <c r="E12" t="n">
        <v>119283</v>
      </c>
      <c r="F12" t="n">
        <v>80161</v>
      </c>
      <c r="G12" t="n">
        <v>145442</v>
      </c>
      <c r="H12">
        <f>E12-F12</f>
        <v/>
      </c>
      <c r="I12">
        <f>(E12-F12)/D12</f>
        <v/>
      </c>
    </row>
    <row r="13">
      <c r="A13" s="3" t="n">
        <v>38951</v>
      </c>
      <c r="B13" t="inlineStr">
        <is>
          <t>067651</t>
        </is>
      </c>
      <c r="C13" t="inlineStr">
        <is>
          <t>CRUDE OIL, LIGHT SWEET - NEW YORK MERCANTILE EXCHANGE</t>
        </is>
      </c>
      <c r="D13" t="n">
        <v>1122955</v>
      </c>
      <c r="E13" t="n">
        <v>109188</v>
      </c>
      <c r="F13" t="n">
        <v>85720</v>
      </c>
      <c r="G13" t="n">
        <v>139988</v>
      </c>
      <c r="H13">
        <f>E13-F13</f>
        <v/>
      </c>
      <c r="I13">
        <f>(E13-F13)/D13</f>
        <v/>
      </c>
    </row>
    <row r="14">
      <c r="A14" s="3" t="n">
        <v>38958</v>
      </c>
      <c r="B14" t="inlineStr">
        <is>
          <t>067651</t>
        </is>
      </c>
      <c r="C14" t="inlineStr">
        <is>
          <t>CRUDE OIL, LIGHT SWEET - NEW YORK MERCANTILE EXCHANGE</t>
        </is>
      </c>
      <c r="D14" t="n">
        <v>1149670</v>
      </c>
      <c r="E14" t="n">
        <v>107989</v>
      </c>
      <c r="F14" t="n">
        <v>84672</v>
      </c>
      <c r="G14" t="n">
        <v>133184</v>
      </c>
      <c r="H14">
        <f>E14-F14</f>
        <v/>
      </c>
      <c r="I14">
        <f>(E14-F14)/D14</f>
        <v/>
      </c>
    </row>
    <row r="15">
      <c r="A15" s="3" t="n">
        <v>38965</v>
      </c>
      <c r="B15" t="inlineStr">
        <is>
          <t>067651</t>
        </is>
      </c>
      <c r="C15" t="inlineStr">
        <is>
          <t>CRUDE OIL, LIGHT SWEET - NEW YORK MERCANTILE EXCHANGE</t>
        </is>
      </c>
      <c r="D15" t="n">
        <v>1170266</v>
      </c>
      <c r="E15" t="n">
        <v>107171</v>
      </c>
      <c r="F15" t="n">
        <v>93174</v>
      </c>
      <c r="G15" t="n">
        <v>128590</v>
      </c>
      <c r="H15">
        <f>E15-F15</f>
        <v/>
      </c>
      <c r="I15">
        <f>(E15-F15)/D15</f>
        <v/>
      </c>
    </row>
    <row r="16">
      <c r="A16" s="3" t="n">
        <v>38972</v>
      </c>
      <c r="B16" t="inlineStr">
        <is>
          <t>067651</t>
        </is>
      </c>
      <c r="C16" t="inlineStr">
        <is>
          <t>CRUDE OIL, LIGHT SWEET - NEW YORK MERCANTILE EXCHANGE</t>
        </is>
      </c>
      <c r="D16" t="n">
        <v>1213940</v>
      </c>
      <c r="E16" t="n">
        <v>109168</v>
      </c>
      <c r="F16" t="n">
        <v>96623</v>
      </c>
      <c r="G16" t="n">
        <v>132708</v>
      </c>
      <c r="H16">
        <f>E16-F16</f>
        <v/>
      </c>
      <c r="I16">
        <f>(E16-F16)/D16</f>
        <v/>
      </c>
    </row>
    <row r="17">
      <c r="A17" s="3" t="n">
        <v>38979</v>
      </c>
      <c r="B17" t="inlineStr">
        <is>
          <t>067651</t>
        </is>
      </c>
      <c r="C17" t="inlineStr">
        <is>
          <t>CRUDE OIL, LIGHT SWEET - NEW YORK MERCANTILE EXCHANGE</t>
        </is>
      </c>
      <c r="D17" t="n">
        <v>1177409</v>
      </c>
      <c r="E17" t="n">
        <v>101402</v>
      </c>
      <c r="F17" t="n">
        <v>91464</v>
      </c>
      <c r="G17" t="n">
        <v>131431</v>
      </c>
      <c r="H17">
        <f>E17-F17</f>
        <v/>
      </c>
      <c r="I17">
        <f>(E17-F17)/D17</f>
        <v/>
      </c>
    </row>
    <row r="18">
      <c r="A18" s="3" t="n">
        <v>38986</v>
      </c>
      <c r="B18" t="inlineStr">
        <is>
          <t>067651</t>
        </is>
      </c>
      <c r="C18" t="inlineStr">
        <is>
          <t>CRUDE OIL, LIGHT SWEET - NEW YORK MERCANTILE EXCHANGE</t>
        </is>
      </c>
      <c r="D18" t="n">
        <v>1148838</v>
      </c>
      <c r="E18" t="n">
        <v>106147</v>
      </c>
      <c r="F18" t="n">
        <v>90629</v>
      </c>
      <c r="G18" t="n">
        <v>124611</v>
      </c>
      <c r="H18">
        <f>E18-F18</f>
        <v/>
      </c>
      <c r="I18">
        <f>(E18-F18)/D18</f>
        <v/>
      </c>
    </row>
    <row r="19">
      <c r="A19" s="3" t="n">
        <v>38993</v>
      </c>
      <c r="B19" t="inlineStr">
        <is>
          <t>067651</t>
        </is>
      </c>
      <c r="C19" t="inlineStr">
        <is>
          <t>CRUDE OIL, LIGHT SWEET - NEW YORK MERCANTILE EXCHANGE</t>
        </is>
      </c>
      <c r="D19" t="n">
        <v>1173630</v>
      </c>
      <c r="E19" t="n">
        <v>98957</v>
      </c>
      <c r="F19" t="n">
        <v>99252</v>
      </c>
      <c r="G19" t="n">
        <v>132589</v>
      </c>
      <c r="H19">
        <f>E19-F19</f>
        <v/>
      </c>
      <c r="I19">
        <f>(E19-F19)/D19</f>
        <v/>
      </c>
    </row>
    <row r="20">
      <c r="A20" s="3" t="n">
        <v>39000</v>
      </c>
      <c r="B20" t="inlineStr">
        <is>
          <t>067651</t>
        </is>
      </c>
      <c r="C20" t="inlineStr">
        <is>
          <t>CRUDE OIL, LIGHT SWEET - NEW YORK MERCANTILE EXCHANGE</t>
        </is>
      </c>
      <c r="D20" t="n">
        <v>1193421</v>
      </c>
      <c r="E20" t="n">
        <v>101231</v>
      </c>
      <c r="F20" t="n">
        <v>96164</v>
      </c>
      <c r="G20" t="n">
        <v>132201</v>
      </c>
      <c r="H20">
        <f>E20-F20</f>
        <v/>
      </c>
      <c r="I20">
        <f>(E20-F20)/D20</f>
        <v/>
      </c>
    </row>
    <row r="21">
      <c r="A21" s="3" t="n">
        <v>39007</v>
      </c>
      <c r="B21" t="inlineStr">
        <is>
          <t>067651</t>
        </is>
      </c>
      <c r="C21" t="inlineStr">
        <is>
          <t>CRUDE OIL, LIGHT SWEET - NEW YORK MERCANTILE EXCHANGE</t>
        </is>
      </c>
      <c r="D21" t="n">
        <v>1186170</v>
      </c>
      <c r="E21" t="n">
        <v>101000</v>
      </c>
      <c r="F21" t="n">
        <v>93898</v>
      </c>
      <c r="G21" t="n">
        <v>127485</v>
      </c>
      <c r="H21">
        <f>E21-F21</f>
        <v/>
      </c>
      <c r="I21">
        <f>(E21-F21)/D21</f>
        <v/>
      </c>
    </row>
    <row r="22">
      <c r="A22" s="3" t="n">
        <v>39014</v>
      </c>
      <c r="B22" t="inlineStr">
        <is>
          <t>067651</t>
        </is>
      </c>
      <c r="C22" t="inlineStr">
        <is>
          <t>CRUDE OIL, LIGHT SWEET - NEW YORK MERCANTILE EXCHANGE</t>
        </is>
      </c>
      <c r="D22" t="n">
        <v>1133789</v>
      </c>
      <c r="E22" t="n">
        <v>94419</v>
      </c>
      <c r="F22" t="n">
        <v>88162</v>
      </c>
      <c r="G22" t="n">
        <v>109978</v>
      </c>
      <c r="H22">
        <f>E22-F22</f>
        <v/>
      </c>
      <c r="I22">
        <f>(E22-F22)/D22</f>
        <v/>
      </c>
    </row>
    <row r="23">
      <c r="A23" s="3" t="n">
        <v>39021</v>
      </c>
      <c r="B23" t="inlineStr">
        <is>
          <t>067651</t>
        </is>
      </c>
      <c r="C23" t="inlineStr">
        <is>
          <t>CRUDE OIL, LIGHT SWEET - NEW YORK MERCANTILE EXCHANGE</t>
        </is>
      </c>
      <c r="D23" t="n">
        <v>1158612</v>
      </c>
      <c r="E23" t="n">
        <v>107487</v>
      </c>
      <c r="F23" t="n">
        <v>99451</v>
      </c>
      <c r="G23" t="n">
        <v>114076</v>
      </c>
      <c r="H23">
        <f>E23-F23</f>
        <v/>
      </c>
      <c r="I23">
        <f>(E23-F23)/D23</f>
        <v/>
      </c>
    </row>
    <row r="24">
      <c r="A24" s="3" t="n">
        <v>39028</v>
      </c>
      <c r="B24" t="inlineStr">
        <is>
          <t>067651</t>
        </is>
      </c>
      <c r="C24" t="inlineStr">
        <is>
          <t>CRUDE OIL, LIGHT SWEET - NEW YORK MERCANTILE EXCHANGE</t>
        </is>
      </c>
      <c r="D24" t="n">
        <v>1160833</v>
      </c>
      <c r="E24" t="n">
        <v>111960</v>
      </c>
      <c r="F24" t="n">
        <v>86958</v>
      </c>
      <c r="G24" t="n">
        <v>116188</v>
      </c>
      <c r="H24">
        <f>E24-F24</f>
        <v/>
      </c>
      <c r="I24">
        <f>(E24-F24)/D24</f>
        <v/>
      </c>
    </row>
    <row r="25">
      <c r="A25" s="3" t="n">
        <v>39035</v>
      </c>
      <c r="B25" t="inlineStr">
        <is>
          <t>067651</t>
        </is>
      </c>
      <c r="C25" t="inlineStr">
        <is>
          <t>CRUDE OIL, LIGHT SWEET - NEW YORK MERCANTILE EXCHANGE</t>
        </is>
      </c>
      <c r="D25" t="n">
        <v>1220474</v>
      </c>
      <c r="E25" t="n">
        <v>105494</v>
      </c>
      <c r="F25" t="n">
        <v>85813</v>
      </c>
      <c r="G25" t="n">
        <v>127591</v>
      </c>
      <c r="H25">
        <f>E25-F25</f>
        <v/>
      </c>
      <c r="I25">
        <f>(E25-F25)/D25</f>
        <v/>
      </c>
    </row>
    <row r="26">
      <c r="A26" s="3" t="n">
        <v>39042</v>
      </c>
      <c r="B26" t="inlineStr">
        <is>
          <t>067651</t>
        </is>
      </c>
      <c r="C26" t="inlineStr">
        <is>
          <t>CRUDE OIL, LIGHT SWEET - NEW YORK MERCANTILE EXCHANGE</t>
        </is>
      </c>
      <c r="D26" t="n">
        <v>1152869</v>
      </c>
      <c r="E26" t="n">
        <v>102539</v>
      </c>
      <c r="F26" t="n">
        <v>85249</v>
      </c>
      <c r="G26" t="n">
        <v>117841</v>
      </c>
      <c r="H26">
        <f>E26-F26</f>
        <v/>
      </c>
      <c r="I26">
        <f>(E26-F26)/D26</f>
        <v/>
      </c>
    </row>
    <row r="27">
      <c r="A27" s="3" t="n">
        <v>39049</v>
      </c>
      <c r="B27" t="inlineStr">
        <is>
          <t>067651</t>
        </is>
      </c>
      <c r="C27" t="inlineStr">
        <is>
          <t>CRUDE OIL, LIGHT SWEET - NEW YORK MERCANTILE EXCHANGE</t>
        </is>
      </c>
      <c r="D27" t="n">
        <v>1172455</v>
      </c>
      <c r="E27" t="n">
        <v>103028</v>
      </c>
      <c r="F27" t="n">
        <v>83226</v>
      </c>
      <c r="G27" t="n">
        <v>117206</v>
      </c>
      <c r="H27">
        <f>E27-F27</f>
        <v/>
      </c>
      <c r="I27">
        <f>(E27-F27)/D27</f>
        <v/>
      </c>
    </row>
    <row r="28">
      <c r="A28" s="3" t="n">
        <v>39056</v>
      </c>
      <c r="B28" t="inlineStr">
        <is>
          <t>067651</t>
        </is>
      </c>
      <c r="C28" t="inlineStr">
        <is>
          <t>CRUDE OIL, LIGHT SWEET - NEW YORK MERCANTILE EXCHANGE</t>
        </is>
      </c>
      <c r="D28" t="n">
        <v>1218680</v>
      </c>
      <c r="E28" t="n">
        <v>106784</v>
      </c>
      <c r="F28" t="n">
        <v>66353</v>
      </c>
      <c r="G28" t="n">
        <v>131342</v>
      </c>
      <c r="H28">
        <f>E28-F28</f>
        <v/>
      </c>
      <c r="I28">
        <f>(E28-F28)/D28</f>
        <v/>
      </c>
    </row>
    <row r="29">
      <c r="A29" s="3" t="n">
        <v>39063</v>
      </c>
      <c r="B29" t="inlineStr">
        <is>
          <t>067651</t>
        </is>
      </c>
      <c r="C29" t="inlineStr">
        <is>
          <t>CRUDE OIL, LIGHT SWEET - NEW YORK MERCANTILE EXCHANGE</t>
        </is>
      </c>
      <c r="D29" t="n">
        <v>1222508</v>
      </c>
      <c r="E29" t="n">
        <v>112439</v>
      </c>
      <c r="F29" t="n">
        <v>73305</v>
      </c>
      <c r="G29" t="n">
        <v>127521</v>
      </c>
      <c r="H29">
        <f>E29-F29</f>
        <v/>
      </c>
      <c r="I29">
        <f>(E29-F29)/D29</f>
        <v/>
      </c>
    </row>
    <row r="30">
      <c r="A30" s="3" t="n">
        <v>39070</v>
      </c>
      <c r="B30" t="inlineStr">
        <is>
          <t>067651</t>
        </is>
      </c>
      <c r="C30" t="inlineStr">
        <is>
          <t>CRUDE OIL, LIGHT SWEET - NEW YORK MERCANTILE EXCHANGE</t>
        </is>
      </c>
      <c r="D30" t="n">
        <v>1161945</v>
      </c>
      <c r="E30" t="n">
        <v>105127</v>
      </c>
      <c r="F30" t="n">
        <v>68947</v>
      </c>
      <c r="G30" t="n">
        <v>120828</v>
      </c>
      <c r="H30">
        <f>E30-F30</f>
        <v/>
      </c>
      <c r="I30">
        <f>(E30-F30)/D30</f>
        <v/>
      </c>
    </row>
    <row r="31">
      <c r="A31" s="3" t="n">
        <v>39077</v>
      </c>
      <c r="B31" t="inlineStr">
        <is>
          <t>067651</t>
        </is>
      </c>
      <c r="C31" t="inlineStr">
        <is>
          <t>CRUDE OIL, LIGHT SWEET - NEW YORK MERCANTILE EXCHANGE</t>
        </is>
      </c>
      <c r="D31" t="n">
        <v>1179893</v>
      </c>
      <c r="E31" t="n">
        <v>105470</v>
      </c>
      <c r="F31" t="n">
        <v>80618</v>
      </c>
      <c r="G31" t="n">
        <v>124636</v>
      </c>
      <c r="H31">
        <f>E31-F31</f>
        <v/>
      </c>
      <c r="I31">
        <f>(E31-F31)/D31</f>
        <v/>
      </c>
    </row>
    <row r="32">
      <c r="A32" s="3" t="n">
        <v>39085</v>
      </c>
      <c r="B32" t="inlineStr">
        <is>
          <t>067651</t>
        </is>
      </c>
      <c r="C32" t="inlineStr">
        <is>
          <t>CRUDE OIL, LIGHT SWEET - NEW YORK MERCANTILE EXCHANGE</t>
        </is>
      </c>
      <c r="D32" t="n">
        <v>1226641</v>
      </c>
      <c r="E32" t="n">
        <v>105373</v>
      </c>
      <c r="F32" t="n">
        <v>98329</v>
      </c>
      <c r="G32" t="n">
        <v>132214</v>
      </c>
      <c r="H32">
        <f>E32-F32</f>
        <v/>
      </c>
      <c r="I32">
        <f>(E32-F32)/D32</f>
        <v/>
      </c>
    </row>
    <row r="33">
      <c r="A33" s="3" t="n">
        <v>39091</v>
      </c>
      <c r="B33" t="inlineStr">
        <is>
          <t>067651</t>
        </is>
      </c>
      <c r="C33" t="inlineStr">
        <is>
          <t>CRUDE OIL, LIGHT SWEET - NEW YORK MERCANTILE EXCHANGE</t>
        </is>
      </c>
      <c r="D33" t="n">
        <v>1280292</v>
      </c>
      <c r="E33" t="n">
        <v>105799</v>
      </c>
      <c r="F33" t="n">
        <v>104284</v>
      </c>
      <c r="G33" t="n">
        <v>138936</v>
      </c>
      <c r="H33">
        <f>E33-F33</f>
        <v/>
      </c>
      <c r="I33">
        <f>(E33-F33)/D33</f>
        <v/>
      </c>
    </row>
    <row r="34">
      <c r="A34" s="3" t="n">
        <v>39098</v>
      </c>
      <c r="B34" t="inlineStr">
        <is>
          <t>067651</t>
        </is>
      </c>
      <c r="C34" t="inlineStr">
        <is>
          <t>CRUDE OIL, LIGHT SWEET - NEW YORK MERCANTILE EXCHANGE</t>
        </is>
      </c>
      <c r="D34" t="n">
        <v>1317380</v>
      </c>
      <c r="E34" t="n">
        <v>110308</v>
      </c>
      <c r="F34" t="n">
        <v>92458</v>
      </c>
      <c r="G34" t="n">
        <v>145620</v>
      </c>
      <c r="H34">
        <f>E34-F34</f>
        <v/>
      </c>
      <c r="I34">
        <f>(E34-F34)/D34</f>
        <v/>
      </c>
    </row>
    <row r="35">
      <c r="A35" s="3" t="n">
        <v>39105</v>
      </c>
      <c r="B35" t="inlineStr">
        <is>
          <t>067651</t>
        </is>
      </c>
      <c r="C35" t="inlineStr">
        <is>
          <t>CRUDE OIL, LIGHT SWEET - NEW YORK MERCANTILE EXCHANGE</t>
        </is>
      </c>
      <c r="D35" t="n">
        <v>1269598</v>
      </c>
      <c r="E35" t="n">
        <v>110511</v>
      </c>
      <c r="F35" t="n">
        <v>86753</v>
      </c>
      <c r="G35" t="n">
        <v>133446</v>
      </c>
      <c r="H35">
        <f>E35-F35</f>
        <v/>
      </c>
      <c r="I35">
        <f>(E35-F35)/D35</f>
        <v/>
      </c>
    </row>
    <row r="36">
      <c r="A36" s="3" t="n">
        <v>39112</v>
      </c>
      <c r="B36" t="inlineStr">
        <is>
          <t>067651</t>
        </is>
      </c>
      <c r="C36" t="inlineStr">
        <is>
          <t>CRUDE OIL, LIGHT SWEET - NEW YORK MERCANTILE EXCHANGE</t>
        </is>
      </c>
      <c r="D36" t="n">
        <v>1306996</v>
      </c>
      <c r="E36" t="n">
        <v>106884</v>
      </c>
      <c r="F36" t="n">
        <v>77162</v>
      </c>
      <c r="G36" t="n">
        <v>137659</v>
      </c>
      <c r="H36">
        <f>E36-F36</f>
        <v/>
      </c>
      <c r="I36">
        <f>(E36-F36)/D36</f>
        <v/>
      </c>
    </row>
    <row r="37">
      <c r="A37" s="3" t="n">
        <v>39119</v>
      </c>
      <c r="B37" t="inlineStr">
        <is>
          <t>067651</t>
        </is>
      </c>
      <c r="C37" t="inlineStr">
        <is>
          <t>CRUDE OIL, LIGHT SWEET - NEW YORK MERCANTILE EXCHANGE</t>
        </is>
      </c>
      <c r="D37" t="n">
        <v>1298456</v>
      </c>
      <c r="E37" t="n">
        <v>95523</v>
      </c>
      <c r="F37" t="n">
        <v>74149</v>
      </c>
      <c r="G37" t="n">
        <v>139709</v>
      </c>
      <c r="H37">
        <f>E37-F37</f>
        <v/>
      </c>
      <c r="I37">
        <f>(E37-F37)/D37</f>
        <v/>
      </c>
    </row>
    <row r="38">
      <c r="A38" s="3" t="n">
        <v>39126</v>
      </c>
      <c r="B38" t="inlineStr">
        <is>
          <t>067651</t>
        </is>
      </c>
      <c r="C38" t="inlineStr">
        <is>
          <t>CRUDE OIL, LIGHT SWEET - NEW YORK MERCANTILE EXCHANGE</t>
        </is>
      </c>
      <c r="D38" t="n">
        <v>1322794</v>
      </c>
      <c r="E38" t="n">
        <v>113753</v>
      </c>
      <c r="F38" t="n">
        <v>69446</v>
      </c>
      <c r="G38" t="n">
        <v>129427</v>
      </c>
      <c r="H38">
        <f>E38-F38</f>
        <v/>
      </c>
      <c r="I38">
        <f>(E38-F38)/D38</f>
        <v/>
      </c>
    </row>
    <row r="39">
      <c r="A39" s="3" t="n">
        <v>39133</v>
      </c>
      <c r="B39" t="inlineStr">
        <is>
          <t>067651</t>
        </is>
      </c>
      <c r="C39" t="inlineStr">
        <is>
          <t>CRUDE OIL, LIGHT SWEET - NEW YORK MERCANTILE EXCHANGE</t>
        </is>
      </c>
      <c r="D39" t="n">
        <v>1227487</v>
      </c>
      <c r="E39" t="n">
        <v>105672</v>
      </c>
      <c r="F39" t="n">
        <v>71195</v>
      </c>
      <c r="G39" t="n">
        <v>113424</v>
      </c>
      <c r="H39">
        <f>E39-F39</f>
        <v/>
      </c>
      <c r="I39">
        <f>(E39-F39)/D39</f>
        <v/>
      </c>
    </row>
    <row r="40">
      <c r="A40" s="3" t="n">
        <v>39140</v>
      </c>
      <c r="B40" t="inlineStr">
        <is>
          <t>067651</t>
        </is>
      </c>
      <c r="C40" t="inlineStr">
        <is>
          <t>CRUDE OIL, LIGHT SWEET - NEW YORK MERCANTILE EXCHANGE</t>
        </is>
      </c>
      <c r="D40" t="n">
        <v>1269208</v>
      </c>
      <c r="E40" t="n">
        <v>115063</v>
      </c>
      <c r="F40" t="n">
        <v>71234</v>
      </c>
      <c r="G40" t="n">
        <v>112650</v>
      </c>
      <c r="H40">
        <f>E40-F40</f>
        <v/>
      </c>
      <c r="I40">
        <f>(E40-F40)/D40</f>
        <v/>
      </c>
    </row>
    <row r="41">
      <c r="A41" s="3" t="n">
        <v>39147</v>
      </c>
      <c r="B41" t="inlineStr">
        <is>
          <t>067651</t>
        </is>
      </c>
      <c r="C41" t="inlineStr">
        <is>
          <t>CRUDE OIL, LIGHT SWEET - NEW YORK MERCANTILE EXCHANGE</t>
        </is>
      </c>
      <c r="D41" t="n">
        <v>1275194</v>
      </c>
      <c r="E41" t="n">
        <v>111030</v>
      </c>
      <c r="F41" t="n">
        <v>63797</v>
      </c>
      <c r="G41" t="n">
        <v>119558</v>
      </c>
      <c r="H41">
        <f>E41-F41</f>
        <v/>
      </c>
      <c r="I41">
        <f>(E41-F41)/D41</f>
        <v/>
      </c>
    </row>
    <row r="42">
      <c r="A42" s="3" t="n">
        <v>39154</v>
      </c>
      <c r="B42" t="inlineStr">
        <is>
          <t>067651</t>
        </is>
      </c>
      <c r="C42" t="inlineStr">
        <is>
          <t>CRUDE OIL, LIGHT SWEET - NEW YORK MERCANTILE EXCHANGE</t>
        </is>
      </c>
      <c r="D42" t="n">
        <v>1322242</v>
      </c>
      <c r="E42" t="n">
        <v>110760</v>
      </c>
      <c r="F42" t="n">
        <v>60608</v>
      </c>
      <c r="G42" t="n">
        <v>126812</v>
      </c>
      <c r="H42">
        <f>E42-F42</f>
        <v/>
      </c>
      <c r="I42">
        <f>(E42-F42)/D42</f>
        <v/>
      </c>
    </row>
    <row r="43">
      <c r="A43" s="3" t="n">
        <v>39161</v>
      </c>
      <c r="B43" t="inlineStr">
        <is>
          <t>067651</t>
        </is>
      </c>
      <c r="C43" t="inlineStr">
        <is>
          <t>CRUDE OIL, LIGHT SWEET - NEW YORK MERCANTILE EXCHANGE</t>
        </is>
      </c>
      <c r="D43" t="n">
        <v>1312508</v>
      </c>
      <c r="E43" t="n">
        <v>105605</v>
      </c>
      <c r="F43" t="n">
        <v>76444</v>
      </c>
      <c r="G43" t="n">
        <v>123409</v>
      </c>
      <c r="H43">
        <f>E43-F43</f>
        <v/>
      </c>
      <c r="I43">
        <f>(E43-F43)/D43</f>
        <v/>
      </c>
    </row>
    <row r="44">
      <c r="A44" s="3" t="n">
        <v>39168</v>
      </c>
      <c r="B44" t="inlineStr">
        <is>
          <t>067651</t>
        </is>
      </c>
      <c r="C44" t="inlineStr">
        <is>
          <t>CRUDE OIL, LIGHT SWEET - NEW YORK MERCANTILE EXCHANGE</t>
        </is>
      </c>
      <c r="D44" t="n">
        <v>1330479</v>
      </c>
      <c r="E44" t="n">
        <v>111907</v>
      </c>
      <c r="F44" t="n">
        <v>68804</v>
      </c>
      <c r="G44" t="n">
        <v>123967</v>
      </c>
      <c r="H44">
        <f>E44-F44</f>
        <v/>
      </c>
      <c r="I44">
        <f>(E44-F44)/D44</f>
        <v/>
      </c>
    </row>
    <row r="45">
      <c r="A45" s="3" t="n">
        <v>39175</v>
      </c>
      <c r="B45" t="inlineStr">
        <is>
          <t>067651</t>
        </is>
      </c>
      <c r="C45" t="inlineStr">
        <is>
          <t>CRUDE OIL, LIGHT SWEET - NEW YORK MERCANTILE EXCHANGE</t>
        </is>
      </c>
      <c r="D45" t="n">
        <v>1358053</v>
      </c>
      <c r="E45" t="n">
        <v>124609</v>
      </c>
      <c r="F45" t="n">
        <v>58590</v>
      </c>
      <c r="G45" t="n">
        <v>133143</v>
      </c>
      <c r="H45">
        <f>E45-F45</f>
        <v/>
      </c>
      <c r="I45">
        <f>(E45-F45)/D45</f>
        <v/>
      </c>
    </row>
    <row r="46">
      <c r="A46" s="3" t="n">
        <v>39182</v>
      </c>
      <c r="B46" t="inlineStr">
        <is>
          <t>067651</t>
        </is>
      </c>
      <c r="C46" t="inlineStr">
        <is>
          <t>CRUDE OIL, LIGHT SWEET - NEW YORK MERCANTILE EXCHANGE</t>
        </is>
      </c>
      <c r="D46" t="n">
        <v>1326403</v>
      </c>
      <c r="E46" t="n">
        <v>122496</v>
      </c>
      <c r="F46" t="n">
        <v>52893</v>
      </c>
      <c r="G46" t="n">
        <v>132383</v>
      </c>
      <c r="H46">
        <f>E46-F46</f>
        <v/>
      </c>
      <c r="I46">
        <f>(E46-F46)/D46</f>
        <v/>
      </c>
    </row>
    <row r="47">
      <c r="A47" s="3" t="n">
        <v>39189</v>
      </c>
      <c r="B47" t="inlineStr">
        <is>
          <t>067651</t>
        </is>
      </c>
      <c r="C47" t="inlineStr">
        <is>
          <t>CRUDE OIL, LIGHT SWEET - NEW YORK MERCANTILE EXCHANGE</t>
        </is>
      </c>
      <c r="D47" t="n">
        <v>1309533</v>
      </c>
      <c r="E47" t="n">
        <v>119928</v>
      </c>
      <c r="F47" t="n">
        <v>63628</v>
      </c>
      <c r="G47" t="n">
        <v>136284</v>
      </c>
      <c r="H47">
        <f>E47-F47</f>
        <v/>
      </c>
      <c r="I47">
        <f>(E47-F47)/D47</f>
        <v/>
      </c>
    </row>
    <row r="48">
      <c r="A48" s="3" t="n">
        <v>39196</v>
      </c>
      <c r="B48" t="inlineStr">
        <is>
          <t>067651</t>
        </is>
      </c>
      <c r="C48" t="inlineStr">
        <is>
          <t>CRUDE OIL, LIGHT SWEET - NEW YORK MERCANTILE EXCHANGE</t>
        </is>
      </c>
      <c r="D48" t="n">
        <v>1316177</v>
      </c>
      <c r="E48" t="n">
        <v>114649</v>
      </c>
      <c r="F48" t="n">
        <v>68641</v>
      </c>
      <c r="G48" t="n">
        <v>141270</v>
      </c>
      <c r="H48">
        <f>E48-F48</f>
        <v/>
      </c>
      <c r="I48">
        <f>(E48-F48)/D48</f>
        <v/>
      </c>
    </row>
    <row r="49">
      <c r="A49" s="3" t="n">
        <v>39203</v>
      </c>
      <c r="B49" t="inlineStr">
        <is>
          <t>067651</t>
        </is>
      </c>
      <c r="C49" t="inlineStr">
        <is>
          <t>CRUDE OIL, LIGHT SWEET - NEW YORK MERCANTILE EXCHANGE</t>
        </is>
      </c>
      <c r="D49" t="n">
        <v>1341807</v>
      </c>
      <c r="E49" t="n">
        <v>114702</v>
      </c>
      <c r="F49" t="n">
        <v>62566</v>
      </c>
      <c r="G49" t="n">
        <v>146636</v>
      </c>
      <c r="H49">
        <f>E49-F49</f>
        <v/>
      </c>
      <c r="I49">
        <f>(E49-F49)/D49</f>
        <v/>
      </c>
    </row>
    <row r="50">
      <c r="A50" s="3" t="n">
        <v>39210</v>
      </c>
      <c r="B50" t="inlineStr">
        <is>
          <t>067651</t>
        </is>
      </c>
      <c r="C50" t="inlineStr">
        <is>
          <t>CRUDE OIL, LIGHT SWEET - NEW YORK MERCANTILE EXCHANGE</t>
        </is>
      </c>
      <c r="D50" t="n">
        <v>1384509</v>
      </c>
      <c r="E50" t="n">
        <v>105988</v>
      </c>
      <c r="F50" t="n">
        <v>72832</v>
      </c>
      <c r="G50" t="n">
        <v>146775</v>
      </c>
      <c r="H50">
        <f>E50-F50</f>
        <v/>
      </c>
      <c r="I50">
        <f>(E50-F50)/D50</f>
        <v/>
      </c>
    </row>
    <row r="51">
      <c r="A51" s="3" t="n">
        <v>39217</v>
      </c>
      <c r="B51" t="inlineStr">
        <is>
          <t>067651</t>
        </is>
      </c>
      <c r="C51" t="inlineStr">
        <is>
          <t>CRUDE OIL, LIGHT SWEET - NEW YORK MERCANTILE EXCHANGE</t>
        </is>
      </c>
      <c r="D51" t="n">
        <v>1448897</v>
      </c>
      <c r="E51" t="n">
        <v>102850</v>
      </c>
      <c r="F51" t="n">
        <v>91969</v>
      </c>
      <c r="G51" t="n">
        <v>153477</v>
      </c>
      <c r="H51">
        <f>E51-F51</f>
        <v/>
      </c>
      <c r="I51">
        <f>(E51-F51)/D51</f>
        <v/>
      </c>
    </row>
    <row r="52">
      <c r="A52" s="3" t="n">
        <v>39224</v>
      </c>
      <c r="B52" t="inlineStr">
        <is>
          <t>067651</t>
        </is>
      </c>
      <c r="C52" t="inlineStr">
        <is>
          <t>CRUDE OIL, LIGHT SWEET - NEW YORK MERCANTILE EXCHANGE</t>
        </is>
      </c>
      <c r="D52" t="n">
        <v>1350183</v>
      </c>
      <c r="E52" t="n">
        <v>104758</v>
      </c>
      <c r="F52" t="n">
        <v>63576</v>
      </c>
      <c r="G52" t="n">
        <v>144955</v>
      </c>
      <c r="H52">
        <f>E52-F52</f>
        <v/>
      </c>
      <c r="I52">
        <f>(E52-F52)/D52</f>
        <v/>
      </c>
    </row>
    <row r="53">
      <c r="A53" s="3" t="n">
        <v>39231</v>
      </c>
      <c r="B53" t="inlineStr">
        <is>
          <t>067651</t>
        </is>
      </c>
      <c r="C53" t="inlineStr">
        <is>
          <t>CRUDE OIL, LIGHT SWEET - NEW YORK MERCANTILE EXCHANGE</t>
        </is>
      </c>
      <c r="D53" t="n">
        <v>1388590</v>
      </c>
      <c r="E53" t="n">
        <v>103202</v>
      </c>
      <c r="F53" t="n">
        <v>84303</v>
      </c>
      <c r="G53" t="n">
        <v>145282</v>
      </c>
      <c r="H53">
        <f>E53-F53</f>
        <v/>
      </c>
      <c r="I53">
        <f>(E53-F53)/D53</f>
        <v/>
      </c>
    </row>
    <row r="54">
      <c r="A54" s="3" t="n">
        <v>39238</v>
      </c>
      <c r="B54" t="inlineStr">
        <is>
          <t>067651</t>
        </is>
      </c>
      <c r="C54" t="inlineStr">
        <is>
          <t>CRUDE OIL, LIGHT SWEET - NEW YORK MERCANTILE EXCHANGE</t>
        </is>
      </c>
      <c r="D54" t="n">
        <v>1423761</v>
      </c>
      <c r="E54" t="n">
        <v>104106</v>
      </c>
      <c r="F54" t="n">
        <v>61214</v>
      </c>
      <c r="G54" t="n">
        <v>146792</v>
      </c>
      <c r="H54">
        <f>E54-F54</f>
        <v/>
      </c>
      <c r="I54">
        <f>(E54-F54)/D54</f>
        <v/>
      </c>
    </row>
    <row r="55">
      <c r="A55" s="3" t="n">
        <v>39245</v>
      </c>
      <c r="B55" t="inlineStr">
        <is>
          <t>067651</t>
        </is>
      </c>
      <c r="C55" t="inlineStr">
        <is>
          <t>CRUDE OIL, LIGHT SWEET - NEW YORK MERCANTILE EXCHANGE</t>
        </is>
      </c>
      <c r="D55" t="n">
        <v>1432636</v>
      </c>
      <c r="E55" t="n">
        <v>107390</v>
      </c>
      <c r="F55" t="n">
        <v>57804</v>
      </c>
      <c r="G55" t="n">
        <v>145262</v>
      </c>
      <c r="H55">
        <f>E55-F55</f>
        <v/>
      </c>
      <c r="I55">
        <f>(E55-F55)/D55</f>
        <v/>
      </c>
    </row>
    <row r="56">
      <c r="A56" s="3" t="n">
        <v>39252</v>
      </c>
      <c r="B56" t="inlineStr">
        <is>
          <t>067651</t>
        </is>
      </c>
      <c r="C56" t="inlineStr">
        <is>
          <t>CRUDE OIL, LIGHT SWEET - NEW YORK MERCANTILE EXCHANGE</t>
        </is>
      </c>
      <c r="D56" t="n">
        <v>1422817</v>
      </c>
      <c r="E56" t="n">
        <v>125204</v>
      </c>
      <c r="F56" t="n">
        <v>45505</v>
      </c>
      <c r="G56" t="n">
        <v>143847</v>
      </c>
      <c r="H56">
        <f>E56-F56</f>
        <v/>
      </c>
      <c r="I56">
        <f>(E56-F56)/D56</f>
        <v/>
      </c>
    </row>
    <row r="57">
      <c r="A57" s="3" t="n">
        <v>39259</v>
      </c>
      <c r="B57" t="inlineStr">
        <is>
          <t>067651</t>
        </is>
      </c>
      <c r="C57" t="inlineStr">
        <is>
          <t>CRUDE OIL, LIGHT SWEET - NEW YORK MERCANTILE EXCHANGE</t>
        </is>
      </c>
      <c r="D57" t="n">
        <v>1436152</v>
      </c>
      <c r="E57" t="n">
        <v>122118</v>
      </c>
      <c r="F57" t="n">
        <v>53851</v>
      </c>
      <c r="G57" t="n">
        <v>155743</v>
      </c>
      <c r="H57">
        <f>E57-F57</f>
        <v/>
      </c>
      <c r="I57">
        <f>(E57-F57)/D57</f>
        <v/>
      </c>
    </row>
    <row r="58">
      <c r="A58" s="3" t="n">
        <v>39266</v>
      </c>
      <c r="B58" t="inlineStr">
        <is>
          <t>067651</t>
        </is>
      </c>
      <c r="C58" t="inlineStr">
        <is>
          <t>CRUDE OIL, LIGHT SWEET - NEW YORK MERCANTILE EXCHANGE</t>
        </is>
      </c>
      <c r="D58" t="n">
        <v>1499897</v>
      </c>
      <c r="E58" t="n">
        <v>148403</v>
      </c>
      <c r="F58" t="n">
        <v>52485</v>
      </c>
      <c r="G58" t="n">
        <v>185254</v>
      </c>
      <c r="H58">
        <f>E58-F58</f>
        <v/>
      </c>
      <c r="I58">
        <f>(E58-F58)/D58</f>
        <v/>
      </c>
    </row>
    <row r="59">
      <c r="A59" s="3" t="n">
        <v>39273</v>
      </c>
      <c r="B59" t="inlineStr">
        <is>
          <t>067651</t>
        </is>
      </c>
      <c r="C59" t="inlineStr">
        <is>
          <t>CRUDE OIL, LIGHT SWEET - NEW YORK MERCANTILE EXCHANGE</t>
        </is>
      </c>
      <c r="D59" t="n">
        <v>1546372</v>
      </c>
      <c r="E59" t="n">
        <v>167043</v>
      </c>
      <c r="F59" t="n">
        <v>53583</v>
      </c>
      <c r="G59" t="n">
        <v>196254</v>
      </c>
      <c r="H59">
        <f>E59-F59</f>
        <v/>
      </c>
      <c r="I59">
        <f>(E59-F59)/D59</f>
        <v/>
      </c>
    </row>
    <row r="60">
      <c r="A60" s="3" t="n">
        <v>39280</v>
      </c>
      <c r="B60" t="inlineStr">
        <is>
          <t>067651</t>
        </is>
      </c>
      <c r="C60" t="inlineStr">
        <is>
          <t>CRUDE OIL, LIGHT SWEET - NEW YORK MERCANTILE EXCHANGE</t>
        </is>
      </c>
      <c r="D60" t="n">
        <v>1549425</v>
      </c>
      <c r="E60" t="n">
        <v>177335</v>
      </c>
      <c r="F60" t="n">
        <v>54625</v>
      </c>
      <c r="G60" t="n">
        <v>207809</v>
      </c>
      <c r="H60">
        <f>E60-F60</f>
        <v/>
      </c>
      <c r="I60">
        <f>(E60-F60)/D60</f>
        <v/>
      </c>
    </row>
    <row r="61">
      <c r="A61" s="3" t="n">
        <v>39287</v>
      </c>
      <c r="B61" t="inlineStr">
        <is>
          <t>067651</t>
        </is>
      </c>
      <c r="C61" t="inlineStr">
        <is>
          <t>CRUDE OIL, LIGHT SWEET - NEW YORK MERCANTILE EXCHANGE</t>
        </is>
      </c>
      <c r="D61" t="n">
        <v>1485746</v>
      </c>
      <c r="E61" t="n">
        <v>185604</v>
      </c>
      <c r="F61" t="n">
        <v>55405</v>
      </c>
      <c r="G61" t="n">
        <v>186750</v>
      </c>
      <c r="H61">
        <f>E61-F61</f>
        <v/>
      </c>
      <c r="I61">
        <f>(E61-F61)/D61</f>
        <v/>
      </c>
    </row>
    <row r="62">
      <c r="A62" s="3" t="n">
        <v>39294</v>
      </c>
      <c r="B62" t="inlineStr">
        <is>
          <t>067651</t>
        </is>
      </c>
      <c r="C62" t="inlineStr">
        <is>
          <t>CRUDE OIL, LIGHT SWEET - NEW YORK MERCANTILE EXCHANGE</t>
        </is>
      </c>
      <c r="D62" t="n">
        <v>1521237</v>
      </c>
      <c r="E62" t="n">
        <v>193033</v>
      </c>
      <c r="F62" t="n">
        <v>50535</v>
      </c>
      <c r="G62" t="n">
        <v>184470</v>
      </c>
      <c r="H62">
        <f>E62-F62</f>
        <v/>
      </c>
      <c r="I62">
        <f>(E62-F62)/D62</f>
        <v/>
      </c>
    </row>
    <row r="63">
      <c r="A63" s="3" t="n">
        <v>39301</v>
      </c>
      <c r="B63" t="inlineStr">
        <is>
          <t>067651</t>
        </is>
      </c>
      <c r="C63" t="inlineStr">
        <is>
          <t>CRUDE OIL, LIGHT SWEET - NEW YORK MERCANTILE EXCHANGE</t>
        </is>
      </c>
      <c r="D63" t="n">
        <v>1504817</v>
      </c>
      <c r="E63" t="n">
        <v>154323</v>
      </c>
      <c r="F63" t="n">
        <v>48336</v>
      </c>
      <c r="G63" t="n">
        <v>185697</v>
      </c>
      <c r="H63">
        <f>E63-F63</f>
        <v/>
      </c>
      <c r="I63">
        <f>(E63-F63)/D63</f>
        <v/>
      </c>
    </row>
    <row r="64">
      <c r="A64" s="3" t="n">
        <v>39308</v>
      </c>
      <c r="B64" t="inlineStr">
        <is>
          <t>067651</t>
        </is>
      </c>
      <c r="C64" t="inlineStr">
        <is>
          <t>CRUDE OIL, LIGHT SWEET - NEW YORK MERCANTILE EXCHANGE</t>
        </is>
      </c>
      <c r="D64" t="n">
        <v>1516963</v>
      </c>
      <c r="E64" t="n">
        <v>139921</v>
      </c>
      <c r="F64" t="n">
        <v>67817</v>
      </c>
      <c r="G64" t="n">
        <v>306060</v>
      </c>
      <c r="H64">
        <f>E64-F64</f>
        <v/>
      </c>
      <c r="I64">
        <f>(E64-F64)/D64</f>
        <v/>
      </c>
    </row>
    <row r="65">
      <c r="A65" s="3" t="n">
        <v>39315</v>
      </c>
      <c r="B65" t="inlineStr">
        <is>
          <t>067651</t>
        </is>
      </c>
      <c r="C65" t="inlineStr">
        <is>
          <t>CRUDE OIL, LIGHT SWEET - NEW YORK MERCANTILE EXCHANGE</t>
        </is>
      </c>
      <c r="D65" t="n">
        <v>1422175</v>
      </c>
      <c r="E65" t="n">
        <v>134550</v>
      </c>
      <c r="F65" t="n">
        <v>78499</v>
      </c>
      <c r="G65" t="n">
        <v>284851</v>
      </c>
      <c r="H65">
        <f>E65-F65</f>
        <v/>
      </c>
      <c r="I65">
        <f>(E65-F65)/D65</f>
        <v/>
      </c>
    </row>
    <row r="66">
      <c r="A66" s="3" t="n">
        <v>39322</v>
      </c>
      <c r="B66" t="inlineStr">
        <is>
          <t>067651</t>
        </is>
      </c>
      <c r="C66" t="inlineStr">
        <is>
          <t>CRUDE OIL, LIGHT SWEET - NEW YORK MERCANTILE EXCHANGE</t>
        </is>
      </c>
      <c r="D66" t="n">
        <v>1432723</v>
      </c>
      <c r="E66" t="n">
        <v>134092</v>
      </c>
      <c r="F66" t="n">
        <v>83286</v>
      </c>
      <c r="G66" t="n">
        <v>288510</v>
      </c>
      <c r="H66">
        <f>E66-F66</f>
        <v/>
      </c>
      <c r="I66">
        <f>(E66-F66)/D66</f>
        <v/>
      </c>
    </row>
    <row r="67">
      <c r="A67" s="3" t="n">
        <v>39329</v>
      </c>
      <c r="B67" t="inlineStr">
        <is>
          <t>067651</t>
        </is>
      </c>
      <c r="C67" t="inlineStr">
        <is>
          <t>CRUDE OIL, LIGHT SWEET - NEW YORK MERCANTILE EXCHANGE</t>
        </is>
      </c>
      <c r="D67" t="n">
        <v>1489231</v>
      </c>
      <c r="E67" t="n">
        <v>151502</v>
      </c>
      <c r="F67" t="n">
        <v>73426</v>
      </c>
      <c r="G67" t="n">
        <v>310011</v>
      </c>
      <c r="H67">
        <f>E67-F67</f>
        <v/>
      </c>
      <c r="I67">
        <f>(E67-F67)/D67</f>
        <v/>
      </c>
    </row>
    <row r="68">
      <c r="A68" s="3" t="n">
        <v>39336</v>
      </c>
      <c r="B68" t="inlineStr">
        <is>
          <t>067651</t>
        </is>
      </c>
      <c r="C68" t="inlineStr">
        <is>
          <t>CRUDE OIL, LIGHT SWEET - NEW YORK MERCANTILE EXCHANGE</t>
        </is>
      </c>
      <c r="D68" t="n">
        <v>1544715</v>
      </c>
      <c r="E68" t="n">
        <v>165398</v>
      </c>
      <c r="F68" t="n">
        <v>87125</v>
      </c>
      <c r="G68" t="n">
        <v>319786</v>
      </c>
      <c r="H68">
        <f>E68-F68</f>
        <v/>
      </c>
      <c r="I68">
        <f>(E68-F68)/D68</f>
        <v/>
      </c>
    </row>
    <row r="69">
      <c r="A69" s="3" t="n">
        <v>39343</v>
      </c>
      <c r="B69" t="inlineStr">
        <is>
          <t>067651</t>
        </is>
      </c>
      <c r="C69" t="inlineStr">
        <is>
          <t>CRUDE OIL, LIGHT SWEET - NEW YORK MERCANTILE EXCHANGE</t>
        </is>
      </c>
      <c r="D69" t="n">
        <v>1488381</v>
      </c>
      <c r="E69" t="n">
        <v>177192</v>
      </c>
      <c r="F69" t="n">
        <v>73982</v>
      </c>
      <c r="G69" t="n">
        <v>302314</v>
      </c>
      <c r="H69">
        <f>E69-F69</f>
        <v/>
      </c>
      <c r="I69">
        <f>(E69-F69)/D69</f>
        <v/>
      </c>
    </row>
    <row r="70">
      <c r="A70" s="3" t="n">
        <v>39350</v>
      </c>
      <c r="B70" t="inlineStr">
        <is>
          <t>067651</t>
        </is>
      </c>
      <c r="C70" t="inlineStr">
        <is>
          <t>CRUDE OIL, LIGHT SWEET - NEW YORK MERCANTILE EXCHANGE</t>
        </is>
      </c>
      <c r="D70" t="n">
        <v>1409620</v>
      </c>
      <c r="E70" t="n">
        <v>181862</v>
      </c>
      <c r="F70" t="n">
        <v>81172</v>
      </c>
      <c r="G70" t="n">
        <v>293522</v>
      </c>
      <c r="H70">
        <f>E70-F70</f>
        <v/>
      </c>
      <c r="I70">
        <f>(E70-F70)/D70</f>
        <v/>
      </c>
    </row>
    <row r="71">
      <c r="A71" s="3" t="n">
        <v>39357</v>
      </c>
      <c r="B71" t="inlineStr">
        <is>
          <t>067651</t>
        </is>
      </c>
      <c r="C71" t="inlineStr">
        <is>
          <t>CRUDE OIL, LIGHT SWEET - NEW YORK MERCANTILE EXCHANGE</t>
        </is>
      </c>
      <c r="D71" t="n">
        <v>1426044</v>
      </c>
      <c r="E71" t="n">
        <v>176879</v>
      </c>
      <c r="F71" t="n">
        <v>65781</v>
      </c>
      <c r="G71" t="n">
        <v>309789</v>
      </c>
      <c r="H71">
        <f>E71-F71</f>
        <v/>
      </c>
      <c r="I71">
        <f>(E71-F71)/D71</f>
        <v/>
      </c>
    </row>
    <row r="72">
      <c r="A72" s="3" t="n">
        <v>39364</v>
      </c>
      <c r="B72" t="inlineStr">
        <is>
          <t>067651</t>
        </is>
      </c>
      <c r="C72" t="inlineStr">
        <is>
          <t>CRUDE OIL, LIGHT SWEET - NEW YORK MERCANTILE EXCHANGE</t>
        </is>
      </c>
      <c r="D72" t="n">
        <v>1440924</v>
      </c>
      <c r="E72" t="n">
        <v>180230</v>
      </c>
      <c r="F72" t="n">
        <v>71261</v>
      </c>
      <c r="G72" t="n">
        <v>301146</v>
      </c>
      <c r="H72">
        <f>E72-F72</f>
        <v/>
      </c>
      <c r="I72">
        <f>(E72-F72)/D72</f>
        <v/>
      </c>
    </row>
    <row r="73">
      <c r="A73" s="3" t="n">
        <v>39371</v>
      </c>
      <c r="B73" t="inlineStr">
        <is>
          <t>067651</t>
        </is>
      </c>
      <c r="C73" t="inlineStr">
        <is>
          <t>CRUDE OIL, LIGHT SWEET - NEW YORK MERCANTILE EXCHANGE</t>
        </is>
      </c>
      <c r="D73" t="n">
        <v>1489293</v>
      </c>
      <c r="E73" t="n">
        <v>176697</v>
      </c>
      <c r="F73" t="n">
        <v>85817</v>
      </c>
      <c r="G73" t="n">
        <v>287707</v>
      </c>
      <c r="H73">
        <f>E73-F73</f>
        <v/>
      </c>
      <c r="I73">
        <f>(E73-F73)/D73</f>
        <v/>
      </c>
    </row>
    <row r="74">
      <c r="A74" s="3" t="n">
        <v>39378</v>
      </c>
      <c r="B74" t="inlineStr">
        <is>
          <t>067651</t>
        </is>
      </c>
      <c r="C74" t="inlineStr">
        <is>
          <t>CRUDE OIL, LIGHT SWEET - NEW YORK MERCANTILE EXCHANGE</t>
        </is>
      </c>
      <c r="D74" t="n">
        <v>1408072</v>
      </c>
      <c r="E74" t="n">
        <v>172840</v>
      </c>
      <c r="F74" t="n">
        <v>83796</v>
      </c>
      <c r="G74" t="n">
        <v>281820</v>
      </c>
      <c r="H74">
        <f>E74-F74</f>
        <v/>
      </c>
      <c r="I74">
        <f>(E74-F74)/D74</f>
        <v/>
      </c>
    </row>
    <row r="75">
      <c r="A75" s="3" t="n">
        <v>39385</v>
      </c>
      <c r="B75" t="inlineStr">
        <is>
          <t>067651</t>
        </is>
      </c>
      <c r="C75" t="inlineStr">
        <is>
          <t>CRUDE OIL, LIGHT SWEET - NEW YORK MERCANTILE EXCHANGE</t>
        </is>
      </c>
      <c r="D75" t="n">
        <v>1448114</v>
      </c>
      <c r="E75" t="n">
        <v>164006</v>
      </c>
      <c r="F75" t="n">
        <v>83509</v>
      </c>
      <c r="G75" t="n">
        <v>270296</v>
      </c>
      <c r="H75">
        <f>E75-F75</f>
        <v/>
      </c>
      <c r="I75">
        <f>(E75-F75)/D75</f>
        <v/>
      </c>
    </row>
    <row r="76">
      <c r="A76" s="3" t="n">
        <v>39392</v>
      </c>
      <c r="B76" t="inlineStr">
        <is>
          <t>067651</t>
        </is>
      </c>
      <c r="C76" t="inlineStr">
        <is>
          <t>CRUDE OIL, LIGHT SWEET - NEW YORK MERCANTILE EXCHANGE</t>
        </is>
      </c>
      <c r="D76" t="n">
        <v>1513362</v>
      </c>
      <c r="E76" t="n">
        <v>168879</v>
      </c>
      <c r="F76" t="n">
        <v>79181</v>
      </c>
      <c r="G76" t="n">
        <v>278403</v>
      </c>
      <c r="H76">
        <f>E76-F76</f>
        <v/>
      </c>
      <c r="I76">
        <f>(E76-F76)/D76</f>
        <v/>
      </c>
    </row>
    <row r="77">
      <c r="A77" s="3" t="n">
        <v>39399</v>
      </c>
      <c r="B77" t="inlineStr">
        <is>
          <t>067651</t>
        </is>
      </c>
      <c r="C77" t="inlineStr">
        <is>
          <t>CRUDE OIL, LIGHT SWEET - NEW YORK MERCANTILE EXCHANGE</t>
        </is>
      </c>
      <c r="D77" t="n">
        <v>1445162</v>
      </c>
      <c r="E77" t="n">
        <v>158029</v>
      </c>
      <c r="F77" t="n">
        <v>75264</v>
      </c>
      <c r="G77" t="n">
        <v>274788</v>
      </c>
      <c r="H77">
        <f>E77-F77</f>
        <v/>
      </c>
      <c r="I77">
        <f>(E77-F77)/D77</f>
        <v/>
      </c>
    </row>
    <row r="78">
      <c r="A78" s="3" t="n">
        <v>39406</v>
      </c>
      <c r="B78" t="inlineStr">
        <is>
          <t>067651</t>
        </is>
      </c>
      <c r="C78" t="inlineStr">
        <is>
          <t>CRUDE OIL, LIGHT SWEET - NEW YORK MERCANTILE EXCHANGE</t>
        </is>
      </c>
      <c r="D78" t="n">
        <v>1397984</v>
      </c>
      <c r="E78" t="n">
        <v>171757</v>
      </c>
      <c r="F78" t="n">
        <v>88028</v>
      </c>
      <c r="G78" t="n">
        <v>260839</v>
      </c>
      <c r="H78">
        <f>E78-F78</f>
        <v/>
      </c>
      <c r="I78">
        <f>(E78-F78)/D78</f>
        <v/>
      </c>
    </row>
    <row r="79">
      <c r="A79" s="3" t="n">
        <v>39413</v>
      </c>
      <c r="B79" t="inlineStr">
        <is>
          <t>067651</t>
        </is>
      </c>
      <c r="C79" t="inlineStr">
        <is>
          <t>CRUDE OIL, LIGHT SWEET - NEW YORK MERCANTILE EXCHANGE</t>
        </is>
      </c>
      <c r="D79" t="n">
        <v>1404428</v>
      </c>
      <c r="E79" t="n">
        <v>165915</v>
      </c>
      <c r="F79" t="n">
        <v>88640</v>
      </c>
      <c r="G79" t="n">
        <v>258974</v>
      </c>
      <c r="H79">
        <f>E79-F79</f>
        <v/>
      </c>
      <c r="I79">
        <f>(E79-F79)/D79</f>
        <v/>
      </c>
    </row>
    <row r="80">
      <c r="A80" s="3" t="n">
        <v>39420</v>
      </c>
      <c r="B80" t="inlineStr">
        <is>
          <t>067651</t>
        </is>
      </c>
      <c r="C80" t="inlineStr">
        <is>
          <t>CRUDE OIL, LIGHT SWEET - NEW YORK MERCANTILE EXCHANGE</t>
        </is>
      </c>
      <c r="D80" t="n">
        <v>1382526</v>
      </c>
      <c r="E80" t="n">
        <v>145814</v>
      </c>
      <c r="F80" t="n">
        <v>82028</v>
      </c>
      <c r="G80" t="n">
        <v>260232</v>
      </c>
      <c r="H80">
        <f>E80-F80</f>
        <v/>
      </c>
      <c r="I80">
        <f>(E80-F80)/D80</f>
        <v/>
      </c>
    </row>
    <row r="81">
      <c r="A81" s="3" t="n">
        <v>39427</v>
      </c>
      <c r="B81" t="inlineStr">
        <is>
          <t>067651</t>
        </is>
      </c>
      <c r="C81" t="inlineStr">
        <is>
          <t>CRUDE OIL, LIGHT SWEET - NEW YORK MERCANTILE EXCHANGE</t>
        </is>
      </c>
      <c r="D81" t="n">
        <v>1380907</v>
      </c>
      <c r="E81" t="n">
        <v>148332</v>
      </c>
      <c r="F81" t="n">
        <v>80032</v>
      </c>
      <c r="G81" t="n">
        <v>256085</v>
      </c>
      <c r="H81">
        <f>E81-F81</f>
        <v/>
      </c>
      <c r="I81">
        <f>(E81-F81)/D81</f>
        <v/>
      </c>
    </row>
    <row r="82">
      <c r="A82" s="3" t="n">
        <v>39434</v>
      </c>
      <c r="B82" t="inlineStr">
        <is>
          <t>067651</t>
        </is>
      </c>
      <c r="C82" t="inlineStr">
        <is>
          <t>CRUDE OIL, LIGHT SWEET - NEW YORK MERCANTILE EXCHANGE</t>
        </is>
      </c>
      <c r="D82" t="n">
        <v>1330250</v>
      </c>
      <c r="E82" t="n">
        <v>147053</v>
      </c>
      <c r="F82" t="n">
        <v>81790</v>
      </c>
      <c r="G82" t="n">
        <v>255502</v>
      </c>
      <c r="H82">
        <f>E82-F82</f>
        <v/>
      </c>
      <c r="I82">
        <f>(E82-F82)/D82</f>
        <v/>
      </c>
    </row>
    <row r="83">
      <c r="A83" s="3" t="n">
        <v>39440</v>
      </c>
      <c r="B83" t="inlineStr">
        <is>
          <t>067651</t>
        </is>
      </c>
      <c r="C83" t="inlineStr">
        <is>
          <t>CRUDE OIL, LIGHT SWEET - NEW YORK MERCANTILE EXCHANGE</t>
        </is>
      </c>
      <c r="D83" t="n">
        <v>1325751</v>
      </c>
      <c r="E83" t="n">
        <v>158789</v>
      </c>
      <c r="F83" t="n">
        <v>79116</v>
      </c>
      <c r="G83" t="n">
        <v>256324</v>
      </c>
      <c r="H83">
        <f>E83-F83</f>
        <v/>
      </c>
      <c r="I83">
        <f>(E83-F83)/D83</f>
        <v/>
      </c>
    </row>
    <row r="84">
      <c r="A84" s="3" t="n">
        <v>39447</v>
      </c>
      <c r="B84" t="inlineStr">
        <is>
          <t>067651</t>
        </is>
      </c>
      <c r="C84" t="inlineStr">
        <is>
          <t>CRUDE OIL, LIGHT SWEET - NEW YORK MERCANTILE EXCHANGE</t>
        </is>
      </c>
      <c r="D84" t="n">
        <v>1361258</v>
      </c>
      <c r="E84" t="n">
        <v>166165</v>
      </c>
      <c r="F84" t="n">
        <v>78760</v>
      </c>
      <c r="G84" t="n">
        <v>266974</v>
      </c>
      <c r="H84">
        <f>E84-F84</f>
        <v/>
      </c>
      <c r="I84">
        <f>(E84-F84)/D84</f>
        <v/>
      </c>
    </row>
    <row r="85">
      <c r="A85" s="3" t="n">
        <v>39455</v>
      </c>
      <c r="B85" t="inlineStr">
        <is>
          <t>067651</t>
        </is>
      </c>
      <c r="C85" t="inlineStr">
        <is>
          <t>CRUDE OIL, LIGHT SWEET - NEW YORK MERCANTILE EXCHANGE</t>
        </is>
      </c>
      <c r="D85" t="n">
        <v>1413956</v>
      </c>
      <c r="E85" t="n">
        <v>168249</v>
      </c>
      <c r="F85" t="n">
        <v>79900</v>
      </c>
      <c r="G85" t="n">
        <v>282612</v>
      </c>
      <c r="H85">
        <f>E85-F85</f>
        <v/>
      </c>
      <c r="I85">
        <f>(E85-F85)/D85</f>
        <v/>
      </c>
    </row>
    <row r="86">
      <c r="A86" s="3" t="n">
        <v>39462</v>
      </c>
      <c r="B86" t="inlineStr">
        <is>
          <t>067651</t>
        </is>
      </c>
      <c r="C86" t="inlineStr">
        <is>
          <t>CRUDE OIL, LIGHT SWEET - NEW YORK MERCANTILE EXCHANGE</t>
        </is>
      </c>
      <c r="D86" t="n">
        <v>1458072</v>
      </c>
      <c r="E86" t="n">
        <v>159629</v>
      </c>
      <c r="F86" t="n">
        <v>78094</v>
      </c>
      <c r="G86" t="n">
        <v>280734</v>
      </c>
      <c r="H86">
        <f>E86-F86</f>
        <v/>
      </c>
      <c r="I86">
        <f>(E86-F86)/D86</f>
        <v/>
      </c>
    </row>
    <row r="87">
      <c r="A87" s="3" t="n">
        <v>39469</v>
      </c>
      <c r="B87" t="inlineStr">
        <is>
          <t>067651</t>
        </is>
      </c>
      <c r="C87" t="inlineStr">
        <is>
          <t>CRUDE OIL, LIGHT SWEET - NEW YORK MERCANTILE EXCHANGE</t>
        </is>
      </c>
      <c r="D87" t="n">
        <v>1343167</v>
      </c>
      <c r="E87" t="n">
        <v>143008</v>
      </c>
      <c r="F87" t="n">
        <v>86198</v>
      </c>
      <c r="G87" t="n">
        <v>266300</v>
      </c>
      <c r="H87">
        <f>E87-F87</f>
        <v/>
      </c>
      <c r="I87">
        <f>(E87-F87)/D87</f>
        <v/>
      </c>
    </row>
    <row r="88">
      <c r="A88" s="3" t="n">
        <v>39476</v>
      </c>
      <c r="B88" t="inlineStr">
        <is>
          <t>067651</t>
        </is>
      </c>
      <c r="C88" t="inlineStr">
        <is>
          <t>CRUDE OIL, LIGHT SWEET - NEW YORK MERCANTILE EXCHANGE</t>
        </is>
      </c>
      <c r="D88" t="n">
        <v>1365807</v>
      </c>
      <c r="E88" t="n">
        <v>149947</v>
      </c>
      <c r="F88" t="n">
        <v>100831</v>
      </c>
      <c r="G88" t="n">
        <v>259346</v>
      </c>
      <c r="H88">
        <f>E88-F88</f>
        <v/>
      </c>
      <c r="I88">
        <f>(E88-F88)/D88</f>
        <v/>
      </c>
    </row>
    <row r="89">
      <c r="A89" s="3" t="n">
        <v>39483</v>
      </c>
      <c r="B89" t="inlineStr">
        <is>
          <t>067651</t>
        </is>
      </c>
      <c r="C89" t="inlineStr">
        <is>
          <t>CRUDE OIL, LIGHT SWEET - NEW YORK MERCANTILE EXCHANGE</t>
        </is>
      </c>
      <c r="D89" t="n">
        <v>1368524</v>
      </c>
      <c r="E89" t="n">
        <v>142618</v>
      </c>
      <c r="F89" t="n">
        <v>96987</v>
      </c>
      <c r="G89" t="n">
        <v>263023</v>
      </c>
      <c r="H89">
        <f>E89-F89</f>
        <v/>
      </c>
      <c r="I89">
        <f>(E89-F89)/D89</f>
        <v/>
      </c>
    </row>
    <row r="90">
      <c r="A90" s="3" t="n">
        <v>39490</v>
      </c>
      <c r="B90" t="inlineStr">
        <is>
          <t>067651</t>
        </is>
      </c>
      <c r="C90" t="inlineStr">
        <is>
          <t>CRUDE OIL, LIGHT SWEET - NEW YORK MERCANTILE EXCHANGE</t>
        </is>
      </c>
      <c r="D90" t="n">
        <v>1393035</v>
      </c>
      <c r="E90" t="n">
        <v>158999</v>
      </c>
      <c r="F90" t="n">
        <v>91352</v>
      </c>
      <c r="G90" t="n">
        <v>262299</v>
      </c>
      <c r="H90">
        <f>E90-F90</f>
        <v/>
      </c>
      <c r="I90">
        <f>(E90-F90)/D90</f>
        <v/>
      </c>
    </row>
    <row r="91">
      <c r="A91" s="3" t="n">
        <v>39497</v>
      </c>
      <c r="B91" t="inlineStr">
        <is>
          <t>067651</t>
        </is>
      </c>
      <c r="C91" t="inlineStr">
        <is>
          <t>CRUDE OIL, LIGHT SWEET - NEW YORK MERCANTILE EXCHANGE</t>
        </is>
      </c>
      <c r="D91" t="n">
        <v>1355135</v>
      </c>
      <c r="E91" t="n">
        <v>172891</v>
      </c>
      <c r="F91" t="n">
        <v>91679</v>
      </c>
      <c r="G91" t="n">
        <v>258762</v>
      </c>
      <c r="H91">
        <f>E91-F91</f>
        <v/>
      </c>
      <c r="I91">
        <f>(E91-F91)/D91</f>
        <v/>
      </c>
    </row>
    <row r="92">
      <c r="A92" s="3" t="n">
        <v>39504</v>
      </c>
      <c r="B92" t="inlineStr">
        <is>
          <t>067651</t>
        </is>
      </c>
      <c r="C92" t="inlineStr">
        <is>
          <t>CRUDE OIL, LIGHT SWEET - NEW YORK MERCANTILE EXCHANGE</t>
        </is>
      </c>
      <c r="D92" t="n">
        <v>1405922</v>
      </c>
      <c r="E92" t="n">
        <v>193604</v>
      </c>
      <c r="F92" t="n">
        <v>90302</v>
      </c>
      <c r="G92" t="n">
        <v>267341</v>
      </c>
      <c r="H92">
        <f>E92-F92</f>
        <v/>
      </c>
      <c r="I92">
        <f>(E92-F92)/D92</f>
        <v/>
      </c>
    </row>
    <row r="93">
      <c r="A93" s="3" t="n">
        <v>39511</v>
      </c>
      <c r="B93" t="inlineStr">
        <is>
          <t>067651</t>
        </is>
      </c>
      <c r="C93" t="inlineStr">
        <is>
          <t>CRUDE OIL, LIGHT SWEET - NEW YORK MERCANTILE EXCHANGE</t>
        </is>
      </c>
      <c r="D93" t="n">
        <v>1450956</v>
      </c>
      <c r="E93" t="n">
        <v>191931</v>
      </c>
      <c r="F93" t="n">
        <v>82559</v>
      </c>
      <c r="G93" t="n">
        <v>279464</v>
      </c>
      <c r="H93">
        <f>E93-F93</f>
        <v/>
      </c>
      <c r="I93">
        <f>(E93-F93)/D93</f>
        <v/>
      </c>
    </row>
    <row r="94">
      <c r="A94" s="3" t="n">
        <v>39518</v>
      </c>
      <c r="B94" t="inlineStr">
        <is>
          <t>067651</t>
        </is>
      </c>
      <c r="C94" t="inlineStr">
        <is>
          <t>CRUDE OIL, LIGHT SWEET - NEW YORK MERCANTILE EXCHANGE</t>
        </is>
      </c>
      <c r="D94" t="n">
        <v>1484417</v>
      </c>
      <c r="E94" t="n">
        <v>181744</v>
      </c>
      <c r="F94" t="n">
        <v>79612</v>
      </c>
      <c r="G94" t="n">
        <v>279196</v>
      </c>
      <c r="H94">
        <f>E94-F94</f>
        <v/>
      </c>
      <c r="I94">
        <f>(E94-F94)/D94</f>
        <v/>
      </c>
    </row>
    <row r="95">
      <c r="A95" s="3" t="n">
        <v>39525</v>
      </c>
      <c r="B95" t="inlineStr">
        <is>
          <t>067651</t>
        </is>
      </c>
      <c r="C95" t="inlineStr">
        <is>
          <t>CRUDE OIL, LIGHT SWEET - NEW YORK MERCANTILE EXCHANGE</t>
        </is>
      </c>
      <c r="D95" t="n">
        <v>1407359</v>
      </c>
      <c r="E95" t="n">
        <v>174189</v>
      </c>
      <c r="F95" t="n">
        <v>83701</v>
      </c>
      <c r="G95" t="n">
        <v>264279</v>
      </c>
      <c r="H95">
        <f>E95-F95</f>
        <v/>
      </c>
      <c r="I95">
        <f>(E95-F95)/D95</f>
        <v/>
      </c>
    </row>
    <row r="96">
      <c r="A96" s="3" t="n">
        <v>39532</v>
      </c>
      <c r="B96" t="inlineStr">
        <is>
          <t>067651</t>
        </is>
      </c>
      <c r="C96" t="inlineStr">
        <is>
          <t>CRUDE OIL, LIGHT SWEET - NEW YORK MERCANTILE EXCHANGE</t>
        </is>
      </c>
      <c r="D96" t="n">
        <v>1362667</v>
      </c>
      <c r="E96" t="n">
        <v>158336</v>
      </c>
      <c r="F96" t="n">
        <v>83950</v>
      </c>
      <c r="G96" t="n">
        <v>268939</v>
      </c>
      <c r="H96">
        <f>E96-F96</f>
        <v/>
      </c>
      <c r="I96">
        <f>(E96-F96)/D96</f>
        <v/>
      </c>
    </row>
    <row r="97">
      <c r="A97" s="3" t="n">
        <v>39539</v>
      </c>
      <c r="B97" t="inlineStr">
        <is>
          <t>067651</t>
        </is>
      </c>
      <c r="C97" t="inlineStr">
        <is>
          <t>CRUDE OIL, LIGHT SWEET - NEW YORK MERCANTILE EXCHANGE</t>
        </is>
      </c>
      <c r="D97" t="n">
        <v>1381645</v>
      </c>
      <c r="E97" t="n">
        <v>157205</v>
      </c>
      <c r="F97" t="n">
        <v>95546</v>
      </c>
      <c r="G97" t="n">
        <v>277369</v>
      </c>
      <c r="H97">
        <f>E97-F97</f>
        <v/>
      </c>
      <c r="I97">
        <f>(E97-F97)/D97</f>
        <v/>
      </c>
    </row>
    <row r="98">
      <c r="A98" s="3" t="n">
        <v>39546</v>
      </c>
      <c r="B98" t="inlineStr">
        <is>
          <t>067651</t>
        </is>
      </c>
      <c r="C98" t="inlineStr">
        <is>
          <t>CRUDE OIL, LIGHT SWEET - NEW YORK MERCANTILE EXCHANGE</t>
        </is>
      </c>
      <c r="D98" t="n">
        <v>1412326</v>
      </c>
      <c r="E98" t="n">
        <v>167882</v>
      </c>
      <c r="F98" t="n">
        <v>83521</v>
      </c>
      <c r="G98" t="n">
        <v>282103</v>
      </c>
      <c r="H98">
        <f>E98-F98</f>
        <v/>
      </c>
      <c r="I98">
        <f>(E98-F98)/D98</f>
        <v/>
      </c>
    </row>
    <row r="99">
      <c r="A99" s="3" t="n">
        <v>39553</v>
      </c>
      <c r="B99" t="inlineStr">
        <is>
          <t>067651</t>
        </is>
      </c>
      <c r="C99" t="inlineStr">
        <is>
          <t>CRUDE OIL, LIGHT SWEET - NEW YORK MERCANTILE EXCHANGE</t>
        </is>
      </c>
      <c r="D99" t="n">
        <v>1441373</v>
      </c>
      <c r="E99" t="n">
        <v>175267</v>
      </c>
      <c r="F99" t="n">
        <v>83645</v>
      </c>
      <c r="G99" t="n">
        <v>278756</v>
      </c>
      <c r="H99">
        <f>E99-F99</f>
        <v/>
      </c>
      <c r="I99">
        <f>(E99-F99)/D99</f>
        <v/>
      </c>
    </row>
    <row r="100">
      <c r="A100" s="3" t="n">
        <v>39560</v>
      </c>
      <c r="B100" t="inlineStr">
        <is>
          <t>067651</t>
        </is>
      </c>
      <c r="C100" t="inlineStr">
        <is>
          <t>CRUDE OIL, LIGHT SWEET - NEW YORK MERCANTILE EXCHANGE</t>
        </is>
      </c>
      <c r="D100" t="n">
        <v>1337055</v>
      </c>
      <c r="E100" t="n">
        <v>188485</v>
      </c>
      <c r="F100" t="n">
        <v>73743</v>
      </c>
      <c r="G100" t="n">
        <v>259841</v>
      </c>
      <c r="H100">
        <f>E100-F100</f>
        <v/>
      </c>
      <c r="I100">
        <f>(E100-F100)/D100</f>
        <v/>
      </c>
    </row>
    <row r="101">
      <c r="A101" s="3" t="n">
        <v>39567</v>
      </c>
      <c r="B101" t="inlineStr">
        <is>
          <t>067651</t>
        </is>
      </c>
      <c r="C101" t="inlineStr">
        <is>
          <t>CRUDE OIL, LIGHT SWEET - NEW YORK MERCANTILE EXCHANGE</t>
        </is>
      </c>
      <c r="D101" t="n">
        <v>1365456</v>
      </c>
      <c r="E101" t="n">
        <v>195769</v>
      </c>
      <c r="F101" t="n">
        <v>86788</v>
      </c>
      <c r="G101" t="n">
        <v>255526</v>
      </c>
      <c r="H101">
        <f>E101-F101</f>
        <v/>
      </c>
      <c r="I101">
        <f>(E101-F101)/D101</f>
        <v/>
      </c>
    </row>
    <row r="102">
      <c r="A102" s="3" t="n">
        <v>39574</v>
      </c>
      <c r="B102" t="inlineStr">
        <is>
          <t>067651</t>
        </is>
      </c>
      <c r="C102" t="inlineStr">
        <is>
          <t>CRUDE OIL, LIGHT SWEET - NEW YORK MERCANTILE EXCHANGE</t>
        </is>
      </c>
      <c r="D102" t="n">
        <v>1422431</v>
      </c>
      <c r="E102" t="n">
        <v>198202</v>
      </c>
      <c r="F102" t="n">
        <v>85026</v>
      </c>
      <c r="G102" t="n">
        <v>265140</v>
      </c>
      <c r="H102">
        <f>E102-F102</f>
        <v/>
      </c>
      <c r="I102">
        <f>(E102-F102)/D102</f>
        <v/>
      </c>
    </row>
    <row r="103">
      <c r="A103" s="3" t="n">
        <v>39581</v>
      </c>
      <c r="B103" t="inlineStr">
        <is>
          <t>067651</t>
        </is>
      </c>
      <c r="C103" t="inlineStr">
        <is>
          <t>CRUDE OIL, LIGHT SWEET - NEW YORK MERCANTILE EXCHANGE</t>
        </is>
      </c>
      <c r="D103" t="n">
        <v>1477007</v>
      </c>
      <c r="E103" t="n">
        <v>190750</v>
      </c>
      <c r="F103" t="n">
        <v>86902</v>
      </c>
      <c r="G103" t="n">
        <v>272605</v>
      </c>
      <c r="H103">
        <f>E103-F103</f>
        <v/>
      </c>
      <c r="I103">
        <f>(E103-F103)/D103</f>
        <v/>
      </c>
    </row>
    <row r="104">
      <c r="A104" s="3" t="n">
        <v>39588</v>
      </c>
      <c r="B104" t="inlineStr">
        <is>
          <t>067651</t>
        </is>
      </c>
      <c r="C104" t="inlineStr">
        <is>
          <t>CRUDE OIL, LIGHT SWEET - NEW YORK MERCANTILE EXCHANGE</t>
        </is>
      </c>
      <c r="D104" t="n">
        <v>1356657</v>
      </c>
      <c r="E104" t="n">
        <v>177765</v>
      </c>
      <c r="F104" t="n">
        <v>88968</v>
      </c>
      <c r="G104" t="n">
        <v>247414</v>
      </c>
      <c r="H104">
        <f>E104-F104</f>
        <v/>
      </c>
      <c r="I104">
        <f>(E104-F104)/D104</f>
        <v/>
      </c>
    </row>
    <row r="105">
      <c r="A105" s="3" t="n">
        <v>39595</v>
      </c>
      <c r="B105" t="inlineStr">
        <is>
          <t>067651</t>
        </is>
      </c>
      <c r="C105" t="inlineStr">
        <is>
          <t>CRUDE OIL, LIGHT SWEET - NEW YORK MERCANTILE EXCHANGE</t>
        </is>
      </c>
      <c r="D105" t="n">
        <v>1338874</v>
      </c>
      <c r="E105" t="n">
        <v>167224</v>
      </c>
      <c r="F105" t="n">
        <v>89843</v>
      </c>
      <c r="G105" t="n">
        <v>228962</v>
      </c>
      <c r="H105">
        <f>E105-F105</f>
        <v/>
      </c>
      <c r="I105">
        <f>(E105-F105)/D105</f>
        <v/>
      </c>
    </row>
    <row r="106">
      <c r="A106" s="3" t="n">
        <v>39602</v>
      </c>
      <c r="B106" t="inlineStr">
        <is>
          <t>067651</t>
        </is>
      </c>
      <c r="C106" t="inlineStr">
        <is>
          <t>CRUDE OIL, LIGHT SWEET - NEW YORK MERCANTILE EXCHANGE</t>
        </is>
      </c>
      <c r="D106" t="n">
        <v>1355667</v>
      </c>
      <c r="E106" t="n">
        <v>161182</v>
      </c>
      <c r="F106" t="n">
        <v>84217</v>
      </c>
      <c r="G106" t="n">
        <v>243701</v>
      </c>
      <c r="H106">
        <f>E106-F106</f>
        <v/>
      </c>
      <c r="I106">
        <f>(E106-F106)/D106</f>
        <v/>
      </c>
    </row>
    <row r="107">
      <c r="A107" s="3" t="n">
        <v>39609</v>
      </c>
      <c r="B107" t="inlineStr">
        <is>
          <t>067651</t>
        </is>
      </c>
      <c r="C107" t="inlineStr">
        <is>
          <t>CRUDE OIL, LIGHT SWEET - NEW YORK MERCANTILE EXCHANGE</t>
        </is>
      </c>
      <c r="D107" t="n">
        <v>1418749</v>
      </c>
      <c r="E107" t="n">
        <v>157517</v>
      </c>
      <c r="F107" t="n">
        <v>83996</v>
      </c>
      <c r="G107" t="n">
        <v>251085</v>
      </c>
      <c r="H107">
        <f>E107-F107</f>
        <v/>
      </c>
      <c r="I107">
        <f>(E107-F107)/D107</f>
        <v/>
      </c>
    </row>
    <row r="108">
      <c r="A108" s="3" t="n">
        <v>39616</v>
      </c>
      <c r="B108" t="inlineStr">
        <is>
          <t>067651</t>
        </is>
      </c>
      <c r="C108" t="inlineStr">
        <is>
          <t>CRUDE OIL, LIGHT SWEET - NEW YORK MERCANTILE EXCHANGE</t>
        </is>
      </c>
      <c r="D108" t="n">
        <v>1335207</v>
      </c>
      <c r="E108" t="n">
        <v>146671</v>
      </c>
      <c r="F108" t="n">
        <v>88594</v>
      </c>
      <c r="G108" t="n">
        <v>224705</v>
      </c>
      <c r="H108">
        <f>E108-F108</f>
        <v/>
      </c>
      <c r="I108">
        <f>(E108-F108)/D108</f>
        <v/>
      </c>
    </row>
    <row r="109">
      <c r="A109" s="3" t="n">
        <v>39623</v>
      </c>
      <c r="B109" t="inlineStr">
        <is>
          <t>067651</t>
        </is>
      </c>
      <c r="C109" t="inlineStr">
        <is>
          <t>CRUDE OIL, LIGHT SWEET - NEW YORK MERCANTILE EXCHANGE</t>
        </is>
      </c>
      <c r="D109" t="n">
        <v>1306075</v>
      </c>
      <c r="E109" t="n">
        <v>150282</v>
      </c>
      <c r="F109" t="n">
        <v>86816</v>
      </c>
      <c r="G109" t="n">
        <v>235656</v>
      </c>
      <c r="H109">
        <f>E109-F109</f>
        <v/>
      </c>
      <c r="I109">
        <f>(E109-F109)/D109</f>
        <v/>
      </c>
    </row>
    <row r="110">
      <c r="A110" s="3" t="n">
        <v>39630</v>
      </c>
      <c r="B110" t="inlineStr">
        <is>
          <t>067651</t>
        </is>
      </c>
      <c r="C110" t="inlineStr">
        <is>
          <t>CRUDE OIL, LIGHT SWEET - NEW YORK MERCANTILE EXCHANGE</t>
        </is>
      </c>
      <c r="D110" t="n">
        <v>1294480</v>
      </c>
      <c r="E110" t="n">
        <v>158677</v>
      </c>
      <c r="F110" t="n">
        <v>82862</v>
      </c>
      <c r="G110" t="n">
        <v>227812</v>
      </c>
      <c r="H110">
        <f>E110-F110</f>
        <v/>
      </c>
      <c r="I110">
        <f>(E110-F110)/D110</f>
        <v/>
      </c>
    </row>
    <row r="111">
      <c r="A111" s="3" t="n">
        <v>39637</v>
      </c>
      <c r="B111" t="inlineStr">
        <is>
          <t>067651</t>
        </is>
      </c>
      <c r="C111" t="inlineStr">
        <is>
          <t>CRUDE OIL, LIGHT SWEET - NEW YORK MERCANTILE EXCHANGE</t>
        </is>
      </c>
      <c r="D111" t="n">
        <v>1316278</v>
      </c>
      <c r="E111" t="n">
        <v>155732</v>
      </c>
      <c r="F111" t="n">
        <v>94961</v>
      </c>
      <c r="G111" t="n">
        <v>220019</v>
      </c>
      <c r="H111">
        <f>E111-F111</f>
        <v/>
      </c>
      <c r="I111">
        <f>(E111-F111)/D111</f>
        <v/>
      </c>
    </row>
    <row r="112">
      <c r="A112" s="3" t="n">
        <v>39644</v>
      </c>
      <c r="B112" t="inlineStr">
        <is>
          <t>067651</t>
        </is>
      </c>
      <c r="C112" t="inlineStr">
        <is>
          <t>CRUDE OIL, LIGHT SWEET - NEW YORK MERCANTILE EXCHANGE</t>
        </is>
      </c>
      <c r="D112" t="n">
        <v>1344411</v>
      </c>
      <c r="E112" t="n">
        <v>152980</v>
      </c>
      <c r="F112" t="n">
        <v>83498</v>
      </c>
      <c r="G112" t="n">
        <v>229029</v>
      </c>
      <c r="H112">
        <f>E112-F112</f>
        <v/>
      </c>
      <c r="I112">
        <f>(E112-F112)/D112</f>
        <v/>
      </c>
    </row>
    <row r="113">
      <c r="A113" s="3" t="n">
        <v>39651</v>
      </c>
      <c r="B113" t="inlineStr">
        <is>
          <t>067651</t>
        </is>
      </c>
      <c r="C113" t="inlineStr">
        <is>
          <t>CRUDE OIL, LIGHT SWEET - NEW YORK MERCANTILE EXCHANGE</t>
        </is>
      </c>
      <c r="D113" t="n">
        <v>1217375</v>
      </c>
      <c r="E113" t="n">
        <v>136629</v>
      </c>
      <c r="F113" t="n">
        <v>81482</v>
      </c>
      <c r="G113" t="n">
        <v>218622</v>
      </c>
      <c r="H113">
        <f>E113-F113</f>
        <v/>
      </c>
      <c r="I113">
        <f>(E113-F113)/D113</f>
        <v/>
      </c>
    </row>
    <row r="114">
      <c r="A114" s="3" t="n">
        <v>39658</v>
      </c>
      <c r="B114" t="inlineStr">
        <is>
          <t>067651</t>
        </is>
      </c>
      <c r="C114" t="inlineStr">
        <is>
          <t>CRUDE OIL, LIGHT SWEET - NEW YORK MERCANTILE EXCHANGE</t>
        </is>
      </c>
      <c r="D114" t="n">
        <v>1220537</v>
      </c>
      <c r="E114" t="n">
        <v>136923</v>
      </c>
      <c r="F114" t="n">
        <v>73926</v>
      </c>
      <c r="G114" t="n">
        <v>218339</v>
      </c>
      <c r="H114">
        <f>E114-F114</f>
        <v/>
      </c>
      <c r="I114">
        <f>(E114-F114)/D114</f>
        <v/>
      </c>
    </row>
    <row r="115">
      <c r="A115" s="3" t="n">
        <v>39665</v>
      </c>
      <c r="B115" t="inlineStr">
        <is>
          <t>067651</t>
        </is>
      </c>
      <c r="C115" t="inlineStr">
        <is>
          <t>CRUDE OIL, LIGHT SWEET - NEW YORK MERCANTILE EXCHANGE</t>
        </is>
      </c>
      <c r="D115" t="n">
        <v>1249302</v>
      </c>
      <c r="E115" t="n">
        <v>128336</v>
      </c>
      <c r="F115" t="n">
        <v>76418</v>
      </c>
      <c r="G115" t="n">
        <v>220869</v>
      </c>
      <c r="H115">
        <f>E115-F115</f>
        <v/>
      </c>
      <c r="I115">
        <f>(E115-F115)/D115</f>
        <v/>
      </c>
    </row>
    <row r="116">
      <c r="A116" s="3" t="n">
        <v>39672</v>
      </c>
      <c r="B116" t="inlineStr">
        <is>
          <t>067651</t>
        </is>
      </c>
      <c r="C116" t="inlineStr">
        <is>
          <t>CRUDE OIL, LIGHT SWEET - NEW YORK MERCANTILE EXCHANGE</t>
        </is>
      </c>
      <c r="D116" t="n">
        <v>1241415</v>
      </c>
      <c r="E116" t="n">
        <v>118921</v>
      </c>
      <c r="F116" t="n">
        <v>74853</v>
      </c>
      <c r="G116" t="n">
        <v>230856</v>
      </c>
      <c r="H116">
        <f>E116-F116</f>
        <v/>
      </c>
      <c r="I116">
        <f>(E116-F116)/D116</f>
        <v/>
      </c>
    </row>
    <row r="117">
      <c r="A117" s="3" t="n">
        <v>39679</v>
      </c>
      <c r="B117" t="inlineStr">
        <is>
          <t>067651</t>
        </is>
      </c>
      <c r="C117" t="inlineStr">
        <is>
          <t>CRUDE OIL, LIGHT SWEET - NEW YORK MERCANTILE EXCHANGE</t>
        </is>
      </c>
      <c r="D117" t="n">
        <v>1203758</v>
      </c>
      <c r="E117" t="n">
        <v>125373</v>
      </c>
      <c r="F117" t="n">
        <v>82640</v>
      </c>
      <c r="G117" t="n">
        <v>212038</v>
      </c>
      <c r="H117">
        <f>E117-F117</f>
        <v/>
      </c>
      <c r="I117">
        <f>(E117-F117)/D117</f>
        <v/>
      </c>
    </row>
    <row r="118">
      <c r="A118" s="3" t="n">
        <v>39686</v>
      </c>
      <c r="B118" t="inlineStr">
        <is>
          <t>067651</t>
        </is>
      </c>
      <c r="C118" t="inlineStr">
        <is>
          <t>CRUDE OIL, LIGHT SWEET - NEW YORK MERCANTILE EXCHANGE</t>
        </is>
      </c>
      <c r="D118" t="n">
        <v>1187623</v>
      </c>
      <c r="E118" t="n">
        <v>125588</v>
      </c>
      <c r="F118" t="n">
        <v>77376</v>
      </c>
      <c r="G118" t="n">
        <v>207747</v>
      </c>
      <c r="H118">
        <f>E118-F118</f>
        <v/>
      </c>
      <c r="I118">
        <f>(E118-F118)/D118</f>
        <v/>
      </c>
    </row>
    <row r="119">
      <c r="A119" s="3" t="n">
        <v>39693</v>
      </c>
      <c r="B119" t="inlineStr">
        <is>
          <t>067651</t>
        </is>
      </c>
      <c r="C119" t="inlineStr">
        <is>
          <t>CRUDE OIL, LIGHT SWEET - NEW YORK MERCANTILE EXCHANGE</t>
        </is>
      </c>
      <c r="D119" t="n">
        <v>1226876</v>
      </c>
      <c r="E119" t="n">
        <v>115729</v>
      </c>
      <c r="F119" t="n">
        <v>76879</v>
      </c>
      <c r="G119" t="n">
        <v>218927</v>
      </c>
      <c r="H119">
        <f>E119-F119</f>
        <v/>
      </c>
      <c r="I119">
        <f>(E119-F119)/D119</f>
        <v/>
      </c>
    </row>
    <row r="120">
      <c r="A120" s="3" t="n">
        <v>39700</v>
      </c>
      <c r="B120" t="inlineStr">
        <is>
          <t>067651</t>
        </is>
      </c>
      <c r="C120" t="inlineStr">
        <is>
          <t>CRUDE OIL, LIGHT SWEET - NEW YORK MERCANTILE EXCHANGE</t>
        </is>
      </c>
      <c r="D120" t="n">
        <v>1231450</v>
      </c>
      <c r="E120" t="n">
        <v>106902</v>
      </c>
      <c r="F120" t="n">
        <v>90097</v>
      </c>
      <c r="G120" t="n">
        <v>204062</v>
      </c>
      <c r="H120">
        <f>E120-F120</f>
        <v/>
      </c>
      <c r="I120">
        <f>(E120-F120)/D120</f>
        <v/>
      </c>
    </row>
    <row r="121">
      <c r="A121" s="3" t="n">
        <v>39707</v>
      </c>
      <c r="B121" t="inlineStr">
        <is>
          <t>067651</t>
        </is>
      </c>
      <c r="C121" t="inlineStr">
        <is>
          <t>CRUDE OIL, LIGHT SWEET - NEW YORK MERCANTILE EXCHANGE</t>
        </is>
      </c>
      <c r="D121" t="n">
        <v>1241629</v>
      </c>
      <c r="E121" t="n">
        <v>107772</v>
      </c>
      <c r="F121" t="n">
        <v>96640</v>
      </c>
      <c r="G121" t="n">
        <v>210057</v>
      </c>
      <c r="H121">
        <f>E121-F121</f>
        <v/>
      </c>
      <c r="I121">
        <f>(E121-F121)/D121</f>
        <v/>
      </c>
    </row>
    <row r="122">
      <c r="A122" s="3" t="n">
        <v>39714</v>
      </c>
      <c r="B122" t="inlineStr">
        <is>
          <t>067651</t>
        </is>
      </c>
      <c r="C122" t="inlineStr">
        <is>
          <t>CRUDE OIL, LIGHT SWEET - NEW YORK MERCANTILE EXCHANGE</t>
        </is>
      </c>
      <c r="D122" t="n">
        <v>1113388</v>
      </c>
      <c r="E122" t="n">
        <v>112689</v>
      </c>
      <c r="F122" t="n">
        <v>89295</v>
      </c>
      <c r="G122" t="n">
        <v>179460</v>
      </c>
      <c r="H122">
        <f>E122-F122</f>
        <v/>
      </c>
      <c r="I122">
        <f>(E122-F122)/D122</f>
        <v/>
      </c>
    </row>
    <row r="123">
      <c r="A123" s="3" t="n">
        <v>39721</v>
      </c>
      <c r="B123" t="inlineStr">
        <is>
          <t>067651</t>
        </is>
      </c>
      <c r="C123" t="inlineStr">
        <is>
          <t>CRUDE OIL, LIGHT SWEET - NEW YORK MERCANTILE EXCHANGE</t>
        </is>
      </c>
      <c r="D123" t="n">
        <v>1092411</v>
      </c>
      <c r="E123" t="n">
        <v>107620</v>
      </c>
      <c r="F123" t="n">
        <v>80349</v>
      </c>
      <c r="G123" t="n">
        <v>180883</v>
      </c>
      <c r="H123">
        <f>E123-F123</f>
        <v/>
      </c>
      <c r="I123">
        <f>(E123-F123)/D123</f>
        <v/>
      </c>
    </row>
    <row r="124">
      <c r="A124" s="3" t="n">
        <v>39728</v>
      </c>
      <c r="B124" t="inlineStr">
        <is>
          <t>067651</t>
        </is>
      </c>
      <c r="C124" t="inlineStr">
        <is>
          <t>CRUDE OIL, LIGHT SWEET - NEW YORK MERCANTILE EXCHANGE</t>
        </is>
      </c>
      <c r="D124" t="n">
        <v>1087569</v>
      </c>
      <c r="E124" t="n">
        <v>88941</v>
      </c>
      <c r="F124" t="n">
        <v>78857</v>
      </c>
      <c r="G124" t="n">
        <v>174571</v>
      </c>
      <c r="H124">
        <f>E124-F124</f>
        <v/>
      </c>
      <c r="I124">
        <f>(E124-F124)/D124</f>
        <v/>
      </c>
    </row>
    <row r="125">
      <c r="A125" s="3" t="n">
        <v>39735</v>
      </c>
      <c r="B125" t="inlineStr">
        <is>
          <t>067651</t>
        </is>
      </c>
      <c r="C125" t="inlineStr">
        <is>
          <t>CRUDE OIL, LIGHT SWEET - NEW YORK MERCANTILE EXCHANGE</t>
        </is>
      </c>
      <c r="D125" t="n">
        <v>1090251</v>
      </c>
      <c r="E125" t="n">
        <v>83540</v>
      </c>
      <c r="F125" t="n">
        <v>81425</v>
      </c>
      <c r="G125" t="n">
        <v>151443</v>
      </c>
      <c r="H125">
        <f>E125-F125</f>
        <v/>
      </c>
      <c r="I125">
        <f>(E125-F125)/D125</f>
        <v/>
      </c>
    </row>
    <row r="126">
      <c r="A126" s="3" t="n">
        <v>39742</v>
      </c>
      <c r="B126" t="inlineStr">
        <is>
          <t>067651</t>
        </is>
      </c>
      <c r="C126" t="inlineStr">
        <is>
          <t>CRUDE OIL, LIGHT SWEET - NEW YORK MERCANTILE EXCHANGE</t>
        </is>
      </c>
      <c r="D126" t="n">
        <v>1035697</v>
      </c>
      <c r="E126" t="n">
        <v>92451</v>
      </c>
      <c r="F126" t="n">
        <v>98403</v>
      </c>
      <c r="G126" t="n">
        <v>135694</v>
      </c>
      <c r="H126">
        <f>E126-F126</f>
        <v/>
      </c>
      <c r="I126">
        <f>(E126-F126)/D126</f>
        <v/>
      </c>
    </row>
    <row r="127">
      <c r="A127" s="3" t="n">
        <v>39749</v>
      </c>
      <c r="B127" t="inlineStr">
        <is>
          <t>067651</t>
        </is>
      </c>
      <c r="C127" t="inlineStr">
        <is>
          <t>CRUDE OIL, LIGHT SWEET - NEW YORK MERCANTILE EXCHANGE</t>
        </is>
      </c>
      <c r="D127" t="n">
        <v>1073159</v>
      </c>
      <c r="E127" t="n">
        <v>97490</v>
      </c>
      <c r="F127" t="n">
        <v>108250</v>
      </c>
      <c r="G127" t="n">
        <v>149609</v>
      </c>
      <c r="H127">
        <f>E127-F127</f>
        <v/>
      </c>
      <c r="I127">
        <f>(E127-F127)/D127</f>
        <v/>
      </c>
    </row>
    <row r="128">
      <c r="A128" s="3" t="n">
        <v>39756</v>
      </c>
      <c r="B128" t="inlineStr">
        <is>
          <t>067651</t>
        </is>
      </c>
      <c r="C128" t="inlineStr">
        <is>
          <t>CRUDE OIL, LIGHT SWEET - NEW YORK MERCANTILE EXCHANGE</t>
        </is>
      </c>
      <c r="D128" t="n">
        <v>1125366</v>
      </c>
      <c r="E128" t="n">
        <v>98479</v>
      </c>
      <c r="F128" t="n">
        <v>119733</v>
      </c>
      <c r="G128" t="n">
        <v>179496</v>
      </c>
      <c r="H128">
        <f>E128-F128</f>
        <v/>
      </c>
      <c r="I128">
        <f>(E128-F128)/D128</f>
        <v/>
      </c>
    </row>
    <row r="129">
      <c r="A129" s="3" t="n">
        <v>39763</v>
      </c>
      <c r="B129" t="inlineStr">
        <is>
          <t>067651</t>
        </is>
      </c>
      <c r="C129" t="inlineStr">
        <is>
          <t>CRUDE OIL, LIGHT SWEET - NEW YORK MERCANTILE EXCHANGE</t>
        </is>
      </c>
      <c r="D129" t="n">
        <v>1154740</v>
      </c>
      <c r="E129" t="n">
        <v>98697</v>
      </c>
      <c r="F129" t="n">
        <v>141432</v>
      </c>
      <c r="G129" t="n">
        <v>170426</v>
      </c>
      <c r="H129">
        <f>E129-F129</f>
        <v/>
      </c>
      <c r="I129">
        <f>(E129-F129)/D129</f>
        <v/>
      </c>
    </row>
    <row r="130">
      <c r="A130" s="3" t="n">
        <v>39770</v>
      </c>
      <c r="B130" t="inlineStr">
        <is>
          <t>067651</t>
        </is>
      </c>
      <c r="C130" t="inlineStr">
        <is>
          <t>CRUDE OIL, LIGHT SWEET - NEW YORK MERCANTILE EXCHANGE</t>
        </is>
      </c>
      <c r="D130" t="n">
        <v>1122604</v>
      </c>
      <c r="E130" t="n">
        <v>91038</v>
      </c>
      <c r="F130" t="n">
        <v>105000</v>
      </c>
      <c r="G130" t="n">
        <v>186172</v>
      </c>
      <c r="H130">
        <f>E130-F130</f>
        <v/>
      </c>
      <c r="I130">
        <f>(E130-F130)/D130</f>
        <v/>
      </c>
    </row>
    <row r="131">
      <c r="A131" s="3" t="n">
        <v>39777</v>
      </c>
      <c r="B131" t="inlineStr">
        <is>
          <t>067651</t>
        </is>
      </c>
      <c r="C131" t="inlineStr">
        <is>
          <t>CRUDE OIL, LIGHT SWEET - NEW YORK MERCANTILE EXCHANGE</t>
        </is>
      </c>
      <c r="D131" t="n">
        <v>1120731</v>
      </c>
      <c r="E131" t="n">
        <v>90448</v>
      </c>
      <c r="F131" t="n">
        <v>102972</v>
      </c>
      <c r="G131" t="n">
        <v>168503</v>
      </c>
      <c r="H131">
        <f>E131-F131</f>
        <v/>
      </c>
      <c r="I131">
        <f>(E131-F131)/D131</f>
        <v/>
      </c>
    </row>
    <row r="132">
      <c r="A132" s="3" t="n">
        <v>39784</v>
      </c>
      <c r="B132" t="inlineStr">
        <is>
          <t>067651</t>
        </is>
      </c>
      <c r="C132" t="inlineStr">
        <is>
          <t>CRUDE OIL, LIGHT SWEET - NEW YORK MERCANTILE EXCHANGE</t>
        </is>
      </c>
      <c r="D132" t="n">
        <v>1147475</v>
      </c>
      <c r="E132" t="n">
        <v>90057</v>
      </c>
      <c r="F132" t="n">
        <v>100798</v>
      </c>
      <c r="G132" t="n">
        <v>177004</v>
      </c>
      <c r="H132">
        <f>E132-F132</f>
        <v/>
      </c>
      <c r="I132">
        <f>(E132-F132)/D132</f>
        <v/>
      </c>
    </row>
    <row r="133">
      <c r="A133" s="3" t="n">
        <v>39791</v>
      </c>
      <c r="B133" t="inlineStr">
        <is>
          <t>067651</t>
        </is>
      </c>
      <c r="C133" t="inlineStr">
        <is>
          <t>CRUDE OIL, LIGHT SWEET - NEW YORK MERCANTILE EXCHANGE</t>
        </is>
      </c>
      <c r="D133" t="n">
        <v>1168030</v>
      </c>
      <c r="E133" t="n">
        <v>108684</v>
      </c>
      <c r="F133" t="n">
        <v>98034</v>
      </c>
      <c r="G133" t="n">
        <v>180412</v>
      </c>
      <c r="H133">
        <f>E133-F133</f>
        <v/>
      </c>
      <c r="I133">
        <f>(E133-F133)/D133</f>
        <v/>
      </c>
    </row>
    <row r="134">
      <c r="A134" s="3" t="n">
        <v>39798</v>
      </c>
      <c r="B134" t="inlineStr">
        <is>
          <t>067651</t>
        </is>
      </c>
      <c r="C134" t="inlineStr">
        <is>
          <t>CRUDE OIL, LIGHT SWEET - NEW YORK MERCANTILE EXCHANGE</t>
        </is>
      </c>
      <c r="D134" t="n">
        <v>1166910</v>
      </c>
      <c r="E134" t="n">
        <v>105828</v>
      </c>
      <c r="F134" t="n">
        <v>76870</v>
      </c>
      <c r="G134" t="n">
        <v>189385</v>
      </c>
      <c r="H134">
        <f>E134-F134</f>
        <v/>
      </c>
      <c r="I134">
        <f>(E134-F134)/D134</f>
        <v/>
      </c>
    </row>
    <row r="135">
      <c r="A135" s="3" t="n">
        <v>39804</v>
      </c>
      <c r="B135" t="inlineStr">
        <is>
          <t>067651</t>
        </is>
      </c>
      <c r="C135" t="inlineStr">
        <is>
          <t>CRUDE OIL, LIGHT SWEET - NEW YORK MERCANTILE EXCHANGE</t>
        </is>
      </c>
      <c r="D135" t="n">
        <v>1135539</v>
      </c>
      <c r="E135" t="n">
        <v>120959</v>
      </c>
      <c r="F135" t="n">
        <v>67710</v>
      </c>
      <c r="G135" t="n">
        <v>181239</v>
      </c>
      <c r="H135">
        <f>E135-F135</f>
        <v/>
      </c>
      <c r="I135">
        <f>(E135-F135)/D135</f>
        <v/>
      </c>
    </row>
    <row r="136">
      <c r="A136" s="3" t="n">
        <v>39812</v>
      </c>
      <c r="B136" t="inlineStr">
        <is>
          <t>067651</t>
        </is>
      </c>
      <c r="C136" t="inlineStr">
        <is>
          <t>CRUDE OIL, LIGHT SWEET - NEW YORK MERCANTILE EXCHANGE</t>
        </is>
      </c>
      <c r="D136" t="n">
        <v>1169215</v>
      </c>
      <c r="E136" t="n">
        <v>122913</v>
      </c>
      <c r="F136" t="n">
        <v>80183</v>
      </c>
      <c r="G136" t="n">
        <v>179194</v>
      </c>
      <c r="H136">
        <f>E136-F136</f>
        <v/>
      </c>
      <c r="I136">
        <f>(E136-F136)/D136</f>
        <v/>
      </c>
    </row>
    <row r="137">
      <c r="A137" s="3" t="n">
        <v>39819</v>
      </c>
      <c r="B137" t="inlineStr">
        <is>
          <t>067651</t>
        </is>
      </c>
      <c r="C137" t="inlineStr">
        <is>
          <t>CRUDE OIL, LIGHT SWEET - NEW YORK MERCANTILE EXCHANGE</t>
        </is>
      </c>
      <c r="D137" t="n">
        <v>1215189</v>
      </c>
      <c r="E137" t="n">
        <v>129783</v>
      </c>
      <c r="F137" t="n">
        <v>83205</v>
      </c>
      <c r="G137" t="n">
        <v>181483</v>
      </c>
      <c r="H137">
        <f>E137-F137</f>
        <v/>
      </c>
      <c r="I137">
        <f>(E137-F137)/D137</f>
        <v/>
      </c>
    </row>
    <row r="138">
      <c r="A138" s="3" t="n">
        <v>39826</v>
      </c>
      <c r="B138" t="inlineStr">
        <is>
          <t>067651</t>
        </is>
      </c>
      <c r="C138" t="inlineStr">
        <is>
          <t>CRUDE OIL, LIGHT SWEET - NEW YORK MERCANTILE EXCHANGE</t>
        </is>
      </c>
      <c r="D138" t="n">
        <v>1246827</v>
      </c>
      <c r="E138" t="n">
        <v>128765</v>
      </c>
      <c r="F138" t="n">
        <v>93798</v>
      </c>
      <c r="G138" t="n">
        <v>176220</v>
      </c>
      <c r="H138">
        <f>E138-F138</f>
        <v/>
      </c>
      <c r="I138">
        <f>(E138-F138)/D138</f>
        <v/>
      </c>
    </row>
    <row r="139">
      <c r="A139" s="3" t="n">
        <v>39833</v>
      </c>
      <c r="B139" t="inlineStr">
        <is>
          <t>067651</t>
        </is>
      </c>
      <c r="C139" t="inlineStr">
        <is>
          <t>CRUDE OIL, LIGHT SWEET - NEW YORK MERCANTILE EXCHANGE</t>
        </is>
      </c>
      <c r="D139" t="n">
        <v>1250327</v>
      </c>
      <c r="E139" t="n">
        <v>139601</v>
      </c>
      <c r="F139" t="n">
        <v>90673</v>
      </c>
      <c r="G139" t="n">
        <v>168222</v>
      </c>
      <c r="H139">
        <f>E139-F139</f>
        <v/>
      </c>
      <c r="I139">
        <f>(E139-F139)/D139</f>
        <v/>
      </c>
    </row>
    <row r="140">
      <c r="A140" s="3" t="n">
        <v>39840</v>
      </c>
      <c r="B140" t="inlineStr">
        <is>
          <t>067651</t>
        </is>
      </c>
      <c r="C140" t="inlineStr">
        <is>
          <t>CRUDE OIL, LIGHT SWEET - NEW YORK MERCANTILE EXCHANGE</t>
        </is>
      </c>
      <c r="D140" t="n">
        <v>1245999</v>
      </c>
      <c r="E140" t="n">
        <v>139543</v>
      </c>
      <c r="F140" t="n">
        <v>89511</v>
      </c>
      <c r="G140" t="n">
        <v>164253</v>
      </c>
      <c r="H140">
        <f>E140-F140</f>
        <v/>
      </c>
      <c r="I140">
        <f>(E140-F140)/D140</f>
        <v/>
      </c>
    </row>
    <row r="141">
      <c r="A141" s="3" t="n">
        <v>39847</v>
      </c>
      <c r="B141" t="inlineStr">
        <is>
          <t>067651</t>
        </is>
      </c>
      <c r="C141" t="inlineStr">
        <is>
          <t>CRUDE OIL, LIGHT SWEET - NEW YORK MERCANTILE EXCHANGE</t>
        </is>
      </c>
      <c r="D141" t="n">
        <v>1254242</v>
      </c>
      <c r="E141" t="n">
        <v>150169</v>
      </c>
      <c r="F141" t="n">
        <v>105089</v>
      </c>
      <c r="G141" t="n">
        <v>165984</v>
      </c>
      <c r="H141">
        <f>E141-F141</f>
        <v/>
      </c>
      <c r="I141">
        <f>(E141-F141)/D141</f>
        <v/>
      </c>
    </row>
    <row r="142">
      <c r="A142" s="3" t="n">
        <v>39854</v>
      </c>
      <c r="B142" t="inlineStr">
        <is>
          <t>067651</t>
        </is>
      </c>
      <c r="C142" t="inlineStr">
        <is>
          <t>CRUDE OIL, LIGHT SWEET - NEW YORK MERCANTILE EXCHANGE</t>
        </is>
      </c>
      <c r="D142" t="n">
        <v>1237590</v>
      </c>
      <c r="E142" t="n">
        <v>144453</v>
      </c>
      <c r="F142" t="n">
        <v>123588</v>
      </c>
      <c r="G142" t="n">
        <v>165442</v>
      </c>
      <c r="H142">
        <f>E142-F142</f>
        <v/>
      </c>
      <c r="I142">
        <f>(E142-F142)/D142</f>
        <v/>
      </c>
    </row>
    <row r="143">
      <c r="A143" s="3" t="n">
        <v>39861</v>
      </c>
      <c r="B143" t="inlineStr">
        <is>
          <t>067651</t>
        </is>
      </c>
      <c r="C143" t="inlineStr">
        <is>
          <t>CRUDE OIL, LIGHT SWEET - NEW YORK MERCANTILE EXCHANGE</t>
        </is>
      </c>
      <c r="D143" t="n">
        <v>1230255</v>
      </c>
      <c r="E143" t="n">
        <v>149132</v>
      </c>
      <c r="F143" t="n">
        <v>117795</v>
      </c>
      <c r="G143" t="n">
        <v>158770</v>
      </c>
      <c r="H143">
        <f>E143-F143</f>
        <v/>
      </c>
      <c r="I143">
        <f>(E143-F143)/D143</f>
        <v/>
      </c>
    </row>
    <row r="144">
      <c r="A144" s="3" t="n">
        <v>39868</v>
      </c>
      <c r="B144" t="inlineStr">
        <is>
          <t>067651</t>
        </is>
      </c>
      <c r="C144" t="inlineStr">
        <is>
          <t>CRUDE OIL, LIGHT SWEET - NEW YORK MERCANTILE EXCHANGE</t>
        </is>
      </c>
      <c r="D144" t="n">
        <v>1179171</v>
      </c>
      <c r="E144" t="n">
        <v>142090</v>
      </c>
      <c r="F144" t="n">
        <v>120031</v>
      </c>
      <c r="G144" t="n">
        <v>155247</v>
      </c>
      <c r="H144">
        <f>E144-F144</f>
        <v/>
      </c>
      <c r="I144">
        <f>(E144-F144)/D144</f>
        <v/>
      </c>
    </row>
    <row r="145">
      <c r="A145" s="3" t="n">
        <v>39875</v>
      </c>
      <c r="B145" t="inlineStr">
        <is>
          <t>067651</t>
        </is>
      </c>
      <c r="C145" t="inlineStr">
        <is>
          <t>CRUDE OIL, LIGHT SWEET - NEW YORK MERCANTILE EXCHANGE</t>
        </is>
      </c>
      <c r="D145" t="n">
        <v>1191724</v>
      </c>
      <c r="E145" t="n">
        <v>128982</v>
      </c>
      <c r="F145" t="n">
        <v>126859</v>
      </c>
      <c r="G145" t="n">
        <v>157659</v>
      </c>
      <c r="H145">
        <f>E145-F145</f>
        <v/>
      </c>
      <c r="I145">
        <f>(E145-F145)/D145</f>
        <v/>
      </c>
    </row>
    <row r="146">
      <c r="A146" s="3" t="n">
        <v>39882</v>
      </c>
      <c r="B146" t="inlineStr">
        <is>
          <t>067651</t>
        </is>
      </c>
      <c r="C146" t="inlineStr">
        <is>
          <t>CRUDE OIL, LIGHT SWEET - NEW YORK MERCANTILE EXCHANGE</t>
        </is>
      </c>
      <c r="D146" t="n">
        <v>1210253</v>
      </c>
      <c r="E146" t="n">
        <v>123935</v>
      </c>
      <c r="F146" t="n">
        <v>103447</v>
      </c>
      <c r="G146" t="n">
        <v>162907</v>
      </c>
      <c r="H146">
        <f>E146-F146</f>
        <v/>
      </c>
      <c r="I146">
        <f>(E146-F146)/D146</f>
        <v/>
      </c>
    </row>
    <row r="147">
      <c r="A147" s="3" t="n">
        <v>39889</v>
      </c>
      <c r="B147" t="inlineStr">
        <is>
          <t>067651</t>
        </is>
      </c>
      <c r="C147" t="inlineStr">
        <is>
          <t>CRUDE OIL, LIGHT SWEET - NEW YORK MERCANTILE EXCHANGE</t>
        </is>
      </c>
      <c r="D147" t="n">
        <v>1197113</v>
      </c>
      <c r="E147" t="n">
        <v>131768</v>
      </c>
      <c r="F147" t="n">
        <v>84047</v>
      </c>
      <c r="G147" t="n">
        <v>153024</v>
      </c>
      <c r="H147">
        <f>E147-F147</f>
        <v/>
      </c>
      <c r="I147">
        <f>(E147-F147)/D147</f>
        <v/>
      </c>
    </row>
    <row r="148">
      <c r="A148" s="3" t="n">
        <v>39896</v>
      </c>
      <c r="B148" t="inlineStr">
        <is>
          <t>067651</t>
        </is>
      </c>
      <c r="C148" t="inlineStr">
        <is>
          <t>CRUDE OIL, LIGHT SWEET - NEW YORK MERCANTILE EXCHANGE</t>
        </is>
      </c>
      <c r="D148" t="n">
        <v>1160240</v>
      </c>
      <c r="E148" t="n">
        <v>131704</v>
      </c>
      <c r="F148" t="n">
        <v>79476</v>
      </c>
      <c r="G148" t="n">
        <v>149915</v>
      </c>
      <c r="H148">
        <f>E148-F148</f>
        <v/>
      </c>
      <c r="I148">
        <f>(E148-F148)/D148</f>
        <v/>
      </c>
    </row>
    <row r="149">
      <c r="A149" s="3" t="n">
        <v>39903</v>
      </c>
      <c r="B149" t="inlineStr">
        <is>
          <t>067651</t>
        </is>
      </c>
      <c r="C149" t="inlineStr">
        <is>
          <t>CRUDE OIL, LIGHT SWEET - NEW YORK MERCANTILE EXCHANGE</t>
        </is>
      </c>
      <c r="D149" t="n">
        <v>1148687</v>
      </c>
      <c r="E149" t="n">
        <v>120815</v>
      </c>
      <c r="F149" t="n">
        <v>87411</v>
      </c>
      <c r="G149" t="n">
        <v>148671</v>
      </c>
      <c r="H149">
        <f>E149-F149</f>
        <v/>
      </c>
      <c r="I149">
        <f>(E149-F149)/D149</f>
        <v/>
      </c>
    </row>
    <row r="150">
      <c r="A150" s="3" t="n">
        <v>39910</v>
      </c>
      <c r="B150" t="inlineStr">
        <is>
          <t>067651</t>
        </is>
      </c>
      <c r="C150" t="inlineStr">
        <is>
          <t>CRUDE OIL, LIGHT SWEET - NEW YORK MERCANTILE EXCHANGE</t>
        </is>
      </c>
      <c r="D150" t="n">
        <v>1162312</v>
      </c>
      <c r="E150" t="n">
        <v>124026</v>
      </c>
      <c r="F150" t="n">
        <v>79080</v>
      </c>
      <c r="G150" t="n">
        <v>150854</v>
      </c>
      <c r="H150">
        <f>E150-F150</f>
        <v/>
      </c>
      <c r="I150">
        <f>(E150-F150)/D150</f>
        <v/>
      </c>
    </row>
    <row r="151">
      <c r="A151" s="3" t="n">
        <v>39917</v>
      </c>
      <c r="B151" t="inlineStr">
        <is>
          <t>067651</t>
        </is>
      </c>
      <c r="C151" t="inlineStr">
        <is>
          <t>CRUDE OIL, LIGHT SWEET - NEW YORK MERCANTILE EXCHANGE</t>
        </is>
      </c>
      <c r="D151" t="n">
        <v>1192619</v>
      </c>
      <c r="E151" t="n">
        <v>121424</v>
      </c>
      <c r="F151" t="n">
        <v>85629</v>
      </c>
      <c r="G151" t="n">
        <v>150400</v>
      </c>
      <c r="H151">
        <f>E151-F151</f>
        <v/>
      </c>
      <c r="I151">
        <f>(E151-F151)/D151</f>
        <v/>
      </c>
    </row>
    <row r="152">
      <c r="A152" s="3" t="n">
        <v>39924</v>
      </c>
      <c r="B152" t="inlineStr">
        <is>
          <t>067651</t>
        </is>
      </c>
      <c r="C152" t="inlineStr">
        <is>
          <t>CRUDE OIL, LIGHT SWEET - NEW YORK MERCANTILE EXCHANGE</t>
        </is>
      </c>
      <c r="D152" t="n">
        <v>1140230</v>
      </c>
      <c r="E152" t="n">
        <v>116415</v>
      </c>
      <c r="F152" t="n">
        <v>107075</v>
      </c>
      <c r="G152" t="n">
        <v>155770</v>
      </c>
      <c r="H152">
        <f>E152-F152</f>
        <v/>
      </c>
      <c r="I152">
        <f>(E152-F152)/D152</f>
        <v/>
      </c>
    </row>
    <row r="153">
      <c r="A153" s="3" t="n">
        <v>39931</v>
      </c>
      <c r="B153" t="inlineStr">
        <is>
          <t>067651</t>
        </is>
      </c>
      <c r="C153" t="inlineStr">
        <is>
          <t>CRUDE OIL, LIGHT SWEET - NEW YORK MERCANTILE EXCHANGE</t>
        </is>
      </c>
      <c r="D153" t="n">
        <v>1139336</v>
      </c>
      <c r="E153" t="n">
        <v>114707</v>
      </c>
      <c r="F153" t="n">
        <v>92486</v>
      </c>
      <c r="G153" t="n">
        <v>151547</v>
      </c>
      <c r="H153">
        <f>E153-F153</f>
        <v/>
      </c>
      <c r="I153">
        <f>(E153-F153)/D153</f>
        <v/>
      </c>
    </row>
    <row r="154">
      <c r="A154" s="3" t="n">
        <v>39938</v>
      </c>
      <c r="B154" t="inlineStr">
        <is>
          <t>067651</t>
        </is>
      </c>
      <c r="C154" t="inlineStr">
        <is>
          <t>CRUDE OIL, LIGHT SWEET - NEW YORK MERCANTILE EXCHANGE</t>
        </is>
      </c>
      <c r="D154" t="n">
        <v>1197954</v>
      </c>
      <c r="E154" t="n">
        <v>121347</v>
      </c>
      <c r="F154" t="n">
        <v>88034</v>
      </c>
      <c r="G154" t="n">
        <v>158791</v>
      </c>
      <c r="H154">
        <f>E154-F154</f>
        <v/>
      </c>
      <c r="I154">
        <f>(E154-F154)/D154</f>
        <v/>
      </c>
    </row>
    <row r="155">
      <c r="A155" s="3" t="n">
        <v>39945</v>
      </c>
      <c r="B155" t="inlineStr">
        <is>
          <t>067651</t>
        </is>
      </c>
      <c r="C155" t="inlineStr">
        <is>
          <t>CRUDE OIL, LIGHT SWEET - NEW YORK MERCANTILE EXCHANGE</t>
        </is>
      </c>
      <c r="D155" t="n">
        <v>1246806</v>
      </c>
      <c r="E155" t="n">
        <v>119915</v>
      </c>
      <c r="F155" t="n">
        <v>63542</v>
      </c>
      <c r="G155" t="n">
        <v>169373</v>
      </c>
      <c r="H155">
        <f>E155-F155</f>
        <v/>
      </c>
      <c r="I155">
        <f>(E155-F155)/D155</f>
        <v/>
      </c>
    </row>
    <row r="156">
      <c r="A156" s="3" t="n">
        <v>39952</v>
      </c>
      <c r="B156" t="inlineStr">
        <is>
          <t>067651</t>
        </is>
      </c>
      <c r="C156" t="inlineStr">
        <is>
          <t>CRUDE OIL, LIGHT SWEET - NEW YORK MERCANTILE EXCHANGE</t>
        </is>
      </c>
      <c r="D156" t="n">
        <v>1093976</v>
      </c>
      <c r="E156" t="n">
        <v>121315</v>
      </c>
      <c r="F156" t="n">
        <v>51773</v>
      </c>
      <c r="G156" t="n">
        <v>165371</v>
      </c>
      <c r="H156">
        <f>E156-F156</f>
        <v/>
      </c>
      <c r="I156">
        <f>(E156-F156)/D156</f>
        <v/>
      </c>
    </row>
    <row r="157">
      <c r="A157" s="3" t="n">
        <v>39959</v>
      </c>
      <c r="B157" t="inlineStr">
        <is>
          <t>067651</t>
        </is>
      </c>
      <c r="C157" t="inlineStr">
        <is>
          <t>CRUDE OIL, LIGHT SWEET - NEW YORK MERCANTILE EXCHANGE</t>
        </is>
      </c>
      <c r="D157" t="n">
        <v>1095865</v>
      </c>
      <c r="E157" t="n">
        <v>129829</v>
      </c>
      <c r="F157" t="n">
        <v>53142</v>
      </c>
      <c r="G157" t="n">
        <v>166846</v>
      </c>
      <c r="H157">
        <f>E157-F157</f>
        <v/>
      </c>
      <c r="I157">
        <f>(E157-F157)/D157</f>
        <v/>
      </c>
    </row>
    <row r="158">
      <c r="A158" s="3" t="n">
        <v>39966</v>
      </c>
      <c r="B158" t="inlineStr">
        <is>
          <t>067651</t>
        </is>
      </c>
      <c r="C158" t="inlineStr">
        <is>
          <t>CRUDE OIL, LIGHT SWEET - NEW YORK MERCANTILE EXCHANGE</t>
        </is>
      </c>
      <c r="D158" t="n">
        <v>1191638</v>
      </c>
      <c r="E158" t="n">
        <v>135598</v>
      </c>
      <c r="F158" t="n">
        <v>65389</v>
      </c>
      <c r="G158" t="n">
        <v>171955</v>
      </c>
      <c r="H158">
        <f>E158-F158</f>
        <v/>
      </c>
      <c r="I158">
        <f>(E158-F158)/D158</f>
        <v/>
      </c>
    </row>
    <row r="159">
      <c r="A159" s="3" t="n">
        <v>39973</v>
      </c>
      <c r="B159" t="inlineStr">
        <is>
          <t>067651</t>
        </is>
      </c>
      <c r="C159" t="inlineStr">
        <is>
          <t>CRUDE OIL, LIGHT SWEET - NEW YORK MERCANTILE EXCHANGE</t>
        </is>
      </c>
      <c r="D159" t="n">
        <v>1203679</v>
      </c>
      <c r="E159" t="n">
        <v>137582</v>
      </c>
      <c r="F159" t="n">
        <v>57522</v>
      </c>
      <c r="G159" t="n">
        <v>173257</v>
      </c>
      <c r="H159">
        <f>E159-F159</f>
        <v/>
      </c>
      <c r="I159">
        <f>(E159-F159)/D159</f>
        <v/>
      </c>
    </row>
    <row r="160">
      <c r="A160" s="3" t="n">
        <v>39980</v>
      </c>
      <c r="B160" t="inlineStr">
        <is>
          <t>067651</t>
        </is>
      </c>
      <c r="C160" t="inlineStr">
        <is>
          <t>CRUDE OIL, LIGHT SWEET - NEW YORK MERCANTILE EXCHANGE</t>
        </is>
      </c>
      <c r="D160" t="n">
        <v>1198182</v>
      </c>
      <c r="E160" t="n">
        <v>135307</v>
      </c>
      <c r="F160" t="n">
        <v>75623</v>
      </c>
      <c r="G160" t="n">
        <v>165221</v>
      </c>
      <c r="H160">
        <f>E160-F160</f>
        <v/>
      </c>
      <c r="I160">
        <f>(E160-F160)/D160</f>
        <v/>
      </c>
    </row>
    <row r="161">
      <c r="A161" s="3" t="n">
        <v>39987</v>
      </c>
      <c r="B161" t="inlineStr">
        <is>
          <t>067651</t>
        </is>
      </c>
      <c r="C161" t="inlineStr">
        <is>
          <t>CRUDE OIL, LIGHT SWEET - NEW YORK MERCANTILE EXCHANGE</t>
        </is>
      </c>
      <c r="D161" t="n">
        <v>1110597</v>
      </c>
      <c r="E161" t="n">
        <v>137744</v>
      </c>
      <c r="F161" t="n">
        <v>66163</v>
      </c>
      <c r="G161" t="n">
        <v>152739</v>
      </c>
      <c r="H161">
        <f>E161-F161</f>
        <v/>
      </c>
      <c r="I161">
        <f>(E161-F161)/D161</f>
        <v/>
      </c>
    </row>
    <row r="162">
      <c r="A162" s="3" t="n">
        <v>39994</v>
      </c>
      <c r="B162" t="inlineStr">
        <is>
          <t>067651</t>
        </is>
      </c>
      <c r="C162" t="inlineStr">
        <is>
          <t>CRUDE OIL, LIGHT SWEET - NEW YORK MERCANTILE EXCHANGE</t>
        </is>
      </c>
      <c r="D162" t="n">
        <v>1159868</v>
      </c>
      <c r="E162" t="n">
        <v>145848</v>
      </c>
      <c r="F162" t="n">
        <v>68924</v>
      </c>
      <c r="G162" t="n">
        <v>156942</v>
      </c>
      <c r="H162">
        <f>E162-F162</f>
        <v/>
      </c>
      <c r="I162">
        <f>(E162-F162)/D162</f>
        <v/>
      </c>
    </row>
    <row r="163">
      <c r="A163" s="3" t="n">
        <v>40001</v>
      </c>
      <c r="B163" t="inlineStr">
        <is>
          <t>067651</t>
        </is>
      </c>
      <c r="C163" t="inlineStr">
        <is>
          <t>CRUDE OIL, LIGHT SWEET - NEW YORK MERCANTILE EXCHANGE</t>
        </is>
      </c>
      <c r="D163" t="n">
        <v>1162597</v>
      </c>
      <c r="E163" t="n">
        <v>126614</v>
      </c>
      <c r="F163" t="n">
        <v>77294</v>
      </c>
      <c r="G163" t="n">
        <v>152674</v>
      </c>
      <c r="H163">
        <f>E163-F163</f>
        <v/>
      </c>
      <c r="I163">
        <f>(E163-F163)/D163</f>
        <v/>
      </c>
    </row>
    <row r="164">
      <c r="A164" s="3" t="n">
        <v>40008</v>
      </c>
      <c r="B164" t="inlineStr">
        <is>
          <t>067651</t>
        </is>
      </c>
      <c r="C164" t="inlineStr">
        <is>
          <t>CRUDE OIL, LIGHT SWEET - NEW YORK MERCANTILE EXCHANGE</t>
        </is>
      </c>
      <c r="D164" t="n">
        <v>1203729</v>
      </c>
      <c r="E164" t="n">
        <v>122997</v>
      </c>
      <c r="F164" t="n">
        <v>76554</v>
      </c>
      <c r="G164" t="n">
        <v>145893</v>
      </c>
      <c r="H164">
        <f>E164-F164</f>
        <v/>
      </c>
      <c r="I164">
        <f>(E164-F164)/D164</f>
        <v/>
      </c>
    </row>
    <row r="165">
      <c r="A165" s="3" t="n">
        <v>40015</v>
      </c>
      <c r="B165" t="inlineStr">
        <is>
          <t>067651</t>
        </is>
      </c>
      <c r="C165" t="inlineStr">
        <is>
          <t>CRUDE OIL, LIGHT SWEET - NEW YORK MERCANTILE EXCHANGE</t>
        </is>
      </c>
      <c r="D165" t="n">
        <v>1149799</v>
      </c>
      <c r="E165" t="n">
        <v>123639</v>
      </c>
      <c r="F165" t="n">
        <v>87230</v>
      </c>
      <c r="G165" t="n">
        <v>142728</v>
      </c>
      <c r="H165">
        <f>E165-F165</f>
        <v/>
      </c>
      <c r="I165">
        <f>(E165-F165)/D165</f>
        <v/>
      </c>
    </row>
    <row r="166">
      <c r="A166" s="3" t="n">
        <v>40022</v>
      </c>
      <c r="B166" t="inlineStr">
        <is>
          <t>067651</t>
        </is>
      </c>
      <c r="C166" t="inlineStr">
        <is>
          <t>CRUDE OIL, LIGHT SWEET - NEW YORK MERCANTILE EXCHANGE</t>
        </is>
      </c>
      <c r="D166" t="n">
        <v>1173580</v>
      </c>
      <c r="E166" t="n">
        <v>132746</v>
      </c>
      <c r="F166" t="n">
        <v>86022</v>
      </c>
      <c r="G166" t="n">
        <v>140591</v>
      </c>
      <c r="H166">
        <f>E166-F166</f>
        <v/>
      </c>
      <c r="I166">
        <f>(E166-F166)/D166</f>
        <v/>
      </c>
    </row>
    <row r="167">
      <c r="A167" s="3" t="n">
        <v>40029</v>
      </c>
      <c r="B167" t="inlineStr">
        <is>
          <t>067651</t>
        </is>
      </c>
      <c r="C167" t="inlineStr">
        <is>
          <t>CRUDE OIL, LIGHT SWEET - NEW YORK MERCANTILE EXCHANGE</t>
        </is>
      </c>
      <c r="D167" t="n">
        <v>1202598</v>
      </c>
      <c r="E167" t="n">
        <v>151695</v>
      </c>
      <c r="F167" t="n">
        <v>66332</v>
      </c>
      <c r="G167" t="n">
        <v>141253</v>
      </c>
      <c r="H167">
        <f>E167-F167</f>
        <v/>
      </c>
      <c r="I167">
        <f>(E167-F167)/D167</f>
        <v/>
      </c>
    </row>
    <row r="168">
      <c r="A168" s="3" t="n">
        <v>40036</v>
      </c>
      <c r="B168" t="inlineStr">
        <is>
          <t>067651</t>
        </is>
      </c>
      <c r="C168" t="inlineStr">
        <is>
          <t>CRUDE OIL, LIGHT SWEET - NEW YORK MERCANTILE EXCHANGE</t>
        </is>
      </c>
      <c r="D168" t="n">
        <v>1172385</v>
      </c>
      <c r="E168" t="n">
        <v>146395</v>
      </c>
      <c r="F168" t="n">
        <v>65424</v>
      </c>
      <c r="G168" t="n">
        <v>153466</v>
      </c>
      <c r="H168">
        <f>E168-F168</f>
        <v/>
      </c>
      <c r="I168">
        <f>(E168-F168)/D168</f>
        <v/>
      </c>
    </row>
    <row r="169">
      <c r="A169" s="3" t="n">
        <v>40043</v>
      </c>
      <c r="B169" t="inlineStr">
        <is>
          <t>067651</t>
        </is>
      </c>
      <c r="C169" t="inlineStr">
        <is>
          <t>CRUDE OIL, LIGHT SWEET - NEW YORK MERCANTILE EXCHANGE</t>
        </is>
      </c>
      <c r="D169" t="n">
        <v>1173172</v>
      </c>
      <c r="E169" t="n">
        <v>138976</v>
      </c>
      <c r="F169" t="n">
        <v>73187</v>
      </c>
      <c r="G169" t="n">
        <v>158530</v>
      </c>
      <c r="H169">
        <f>E169-F169</f>
        <v/>
      </c>
      <c r="I169">
        <f>(E169-F169)/D169</f>
        <v/>
      </c>
    </row>
    <row r="170">
      <c r="A170" s="3" t="n">
        <v>40050</v>
      </c>
      <c r="B170" t="inlineStr">
        <is>
          <t>067651</t>
        </is>
      </c>
      <c r="C170" t="inlineStr">
        <is>
          <t>CRUDE OIL, LIGHT SWEET - NEW YORK MERCANTILE EXCHANGE</t>
        </is>
      </c>
      <c r="D170" t="n">
        <v>1159096</v>
      </c>
      <c r="E170" t="n">
        <v>155309</v>
      </c>
      <c r="F170" t="n">
        <v>69512</v>
      </c>
      <c r="G170" t="n">
        <v>150049</v>
      </c>
      <c r="H170">
        <f>E170-F170</f>
        <v/>
      </c>
      <c r="I170">
        <f>(E170-F170)/D170</f>
        <v/>
      </c>
    </row>
    <row r="171">
      <c r="A171" s="3" t="n">
        <v>40057</v>
      </c>
      <c r="B171" t="inlineStr">
        <is>
          <t>067651</t>
        </is>
      </c>
      <c r="C171" t="inlineStr">
        <is>
          <t>CRUDE OIL, LIGHT SWEET - NEW YORK MERCANTILE EXCHANGE</t>
        </is>
      </c>
      <c r="D171" t="n">
        <v>1164511</v>
      </c>
      <c r="E171" t="n">
        <v>132114</v>
      </c>
      <c r="F171" t="n">
        <v>70110</v>
      </c>
      <c r="G171" t="n">
        <v>157319</v>
      </c>
      <c r="H171">
        <f>E171-F171</f>
        <v/>
      </c>
      <c r="I171">
        <f>(E171-F171)/D171</f>
        <v/>
      </c>
    </row>
    <row r="172">
      <c r="A172" s="3" t="n">
        <v>40064</v>
      </c>
      <c r="B172" t="inlineStr">
        <is>
          <t>067651</t>
        </is>
      </c>
      <c r="C172" t="inlineStr">
        <is>
          <t>CRUDE OIL, LIGHT SWEET - NEW YORK MERCANTILE EXCHANGE</t>
        </is>
      </c>
      <c r="D172" t="n">
        <v>1178263</v>
      </c>
      <c r="E172" t="n">
        <v>131350</v>
      </c>
      <c r="F172" t="n">
        <v>60492</v>
      </c>
      <c r="G172" t="n">
        <v>152599</v>
      </c>
      <c r="H172">
        <f>E172-F172</f>
        <v/>
      </c>
      <c r="I172">
        <f>(E172-F172)/D172</f>
        <v/>
      </c>
    </row>
    <row r="173">
      <c r="A173" s="3" t="n">
        <v>40071</v>
      </c>
      <c r="B173" t="inlineStr">
        <is>
          <t>067651</t>
        </is>
      </c>
      <c r="C173" t="inlineStr">
        <is>
          <t>CRUDE OIL, LIGHT SWEET - NEW YORK MERCANTILE EXCHANGE</t>
        </is>
      </c>
      <c r="D173" t="n">
        <v>1197629</v>
      </c>
      <c r="E173" t="n">
        <v>138611</v>
      </c>
      <c r="F173" t="n">
        <v>48701</v>
      </c>
      <c r="G173" t="n">
        <v>149637</v>
      </c>
      <c r="H173">
        <f>E173-F173</f>
        <v/>
      </c>
      <c r="I173">
        <f>(E173-F173)/D173</f>
        <v/>
      </c>
    </row>
    <row r="174">
      <c r="A174" s="3" t="n">
        <v>40078</v>
      </c>
      <c r="B174" t="inlineStr">
        <is>
          <t>067651</t>
        </is>
      </c>
      <c r="C174" t="inlineStr">
        <is>
          <t>CRUDE OIL, LIGHT SWEET - NEW YORK MERCANTILE EXCHANGE</t>
        </is>
      </c>
      <c r="D174" t="n">
        <v>1124865</v>
      </c>
      <c r="E174" t="n">
        <v>145210</v>
      </c>
      <c r="F174" t="n">
        <v>47179</v>
      </c>
      <c r="G174" t="n">
        <v>140148</v>
      </c>
      <c r="H174">
        <f>E174-F174</f>
        <v/>
      </c>
      <c r="I174">
        <f>(E174-F174)/D174</f>
        <v/>
      </c>
    </row>
    <row r="175">
      <c r="A175" s="3" t="n">
        <v>40085</v>
      </c>
      <c r="B175" t="inlineStr">
        <is>
          <t>067651</t>
        </is>
      </c>
      <c r="C175" t="inlineStr">
        <is>
          <t>CRUDE OIL, LIGHT SWEET - NEW YORK MERCANTILE EXCHANGE</t>
        </is>
      </c>
      <c r="D175" t="n">
        <v>1178475</v>
      </c>
      <c r="E175" t="n">
        <v>138860</v>
      </c>
      <c r="F175" t="n">
        <v>78858</v>
      </c>
      <c r="G175" t="n">
        <v>152105</v>
      </c>
      <c r="H175">
        <f>E175-F175</f>
        <v/>
      </c>
      <c r="I175">
        <f>(E175-F175)/D175</f>
        <v/>
      </c>
    </row>
    <row r="176">
      <c r="A176" s="3" t="n">
        <v>40092</v>
      </c>
      <c r="B176" t="inlineStr">
        <is>
          <t>067651</t>
        </is>
      </c>
      <c r="C176" t="inlineStr">
        <is>
          <t>CRUDE OIL, LIGHT SWEET - NEW YORK MERCANTILE EXCHANGE</t>
        </is>
      </c>
      <c r="D176" t="n">
        <v>1248517</v>
      </c>
      <c r="E176" t="n">
        <v>151383</v>
      </c>
      <c r="F176" t="n">
        <v>62668</v>
      </c>
      <c r="G176" t="n">
        <v>158771</v>
      </c>
      <c r="H176">
        <f>E176-F176</f>
        <v/>
      </c>
      <c r="I176">
        <f>(E176-F176)/D176</f>
        <v/>
      </c>
    </row>
    <row r="177">
      <c r="A177" s="3" t="n">
        <v>40099</v>
      </c>
      <c r="B177" t="inlineStr">
        <is>
          <t>067651</t>
        </is>
      </c>
      <c r="C177" t="inlineStr">
        <is>
          <t>CRUDE OIL, LIGHT SWEET - NEW YORK MERCANTILE EXCHANGE</t>
        </is>
      </c>
      <c r="D177" t="n">
        <v>1263193</v>
      </c>
      <c r="E177" t="n">
        <v>169624</v>
      </c>
      <c r="F177" t="n">
        <v>58307</v>
      </c>
      <c r="G177" t="n">
        <v>159200</v>
      </c>
      <c r="H177">
        <f>E177-F177</f>
        <v/>
      </c>
      <c r="I177">
        <f>(E177-F177)/D177</f>
        <v/>
      </c>
    </row>
    <row r="178">
      <c r="A178" s="3" t="n">
        <v>40106</v>
      </c>
      <c r="B178" t="inlineStr">
        <is>
          <t>067651</t>
        </is>
      </c>
      <c r="C178" t="inlineStr">
        <is>
          <t>CRUDE OIL, LIGHT SWEET - NEW YORK MERCANTILE EXCHANGE</t>
        </is>
      </c>
      <c r="D178" t="n">
        <v>1216356</v>
      </c>
      <c r="E178" t="n">
        <v>189132</v>
      </c>
      <c r="F178" t="n">
        <v>58420</v>
      </c>
      <c r="G178" t="n">
        <v>151533</v>
      </c>
      <c r="H178">
        <f>E178-F178</f>
        <v/>
      </c>
      <c r="I178">
        <f>(E178-F178)/D178</f>
        <v/>
      </c>
    </row>
    <row r="179">
      <c r="A179" s="3" t="n">
        <v>40113</v>
      </c>
      <c r="B179" t="inlineStr">
        <is>
          <t>067651</t>
        </is>
      </c>
      <c r="C179" t="inlineStr">
        <is>
          <t>CRUDE OIL, LIGHT SWEET - NEW YORK MERCANTILE EXCHANGE</t>
        </is>
      </c>
      <c r="D179" t="n">
        <v>1220540</v>
      </c>
      <c r="E179" t="n">
        <v>204608</v>
      </c>
      <c r="F179" t="n">
        <v>47045</v>
      </c>
      <c r="G179" t="n">
        <v>152553</v>
      </c>
      <c r="H179">
        <f>E179-F179</f>
        <v/>
      </c>
      <c r="I179">
        <f>(E179-F179)/D179</f>
        <v/>
      </c>
    </row>
    <row r="180">
      <c r="A180" s="3" t="n">
        <v>40120</v>
      </c>
      <c r="B180" t="inlineStr">
        <is>
          <t>067651</t>
        </is>
      </c>
      <c r="C180" t="inlineStr">
        <is>
          <t>CRUDE OIL, LIGHT SWEET - NEW YORK MERCANTILE EXCHANGE</t>
        </is>
      </c>
      <c r="D180" t="n">
        <v>1191055</v>
      </c>
      <c r="E180" t="n">
        <v>195802</v>
      </c>
      <c r="F180" t="n">
        <v>40141</v>
      </c>
      <c r="G180" t="n">
        <v>151720</v>
      </c>
      <c r="H180">
        <f>E180-F180</f>
        <v/>
      </c>
      <c r="I180">
        <f>(E180-F180)/D180</f>
        <v/>
      </c>
    </row>
    <row r="181">
      <c r="A181" s="3" t="n">
        <v>40126</v>
      </c>
      <c r="B181" t="inlineStr">
        <is>
          <t>067651</t>
        </is>
      </c>
      <c r="C181" t="inlineStr">
        <is>
          <t>CRUDE OIL, LIGHT SWEET - NEW YORK MERCANTILE EXCHANGE</t>
        </is>
      </c>
      <c r="D181" t="n">
        <v>1234952</v>
      </c>
      <c r="E181" t="n">
        <v>187895</v>
      </c>
      <c r="F181" t="n">
        <v>53671</v>
      </c>
      <c r="G181" t="n">
        <v>144289</v>
      </c>
      <c r="H181">
        <f>E181-F181</f>
        <v/>
      </c>
      <c r="I181">
        <f>(E181-F181)/D181</f>
        <v/>
      </c>
    </row>
    <row r="182">
      <c r="A182" s="3" t="n">
        <v>40134</v>
      </c>
      <c r="B182" t="inlineStr">
        <is>
          <t>067651</t>
        </is>
      </c>
      <c r="C182" t="inlineStr">
        <is>
          <t>CRUDE OIL, LIGHT SWEET - NEW YORK MERCANTILE EXCHANGE</t>
        </is>
      </c>
      <c r="D182" t="n">
        <v>1250074</v>
      </c>
      <c r="E182" t="n">
        <v>180310</v>
      </c>
      <c r="F182" t="n">
        <v>32332</v>
      </c>
      <c r="G182" t="n">
        <v>143819</v>
      </c>
      <c r="H182">
        <f>E182-F182</f>
        <v/>
      </c>
      <c r="I182">
        <f>(E182-F182)/D182</f>
        <v/>
      </c>
    </row>
    <row r="183">
      <c r="A183" s="3" t="n">
        <v>40141</v>
      </c>
      <c r="B183" t="inlineStr">
        <is>
          <t>067651</t>
        </is>
      </c>
      <c r="C183" t="inlineStr">
        <is>
          <t>CRUDE OIL, LIGHT SWEET - NEW YORK MERCANTILE EXCHANGE</t>
        </is>
      </c>
      <c r="D183" t="n">
        <v>1182804</v>
      </c>
      <c r="E183" t="n">
        <v>158115</v>
      </c>
      <c r="F183" t="n">
        <v>43142</v>
      </c>
      <c r="G183" t="n">
        <v>148016</v>
      </c>
      <c r="H183">
        <f>E183-F183</f>
        <v/>
      </c>
      <c r="I183">
        <f>(E183-F183)/D183</f>
        <v/>
      </c>
    </row>
    <row r="184">
      <c r="A184" s="3" t="n">
        <v>40148</v>
      </c>
      <c r="B184" t="inlineStr">
        <is>
          <t>067651</t>
        </is>
      </c>
      <c r="C184" t="inlineStr">
        <is>
          <t>CRUDE OIL, LIGHT SWEET - NEW YORK MERCANTILE EXCHANGE</t>
        </is>
      </c>
      <c r="D184" t="n">
        <v>1209796</v>
      </c>
      <c r="E184" t="n">
        <v>165428</v>
      </c>
      <c r="F184" t="n">
        <v>40960</v>
      </c>
      <c r="G184" t="n">
        <v>151502</v>
      </c>
      <c r="H184">
        <f>E184-F184</f>
        <v/>
      </c>
      <c r="I184">
        <f>(E184-F184)/D184</f>
        <v/>
      </c>
    </row>
    <row r="185">
      <c r="A185" s="3" t="n">
        <v>40155</v>
      </c>
      <c r="B185" t="inlineStr">
        <is>
          <t>067651</t>
        </is>
      </c>
      <c r="C185" t="inlineStr">
        <is>
          <t>CRUDE OIL, LIGHT SWEET - NEW YORK MERCANTILE EXCHANGE</t>
        </is>
      </c>
      <c r="D185" t="n">
        <v>1217908</v>
      </c>
      <c r="E185" t="n">
        <v>154348</v>
      </c>
      <c r="F185" t="n">
        <v>52605</v>
      </c>
      <c r="G185" t="n">
        <v>157366</v>
      </c>
      <c r="H185">
        <f>E185-F185</f>
        <v/>
      </c>
      <c r="I185">
        <f>(E185-F185)/D185</f>
        <v/>
      </c>
    </row>
    <row r="186">
      <c r="A186" s="3" t="n">
        <v>40162</v>
      </c>
      <c r="B186" t="inlineStr">
        <is>
          <t>067651</t>
        </is>
      </c>
      <c r="C186" t="inlineStr">
        <is>
          <t>CRUDE OIL, LIGHT SWEET - NEW YORK MERCANTILE EXCHANGE</t>
        </is>
      </c>
      <c r="D186" t="n">
        <v>1217100</v>
      </c>
      <c r="E186" t="n">
        <v>158633</v>
      </c>
      <c r="F186" t="n">
        <v>65420</v>
      </c>
      <c r="G186" t="n">
        <v>144767</v>
      </c>
      <c r="H186">
        <f>E186-F186</f>
        <v/>
      </c>
      <c r="I186">
        <f>(E186-F186)/D186</f>
        <v/>
      </c>
    </row>
    <row r="187">
      <c r="A187" s="3" t="n">
        <v>40169</v>
      </c>
      <c r="B187" t="inlineStr">
        <is>
          <t>067651</t>
        </is>
      </c>
      <c r="C187" t="inlineStr">
        <is>
          <t>CRUDE OIL, LIGHT SWEET - NEW YORK MERCANTILE EXCHANGE</t>
        </is>
      </c>
      <c r="D187" t="n">
        <v>1159436</v>
      </c>
      <c r="E187" t="n">
        <v>158885</v>
      </c>
      <c r="F187" t="n">
        <v>49829</v>
      </c>
      <c r="G187" t="n">
        <v>138256</v>
      </c>
      <c r="H187">
        <f>E187-F187</f>
        <v/>
      </c>
      <c r="I187">
        <f>(E187-F187)/D187</f>
        <v/>
      </c>
    </row>
    <row r="188">
      <c r="A188" s="3" t="n">
        <v>40176</v>
      </c>
      <c r="B188" t="inlineStr">
        <is>
          <t>067651</t>
        </is>
      </c>
      <c r="C188" t="inlineStr">
        <is>
          <t>CRUDE OIL, LIGHT SWEET - NEW YORK MERCANTILE EXCHANGE</t>
        </is>
      </c>
      <c r="D188" t="n">
        <v>1185208</v>
      </c>
      <c r="E188" t="n">
        <v>172733</v>
      </c>
      <c r="F188" t="n">
        <v>39194</v>
      </c>
      <c r="G188" t="n">
        <v>144177</v>
      </c>
      <c r="H188">
        <f>E188-F188</f>
        <v/>
      </c>
      <c r="I188">
        <f>(E188-F188)/D188</f>
        <v/>
      </c>
    </row>
    <row r="189">
      <c r="A189" s="3" t="n">
        <v>40183</v>
      </c>
      <c r="B189" t="inlineStr">
        <is>
          <t>067651</t>
        </is>
      </c>
      <c r="C189" t="inlineStr">
        <is>
          <t>CRUDE OIL, LIGHT SWEET - NEW YORK MERCANTILE EXCHANGE</t>
        </is>
      </c>
      <c r="D189" t="n">
        <v>1231436</v>
      </c>
      <c r="E189" t="n">
        <v>194643</v>
      </c>
      <c r="F189" t="n">
        <v>39868</v>
      </c>
      <c r="G189" t="n">
        <v>158903</v>
      </c>
      <c r="H189">
        <f>E189-F189</f>
        <v/>
      </c>
      <c r="I189">
        <f>(E189-F189)/D189</f>
        <v/>
      </c>
    </row>
    <row r="190">
      <c r="A190" s="3" t="n">
        <v>40190</v>
      </c>
      <c r="B190" t="inlineStr">
        <is>
          <t>067651</t>
        </is>
      </c>
      <c r="C190" t="inlineStr">
        <is>
          <t>CRUDE OIL, LIGHT SWEET - NEW YORK MERCANTILE EXCHANGE</t>
        </is>
      </c>
      <c r="D190" t="n">
        <v>1300867</v>
      </c>
      <c r="E190" t="n">
        <v>217292</v>
      </c>
      <c r="F190" t="n">
        <v>41673</v>
      </c>
      <c r="G190" t="n">
        <v>162548</v>
      </c>
      <c r="H190">
        <f>E190-F190</f>
        <v/>
      </c>
      <c r="I190">
        <f>(E190-F190)/D190</f>
        <v/>
      </c>
    </row>
    <row r="191">
      <c r="A191" s="3" t="n">
        <v>40197</v>
      </c>
      <c r="B191" t="inlineStr">
        <is>
          <t>067651</t>
        </is>
      </c>
      <c r="C191" t="inlineStr">
        <is>
          <t>CRUDE OIL, LIGHT SWEET - NEW YORK MERCANTILE EXCHANGE</t>
        </is>
      </c>
      <c r="D191" t="n">
        <v>1324903</v>
      </c>
      <c r="E191" t="n">
        <v>214738</v>
      </c>
      <c r="F191" t="n">
        <v>37734</v>
      </c>
      <c r="G191" t="n">
        <v>174966</v>
      </c>
      <c r="H191">
        <f>E191-F191</f>
        <v/>
      </c>
      <c r="I191">
        <f>(E191-F191)/D191</f>
        <v/>
      </c>
    </row>
    <row r="192">
      <c r="A192" s="3" t="n">
        <v>40204</v>
      </c>
      <c r="B192" t="inlineStr">
        <is>
          <t>067651</t>
        </is>
      </c>
      <c r="C192" t="inlineStr">
        <is>
          <t>CRUDE OIL, LIGHT SWEET - NEW YORK MERCANTILE EXCHANGE</t>
        </is>
      </c>
      <c r="D192" t="n">
        <v>1320661</v>
      </c>
      <c r="E192" t="n">
        <v>179142</v>
      </c>
      <c r="F192" t="n">
        <v>45987</v>
      </c>
      <c r="G192" t="n">
        <v>183126</v>
      </c>
      <c r="H192">
        <f>E192-F192</f>
        <v/>
      </c>
      <c r="I192">
        <f>(E192-F192)/D192</f>
        <v/>
      </c>
    </row>
    <row r="193">
      <c r="A193" s="3" t="n">
        <v>40211</v>
      </c>
      <c r="B193" t="inlineStr">
        <is>
          <t>067651</t>
        </is>
      </c>
      <c r="C193" t="inlineStr">
        <is>
          <t>CRUDE OIL, LIGHT SWEET - NEW YORK MERCANTILE EXCHANGE</t>
        </is>
      </c>
      <c r="D193" t="n">
        <v>1360697</v>
      </c>
      <c r="E193" t="n">
        <v>169012</v>
      </c>
      <c r="F193" t="n">
        <v>47938</v>
      </c>
      <c r="G193" t="n">
        <v>179801</v>
      </c>
      <c r="H193">
        <f>E193-F193</f>
        <v/>
      </c>
      <c r="I193">
        <f>(E193-F193)/D193</f>
        <v/>
      </c>
    </row>
    <row r="194">
      <c r="A194" s="3" t="n">
        <v>40218</v>
      </c>
      <c r="B194" t="inlineStr">
        <is>
          <t>067651</t>
        </is>
      </c>
      <c r="C194" t="inlineStr">
        <is>
          <t>CRUDE OIL, LIGHT SWEET - NEW YORK MERCANTILE EXCHANGE</t>
        </is>
      </c>
      <c r="D194" t="n">
        <v>1307602</v>
      </c>
      <c r="E194" t="n">
        <v>153244</v>
      </c>
      <c r="F194" t="n">
        <v>64423</v>
      </c>
      <c r="G194" t="n">
        <v>171097</v>
      </c>
      <c r="H194">
        <f>E194-F194</f>
        <v/>
      </c>
      <c r="I194">
        <f>(E194-F194)/D194</f>
        <v/>
      </c>
    </row>
    <row r="195">
      <c r="A195" s="3" t="n">
        <v>40225</v>
      </c>
      <c r="B195" t="inlineStr">
        <is>
          <t>067651</t>
        </is>
      </c>
      <c r="C195" t="inlineStr">
        <is>
          <t>CRUDE OIL, LIGHT SWEET - NEW YORK MERCANTILE EXCHANGE</t>
        </is>
      </c>
      <c r="D195" t="n">
        <v>1301624</v>
      </c>
      <c r="E195" t="n">
        <v>165827</v>
      </c>
      <c r="F195" t="n">
        <v>45386</v>
      </c>
      <c r="G195" t="n">
        <v>167766</v>
      </c>
      <c r="H195">
        <f>E195-F195</f>
        <v/>
      </c>
      <c r="I195">
        <f>(E195-F195)/D195</f>
        <v/>
      </c>
    </row>
    <row r="196">
      <c r="A196" s="3" t="n">
        <v>40232</v>
      </c>
      <c r="B196" t="inlineStr">
        <is>
          <t>067651</t>
        </is>
      </c>
      <c r="C196" t="inlineStr">
        <is>
          <t>CRUDE OIL, LIGHT SWEET - NEW YORK MERCANTILE EXCHANGE</t>
        </is>
      </c>
      <c r="D196" t="n">
        <v>1280235</v>
      </c>
      <c r="E196" t="n">
        <v>180790</v>
      </c>
      <c r="F196" t="n">
        <v>48286</v>
      </c>
      <c r="G196" t="n">
        <v>150938</v>
      </c>
      <c r="H196">
        <f>E196-F196</f>
        <v/>
      </c>
      <c r="I196">
        <f>(E196-F196)/D196</f>
        <v/>
      </c>
    </row>
    <row r="197">
      <c r="A197" s="3" t="n">
        <v>40239</v>
      </c>
      <c r="B197" t="inlineStr">
        <is>
          <t>067651</t>
        </is>
      </c>
      <c r="C197" t="inlineStr">
        <is>
          <t>CRUDE OIL, LIGHT SWEET - NEW YORK MERCANTILE EXCHANGE</t>
        </is>
      </c>
      <c r="D197" t="n">
        <v>1297435</v>
      </c>
      <c r="E197" t="n">
        <v>189727</v>
      </c>
      <c r="F197" t="n">
        <v>45669</v>
      </c>
      <c r="G197" t="n">
        <v>165644</v>
      </c>
      <c r="H197">
        <f>E197-F197</f>
        <v/>
      </c>
      <c r="I197">
        <f>(E197-F197)/D197</f>
        <v/>
      </c>
    </row>
    <row r="198">
      <c r="A198" s="3" t="n">
        <v>40246</v>
      </c>
      <c r="B198" t="inlineStr">
        <is>
          <t>067651</t>
        </is>
      </c>
      <c r="C198" t="inlineStr">
        <is>
          <t>CRUDE OIL, LIGHT SWEET - NEW YORK MERCANTILE EXCHANGE</t>
        </is>
      </c>
      <c r="D198" t="n">
        <v>1348241</v>
      </c>
      <c r="E198" t="n">
        <v>202787</v>
      </c>
      <c r="F198" t="n">
        <v>43387</v>
      </c>
      <c r="G198" t="n">
        <v>165050</v>
      </c>
      <c r="H198">
        <f>E198-F198</f>
        <v/>
      </c>
      <c r="I198">
        <f>(E198-F198)/D198</f>
        <v/>
      </c>
    </row>
    <row r="199">
      <c r="A199" s="3" t="n">
        <v>40253</v>
      </c>
      <c r="B199" t="inlineStr">
        <is>
          <t>067651</t>
        </is>
      </c>
      <c r="C199" t="inlineStr">
        <is>
          <t>CRUDE OIL, LIGHT SWEET - NEW YORK MERCANTILE EXCHANGE</t>
        </is>
      </c>
      <c r="D199" t="n">
        <v>1357426</v>
      </c>
      <c r="E199" t="n">
        <v>213617</v>
      </c>
      <c r="F199" t="n">
        <v>43198</v>
      </c>
      <c r="G199" t="n">
        <v>170939</v>
      </c>
      <c r="H199">
        <f>E199-F199</f>
        <v/>
      </c>
      <c r="I199">
        <f>(E199-F199)/D199</f>
        <v/>
      </c>
    </row>
    <row r="200">
      <c r="A200" s="3" t="n">
        <v>40260</v>
      </c>
      <c r="B200" t="inlineStr">
        <is>
          <t>067651</t>
        </is>
      </c>
      <c r="C200" t="inlineStr">
        <is>
          <t>CRUDE OIL, LIGHT SWEET - NEW YORK MERCANTILE EXCHANGE</t>
        </is>
      </c>
      <c r="D200" t="n">
        <v>1298539</v>
      </c>
      <c r="E200" t="n">
        <v>202575</v>
      </c>
      <c r="F200" t="n">
        <v>45000</v>
      </c>
      <c r="G200" t="n">
        <v>171629</v>
      </c>
      <c r="H200">
        <f>E200-F200</f>
        <v/>
      </c>
      <c r="I200">
        <f>(E200-F200)/D200</f>
        <v/>
      </c>
    </row>
    <row r="201">
      <c r="A201" s="3" t="n">
        <v>40267</v>
      </c>
      <c r="B201" t="inlineStr">
        <is>
          <t>067651</t>
        </is>
      </c>
      <c r="C201" t="inlineStr">
        <is>
          <t>CRUDE OIL, LIGHT SWEET - NEW YORK MERCANTILE EXCHANGE</t>
        </is>
      </c>
      <c r="D201" t="n">
        <v>1283846</v>
      </c>
      <c r="E201" t="n">
        <v>212058</v>
      </c>
      <c r="F201" t="n">
        <v>42580</v>
      </c>
      <c r="G201" t="n">
        <v>162025</v>
      </c>
      <c r="H201">
        <f>E201-F201</f>
        <v/>
      </c>
      <c r="I201">
        <f>(E201-F201)/D201</f>
        <v/>
      </c>
    </row>
    <row r="202">
      <c r="A202" s="3" t="n">
        <v>40274</v>
      </c>
      <c r="B202" t="inlineStr">
        <is>
          <t>067651</t>
        </is>
      </c>
      <c r="C202" t="inlineStr">
        <is>
          <t>CRUDE OIL, LIGHT SWEET - NEW YORK MERCANTILE EXCHANGE</t>
        </is>
      </c>
      <c r="D202" t="n">
        <v>1343407</v>
      </c>
      <c r="E202" t="n">
        <v>235370</v>
      </c>
      <c r="F202" t="n">
        <v>48638</v>
      </c>
      <c r="G202" t="n">
        <v>175010</v>
      </c>
      <c r="H202">
        <f>E202-F202</f>
        <v/>
      </c>
      <c r="I202">
        <f>(E202-F202)/D202</f>
        <v/>
      </c>
    </row>
    <row r="203">
      <c r="A203" s="3" t="n">
        <v>40281</v>
      </c>
      <c r="B203" t="inlineStr">
        <is>
          <t>067651</t>
        </is>
      </c>
      <c r="C203" t="inlineStr">
        <is>
          <t>CRUDE OIL, LIGHT SWEET - NEW YORK MERCANTILE EXCHANGE</t>
        </is>
      </c>
      <c r="D203" t="n">
        <v>1392323</v>
      </c>
      <c r="E203" t="n">
        <v>223408</v>
      </c>
      <c r="F203" t="n">
        <v>47904</v>
      </c>
      <c r="G203" t="n">
        <v>166713</v>
      </c>
      <c r="H203">
        <f>E203-F203</f>
        <v/>
      </c>
      <c r="I203">
        <f>(E203-F203)/D203</f>
        <v/>
      </c>
    </row>
    <row r="204">
      <c r="A204" s="3" t="n">
        <v>40288</v>
      </c>
      <c r="B204" t="inlineStr">
        <is>
          <t>067651</t>
        </is>
      </c>
      <c r="C204" t="inlineStr">
        <is>
          <t>CRUDE OIL, LIGHT SWEET - NEW YORK MERCANTILE EXCHANGE</t>
        </is>
      </c>
      <c r="D204" t="n">
        <v>1356869</v>
      </c>
      <c r="E204" t="n">
        <v>212485</v>
      </c>
      <c r="F204" t="n">
        <v>45466</v>
      </c>
      <c r="G204" t="n">
        <v>162317</v>
      </c>
      <c r="H204">
        <f>E204-F204</f>
        <v/>
      </c>
      <c r="I204">
        <f>(E204-F204)/D204</f>
        <v/>
      </c>
    </row>
    <row r="205">
      <c r="A205" s="3" t="n">
        <v>40295</v>
      </c>
      <c r="B205" t="inlineStr">
        <is>
          <t>067651</t>
        </is>
      </c>
      <c r="C205" t="inlineStr">
        <is>
          <t>CRUDE OIL, LIGHT SWEET - NEW YORK MERCANTILE EXCHANGE</t>
        </is>
      </c>
      <c r="D205" t="n">
        <v>1395964</v>
      </c>
      <c r="E205" t="n">
        <v>198047</v>
      </c>
      <c r="F205" t="n">
        <v>51117</v>
      </c>
      <c r="G205" t="n">
        <v>174033</v>
      </c>
      <c r="H205">
        <f>E205-F205</f>
        <v/>
      </c>
      <c r="I205">
        <f>(E205-F205)/D205</f>
        <v/>
      </c>
    </row>
    <row r="206">
      <c r="A206" s="3" t="n">
        <v>40302</v>
      </c>
      <c r="B206" t="inlineStr">
        <is>
          <t>067651</t>
        </is>
      </c>
      <c r="C206" t="inlineStr">
        <is>
          <t>CRUDE OIL, LIGHT SWEET - NEW YORK MERCANTILE EXCHANGE</t>
        </is>
      </c>
      <c r="D206" t="n">
        <v>1445326</v>
      </c>
      <c r="E206" t="n">
        <v>206198</v>
      </c>
      <c r="F206" t="n">
        <v>51216</v>
      </c>
      <c r="G206" t="n">
        <v>186864</v>
      </c>
      <c r="H206">
        <f>E206-F206</f>
        <v/>
      </c>
      <c r="I206">
        <f>(E206-F206)/D206</f>
        <v/>
      </c>
    </row>
    <row r="207">
      <c r="A207" s="3" t="n">
        <v>40309</v>
      </c>
      <c r="B207" t="inlineStr">
        <is>
          <t>067651</t>
        </is>
      </c>
      <c r="C207" t="inlineStr">
        <is>
          <t>CRUDE OIL, LIGHT SWEET - NEW YORK MERCANTILE EXCHANGE</t>
        </is>
      </c>
      <c r="D207" t="n">
        <v>1470234</v>
      </c>
      <c r="E207" t="n">
        <v>203191</v>
      </c>
      <c r="F207" t="n">
        <v>69749</v>
      </c>
      <c r="G207" t="n">
        <v>175068</v>
      </c>
      <c r="H207">
        <f>E207-F207</f>
        <v/>
      </c>
      <c r="I207">
        <f>(E207-F207)/D207</f>
        <v/>
      </c>
    </row>
    <row r="208">
      <c r="A208" s="3" t="n">
        <v>40316</v>
      </c>
      <c r="B208" t="inlineStr">
        <is>
          <t>067651</t>
        </is>
      </c>
      <c r="C208" t="inlineStr">
        <is>
          <t>CRUDE OIL, LIGHT SWEET - NEW YORK MERCANTILE EXCHANGE</t>
        </is>
      </c>
      <c r="D208" t="n">
        <v>1387907</v>
      </c>
      <c r="E208" t="n">
        <v>191272</v>
      </c>
      <c r="F208" t="n">
        <v>102858</v>
      </c>
      <c r="G208" t="n">
        <v>159897</v>
      </c>
      <c r="H208">
        <f>E208-F208</f>
        <v/>
      </c>
      <c r="I208">
        <f>(E208-F208)/D208</f>
        <v/>
      </c>
    </row>
    <row r="209">
      <c r="A209" s="3" t="n">
        <v>40323</v>
      </c>
      <c r="B209" t="inlineStr">
        <is>
          <t>067651</t>
        </is>
      </c>
      <c r="C209" t="inlineStr">
        <is>
          <t>CRUDE OIL, LIGHT SWEET - NEW YORK MERCANTILE EXCHANGE</t>
        </is>
      </c>
      <c r="D209" t="n">
        <v>1345993</v>
      </c>
      <c r="E209" t="n">
        <v>183241</v>
      </c>
      <c r="F209" t="n">
        <v>107385</v>
      </c>
      <c r="G209" t="n">
        <v>151813</v>
      </c>
      <c r="H209">
        <f>E209-F209</f>
        <v/>
      </c>
      <c r="I209">
        <f>(E209-F209)/D209</f>
        <v/>
      </c>
    </row>
    <row r="210">
      <c r="A210" s="3" t="n">
        <v>40330</v>
      </c>
      <c r="B210" t="inlineStr">
        <is>
          <t>067651</t>
        </is>
      </c>
      <c r="C210" t="inlineStr">
        <is>
          <t>CRUDE OIL, LIGHT SWEET - NEW YORK MERCANTILE EXCHANGE</t>
        </is>
      </c>
      <c r="D210" t="n">
        <v>1367020</v>
      </c>
      <c r="E210" t="n">
        <v>179759</v>
      </c>
      <c r="F210" t="n">
        <v>113931</v>
      </c>
      <c r="G210" t="n">
        <v>163129</v>
      </c>
      <c r="H210">
        <f>E210-F210</f>
        <v/>
      </c>
      <c r="I210">
        <f>(E210-F210)/D210</f>
        <v/>
      </c>
    </row>
    <row r="211">
      <c r="A211" s="3" t="n">
        <v>40337</v>
      </c>
      <c r="B211" t="inlineStr">
        <is>
          <t>067651</t>
        </is>
      </c>
      <c r="C211" t="inlineStr">
        <is>
          <t>CRUDE OIL, LIGHT SWEET - NEW YORK MERCANTILE EXCHANGE</t>
        </is>
      </c>
      <c r="D211" t="n">
        <v>1322308</v>
      </c>
      <c r="E211" t="n">
        <v>178229</v>
      </c>
      <c r="F211" t="n">
        <v>110586</v>
      </c>
      <c r="G211" t="n">
        <v>163897</v>
      </c>
      <c r="H211">
        <f>E211-F211</f>
        <v/>
      </c>
      <c r="I211">
        <f>(E211-F211)/D211</f>
        <v/>
      </c>
    </row>
    <row r="212">
      <c r="A212" s="3" t="n">
        <v>40344</v>
      </c>
      <c r="B212" t="inlineStr">
        <is>
          <t>067651</t>
        </is>
      </c>
      <c r="C212" t="inlineStr">
        <is>
          <t>CRUDE OIL, LIGHT SWEET - NEW YORK MERCANTILE EXCHANGE</t>
        </is>
      </c>
      <c r="D212" t="n">
        <v>1336533</v>
      </c>
      <c r="E212" t="n">
        <v>177653</v>
      </c>
      <c r="F212" t="n">
        <v>86387</v>
      </c>
      <c r="G212" t="n">
        <v>165071</v>
      </c>
      <c r="H212">
        <f>E212-F212</f>
        <v/>
      </c>
      <c r="I212">
        <f>(E212-F212)/D212</f>
        <v/>
      </c>
    </row>
    <row r="213">
      <c r="A213" s="3" t="n">
        <v>40351</v>
      </c>
      <c r="B213" t="inlineStr">
        <is>
          <t>067651</t>
        </is>
      </c>
      <c r="C213" t="inlineStr">
        <is>
          <t>CRUDE OIL, LIGHT SWEET - NEW YORK MERCANTILE EXCHANGE</t>
        </is>
      </c>
      <c r="D213" t="n">
        <v>1260132</v>
      </c>
      <c r="E213" t="n">
        <v>172121</v>
      </c>
      <c r="F213" t="n">
        <v>93088</v>
      </c>
      <c r="G213" t="n">
        <v>146788</v>
      </c>
      <c r="H213">
        <f>E213-F213</f>
        <v/>
      </c>
      <c r="I213">
        <f>(E213-F213)/D213</f>
        <v/>
      </c>
    </row>
    <row r="214">
      <c r="A214" s="3" t="n">
        <v>40358</v>
      </c>
      <c r="B214" t="inlineStr">
        <is>
          <t>067651</t>
        </is>
      </c>
      <c r="C214" t="inlineStr">
        <is>
          <t>CRUDE OIL, LIGHT SWEET - NEW YORK MERCANTILE EXCHANGE</t>
        </is>
      </c>
      <c r="D214" t="n">
        <v>1259675</v>
      </c>
      <c r="E214" t="n">
        <v>168457</v>
      </c>
      <c r="F214" t="n">
        <v>94241</v>
      </c>
      <c r="G214" t="n">
        <v>154014</v>
      </c>
      <c r="H214">
        <f>E214-F214</f>
        <v/>
      </c>
      <c r="I214">
        <f>(E214-F214)/D214</f>
        <v/>
      </c>
    </row>
    <row r="215">
      <c r="A215" s="3" t="n">
        <v>40365</v>
      </c>
      <c r="B215" t="inlineStr">
        <is>
          <t>067651</t>
        </is>
      </c>
      <c r="C215" t="inlineStr">
        <is>
          <t>CRUDE OIL, LIGHT SWEET - NEW YORK MERCANTILE EXCHANGE</t>
        </is>
      </c>
      <c r="D215" t="n">
        <v>1271853</v>
      </c>
      <c r="E215" t="n">
        <v>158544</v>
      </c>
      <c r="F215" t="n">
        <v>103428</v>
      </c>
      <c r="G215" t="n">
        <v>165814</v>
      </c>
      <c r="H215">
        <f>E215-F215</f>
        <v/>
      </c>
      <c r="I215">
        <f>(E215-F215)/D215</f>
        <v/>
      </c>
    </row>
    <row r="216">
      <c r="A216" s="3" t="n">
        <v>40372</v>
      </c>
      <c r="B216" t="inlineStr">
        <is>
          <t>067651</t>
        </is>
      </c>
      <c r="C216" t="inlineStr">
        <is>
          <t>CRUDE OIL, LIGHT SWEET - NEW YORK MERCANTILE EXCHANGE</t>
        </is>
      </c>
      <c r="D216" t="n">
        <v>1276328</v>
      </c>
      <c r="E216" t="n">
        <v>170128</v>
      </c>
      <c r="F216" t="n">
        <v>84166</v>
      </c>
      <c r="G216" t="n">
        <v>156136</v>
      </c>
      <c r="H216">
        <f>E216-F216</f>
        <v/>
      </c>
      <c r="I216">
        <f>(E216-F216)/D216</f>
        <v/>
      </c>
    </row>
    <row r="217">
      <c r="A217" s="3" t="n">
        <v>40379</v>
      </c>
      <c r="B217" t="inlineStr">
        <is>
          <t>067651</t>
        </is>
      </c>
      <c r="C217" t="inlineStr">
        <is>
          <t>CRUDE OIL, LIGHT SWEET - NEW YORK MERCANTILE EXCHANGE</t>
        </is>
      </c>
      <c r="D217" t="n">
        <v>1214183</v>
      </c>
      <c r="E217" t="n">
        <v>169153</v>
      </c>
      <c r="F217" t="n">
        <v>71681</v>
      </c>
      <c r="G217" t="n">
        <v>157795</v>
      </c>
      <c r="H217">
        <f>E217-F217</f>
        <v/>
      </c>
      <c r="I217">
        <f>(E217-F217)/D217</f>
        <v/>
      </c>
    </row>
    <row r="218">
      <c r="A218" s="3" t="n">
        <v>40386</v>
      </c>
      <c r="B218" t="inlineStr">
        <is>
          <t>067651</t>
        </is>
      </c>
      <c r="C218" t="inlineStr">
        <is>
          <t>CRUDE OIL, LIGHT SWEET - NEW YORK MERCANTILE EXCHANGE</t>
        </is>
      </c>
      <c r="D218" t="n">
        <v>1240029</v>
      </c>
      <c r="E218" t="n">
        <v>169376</v>
      </c>
      <c r="F218" t="n">
        <v>61660</v>
      </c>
      <c r="G218" t="n">
        <v>166774</v>
      </c>
      <c r="H218">
        <f>E218-F218</f>
        <v/>
      </c>
      <c r="I218">
        <f>(E218-F218)/D218</f>
        <v/>
      </c>
    </row>
    <row r="219">
      <c r="A219" s="3" t="n">
        <v>40393</v>
      </c>
      <c r="B219" t="inlineStr">
        <is>
          <t>067651</t>
        </is>
      </c>
      <c r="C219" t="inlineStr">
        <is>
          <t>CRUDE OIL, LIGHT SWEET - NEW YORK MERCANTILE EXCHANGE</t>
        </is>
      </c>
      <c r="D219" t="n">
        <v>1234649</v>
      </c>
      <c r="E219" t="n">
        <v>192383</v>
      </c>
      <c r="F219" t="n">
        <v>58719</v>
      </c>
      <c r="G219" t="n">
        <v>165334</v>
      </c>
      <c r="H219">
        <f>E219-F219</f>
        <v/>
      </c>
      <c r="I219">
        <f>(E219-F219)/D219</f>
        <v/>
      </c>
    </row>
    <row r="220">
      <c r="A220" s="3" t="n">
        <v>40400</v>
      </c>
      <c r="B220" t="inlineStr">
        <is>
          <t>067651</t>
        </is>
      </c>
      <c r="C220" t="inlineStr">
        <is>
          <t>CRUDE OIL, LIGHT SWEET - NEW YORK MERCANTILE EXCHANGE</t>
        </is>
      </c>
      <c r="D220" t="n">
        <v>1274605</v>
      </c>
      <c r="E220" t="n">
        <v>186497</v>
      </c>
      <c r="F220" t="n">
        <v>57595</v>
      </c>
      <c r="G220" t="n">
        <v>181190</v>
      </c>
      <c r="H220">
        <f>E220-F220</f>
        <v/>
      </c>
      <c r="I220">
        <f>(E220-F220)/D220</f>
        <v/>
      </c>
    </row>
    <row r="221">
      <c r="A221" s="3" t="n">
        <v>40407</v>
      </c>
      <c r="B221" t="inlineStr">
        <is>
          <t>067651</t>
        </is>
      </c>
      <c r="C221" t="inlineStr">
        <is>
          <t>CRUDE OIL, LIGHT SWEET - NEW YORK MERCANTILE EXCHANGE</t>
        </is>
      </c>
      <c r="D221" t="n">
        <v>1267340</v>
      </c>
      <c r="E221" t="n">
        <v>181310</v>
      </c>
      <c r="F221" t="n">
        <v>72436</v>
      </c>
      <c r="G221" t="n">
        <v>167768</v>
      </c>
      <c r="H221">
        <f>E221-F221</f>
        <v/>
      </c>
      <c r="I221">
        <f>(E221-F221)/D221</f>
        <v/>
      </c>
    </row>
    <row r="222">
      <c r="A222" s="3" t="n">
        <v>40414</v>
      </c>
      <c r="B222" t="inlineStr">
        <is>
          <t>067651</t>
        </is>
      </c>
      <c r="C222" t="inlineStr">
        <is>
          <t>CRUDE OIL, LIGHT SWEET - NEW YORK MERCANTILE EXCHANGE</t>
        </is>
      </c>
      <c r="D222" t="n">
        <v>1246784</v>
      </c>
      <c r="E222" t="n">
        <v>176794</v>
      </c>
      <c r="F222" t="n">
        <v>103319</v>
      </c>
      <c r="G222" t="n">
        <v>164554</v>
      </c>
      <c r="H222">
        <f>E222-F222</f>
        <v/>
      </c>
      <c r="I222">
        <f>(E222-F222)/D222</f>
        <v/>
      </c>
    </row>
    <row r="223">
      <c r="A223" s="3" t="n">
        <v>40421</v>
      </c>
      <c r="B223" t="inlineStr">
        <is>
          <t>067651</t>
        </is>
      </c>
      <c r="C223" t="inlineStr">
        <is>
          <t>CRUDE OIL, LIGHT SWEET - NEW YORK MERCANTILE EXCHANGE</t>
        </is>
      </c>
      <c r="D223" t="n">
        <v>1308042</v>
      </c>
      <c r="E223" t="n">
        <v>188932</v>
      </c>
      <c r="F223" t="n">
        <v>117437</v>
      </c>
      <c r="G223" t="n">
        <v>163094</v>
      </c>
      <c r="H223">
        <f>E223-F223</f>
        <v/>
      </c>
      <c r="I223">
        <f>(E223-F223)/D223</f>
        <v/>
      </c>
    </row>
    <row r="224">
      <c r="A224" s="3" t="n">
        <v>40428</v>
      </c>
      <c r="B224" t="inlineStr">
        <is>
          <t>067651</t>
        </is>
      </c>
      <c r="C224" t="inlineStr">
        <is>
          <t>CRUDE OIL, LIGHT SWEET - NEW YORK MERCANTILE EXCHANGE</t>
        </is>
      </c>
      <c r="D224" t="n">
        <v>1347231</v>
      </c>
      <c r="E224" t="n">
        <v>187178</v>
      </c>
      <c r="F224" t="n">
        <v>109633</v>
      </c>
      <c r="G224" t="n">
        <v>159402</v>
      </c>
      <c r="H224">
        <f>E224-F224</f>
        <v/>
      </c>
      <c r="I224">
        <f>(E224-F224)/D224</f>
        <v/>
      </c>
    </row>
    <row r="225">
      <c r="A225" s="3" t="n">
        <v>40435</v>
      </c>
      <c r="B225" t="inlineStr">
        <is>
          <t>067651</t>
        </is>
      </c>
      <c r="C225" t="inlineStr">
        <is>
          <t>CRUDE OIL, LIGHT SWEET - NEW YORK MERCANTILE EXCHANGE</t>
        </is>
      </c>
      <c r="D225" t="n">
        <v>1336392</v>
      </c>
      <c r="E225" t="n">
        <v>205423</v>
      </c>
      <c r="F225" t="n">
        <v>91663</v>
      </c>
      <c r="G225" t="n">
        <v>150363</v>
      </c>
      <c r="H225">
        <f>E225-F225</f>
        <v/>
      </c>
      <c r="I225">
        <f>(E225-F225)/D225</f>
        <v/>
      </c>
    </row>
    <row r="226">
      <c r="A226" s="3" t="n">
        <v>40442</v>
      </c>
      <c r="B226" t="inlineStr">
        <is>
          <t>067651</t>
        </is>
      </c>
      <c r="C226" t="inlineStr">
        <is>
          <t>CRUDE OIL, LIGHT SWEET - NEW YORK MERCANTILE EXCHANGE</t>
        </is>
      </c>
      <c r="D226" t="n">
        <v>1324114</v>
      </c>
      <c r="E226" t="n">
        <v>196753</v>
      </c>
      <c r="F226" t="n">
        <v>99820</v>
      </c>
      <c r="G226" t="n">
        <v>175489</v>
      </c>
      <c r="H226">
        <f>E226-F226</f>
        <v/>
      </c>
      <c r="I226">
        <f>(E226-F226)/D226</f>
        <v/>
      </c>
    </row>
    <row r="227">
      <c r="A227" s="3" t="n">
        <v>40449</v>
      </c>
      <c r="B227" t="inlineStr">
        <is>
          <t>067651</t>
        </is>
      </c>
      <c r="C227" t="inlineStr">
        <is>
          <t>CRUDE OIL, LIGHT SWEET - NEW YORK MERCANTILE EXCHANGE</t>
        </is>
      </c>
      <c r="D227" t="n">
        <v>1332755</v>
      </c>
      <c r="E227" t="n">
        <v>203694</v>
      </c>
      <c r="F227" t="n">
        <v>96578</v>
      </c>
      <c r="G227" t="n">
        <v>169743</v>
      </c>
      <c r="H227">
        <f>E227-F227</f>
        <v/>
      </c>
      <c r="I227">
        <f>(E227-F227)/D227</f>
        <v/>
      </c>
    </row>
    <row r="228">
      <c r="A228" s="3" t="n">
        <v>40456</v>
      </c>
      <c r="B228" t="inlineStr">
        <is>
          <t>067651</t>
        </is>
      </c>
      <c r="C228" t="inlineStr">
        <is>
          <t>CRUDE OIL, LIGHT SWEET - NEW YORK MERCANTILE EXCHANGE</t>
        </is>
      </c>
      <c r="D228" t="n">
        <v>1407933</v>
      </c>
      <c r="E228" t="n">
        <v>233918</v>
      </c>
      <c r="F228" t="n">
        <v>68805</v>
      </c>
      <c r="G228" t="n">
        <v>178925</v>
      </c>
      <c r="H228">
        <f>E228-F228</f>
        <v/>
      </c>
      <c r="I228">
        <f>(E228-F228)/D228</f>
        <v/>
      </c>
    </row>
    <row r="229">
      <c r="A229" s="3" t="n">
        <v>40463</v>
      </c>
      <c r="B229" t="inlineStr">
        <is>
          <t>067651</t>
        </is>
      </c>
      <c r="C229" t="inlineStr">
        <is>
          <t>CRUDE OIL, LIGHT SWEET - NEW YORK MERCANTILE EXCHANGE</t>
        </is>
      </c>
      <c r="D229" t="n">
        <v>1442044</v>
      </c>
      <c r="E229" t="n">
        <v>237596</v>
      </c>
      <c r="F229" t="n">
        <v>62761</v>
      </c>
      <c r="G229" t="n">
        <v>178018</v>
      </c>
      <c r="H229">
        <f>E229-F229</f>
        <v/>
      </c>
      <c r="I229">
        <f>(E229-F229)/D229</f>
        <v/>
      </c>
    </row>
    <row r="230">
      <c r="A230" s="3" t="n">
        <v>40470</v>
      </c>
      <c r="B230" t="inlineStr">
        <is>
          <t>067651</t>
        </is>
      </c>
      <c r="C230" t="inlineStr">
        <is>
          <t>CRUDE OIL, LIGHT SWEET - NEW YORK MERCANTILE EXCHANGE</t>
        </is>
      </c>
      <c r="D230" t="n">
        <v>1422821</v>
      </c>
      <c r="E230" t="n">
        <v>223112</v>
      </c>
      <c r="F230" t="n">
        <v>72431</v>
      </c>
      <c r="G230" t="n">
        <v>177404</v>
      </c>
      <c r="H230">
        <f>E230-F230</f>
        <v/>
      </c>
      <c r="I230">
        <f>(E230-F230)/D230</f>
        <v/>
      </c>
    </row>
    <row r="231">
      <c r="A231" s="3" t="n">
        <v>40477</v>
      </c>
      <c r="B231" t="inlineStr">
        <is>
          <t>067651</t>
        </is>
      </c>
      <c r="C231" t="inlineStr">
        <is>
          <t>CRUDE OIL, LIGHT SWEET - NEW YORK MERCANTILE EXCHANGE</t>
        </is>
      </c>
      <c r="D231" t="n">
        <v>1394673</v>
      </c>
      <c r="E231" t="n">
        <v>233907</v>
      </c>
      <c r="F231" t="n">
        <v>67849</v>
      </c>
      <c r="G231" t="n">
        <v>177138</v>
      </c>
      <c r="H231">
        <f>E231-F231</f>
        <v/>
      </c>
      <c r="I231">
        <f>(E231-F231)/D231</f>
        <v/>
      </c>
    </row>
    <row r="232">
      <c r="A232" s="3" t="n">
        <v>40484</v>
      </c>
      <c r="B232" t="inlineStr">
        <is>
          <t>067651</t>
        </is>
      </c>
      <c r="C232" t="inlineStr">
        <is>
          <t>CRUDE OIL, LIGHT SWEET - NEW YORK MERCANTILE EXCHANGE</t>
        </is>
      </c>
      <c r="D232" t="n">
        <v>1433324</v>
      </c>
      <c r="E232" t="n">
        <v>249649</v>
      </c>
      <c r="F232" t="n">
        <v>71897</v>
      </c>
      <c r="G232" t="n">
        <v>183763</v>
      </c>
      <c r="H232">
        <f>E232-F232</f>
        <v/>
      </c>
      <c r="I232">
        <f>(E232-F232)/D232</f>
        <v/>
      </c>
    </row>
    <row r="233">
      <c r="A233" s="3" t="n">
        <v>40491</v>
      </c>
      <c r="B233" t="inlineStr">
        <is>
          <t>067651</t>
        </is>
      </c>
      <c r="C233" t="inlineStr">
        <is>
          <t>CRUDE OIL, LIGHT SWEET - NEW YORK MERCANTILE EXCHANGE</t>
        </is>
      </c>
      <c r="D233" t="n">
        <v>1486195</v>
      </c>
      <c r="E233" t="n">
        <v>258393</v>
      </c>
      <c r="F233" t="n">
        <v>69391</v>
      </c>
      <c r="G233" t="n">
        <v>184336</v>
      </c>
      <c r="H233">
        <f>E233-F233</f>
        <v/>
      </c>
      <c r="I233">
        <f>(E233-F233)/D233</f>
        <v/>
      </c>
    </row>
    <row r="234">
      <c r="A234" s="3" t="n">
        <v>40498</v>
      </c>
      <c r="B234" t="inlineStr">
        <is>
          <t>067651</t>
        </is>
      </c>
      <c r="C234" t="inlineStr">
        <is>
          <t>CRUDE OIL, LIGHT SWEET - NEW YORK MERCANTILE EXCHANGE</t>
        </is>
      </c>
      <c r="D234" t="n">
        <v>1399774</v>
      </c>
      <c r="E234" t="n">
        <v>242305</v>
      </c>
      <c r="F234" t="n">
        <v>71913</v>
      </c>
      <c r="G234" t="n">
        <v>154310</v>
      </c>
      <c r="H234">
        <f>E234-F234</f>
        <v/>
      </c>
      <c r="I234">
        <f>(E234-F234)/D234</f>
        <v/>
      </c>
    </row>
    <row r="235">
      <c r="A235" s="3" t="n">
        <v>40505</v>
      </c>
      <c r="B235" t="inlineStr">
        <is>
          <t>067651</t>
        </is>
      </c>
      <c r="C235" t="inlineStr">
        <is>
          <t>CRUDE OIL, LIGHT SWEET - NEW YORK MERCANTILE EXCHANGE</t>
        </is>
      </c>
      <c r="D235" t="n">
        <v>1331203</v>
      </c>
      <c r="E235" t="n">
        <v>220089</v>
      </c>
      <c r="F235" t="n">
        <v>93184</v>
      </c>
      <c r="G235" t="n">
        <v>152127</v>
      </c>
      <c r="H235">
        <f>E235-F235</f>
        <v/>
      </c>
      <c r="I235">
        <f>(E235-F235)/D235</f>
        <v/>
      </c>
    </row>
    <row r="236">
      <c r="A236" s="3" t="n">
        <v>40512</v>
      </c>
      <c r="B236" t="inlineStr">
        <is>
          <t>067651</t>
        </is>
      </c>
      <c r="C236" t="inlineStr">
        <is>
          <t>CRUDE OIL, LIGHT SWEET - NEW YORK MERCANTILE EXCHANGE</t>
        </is>
      </c>
      <c r="D236" t="n">
        <v>1342325</v>
      </c>
      <c r="E236" t="n">
        <v>223158</v>
      </c>
      <c r="F236" t="n">
        <v>71093</v>
      </c>
      <c r="G236" t="n">
        <v>155670</v>
      </c>
      <c r="H236">
        <f>E236-F236</f>
        <v/>
      </c>
      <c r="I236">
        <f>(E236-F236)/D236</f>
        <v/>
      </c>
    </row>
    <row r="237">
      <c r="A237" s="3" t="n">
        <v>40519</v>
      </c>
      <c r="B237" t="inlineStr">
        <is>
          <t>067651</t>
        </is>
      </c>
      <c r="C237" t="inlineStr">
        <is>
          <t>CRUDE OIL, LIGHT SWEET - NEW YORK MERCANTILE EXCHANGE</t>
        </is>
      </c>
      <c r="D237" t="n">
        <v>1367119</v>
      </c>
      <c r="E237" t="n">
        <v>256833</v>
      </c>
      <c r="F237" t="n">
        <v>65662</v>
      </c>
      <c r="G237" t="n">
        <v>151504</v>
      </c>
      <c r="H237">
        <f>E237-F237</f>
        <v/>
      </c>
      <c r="I237">
        <f>(E237-F237)/D237</f>
        <v/>
      </c>
    </row>
    <row r="238">
      <c r="A238" s="3" t="n">
        <v>40526</v>
      </c>
      <c r="B238" t="inlineStr">
        <is>
          <t>067651</t>
        </is>
      </c>
      <c r="C238" t="inlineStr">
        <is>
          <t>CRUDE OIL, LIGHT SWEET - NEW YORK MERCANTILE EXCHANGE</t>
        </is>
      </c>
      <c r="D238" t="n">
        <v>1380779</v>
      </c>
      <c r="E238" t="n">
        <v>249262</v>
      </c>
      <c r="F238" t="n">
        <v>56214</v>
      </c>
      <c r="G238" t="n">
        <v>156230</v>
      </c>
      <c r="H238">
        <f>E238-F238</f>
        <v/>
      </c>
      <c r="I238">
        <f>(E238-F238)/D238</f>
        <v/>
      </c>
    </row>
    <row r="239">
      <c r="A239" s="3" t="n">
        <v>40533</v>
      </c>
      <c r="B239" t="inlineStr">
        <is>
          <t>067651</t>
        </is>
      </c>
      <c r="C239" t="inlineStr">
        <is>
          <t>CRUDE OIL, LIGHT SWEET - NEW YORK MERCANTILE EXCHANGE</t>
        </is>
      </c>
      <c r="D239" t="n">
        <v>1369544</v>
      </c>
      <c r="E239" t="n">
        <v>251181</v>
      </c>
      <c r="F239" t="n">
        <v>56877</v>
      </c>
      <c r="G239" t="n">
        <v>139410</v>
      </c>
      <c r="H239">
        <f>E239-F239</f>
        <v/>
      </c>
      <c r="I239">
        <f>(E239-F239)/D239</f>
        <v/>
      </c>
    </row>
    <row r="240">
      <c r="A240" s="3" t="n">
        <v>40540</v>
      </c>
      <c r="B240" t="inlineStr">
        <is>
          <t>067651</t>
        </is>
      </c>
      <c r="C240" t="inlineStr">
        <is>
          <t>CRUDE OIL, LIGHT SWEET - NEW YORK MERCANTILE EXCHANGE</t>
        </is>
      </c>
      <c r="D240" t="n">
        <v>1401989</v>
      </c>
      <c r="E240" t="n">
        <v>258539</v>
      </c>
      <c r="F240" t="n">
        <v>56318</v>
      </c>
      <c r="G240" t="n">
        <v>144576</v>
      </c>
      <c r="H240">
        <f>E240-F240</f>
        <v/>
      </c>
      <c r="I240">
        <f>(E240-F240)/D240</f>
        <v/>
      </c>
    </row>
    <row r="241">
      <c r="A241" s="3" t="n">
        <v>40547</v>
      </c>
      <c r="B241" t="inlineStr">
        <is>
          <t>067651</t>
        </is>
      </c>
      <c r="C241" t="inlineStr">
        <is>
          <t>CRUDE OIL, LIGHT SWEET - NEW YORK MERCANTILE EXCHANGE</t>
        </is>
      </c>
      <c r="D241" t="n">
        <v>1471226</v>
      </c>
      <c r="E241" t="n">
        <v>243095</v>
      </c>
      <c r="F241" t="n">
        <v>67233</v>
      </c>
      <c r="G241" t="n">
        <v>173759</v>
      </c>
      <c r="H241">
        <f>E241-F241</f>
        <v/>
      </c>
      <c r="I241">
        <f>(E241-F241)/D241</f>
        <v/>
      </c>
    </row>
    <row r="242">
      <c r="A242" s="3" t="n">
        <v>40554</v>
      </c>
      <c r="B242" t="inlineStr">
        <is>
          <t>067651</t>
        </is>
      </c>
      <c r="C242" t="inlineStr">
        <is>
          <t>CRUDE OIL, LIGHT SWEET - NEW YORK MERCANTILE EXCHANGE</t>
        </is>
      </c>
      <c r="D242" t="n">
        <v>1501588</v>
      </c>
      <c r="E242" t="n">
        <v>253290</v>
      </c>
      <c r="F242" t="n">
        <v>57635</v>
      </c>
      <c r="G242" t="n">
        <v>171581</v>
      </c>
      <c r="H242">
        <f>E242-F242</f>
        <v/>
      </c>
      <c r="I242">
        <f>(E242-F242)/D242</f>
        <v/>
      </c>
    </row>
    <row r="243">
      <c r="A243" s="3" t="n">
        <v>40561</v>
      </c>
      <c r="B243" t="inlineStr">
        <is>
          <t>067651</t>
        </is>
      </c>
      <c r="C243" t="inlineStr">
        <is>
          <t>CRUDE OIL, LIGHT SWEET - NEW YORK MERCANTILE EXCHANGE</t>
        </is>
      </c>
      <c r="D243" t="n">
        <v>1491996</v>
      </c>
      <c r="E243" t="n">
        <v>248173</v>
      </c>
      <c r="F243" t="n">
        <v>56970</v>
      </c>
      <c r="G243" t="n">
        <v>158832</v>
      </c>
      <c r="H243">
        <f>E243-F243</f>
        <v/>
      </c>
      <c r="I243">
        <f>(E243-F243)/D243</f>
        <v/>
      </c>
    </row>
    <row r="244">
      <c r="A244" s="3" t="n">
        <v>40568</v>
      </c>
      <c r="B244" t="inlineStr">
        <is>
          <t>067651</t>
        </is>
      </c>
      <c r="C244" t="inlineStr">
        <is>
          <t>CRUDE OIL, LIGHT SWEET - NEW YORK MERCANTILE EXCHANGE</t>
        </is>
      </c>
      <c r="D244" t="n">
        <v>1499599</v>
      </c>
      <c r="E244" t="n">
        <v>217026</v>
      </c>
      <c r="F244" t="n">
        <v>61539</v>
      </c>
      <c r="G244" t="n">
        <v>159824</v>
      </c>
      <c r="H244">
        <f>E244-F244</f>
        <v/>
      </c>
      <c r="I244">
        <f>(E244-F244)/D244</f>
        <v/>
      </c>
    </row>
    <row r="245">
      <c r="A245" s="3" t="n">
        <v>40575</v>
      </c>
      <c r="B245" t="inlineStr">
        <is>
          <t>067651</t>
        </is>
      </c>
      <c r="C245" t="inlineStr">
        <is>
          <t>CRUDE OIL, LIGHT SWEET - NEW YORK MERCANTILE EXCHANGE</t>
        </is>
      </c>
      <c r="D245" t="n">
        <v>1531942</v>
      </c>
      <c r="E245" t="n">
        <v>239160</v>
      </c>
      <c r="F245" t="n">
        <v>62712</v>
      </c>
      <c r="G245" t="n">
        <v>168359</v>
      </c>
      <c r="H245">
        <f>E245-F245</f>
        <v/>
      </c>
      <c r="I245">
        <f>(E245-F245)/D245</f>
        <v/>
      </c>
    </row>
    <row r="246">
      <c r="A246" s="3" t="n">
        <v>40582</v>
      </c>
      <c r="B246" t="inlineStr">
        <is>
          <t>067651</t>
        </is>
      </c>
      <c r="C246" t="inlineStr">
        <is>
          <t>CRUDE OIL, LIGHT SWEET - NEW YORK MERCANTILE EXCHANGE</t>
        </is>
      </c>
      <c r="D246" t="n">
        <v>1536606</v>
      </c>
      <c r="E246" t="n">
        <v>230615</v>
      </c>
      <c r="F246" t="n">
        <v>52183</v>
      </c>
      <c r="G246" t="n">
        <v>178313</v>
      </c>
      <c r="H246">
        <f>E246-F246</f>
        <v/>
      </c>
      <c r="I246">
        <f>(E246-F246)/D246</f>
        <v/>
      </c>
    </row>
    <row r="247">
      <c r="A247" s="3" t="n">
        <v>40589</v>
      </c>
      <c r="B247" t="inlineStr">
        <is>
          <t>067651</t>
        </is>
      </c>
      <c r="C247" t="inlineStr">
        <is>
          <t>CRUDE OIL, LIGHT SWEET - NEW YORK MERCANTILE EXCHANGE</t>
        </is>
      </c>
      <c r="D247" t="n">
        <v>1559669</v>
      </c>
      <c r="E247" t="n">
        <v>218807</v>
      </c>
      <c r="F247" t="n">
        <v>55137</v>
      </c>
      <c r="G247" t="n">
        <v>173150</v>
      </c>
      <c r="H247">
        <f>E247-F247</f>
        <v/>
      </c>
      <c r="I247">
        <f>(E247-F247)/D247</f>
        <v/>
      </c>
    </row>
    <row r="248">
      <c r="A248" s="3" t="n">
        <v>40596</v>
      </c>
      <c r="B248" t="inlineStr">
        <is>
          <t>067651</t>
        </is>
      </c>
      <c r="C248" t="inlineStr">
        <is>
          <t>CRUDE OIL, LIGHT SWEET - NEW YORK MERCANTILE EXCHANGE</t>
        </is>
      </c>
      <c r="D248" t="n">
        <v>1506594</v>
      </c>
      <c r="E248" t="n">
        <v>249629</v>
      </c>
      <c r="F248" t="n">
        <v>43606</v>
      </c>
      <c r="G248" t="n">
        <v>161267</v>
      </c>
      <c r="H248">
        <f>E248-F248</f>
        <v/>
      </c>
      <c r="I248">
        <f>(E248-F248)/D248</f>
        <v/>
      </c>
    </row>
    <row r="249">
      <c r="A249" s="3" t="n">
        <v>40603</v>
      </c>
      <c r="B249" t="inlineStr">
        <is>
          <t>067651</t>
        </is>
      </c>
      <c r="C249" t="inlineStr">
        <is>
          <t>CRUDE OIL, LIGHT SWEET - NEW YORK MERCANTILE EXCHANGE</t>
        </is>
      </c>
      <c r="D249" t="n">
        <v>1569519</v>
      </c>
      <c r="E249" t="n">
        <v>293884</v>
      </c>
      <c r="F249" t="n">
        <v>25262</v>
      </c>
      <c r="G249" t="n">
        <v>173698</v>
      </c>
      <c r="H249">
        <f>E249-F249</f>
        <v/>
      </c>
      <c r="I249">
        <f>(E249-F249)/D249</f>
        <v/>
      </c>
    </row>
    <row r="250">
      <c r="A250" s="3" t="n">
        <v>40610</v>
      </c>
      <c r="B250" t="inlineStr">
        <is>
          <t>067651</t>
        </is>
      </c>
      <c r="C250" t="inlineStr">
        <is>
          <t>CRUDE OIL, LIGHT SWEET - NEW YORK MERCANTILE EXCHANGE</t>
        </is>
      </c>
      <c r="D250" t="n">
        <v>1572544</v>
      </c>
      <c r="E250" t="n">
        <v>301202</v>
      </c>
      <c r="F250" t="n">
        <v>26967</v>
      </c>
      <c r="G250" t="n">
        <v>175558</v>
      </c>
      <c r="H250">
        <f>E250-F250</f>
        <v/>
      </c>
      <c r="I250">
        <f>(E250-F250)/D250</f>
        <v/>
      </c>
    </row>
    <row r="251">
      <c r="A251" s="3" t="n">
        <v>40617</v>
      </c>
      <c r="B251" t="inlineStr">
        <is>
          <t>067651</t>
        </is>
      </c>
      <c r="C251" t="inlineStr">
        <is>
          <t>CRUDE OIL, LIGHT SWEET - NEW YORK MERCANTILE EXCHANGE</t>
        </is>
      </c>
      <c r="D251" t="n">
        <v>1580632</v>
      </c>
      <c r="E251" t="n">
        <v>283647</v>
      </c>
      <c r="F251" t="n">
        <v>32267</v>
      </c>
      <c r="G251" t="n">
        <v>192122</v>
      </c>
      <c r="H251">
        <f>E251-F251</f>
        <v/>
      </c>
      <c r="I251">
        <f>(E251-F251)/D251</f>
        <v/>
      </c>
    </row>
    <row r="252">
      <c r="A252" s="3" t="n">
        <v>40624</v>
      </c>
      <c r="B252" t="inlineStr">
        <is>
          <t>067651</t>
        </is>
      </c>
      <c r="C252" t="inlineStr">
        <is>
          <t>CRUDE OIL, LIGHT SWEET - NEW YORK MERCANTILE EXCHANGE</t>
        </is>
      </c>
      <c r="D252" t="n">
        <v>1503614</v>
      </c>
      <c r="E252" t="n">
        <v>281134</v>
      </c>
      <c r="F252" t="n">
        <v>28916</v>
      </c>
      <c r="G252" t="n">
        <v>167819</v>
      </c>
      <c r="H252">
        <f>E252-F252</f>
        <v/>
      </c>
      <c r="I252">
        <f>(E252-F252)/D252</f>
        <v/>
      </c>
    </row>
    <row r="253">
      <c r="A253" s="3" t="n">
        <v>40631</v>
      </c>
      <c r="B253" t="inlineStr">
        <is>
          <t>067651</t>
        </is>
      </c>
      <c r="C253" t="inlineStr">
        <is>
          <t>CRUDE OIL, LIGHT SWEET - NEW YORK MERCANTILE EXCHANGE</t>
        </is>
      </c>
      <c r="D253" t="n">
        <v>1516081</v>
      </c>
      <c r="E253" t="n">
        <v>293308</v>
      </c>
      <c r="F253" t="n">
        <v>31549</v>
      </c>
      <c r="G253" t="n">
        <v>174204</v>
      </c>
      <c r="H253">
        <f>E253-F253</f>
        <v/>
      </c>
      <c r="I253">
        <f>(E253-F253)/D253</f>
        <v/>
      </c>
    </row>
    <row r="254">
      <c r="A254" s="3" t="n">
        <v>40638</v>
      </c>
      <c r="B254" t="inlineStr">
        <is>
          <t>067651</t>
        </is>
      </c>
      <c r="C254" t="inlineStr">
        <is>
          <t>CRUDE OIL, LIGHT SWEET - NEW YORK MERCANTILE EXCHANGE</t>
        </is>
      </c>
      <c r="D254" t="n">
        <v>1566762</v>
      </c>
      <c r="E254" t="n">
        <v>296342</v>
      </c>
      <c r="F254" t="n">
        <v>28803</v>
      </c>
      <c r="G254" t="n">
        <v>191329</v>
      </c>
      <c r="H254">
        <f>E254-F254</f>
        <v/>
      </c>
      <c r="I254">
        <f>(E254-F254)/D254</f>
        <v/>
      </c>
    </row>
    <row r="255">
      <c r="A255" s="3" t="n">
        <v>40645</v>
      </c>
      <c r="B255" t="inlineStr">
        <is>
          <t>067651</t>
        </is>
      </c>
      <c r="C255" t="inlineStr">
        <is>
          <t>CRUDE OIL, LIGHT SWEET - NEW YORK MERCANTILE EXCHANGE</t>
        </is>
      </c>
      <c r="D255" t="n">
        <v>1584517</v>
      </c>
      <c r="E255" t="n">
        <v>279198</v>
      </c>
      <c r="F255" t="n">
        <v>27951</v>
      </c>
      <c r="G255" t="n">
        <v>207259</v>
      </c>
      <c r="H255">
        <f>E255-F255</f>
        <v/>
      </c>
      <c r="I255">
        <f>(E255-F255)/D255</f>
        <v/>
      </c>
    </row>
    <row r="256">
      <c r="A256" s="3" t="n">
        <v>40652</v>
      </c>
      <c r="B256" t="inlineStr">
        <is>
          <t>067651</t>
        </is>
      </c>
      <c r="C256" t="inlineStr">
        <is>
          <t>CRUDE OIL, LIGHT SWEET - NEW YORK MERCANTILE EXCHANGE</t>
        </is>
      </c>
      <c r="D256" t="n">
        <v>1539895</v>
      </c>
      <c r="E256" t="n">
        <v>296915</v>
      </c>
      <c r="F256" t="n">
        <v>37904</v>
      </c>
      <c r="G256" t="n">
        <v>184093</v>
      </c>
      <c r="H256">
        <f>E256-F256</f>
        <v/>
      </c>
      <c r="I256">
        <f>(E256-F256)/D256</f>
        <v/>
      </c>
    </row>
    <row r="257">
      <c r="A257" s="3" t="n">
        <v>40659</v>
      </c>
      <c r="B257" t="inlineStr">
        <is>
          <t>067651</t>
        </is>
      </c>
      <c r="C257" t="inlineStr">
        <is>
          <t>CRUDE OIL, LIGHT SWEET - NEW YORK MERCANTILE EXCHANGE</t>
        </is>
      </c>
      <c r="D257" t="n">
        <v>1553704</v>
      </c>
      <c r="E257" t="n">
        <v>296609</v>
      </c>
      <c r="F257" t="n">
        <v>33373</v>
      </c>
      <c r="G257" t="n">
        <v>189465</v>
      </c>
      <c r="H257">
        <f>E257-F257</f>
        <v/>
      </c>
      <c r="I257">
        <f>(E257-F257)/D257</f>
        <v/>
      </c>
    </row>
    <row r="258">
      <c r="A258" s="3" t="n">
        <v>40666</v>
      </c>
      <c r="B258" t="inlineStr">
        <is>
          <t>067651</t>
        </is>
      </c>
      <c r="C258" t="inlineStr">
        <is>
          <t>CRUDE OIL, LIGHT SWEET - NEW YORK MERCANTILE EXCHANGE</t>
        </is>
      </c>
      <c r="D258" t="n">
        <v>1624328</v>
      </c>
      <c r="E258" t="n">
        <v>295640</v>
      </c>
      <c r="F258" t="n">
        <v>36972</v>
      </c>
      <c r="G258" t="n">
        <v>207330</v>
      </c>
      <c r="H258">
        <f>E258-F258</f>
        <v/>
      </c>
      <c r="I258">
        <f>(E258-F258)/D258</f>
        <v/>
      </c>
    </row>
    <row r="259">
      <c r="A259" s="3" t="n">
        <v>40673</v>
      </c>
      <c r="B259" t="inlineStr">
        <is>
          <t>067651</t>
        </is>
      </c>
      <c r="C259" t="inlineStr">
        <is>
          <t>CRUDE OIL, LIGHT SWEET - NEW YORK MERCANTILE EXCHANGE</t>
        </is>
      </c>
      <c r="D259" t="n">
        <v>1653799</v>
      </c>
      <c r="E259" t="n">
        <v>280900</v>
      </c>
      <c r="F259" t="n">
        <v>47331</v>
      </c>
      <c r="G259" t="n">
        <v>224474</v>
      </c>
      <c r="H259">
        <f>E259-F259</f>
        <v/>
      </c>
      <c r="I259">
        <f>(E259-F259)/D259</f>
        <v/>
      </c>
    </row>
    <row r="260">
      <c r="A260" s="3" t="n">
        <v>40680</v>
      </c>
      <c r="B260" t="inlineStr">
        <is>
          <t>067651</t>
        </is>
      </c>
      <c r="C260" t="inlineStr">
        <is>
          <t>CRUDE OIL, LIGHT SWEET - NEW YORK MERCANTILE EXCHANGE</t>
        </is>
      </c>
      <c r="D260" t="n">
        <v>1582868</v>
      </c>
      <c r="E260" t="n">
        <v>249943</v>
      </c>
      <c r="F260" t="n">
        <v>37935</v>
      </c>
      <c r="G260" t="n">
        <v>214586</v>
      </c>
      <c r="H260">
        <f>E260-F260</f>
        <v/>
      </c>
      <c r="I260">
        <f>(E260-F260)/D260</f>
        <v/>
      </c>
    </row>
    <row r="261">
      <c r="A261" s="3" t="n">
        <v>40687</v>
      </c>
      <c r="B261" t="inlineStr">
        <is>
          <t>067651</t>
        </is>
      </c>
      <c r="C261" t="inlineStr">
        <is>
          <t>CRUDE OIL, LIGHT SWEET - NEW YORK MERCANTILE EXCHANGE</t>
        </is>
      </c>
      <c r="D261" t="n">
        <v>1522076</v>
      </c>
      <c r="E261" t="n">
        <v>251438</v>
      </c>
      <c r="F261" t="n">
        <v>38498</v>
      </c>
      <c r="G261" t="n">
        <v>208491</v>
      </c>
      <c r="H261">
        <f>E261-F261</f>
        <v/>
      </c>
      <c r="I261">
        <f>(E261-F261)/D261</f>
        <v/>
      </c>
    </row>
    <row r="262">
      <c r="A262" s="3" t="n">
        <v>40694</v>
      </c>
      <c r="B262" t="inlineStr">
        <is>
          <t>067651</t>
        </is>
      </c>
      <c r="C262" t="inlineStr">
        <is>
          <t>CRUDE OIL, LIGHT SWEET - NEW YORK MERCANTILE EXCHANGE</t>
        </is>
      </c>
      <c r="D262" t="n">
        <v>1508418</v>
      </c>
      <c r="E262" t="n">
        <v>246234</v>
      </c>
      <c r="F262" t="n">
        <v>40407</v>
      </c>
      <c r="G262" t="n">
        <v>213862</v>
      </c>
      <c r="H262">
        <f>E262-F262</f>
        <v/>
      </c>
      <c r="I262">
        <f>(E262-F262)/D262</f>
        <v/>
      </c>
    </row>
    <row r="263">
      <c r="A263" s="3" t="n">
        <v>40701</v>
      </c>
      <c r="B263" t="inlineStr">
        <is>
          <t>067651</t>
        </is>
      </c>
      <c r="C263" t="inlineStr">
        <is>
          <t>CRUDE OIL, LIGHT SWEET - NEW YORK MERCANTILE EXCHANGE</t>
        </is>
      </c>
      <c r="D263" t="n">
        <v>1515910</v>
      </c>
      <c r="E263" t="n">
        <v>236116</v>
      </c>
      <c r="F263" t="n">
        <v>57899</v>
      </c>
      <c r="G263" t="n">
        <v>208285</v>
      </c>
      <c r="H263">
        <f>E263-F263</f>
        <v/>
      </c>
      <c r="I263">
        <f>(E263-F263)/D263</f>
        <v/>
      </c>
    </row>
    <row r="264">
      <c r="A264" s="3" t="n">
        <v>40708</v>
      </c>
      <c r="B264" t="inlineStr">
        <is>
          <t>067651</t>
        </is>
      </c>
      <c r="C264" t="inlineStr">
        <is>
          <t>CRUDE OIL, LIGHT SWEET - NEW YORK MERCANTILE EXCHANGE</t>
        </is>
      </c>
      <c r="D264" t="n">
        <v>1584927</v>
      </c>
      <c r="E264" t="n">
        <v>240024</v>
      </c>
      <c r="F264" t="n">
        <v>56911</v>
      </c>
      <c r="G264" t="n">
        <v>229812</v>
      </c>
      <c r="H264">
        <f>E264-F264</f>
        <v/>
      </c>
      <c r="I264">
        <f>(E264-F264)/D264</f>
        <v/>
      </c>
    </row>
    <row r="265">
      <c r="A265" s="3" t="n">
        <v>40715</v>
      </c>
      <c r="B265" t="inlineStr">
        <is>
          <t>067651</t>
        </is>
      </c>
      <c r="C265" t="inlineStr">
        <is>
          <t>CRUDE OIL, LIGHT SWEET - NEW YORK MERCANTILE EXCHANGE</t>
        </is>
      </c>
      <c r="D265" t="n">
        <v>1528927</v>
      </c>
      <c r="E265" t="n">
        <v>228586</v>
      </c>
      <c r="F265" t="n">
        <v>66396</v>
      </c>
      <c r="G265" t="n">
        <v>213377</v>
      </c>
      <c r="H265">
        <f>E265-F265</f>
        <v/>
      </c>
      <c r="I265">
        <f>(E265-F265)/D265</f>
        <v/>
      </c>
    </row>
    <row r="266">
      <c r="A266" s="3" t="n">
        <v>40722</v>
      </c>
      <c r="B266" t="inlineStr">
        <is>
          <t>067651</t>
        </is>
      </c>
      <c r="C266" t="inlineStr">
        <is>
          <t>CRUDE OIL, LIGHT SWEET - NEW YORK MERCANTILE EXCHANGE</t>
        </is>
      </c>
      <c r="D266" t="n">
        <v>1524313</v>
      </c>
      <c r="E266" t="n">
        <v>223022</v>
      </c>
      <c r="F266" t="n">
        <v>73018</v>
      </c>
      <c r="G266" t="n">
        <v>211130</v>
      </c>
      <c r="H266">
        <f>E266-F266</f>
        <v/>
      </c>
      <c r="I266">
        <f>(E266-F266)/D266</f>
        <v/>
      </c>
    </row>
    <row r="267">
      <c r="A267" s="3" t="n">
        <v>40729</v>
      </c>
      <c r="B267" t="inlineStr">
        <is>
          <t>067651</t>
        </is>
      </c>
      <c r="C267" t="inlineStr">
        <is>
          <t>CRUDE OIL, LIGHT SWEET - NEW YORK MERCANTILE EXCHANGE</t>
        </is>
      </c>
      <c r="D267" t="n">
        <v>1522391</v>
      </c>
      <c r="E267" t="n">
        <v>224114</v>
      </c>
      <c r="F267" t="n">
        <v>64473</v>
      </c>
      <c r="G267" t="n">
        <v>209482</v>
      </c>
      <c r="H267">
        <f>E267-F267</f>
        <v/>
      </c>
      <c r="I267">
        <f>(E267-F267)/D267</f>
        <v/>
      </c>
    </row>
    <row r="268">
      <c r="A268" s="3" t="n">
        <v>40736</v>
      </c>
      <c r="B268" t="inlineStr">
        <is>
          <t>067651</t>
        </is>
      </c>
      <c r="C268" t="inlineStr">
        <is>
          <t>CRUDE OIL, LIGHT SWEET - NEW YORK MERCANTILE EXCHANGE</t>
        </is>
      </c>
      <c r="D268" t="n">
        <v>1538256</v>
      </c>
      <c r="E268" t="n">
        <v>228578</v>
      </c>
      <c r="F268" t="n">
        <v>66290</v>
      </c>
      <c r="G268" t="n">
        <v>210660</v>
      </c>
      <c r="H268">
        <f>E268-F268</f>
        <v/>
      </c>
      <c r="I268">
        <f>(E268-F268)/D268</f>
        <v/>
      </c>
    </row>
    <row r="269">
      <c r="A269" s="3" t="n">
        <v>40743</v>
      </c>
      <c r="B269" t="inlineStr">
        <is>
          <t>067651</t>
        </is>
      </c>
      <c r="C269" t="inlineStr">
        <is>
          <t>CRUDE OIL, LIGHT SWEET - NEW YORK MERCANTILE EXCHANGE</t>
        </is>
      </c>
      <c r="D269" t="n">
        <v>1493882</v>
      </c>
      <c r="E269" t="n">
        <v>237123</v>
      </c>
      <c r="F269" t="n">
        <v>65733</v>
      </c>
      <c r="G269" t="n">
        <v>199635</v>
      </c>
      <c r="H269">
        <f>E269-F269</f>
        <v/>
      </c>
      <c r="I269">
        <f>(E269-F269)/D269</f>
        <v/>
      </c>
    </row>
    <row r="270">
      <c r="A270" s="3" t="n">
        <v>40750</v>
      </c>
      <c r="B270" t="inlineStr">
        <is>
          <t>067651</t>
        </is>
      </c>
      <c r="C270" t="inlineStr">
        <is>
          <t>CRUDE OIL, LIGHT SWEET - NEW YORK MERCANTILE EXCHANGE</t>
        </is>
      </c>
      <c r="D270" t="n">
        <v>1506662</v>
      </c>
      <c r="E270" t="n">
        <v>244362</v>
      </c>
      <c r="F270" t="n">
        <v>64349</v>
      </c>
      <c r="G270" t="n">
        <v>202987</v>
      </c>
      <c r="H270">
        <f>E270-F270</f>
        <v/>
      </c>
      <c r="I270">
        <f>(E270-F270)/D270</f>
        <v/>
      </c>
    </row>
    <row r="271">
      <c r="A271" s="3" t="n">
        <v>40757</v>
      </c>
      <c r="B271" t="inlineStr">
        <is>
          <t>067651</t>
        </is>
      </c>
      <c r="C271" t="inlineStr">
        <is>
          <t>CRUDE OIL, LIGHT SWEET - NEW YORK MERCANTILE EXCHANGE</t>
        </is>
      </c>
      <c r="D271" t="n">
        <v>1528978</v>
      </c>
      <c r="E271" t="n">
        <v>234663</v>
      </c>
      <c r="F271" t="n">
        <v>77524</v>
      </c>
      <c r="G271" t="n">
        <v>223987</v>
      </c>
      <c r="H271">
        <f>E271-F271</f>
        <v/>
      </c>
      <c r="I271">
        <f>(E271-F271)/D271</f>
        <v/>
      </c>
    </row>
    <row r="272">
      <c r="A272" s="3" t="n">
        <v>40764</v>
      </c>
      <c r="B272" t="inlineStr">
        <is>
          <t>067651</t>
        </is>
      </c>
      <c r="C272" t="inlineStr">
        <is>
          <t>CRUDE OIL, LIGHT SWEET - NEW YORK MERCANTILE EXCHANGE</t>
        </is>
      </c>
      <c r="D272" t="n">
        <v>1564480</v>
      </c>
      <c r="E272" t="n">
        <v>227268</v>
      </c>
      <c r="F272" t="n">
        <v>80156</v>
      </c>
      <c r="G272" t="n">
        <v>237161</v>
      </c>
      <c r="H272">
        <f>E272-F272</f>
        <v/>
      </c>
      <c r="I272">
        <f>(E272-F272)/D272</f>
        <v/>
      </c>
    </row>
    <row r="273">
      <c r="A273" s="3" t="n">
        <v>40771</v>
      </c>
      <c r="B273" t="inlineStr">
        <is>
          <t>067651</t>
        </is>
      </c>
      <c r="C273" t="inlineStr">
        <is>
          <t>CRUDE OIL, LIGHT SWEET - NEW YORK MERCANTILE EXCHANGE</t>
        </is>
      </c>
      <c r="D273" t="n">
        <v>1553021</v>
      </c>
      <c r="E273" t="n">
        <v>226918</v>
      </c>
      <c r="F273" t="n">
        <v>78323</v>
      </c>
      <c r="G273" t="n">
        <v>227064</v>
      </c>
      <c r="H273">
        <f>E273-F273</f>
        <v/>
      </c>
      <c r="I273">
        <f>(E273-F273)/D273</f>
        <v/>
      </c>
    </row>
    <row r="274">
      <c r="A274" s="3" t="n">
        <v>40778</v>
      </c>
      <c r="B274" t="inlineStr">
        <is>
          <t>067651</t>
        </is>
      </c>
      <c r="C274" t="inlineStr">
        <is>
          <t>CRUDE OIL, LIGHT SWEET - NEW YORK MERCANTILE EXCHANGE</t>
        </is>
      </c>
      <c r="D274" t="n">
        <v>1465256</v>
      </c>
      <c r="E274" t="n">
        <v>218941</v>
      </c>
      <c r="F274" t="n">
        <v>80170</v>
      </c>
      <c r="G274" t="n">
        <v>204993</v>
      </c>
      <c r="H274">
        <f>E274-F274</f>
        <v/>
      </c>
      <c r="I274">
        <f>(E274-F274)/D274</f>
        <v/>
      </c>
    </row>
    <row r="275">
      <c r="A275" s="3" t="n">
        <v>40785</v>
      </c>
      <c r="B275" t="inlineStr">
        <is>
          <t>067651</t>
        </is>
      </c>
      <c r="C275" t="inlineStr">
        <is>
          <t>CRUDE OIL, LIGHT SWEET - NEW YORK MERCANTILE EXCHANGE</t>
        </is>
      </c>
      <c r="D275" t="n">
        <v>1494803</v>
      </c>
      <c r="E275" t="n">
        <v>221311</v>
      </c>
      <c r="F275" t="n">
        <v>65583</v>
      </c>
      <c r="G275" t="n">
        <v>202791</v>
      </c>
      <c r="H275">
        <f>E275-F275</f>
        <v/>
      </c>
      <c r="I275">
        <f>(E275-F275)/D275</f>
        <v/>
      </c>
    </row>
    <row r="276">
      <c r="A276" s="3" t="n">
        <v>40792</v>
      </c>
      <c r="B276" t="inlineStr">
        <is>
          <t>067651</t>
        </is>
      </c>
      <c r="C276" t="inlineStr">
        <is>
          <t>CRUDE OIL, LIGHT SWEET - NEW YORK MERCANTILE EXCHANGE</t>
        </is>
      </c>
      <c r="D276" t="n">
        <v>1523907</v>
      </c>
      <c r="E276" t="n">
        <v>224199</v>
      </c>
      <c r="F276" t="n">
        <v>70072</v>
      </c>
      <c r="G276" t="n">
        <v>203278</v>
      </c>
      <c r="H276">
        <f>E276-F276</f>
        <v/>
      </c>
      <c r="I276">
        <f>(E276-F276)/D276</f>
        <v/>
      </c>
    </row>
    <row r="277">
      <c r="A277" s="3" t="n">
        <v>40799</v>
      </c>
      <c r="B277" t="inlineStr">
        <is>
          <t>067651</t>
        </is>
      </c>
      <c r="C277" t="inlineStr">
        <is>
          <t>CRUDE OIL, LIGHT SWEET - NEW YORK MERCANTILE EXCHANGE</t>
        </is>
      </c>
      <c r="D277" t="n">
        <v>1462207</v>
      </c>
      <c r="E277" t="n">
        <v>228362</v>
      </c>
      <c r="F277" t="n">
        <v>59564</v>
      </c>
      <c r="G277" t="n">
        <v>169175</v>
      </c>
      <c r="H277">
        <f>E277-F277</f>
        <v/>
      </c>
      <c r="I277">
        <f>(E277-F277)/D277</f>
        <v/>
      </c>
    </row>
    <row r="278">
      <c r="A278" s="3" t="n">
        <v>40806</v>
      </c>
      <c r="B278" t="inlineStr">
        <is>
          <t>067651</t>
        </is>
      </c>
      <c r="C278" t="inlineStr">
        <is>
          <t>CRUDE OIL, LIGHT SWEET - NEW YORK MERCANTILE EXCHANGE</t>
        </is>
      </c>
      <c r="D278" t="n">
        <v>1365197</v>
      </c>
      <c r="E278" t="n">
        <v>217699</v>
      </c>
      <c r="F278" t="n">
        <v>64824</v>
      </c>
      <c r="G278" t="n">
        <v>157822</v>
      </c>
      <c r="H278">
        <f>E278-F278</f>
        <v/>
      </c>
      <c r="I278">
        <f>(E278-F278)/D278</f>
        <v/>
      </c>
    </row>
    <row r="279">
      <c r="A279" s="3" t="n">
        <v>40813</v>
      </c>
      <c r="B279" t="inlineStr">
        <is>
          <t>067651</t>
        </is>
      </c>
      <c r="C279" t="inlineStr">
        <is>
          <t>CRUDE OIL, LIGHT SWEET - NEW YORK MERCANTILE EXCHANGE</t>
        </is>
      </c>
      <c r="D279" t="n">
        <v>1380562</v>
      </c>
      <c r="E279" t="n">
        <v>215424</v>
      </c>
      <c r="F279" t="n">
        <v>73890</v>
      </c>
      <c r="G279" t="n">
        <v>163934</v>
      </c>
      <c r="H279">
        <f>E279-F279</f>
        <v/>
      </c>
      <c r="I279">
        <f>(E279-F279)/D279</f>
        <v/>
      </c>
    </row>
    <row r="280">
      <c r="A280" s="3" t="n">
        <v>40820</v>
      </c>
      <c r="B280" t="inlineStr">
        <is>
          <t>067651</t>
        </is>
      </c>
      <c r="C280" t="inlineStr">
        <is>
          <t>CRUDE OIL, LIGHT SWEET - NEW YORK MERCANTILE EXCHANGE</t>
        </is>
      </c>
      <c r="D280" t="n">
        <v>1431783</v>
      </c>
      <c r="E280" t="n">
        <v>211402</v>
      </c>
      <c r="F280" t="n">
        <v>85309</v>
      </c>
      <c r="G280" t="n">
        <v>178816</v>
      </c>
      <c r="H280">
        <f>E280-F280</f>
        <v/>
      </c>
      <c r="I280">
        <f>(E280-F280)/D280</f>
        <v/>
      </c>
    </row>
    <row r="281">
      <c r="A281" s="3" t="n">
        <v>40827</v>
      </c>
      <c r="B281" t="inlineStr">
        <is>
          <t>067651</t>
        </is>
      </c>
      <c r="C281" t="inlineStr">
        <is>
          <t>CRUDE OIL, LIGHT SWEET - NEW YORK MERCANTILE EXCHANGE</t>
        </is>
      </c>
      <c r="D281" t="n">
        <v>1424634</v>
      </c>
      <c r="E281" t="n">
        <v>210780</v>
      </c>
      <c r="F281" t="n">
        <v>63332</v>
      </c>
      <c r="G281" t="n">
        <v>166929</v>
      </c>
      <c r="H281">
        <f>E281-F281</f>
        <v/>
      </c>
      <c r="I281">
        <f>(E281-F281)/D281</f>
        <v/>
      </c>
    </row>
    <row r="282">
      <c r="A282" s="3" t="n">
        <v>40834</v>
      </c>
      <c r="B282" t="inlineStr">
        <is>
          <t>067651</t>
        </is>
      </c>
      <c r="C282" t="inlineStr">
        <is>
          <t>CRUDE OIL, LIGHT SWEET - NEW YORK MERCANTILE EXCHANGE</t>
        </is>
      </c>
      <c r="D282" t="n">
        <v>1431563</v>
      </c>
      <c r="E282" t="n">
        <v>219391</v>
      </c>
      <c r="F282" t="n">
        <v>60870</v>
      </c>
      <c r="G282" t="n">
        <v>177791</v>
      </c>
      <c r="H282">
        <f>E282-F282</f>
        <v/>
      </c>
      <c r="I282">
        <f>(E282-F282)/D282</f>
        <v/>
      </c>
    </row>
    <row r="283">
      <c r="A283" s="3" t="n">
        <v>40841</v>
      </c>
      <c r="B283" t="inlineStr">
        <is>
          <t>067651</t>
        </is>
      </c>
      <c r="C283" t="inlineStr">
        <is>
          <t>CRUDE OIL, LIGHT SWEET - NEW YORK MERCANTILE EXCHANGE</t>
        </is>
      </c>
      <c r="D283" t="n">
        <v>1388897</v>
      </c>
      <c r="E283" t="n">
        <v>237254</v>
      </c>
      <c r="F283" t="n">
        <v>53107</v>
      </c>
      <c r="G283" t="n">
        <v>189467</v>
      </c>
      <c r="H283">
        <f>E283-F283</f>
        <v/>
      </c>
      <c r="I283">
        <f>(E283-F283)/D283</f>
        <v/>
      </c>
    </row>
    <row r="284">
      <c r="A284" s="3" t="n">
        <v>40848</v>
      </c>
      <c r="B284" t="inlineStr">
        <is>
          <t>067651</t>
        </is>
      </c>
      <c r="C284" t="inlineStr">
        <is>
          <t>CRUDE OIL, LIGHT SWEET - NEW YORK MERCANTILE EXCHANGE</t>
        </is>
      </c>
      <c r="D284" t="n">
        <v>1345024</v>
      </c>
      <c r="E284" t="n">
        <v>229279</v>
      </c>
      <c r="F284" t="n">
        <v>49434</v>
      </c>
      <c r="G284" t="n">
        <v>174009</v>
      </c>
      <c r="H284">
        <f>E284-F284</f>
        <v/>
      </c>
      <c r="I284">
        <f>(E284-F284)/D284</f>
        <v/>
      </c>
    </row>
    <row r="285">
      <c r="A285" s="3" t="n">
        <v>40855</v>
      </c>
      <c r="B285" t="inlineStr">
        <is>
          <t>067651</t>
        </is>
      </c>
      <c r="C285" t="inlineStr">
        <is>
          <t>CRUDE OIL, LIGHT SWEET - NEW YORK MERCANTILE EXCHANGE</t>
        </is>
      </c>
      <c r="D285" t="n">
        <v>1366205</v>
      </c>
      <c r="E285" t="n">
        <v>235730</v>
      </c>
      <c r="F285" t="n">
        <v>47549</v>
      </c>
      <c r="G285" t="n">
        <v>178351</v>
      </c>
      <c r="H285">
        <f>E285-F285</f>
        <v/>
      </c>
      <c r="I285">
        <f>(E285-F285)/D285</f>
        <v/>
      </c>
    </row>
    <row r="286">
      <c r="A286" s="3" t="n">
        <v>40862</v>
      </c>
      <c r="B286" t="inlineStr">
        <is>
          <t>067651</t>
        </is>
      </c>
      <c r="C286" t="inlineStr">
        <is>
          <t>CRUDE OIL, LIGHT SWEET - NEW YORK MERCANTILE EXCHANGE</t>
        </is>
      </c>
      <c r="D286" t="n">
        <v>1357125</v>
      </c>
      <c r="E286" t="n">
        <v>230682</v>
      </c>
      <c r="F286" t="n">
        <v>38886</v>
      </c>
      <c r="G286" t="n">
        <v>181960</v>
      </c>
      <c r="H286">
        <f>E286-F286</f>
        <v/>
      </c>
      <c r="I286">
        <f>(E286-F286)/D286</f>
        <v/>
      </c>
    </row>
    <row r="287">
      <c r="A287" s="3" t="n">
        <v>40869</v>
      </c>
      <c r="B287" t="inlineStr">
        <is>
          <t>067651</t>
        </is>
      </c>
      <c r="C287" t="inlineStr">
        <is>
          <t>CRUDE OIL, LIGHT SWEET - NEW YORK MERCANTILE EXCHANGE</t>
        </is>
      </c>
      <c r="D287" t="n">
        <v>1295618</v>
      </c>
      <c r="E287" t="n">
        <v>210899</v>
      </c>
      <c r="F287" t="n">
        <v>44866</v>
      </c>
      <c r="G287" t="n">
        <v>182352</v>
      </c>
      <c r="H287">
        <f>E287-F287</f>
        <v/>
      </c>
      <c r="I287">
        <f>(E287-F287)/D287</f>
        <v/>
      </c>
    </row>
    <row r="288">
      <c r="A288" s="3" t="n">
        <v>40876</v>
      </c>
      <c r="B288" t="inlineStr">
        <is>
          <t>067651</t>
        </is>
      </c>
      <c r="C288" t="inlineStr">
        <is>
          <t>CRUDE OIL, LIGHT SWEET - NEW YORK MERCANTILE EXCHANGE</t>
        </is>
      </c>
      <c r="D288" t="n">
        <v>1302512</v>
      </c>
      <c r="E288" t="n">
        <v>212820</v>
      </c>
      <c r="F288" t="n">
        <v>39425</v>
      </c>
      <c r="G288" t="n">
        <v>187525</v>
      </c>
      <c r="H288">
        <f>E288-F288</f>
        <v/>
      </c>
      <c r="I288">
        <f>(E288-F288)/D288</f>
        <v/>
      </c>
    </row>
    <row r="289">
      <c r="A289" s="3" t="n">
        <v>40883</v>
      </c>
      <c r="B289" t="inlineStr">
        <is>
          <t>067651</t>
        </is>
      </c>
      <c r="C289" t="inlineStr">
        <is>
          <t>CRUDE OIL, LIGHT SWEET - NEW YORK MERCANTILE EXCHANGE</t>
        </is>
      </c>
      <c r="D289" t="n">
        <v>1332544</v>
      </c>
      <c r="E289" t="n">
        <v>210754</v>
      </c>
      <c r="F289" t="n">
        <v>36431</v>
      </c>
      <c r="G289" t="n">
        <v>207324</v>
      </c>
      <c r="H289">
        <f>E289-F289</f>
        <v/>
      </c>
      <c r="I289">
        <f>(E289-F289)/D289</f>
        <v/>
      </c>
    </row>
    <row r="290">
      <c r="A290" s="3" t="n">
        <v>40890</v>
      </c>
      <c r="B290" t="inlineStr">
        <is>
          <t>067651</t>
        </is>
      </c>
      <c r="C290" t="inlineStr">
        <is>
          <t>CRUDE OIL, LIGHT SWEET - NEW YORK MERCANTILE EXCHANGE</t>
        </is>
      </c>
      <c r="D290" t="n">
        <v>1346495</v>
      </c>
      <c r="E290" t="n">
        <v>219394</v>
      </c>
      <c r="F290" t="n">
        <v>45013</v>
      </c>
      <c r="G290" t="n">
        <v>200689</v>
      </c>
      <c r="H290">
        <f>E290-F290</f>
        <v/>
      </c>
      <c r="I290">
        <f>(E290-F290)/D290</f>
        <v/>
      </c>
    </row>
    <row r="291">
      <c r="A291" s="3" t="n">
        <v>40897</v>
      </c>
      <c r="B291" t="inlineStr">
        <is>
          <t>067651</t>
        </is>
      </c>
      <c r="C291" t="inlineStr">
        <is>
          <t>CRUDE OIL, LIGHT SWEET - NEW YORK MERCANTILE EXCHANGE</t>
        </is>
      </c>
      <c r="D291" t="n">
        <v>1298500</v>
      </c>
      <c r="E291" t="n">
        <v>197370</v>
      </c>
      <c r="F291" t="n">
        <v>46066</v>
      </c>
      <c r="G291" t="n">
        <v>201663</v>
      </c>
      <c r="H291">
        <f>E291-F291</f>
        <v/>
      </c>
      <c r="I291">
        <f>(E291-F291)/D291</f>
        <v/>
      </c>
    </row>
    <row r="292">
      <c r="A292" s="3" t="n">
        <v>40904</v>
      </c>
      <c r="B292" t="inlineStr">
        <is>
          <t>067651</t>
        </is>
      </c>
      <c r="C292" t="inlineStr">
        <is>
          <t>CRUDE OIL, LIGHT SWEET - NEW YORK MERCANTILE EXCHANGE</t>
        </is>
      </c>
      <c r="D292" t="n">
        <v>1325562</v>
      </c>
      <c r="E292" t="n">
        <v>210113</v>
      </c>
      <c r="F292" t="n">
        <v>44608</v>
      </c>
      <c r="G292" t="n">
        <v>208606</v>
      </c>
      <c r="H292">
        <f>E292-F292</f>
        <v/>
      </c>
      <c r="I292">
        <f>(E292-F292)/D292</f>
        <v/>
      </c>
    </row>
    <row r="293">
      <c r="A293" s="3" t="n">
        <v>40911</v>
      </c>
      <c r="B293" t="inlineStr">
        <is>
          <t>067651</t>
        </is>
      </c>
      <c r="C293" t="inlineStr">
        <is>
          <t>CRUDE OIL, LIGHT SWEET - NEW YORK MERCANTILE EXCHANGE</t>
        </is>
      </c>
      <c r="D293" t="n">
        <v>1373018</v>
      </c>
      <c r="E293" t="n">
        <v>216478</v>
      </c>
      <c r="F293" t="n">
        <v>46447</v>
      </c>
      <c r="G293" t="n">
        <v>233740</v>
      </c>
      <c r="H293">
        <f>E293-F293</f>
        <v/>
      </c>
      <c r="I293">
        <f>(E293-F293)/D293</f>
        <v/>
      </c>
    </row>
    <row r="294">
      <c r="A294" s="3" t="n">
        <v>40918</v>
      </c>
      <c r="B294" t="inlineStr">
        <is>
          <t>067651</t>
        </is>
      </c>
      <c r="C294" t="inlineStr">
        <is>
          <t>CRUDE OIL, LIGHT SWEET - NEW YORK MERCANTILE EXCHANGE</t>
        </is>
      </c>
      <c r="D294" t="n">
        <v>1388799</v>
      </c>
      <c r="E294" t="n">
        <v>213674</v>
      </c>
      <c r="F294" t="n">
        <v>39589</v>
      </c>
      <c r="G294" t="n">
        <v>224917</v>
      </c>
      <c r="H294">
        <f>E294-F294</f>
        <v/>
      </c>
      <c r="I294">
        <f>(E294-F294)/D294</f>
        <v/>
      </c>
    </row>
    <row r="295">
      <c r="A295" s="3" t="n">
        <v>40925</v>
      </c>
      <c r="B295" t="inlineStr">
        <is>
          <t>067651</t>
        </is>
      </c>
      <c r="C295" t="inlineStr">
        <is>
          <t>CRUDE OIL, LIGHT SWEET - NEW YORK MERCANTILE EXCHANGE</t>
        </is>
      </c>
      <c r="D295" t="n">
        <v>1381041</v>
      </c>
      <c r="E295" t="n">
        <v>204567</v>
      </c>
      <c r="F295" t="n">
        <v>40397</v>
      </c>
      <c r="G295" t="n">
        <v>221270</v>
      </c>
      <c r="H295">
        <f>E295-F295</f>
        <v/>
      </c>
      <c r="I295">
        <f>(E295-F295)/D295</f>
        <v/>
      </c>
    </row>
    <row r="296">
      <c r="A296" s="3" t="n">
        <v>40932</v>
      </c>
      <c r="B296" t="inlineStr">
        <is>
          <t>067651</t>
        </is>
      </c>
      <c r="C296" t="inlineStr">
        <is>
          <t>CRUDE OIL, LIGHT SWEET - NEW YORK MERCANTILE EXCHANGE</t>
        </is>
      </c>
      <c r="D296" t="n">
        <v>1341810</v>
      </c>
      <c r="E296" t="n">
        <v>211106</v>
      </c>
      <c r="F296" t="n">
        <v>35729</v>
      </c>
      <c r="G296" t="n">
        <v>219377</v>
      </c>
      <c r="H296">
        <f>E296-F296</f>
        <v/>
      </c>
      <c r="I296">
        <f>(E296-F296)/D296</f>
        <v/>
      </c>
    </row>
    <row r="297">
      <c r="A297" s="3" t="n">
        <v>40939</v>
      </c>
      <c r="B297" t="inlineStr">
        <is>
          <t>067651</t>
        </is>
      </c>
      <c r="C297" t="inlineStr">
        <is>
          <t>CRUDE OIL, LIGHT SWEET - NEW YORK MERCANTILE EXCHANGE</t>
        </is>
      </c>
      <c r="D297" t="n">
        <v>1399874</v>
      </c>
      <c r="E297" t="n">
        <v>212097</v>
      </c>
      <c r="F297" t="n">
        <v>39176</v>
      </c>
      <c r="G297" t="n">
        <v>243461</v>
      </c>
      <c r="H297">
        <f>E297-F297</f>
        <v/>
      </c>
      <c r="I297">
        <f>(E297-F297)/D297</f>
        <v/>
      </c>
    </row>
    <row r="298">
      <c r="A298" s="3" t="n">
        <v>40946</v>
      </c>
      <c r="B298" t="inlineStr">
        <is>
          <t>067651</t>
        </is>
      </c>
      <c r="C298" t="inlineStr">
        <is>
          <t>CRUDE OIL, LIGHT SWEET - NEW YORK MERCANTILE EXCHANGE</t>
        </is>
      </c>
      <c r="D298" t="n">
        <v>1484546</v>
      </c>
      <c r="E298" t="n">
        <v>211129</v>
      </c>
      <c r="F298" t="n">
        <v>37660</v>
      </c>
      <c r="G298" t="n">
        <v>264493</v>
      </c>
      <c r="H298">
        <f>E298-F298</f>
        <v/>
      </c>
      <c r="I298">
        <f>(E298-F298)/D298</f>
        <v/>
      </c>
    </row>
    <row r="299">
      <c r="A299" s="3" t="n">
        <v>40953</v>
      </c>
      <c r="B299" t="inlineStr">
        <is>
          <t>067651</t>
        </is>
      </c>
      <c r="C299" t="inlineStr">
        <is>
          <t>CRUDE OIL, LIGHT SWEET - NEW YORK MERCANTILE EXCHANGE</t>
        </is>
      </c>
      <c r="D299" t="n">
        <v>1486350</v>
      </c>
      <c r="E299" t="n">
        <v>236010</v>
      </c>
      <c r="F299" t="n">
        <v>33788</v>
      </c>
      <c r="G299" t="n">
        <v>255845</v>
      </c>
      <c r="H299">
        <f>E299-F299</f>
        <v/>
      </c>
      <c r="I299">
        <f>(E299-F299)/D299</f>
        <v/>
      </c>
    </row>
    <row r="300">
      <c r="A300" s="3" t="n">
        <v>40960</v>
      </c>
      <c r="B300" t="inlineStr">
        <is>
          <t>067651</t>
        </is>
      </c>
      <c r="C300" t="inlineStr">
        <is>
          <t>CRUDE OIL, LIGHT SWEET - NEW YORK MERCANTILE EXCHANGE</t>
        </is>
      </c>
      <c r="D300" t="n">
        <v>1441526</v>
      </c>
      <c r="E300" t="n">
        <v>247891</v>
      </c>
      <c r="F300" t="n">
        <v>32089</v>
      </c>
      <c r="G300" t="n">
        <v>238369</v>
      </c>
      <c r="H300">
        <f>E300-F300</f>
        <v/>
      </c>
      <c r="I300">
        <f>(E300-F300)/D300</f>
        <v/>
      </c>
    </row>
    <row r="301">
      <c r="A301" s="3" t="n">
        <v>40967</v>
      </c>
      <c r="B301" t="inlineStr">
        <is>
          <t>067651</t>
        </is>
      </c>
      <c r="C301" t="inlineStr">
        <is>
          <t>CRUDE OIL, LIGHT SWEET - NEW YORK MERCANTILE EXCHANGE</t>
        </is>
      </c>
      <c r="D301" t="n">
        <v>1517833</v>
      </c>
      <c r="E301" t="n">
        <v>261729</v>
      </c>
      <c r="F301" t="n">
        <v>33337</v>
      </c>
      <c r="G301" t="n">
        <v>246586</v>
      </c>
      <c r="H301">
        <f>E301-F301</f>
        <v/>
      </c>
      <c r="I301">
        <f>(E301-F301)/D301</f>
        <v/>
      </c>
    </row>
    <row r="302">
      <c r="A302" s="3" t="n">
        <v>40974</v>
      </c>
      <c r="B302" t="inlineStr">
        <is>
          <t>067651</t>
        </is>
      </c>
      <c r="C302" t="inlineStr">
        <is>
          <t>CRUDE OIL, LIGHT SWEET - NEW YORK MERCANTILE EXCHANGE</t>
        </is>
      </c>
      <c r="D302" t="n">
        <v>1584849</v>
      </c>
      <c r="E302" t="n">
        <v>255274</v>
      </c>
      <c r="F302" t="n">
        <v>45739</v>
      </c>
      <c r="G302" t="n">
        <v>263664</v>
      </c>
      <c r="H302">
        <f>E302-F302</f>
        <v/>
      </c>
      <c r="I302">
        <f>(E302-F302)/D302</f>
        <v/>
      </c>
    </row>
    <row r="303">
      <c r="A303" s="3" t="n">
        <v>40981</v>
      </c>
      <c r="B303" t="inlineStr">
        <is>
          <t>067651</t>
        </is>
      </c>
      <c r="C303" t="inlineStr">
        <is>
          <t>CRUDE OIL, LIGHT SWEET - NEW YORK MERCANTILE EXCHANGE</t>
        </is>
      </c>
      <c r="D303" t="n">
        <v>1579060</v>
      </c>
      <c r="E303" t="n">
        <v>263258</v>
      </c>
      <c r="F303" t="n">
        <v>51326</v>
      </c>
      <c r="G303" t="n">
        <v>258598</v>
      </c>
      <c r="H303">
        <f>E303-F303</f>
        <v/>
      </c>
      <c r="I303">
        <f>(E303-F303)/D303</f>
        <v/>
      </c>
    </row>
    <row r="304">
      <c r="A304" s="3" t="n">
        <v>40988</v>
      </c>
      <c r="B304" t="inlineStr">
        <is>
          <t>067651</t>
        </is>
      </c>
      <c r="C304" t="inlineStr">
        <is>
          <t>CRUDE OIL, LIGHT SWEET - NEW YORK MERCANTILE EXCHANGE</t>
        </is>
      </c>
      <c r="D304" t="n">
        <v>1558284</v>
      </c>
      <c r="E304" t="n">
        <v>251223</v>
      </c>
      <c r="F304" t="n">
        <v>47532</v>
      </c>
      <c r="G304" t="n">
        <v>260093</v>
      </c>
      <c r="H304">
        <f>E304-F304</f>
        <v/>
      </c>
      <c r="I304">
        <f>(E304-F304)/D304</f>
        <v/>
      </c>
    </row>
    <row r="305">
      <c r="A305" s="3" t="n">
        <v>40995</v>
      </c>
      <c r="B305" t="inlineStr">
        <is>
          <t>067651</t>
        </is>
      </c>
      <c r="C305" t="inlineStr">
        <is>
          <t>CRUDE OIL, LIGHT SWEET - NEW YORK MERCANTILE EXCHANGE</t>
        </is>
      </c>
      <c r="D305" t="n">
        <v>1562147</v>
      </c>
      <c r="E305" t="n">
        <v>243905</v>
      </c>
      <c r="F305" t="n">
        <v>46509</v>
      </c>
      <c r="G305" t="n">
        <v>265076</v>
      </c>
      <c r="H305">
        <f>E305-F305</f>
        <v/>
      </c>
      <c r="I305">
        <f>(E305-F305)/D305</f>
        <v/>
      </c>
    </row>
    <row r="306">
      <c r="A306" s="3" t="n">
        <v>41002</v>
      </c>
      <c r="B306" t="inlineStr">
        <is>
          <t>067651</t>
        </is>
      </c>
      <c r="C306" t="inlineStr">
        <is>
          <t>CRUDE OIL, LIGHT SWEET - NEW YORK MERCANTILE EXCHANGE</t>
        </is>
      </c>
      <c r="D306" t="n">
        <v>1569070</v>
      </c>
      <c r="E306" t="n">
        <v>227856</v>
      </c>
      <c r="F306" t="n">
        <v>48355</v>
      </c>
      <c r="G306" t="n">
        <v>279977</v>
      </c>
      <c r="H306">
        <f>E306-F306</f>
        <v/>
      </c>
      <c r="I306">
        <f>(E306-F306)/D306</f>
        <v/>
      </c>
    </row>
    <row r="307">
      <c r="A307" s="3" t="n">
        <v>41009</v>
      </c>
      <c r="B307" t="inlineStr">
        <is>
          <t>067651</t>
        </is>
      </c>
      <c r="C307" t="inlineStr">
        <is>
          <t>CRUDE OIL, LIGHT SWEET - NEW YORK MERCANTILE EXCHANGE</t>
        </is>
      </c>
      <c r="D307" t="n">
        <v>1563132</v>
      </c>
      <c r="E307" t="n">
        <v>214984</v>
      </c>
      <c r="F307" t="n">
        <v>56018</v>
      </c>
      <c r="G307" t="n">
        <v>282419</v>
      </c>
      <c r="H307">
        <f>E307-F307</f>
        <v/>
      </c>
      <c r="I307">
        <f>(E307-F307)/D307</f>
        <v/>
      </c>
    </row>
    <row r="308">
      <c r="A308" s="3" t="n">
        <v>41016</v>
      </c>
      <c r="B308" t="inlineStr">
        <is>
          <t>067651</t>
        </is>
      </c>
      <c r="C308" t="inlineStr">
        <is>
          <t>CRUDE OIL, LIGHT SWEET - NEW YORK MERCANTILE EXCHANGE</t>
        </is>
      </c>
      <c r="D308" t="n">
        <v>1570513</v>
      </c>
      <c r="E308" t="n">
        <v>206073</v>
      </c>
      <c r="F308" t="n">
        <v>44749</v>
      </c>
      <c r="G308" t="n">
        <v>282108</v>
      </c>
      <c r="H308">
        <f>E308-F308</f>
        <v/>
      </c>
      <c r="I308">
        <f>(E308-F308)/D308</f>
        <v/>
      </c>
    </row>
    <row r="309">
      <c r="A309" s="3" t="n">
        <v>41023</v>
      </c>
      <c r="B309" t="inlineStr">
        <is>
          <t>067651</t>
        </is>
      </c>
      <c r="C309" t="inlineStr">
        <is>
          <t>CRUDE OIL, LIGHT SWEET - NEW YORK MERCANTILE EXCHANGE</t>
        </is>
      </c>
      <c r="D309" t="n">
        <v>1539257</v>
      </c>
      <c r="E309" t="n">
        <v>204591</v>
      </c>
      <c r="F309" t="n">
        <v>40069</v>
      </c>
      <c r="G309" t="n">
        <v>283337</v>
      </c>
      <c r="H309">
        <f>E309-F309</f>
        <v/>
      </c>
      <c r="I309">
        <f>(E309-F309)/D309</f>
        <v/>
      </c>
    </row>
    <row r="310">
      <c r="A310" s="3" t="n">
        <v>41030</v>
      </c>
      <c r="B310" t="inlineStr">
        <is>
          <t>067651</t>
        </is>
      </c>
      <c r="C310" t="inlineStr">
        <is>
          <t>CRUDE OIL, LIGHT SWEET - NEW YORK MERCANTILE EXCHANGE</t>
        </is>
      </c>
      <c r="D310" t="n">
        <v>1602007</v>
      </c>
      <c r="E310" t="n">
        <v>225381</v>
      </c>
      <c r="F310" t="n">
        <v>39280</v>
      </c>
      <c r="G310" t="n">
        <v>292390</v>
      </c>
      <c r="H310">
        <f>E310-F310</f>
        <v/>
      </c>
      <c r="I310">
        <f>(E310-F310)/D310</f>
        <v/>
      </c>
    </row>
    <row r="311">
      <c r="A311" s="3" t="n">
        <v>41037</v>
      </c>
      <c r="B311" t="inlineStr">
        <is>
          <t>067651</t>
        </is>
      </c>
      <c r="C311" t="inlineStr">
        <is>
          <t>CRUDE OIL, LIGHT SWEET - NEW YORK MERCANTILE EXCHANGE</t>
        </is>
      </c>
      <c r="D311" t="n">
        <v>1590926</v>
      </c>
      <c r="E311" t="n">
        <v>195203</v>
      </c>
      <c r="F311" t="n">
        <v>66060</v>
      </c>
      <c r="G311" t="n">
        <v>279740</v>
      </c>
      <c r="H311">
        <f>E311-F311</f>
        <v/>
      </c>
      <c r="I311">
        <f>(E311-F311)/D311</f>
        <v/>
      </c>
    </row>
    <row r="312">
      <c r="A312" s="3" t="n">
        <v>41044</v>
      </c>
      <c r="B312" t="inlineStr">
        <is>
          <t>067651</t>
        </is>
      </c>
      <c r="C312" t="inlineStr">
        <is>
          <t>CRUDE OIL, LIGHT SWEET - NEW YORK MERCANTILE EXCHANGE</t>
        </is>
      </c>
      <c r="D312" t="n">
        <v>1539151</v>
      </c>
      <c r="E312" t="n">
        <v>188810</v>
      </c>
      <c r="F312" t="n">
        <v>65194</v>
      </c>
      <c r="G312" t="n">
        <v>256362</v>
      </c>
      <c r="H312">
        <f>E312-F312</f>
        <v/>
      </c>
      <c r="I312">
        <f>(E312-F312)/D312</f>
        <v/>
      </c>
    </row>
    <row r="313">
      <c r="A313" s="3" t="n">
        <v>41051</v>
      </c>
      <c r="B313" t="inlineStr">
        <is>
          <t>067651</t>
        </is>
      </c>
      <c r="C313" t="inlineStr">
        <is>
          <t>CRUDE OIL, LIGHT SWEET - NEW YORK MERCANTILE EXCHANGE</t>
        </is>
      </c>
      <c r="D313" t="n">
        <v>1442523</v>
      </c>
      <c r="E313" t="n">
        <v>183591</v>
      </c>
      <c r="F313" t="n">
        <v>61880</v>
      </c>
      <c r="G313" t="n">
        <v>227108</v>
      </c>
      <c r="H313">
        <f>E313-F313</f>
        <v/>
      </c>
      <c r="I313">
        <f>(E313-F313)/D313</f>
        <v/>
      </c>
    </row>
    <row r="314">
      <c r="A314" s="3" t="n">
        <v>41058</v>
      </c>
      <c r="B314" t="inlineStr">
        <is>
          <t>067651</t>
        </is>
      </c>
      <c r="C314" t="inlineStr">
        <is>
          <t>CRUDE OIL, LIGHT SWEET - NEW YORK MERCANTILE EXCHANGE</t>
        </is>
      </c>
      <c r="D314" t="n">
        <v>1440107</v>
      </c>
      <c r="E314" t="n">
        <v>187561</v>
      </c>
      <c r="F314" t="n">
        <v>61323</v>
      </c>
      <c r="G314" t="n">
        <v>215799</v>
      </c>
      <c r="H314">
        <f>E314-F314</f>
        <v/>
      </c>
      <c r="I314">
        <f>(E314-F314)/D314</f>
        <v/>
      </c>
    </row>
    <row r="315">
      <c r="A315" s="3" t="n">
        <v>41065</v>
      </c>
      <c r="B315" t="inlineStr">
        <is>
          <t>067651</t>
        </is>
      </c>
      <c r="C315" t="inlineStr">
        <is>
          <t>CRUDE OIL, LIGHT SWEET - NEW YORK MERCANTILE EXCHANGE</t>
        </is>
      </c>
      <c r="D315" t="n">
        <v>1456604</v>
      </c>
      <c r="E315" t="n">
        <v>186853</v>
      </c>
      <c r="F315" t="n">
        <v>66943</v>
      </c>
      <c r="G315" t="n">
        <v>210371</v>
      </c>
      <c r="H315">
        <f>E315-F315</f>
        <v/>
      </c>
      <c r="I315">
        <f>(E315-F315)/D315</f>
        <v/>
      </c>
    </row>
    <row r="316">
      <c r="A316" s="3" t="n">
        <v>41072</v>
      </c>
      <c r="B316" t="inlineStr">
        <is>
          <t>067651</t>
        </is>
      </c>
      <c r="C316" t="inlineStr">
        <is>
          <t>CRUDE OIL, LIGHT SWEET - NEW YORK MERCANTILE EXCHANGE</t>
        </is>
      </c>
      <c r="D316" t="n">
        <v>1458395</v>
      </c>
      <c r="E316" t="n">
        <v>178293</v>
      </c>
      <c r="F316" t="n">
        <v>68715</v>
      </c>
      <c r="G316" t="n">
        <v>221222</v>
      </c>
      <c r="H316">
        <f>E316-F316</f>
        <v/>
      </c>
      <c r="I316">
        <f>(E316-F316)/D316</f>
        <v/>
      </c>
    </row>
    <row r="317">
      <c r="A317" s="3" t="n">
        <v>41079</v>
      </c>
      <c r="B317" t="inlineStr">
        <is>
          <t>067651</t>
        </is>
      </c>
      <c r="C317" t="inlineStr">
        <is>
          <t>CRUDE OIL, LIGHT SWEET - NEW YORK MERCANTILE EXCHANGE</t>
        </is>
      </c>
      <c r="D317" t="n">
        <v>1432126</v>
      </c>
      <c r="E317" t="n">
        <v>172770</v>
      </c>
      <c r="F317" t="n">
        <v>71222</v>
      </c>
      <c r="G317" t="n">
        <v>203553</v>
      </c>
      <c r="H317">
        <f>E317-F317</f>
        <v/>
      </c>
      <c r="I317">
        <f>(E317-F317)/D317</f>
        <v/>
      </c>
    </row>
    <row r="318">
      <c r="A318" s="3" t="n">
        <v>41086</v>
      </c>
      <c r="B318" t="inlineStr">
        <is>
          <t>067651</t>
        </is>
      </c>
      <c r="C318" t="inlineStr">
        <is>
          <t>CRUDE OIL, LIGHT SWEET - NEW YORK MERCANTILE EXCHANGE</t>
        </is>
      </c>
      <c r="D318" t="n">
        <v>1432162</v>
      </c>
      <c r="E318" t="n">
        <v>172034</v>
      </c>
      <c r="F318" t="n">
        <v>72269</v>
      </c>
      <c r="G318" t="n">
        <v>199416</v>
      </c>
      <c r="H318">
        <f>E318-F318</f>
        <v/>
      </c>
      <c r="I318">
        <f>(E318-F318)/D318</f>
        <v/>
      </c>
    </row>
    <row r="319">
      <c r="A319" s="3" t="n">
        <v>41093</v>
      </c>
      <c r="B319" t="inlineStr">
        <is>
          <t>067651</t>
        </is>
      </c>
      <c r="C319" t="inlineStr">
        <is>
          <t>CRUDE OIL, LIGHT SWEET - NEW YORK MERCANTILE EXCHANGE</t>
        </is>
      </c>
      <c r="D319" t="n">
        <v>1432999</v>
      </c>
      <c r="E319" t="n">
        <v>182356</v>
      </c>
      <c r="F319" t="n">
        <v>68458</v>
      </c>
      <c r="G319" t="n">
        <v>191215</v>
      </c>
      <c r="H319">
        <f>E319-F319</f>
        <v/>
      </c>
      <c r="I319">
        <f>(E319-F319)/D319</f>
        <v/>
      </c>
    </row>
    <row r="320">
      <c r="A320" s="3" t="n">
        <v>41100</v>
      </c>
      <c r="B320" t="inlineStr">
        <is>
          <t>067651</t>
        </is>
      </c>
      <c r="C320" t="inlineStr">
        <is>
          <t>CRUDE OIL, LIGHT SWEET - NEW YORK MERCANTILE EXCHANGE</t>
        </is>
      </c>
      <c r="D320" t="n">
        <v>1413415</v>
      </c>
      <c r="E320" t="n">
        <v>180109</v>
      </c>
      <c r="F320" t="n">
        <v>72389</v>
      </c>
      <c r="G320" t="n">
        <v>180199</v>
      </c>
      <c r="H320">
        <f>E320-F320</f>
        <v/>
      </c>
      <c r="I320">
        <f>(E320-F320)/D320</f>
        <v/>
      </c>
    </row>
    <row r="321">
      <c r="A321" s="3" t="n">
        <v>41107</v>
      </c>
      <c r="B321" t="inlineStr">
        <is>
          <t>067651</t>
        </is>
      </c>
      <c r="C321" t="inlineStr">
        <is>
          <t>CRUDE OIL, LIGHT SWEET - NEW YORK MERCANTILE EXCHANGE</t>
        </is>
      </c>
      <c r="D321" t="n">
        <v>1403473</v>
      </c>
      <c r="E321" t="n">
        <v>182324</v>
      </c>
      <c r="F321" t="n">
        <v>67095</v>
      </c>
      <c r="G321" t="n">
        <v>187566</v>
      </c>
      <c r="H321">
        <f>E321-F321</f>
        <v/>
      </c>
      <c r="I321">
        <f>(E321-F321)/D321</f>
        <v/>
      </c>
    </row>
    <row r="322">
      <c r="A322" s="3" t="n">
        <v>41114</v>
      </c>
      <c r="B322" t="inlineStr">
        <is>
          <t>067651</t>
        </is>
      </c>
      <c r="C322" t="inlineStr">
        <is>
          <t>CRUDE OIL, LIGHT SWEET - NEW YORK MERCANTILE EXCHANGE</t>
        </is>
      </c>
      <c r="D322" t="n">
        <v>1389039</v>
      </c>
      <c r="E322" t="n">
        <v>186661</v>
      </c>
      <c r="F322" t="n">
        <v>62528</v>
      </c>
      <c r="G322" t="n">
        <v>182987</v>
      </c>
      <c r="H322">
        <f>E322-F322</f>
        <v/>
      </c>
      <c r="I322">
        <f>(E322-F322)/D322</f>
        <v/>
      </c>
    </row>
    <row r="323">
      <c r="A323" s="3" t="n">
        <v>41121</v>
      </c>
      <c r="B323" t="inlineStr">
        <is>
          <t>067651</t>
        </is>
      </c>
      <c r="C323" t="inlineStr">
        <is>
          <t>CRUDE OIL, LIGHT SWEET - NEW YORK MERCANTILE EXCHANGE</t>
        </is>
      </c>
      <c r="D323" t="n">
        <v>1395758</v>
      </c>
      <c r="E323" t="n">
        <v>185696</v>
      </c>
      <c r="F323" t="n">
        <v>65838</v>
      </c>
      <c r="G323" t="n">
        <v>181065</v>
      </c>
      <c r="H323">
        <f>E323-F323</f>
        <v/>
      </c>
      <c r="I323">
        <f>(E323-F323)/D323</f>
        <v/>
      </c>
    </row>
    <row r="324">
      <c r="A324" s="3" t="n">
        <v>41128</v>
      </c>
      <c r="B324" t="inlineStr">
        <is>
          <t>067651</t>
        </is>
      </c>
      <c r="C324" t="inlineStr">
        <is>
          <t>CRUDE OIL, LIGHT SWEET - NEW YORK MERCANTILE EXCHANGE</t>
        </is>
      </c>
      <c r="D324" t="n">
        <v>1449617</v>
      </c>
      <c r="E324" t="n">
        <v>202071</v>
      </c>
      <c r="F324" t="n">
        <v>51301</v>
      </c>
      <c r="G324" t="n">
        <v>190103</v>
      </c>
      <c r="H324">
        <f>E324-F324</f>
        <v/>
      </c>
      <c r="I324">
        <f>(E324-F324)/D324</f>
        <v/>
      </c>
    </row>
    <row r="325">
      <c r="A325" s="3" t="n">
        <v>41135</v>
      </c>
      <c r="B325" t="inlineStr">
        <is>
          <t>067651</t>
        </is>
      </c>
      <c r="C325" t="inlineStr">
        <is>
          <t>CRUDE OIL, LIGHT SWEET - NEW YORK MERCANTILE EXCHANGE</t>
        </is>
      </c>
      <c r="D325" t="n">
        <v>1469908</v>
      </c>
      <c r="E325" t="n">
        <v>191827</v>
      </c>
      <c r="F325" t="n">
        <v>52760</v>
      </c>
      <c r="G325" t="n">
        <v>190962</v>
      </c>
      <c r="H325">
        <f>E325-F325</f>
        <v/>
      </c>
      <c r="I325">
        <f>(E325-F325)/D325</f>
        <v/>
      </c>
    </row>
    <row r="326">
      <c r="A326" s="3" t="n">
        <v>41142</v>
      </c>
      <c r="B326" t="inlineStr">
        <is>
          <t>067651</t>
        </is>
      </c>
      <c r="C326" t="inlineStr">
        <is>
          <t>CRUDE OIL, LIGHT SWEET - NEW YORK MERCANTILE EXCHANGE</t>
        </is>
      </c>
      <c r="D326" t="n">
        <v>1470157</v>
      </c>
      <c r="E326" t="n">
        <v>207308</v>
      </c>
      <c r="F326" t="n">
        <v>45428</v>
      </c>
      <c r="G326" t="n">
        <v>193689</v>
      </c>
      <c r="H326">
        <f>E326-F326</f>
        <v/>
      </c>
      <c r="I326">
        <f>(E326-F326)/D326</f>
        <v/>
      </c>
    </row>
    <row r="327">
      <c r="A327" s="3" t="n">
        <v>41149</v>
      </c>
      <c r="B327" t="inlineStr">
        <is>
          <t>067651</t>
        </is>
      </c>
      <c r="C327" t="inlineStr">
        <is>
          <t>CRUDE OIL, LIGHT SWEET - NEW YORK MERCANTILE EXCHANGE</t>
        </is>
      </c>
      <c r="D327" t="n">
        <v>1511314</v>
      </c>
      <c r="E327" t="n">
        <v>214786</v>
      </c>
      <c r="F327" t="n">
        <v>39677</v>
      </c>
      <c r="G327" t="n">
        <v>193543</v>
      </c>
      <c r="H327">
        <f>E327-F327</f>
        <v/>
      </c>
      <c r="I327">
        <f>(E327-F327)/D327</f>
        <v/>
      </c>
    </row>
    <row r="328">
      <c r="A328" s="3" t="n">
        <v>41156</v>
      </c>
      <c r="B328" t="inlineStr">
        <is>
          <t>067651</t>
        </is>
      </c>
      <c r="C328" t="inlineStr">
        <is>
          <t>CRUDE OIL, LIGHT SWEET - NEW YORK MERCANTILE EXCHANGE</t>
        </is>
      </c>
      <c r="D328" t="n">
        <v>1531823</v>
      </c>
      <c r="E328" t="n">
        <v>216183</v>
      </c>
      <c r="F328" t="n">
        <v>39146</v>
      </c>
      <c r="G328" t="n">
        <v>199539</v>
      </c>
      <c r="H328">
        <f>E328-F328</f>
        <v/>
      </c>
      <c r="I328">
        <f>(E328-F328)/D328</f>
        <v/>
      </c>
    </row>
    <row r="329">
      <c r="A329" s="3" t="n">
        <v>41163</v>
      </c>
      <c r="B329" t="inlineStr">
        <is>
          <t>067651</t>
        </is>
      </c>
      <c r="C329" t="inlineStr">
        <is>
          <t>CRUDE OIL, LIGHT SWEET - NEW YORK MERCANTILE EXCHANGE</t>
        </is>
      </c>
      <c r="D329" t="n">
        <v>1585806</v>
      </c>
      <c r="E329" t="n">
        <v>218695</v>
      </c>
      <c r="F329" t="n">
        <v>33468</v>
      </c>
      <c r="G329" t="n">
        <v>215046</v>
      </c>
      <c r="H329">
        <f>E329-F329</f>
        <v/>
      </c>
      <c r="I329">
        <f>(E329-F329)/D329</f>
        <v/>
      </c>
    </row>
    <row r="330">
      <c r="A330" s="3" t="n">
        <v>41170</v>
      </c>
      <c r="B330" t="inlineStr">
        <is>
          <t>067651</t>
        </is>
      </c>
      <c r="C330" t="inlineStr">
        <is>
          <t>CRUDE OIL, LIGHT SWEET - NEW YORK MERCANTILE EXCHANGE</t>
        </is>
      </c>
      <c r="D330" t="n">
        <v>1607540</v>
      </c>
      <c r="E330" t="n">
        <v>230043</v>
      </c>
      <c r="F330" t="n">
        <v>37569</v>
      </c>
      <c r="G330" t="n">
        <v>217844</v>
      </c>
      <c r="H330">
        <f>E330-F330</f>
        <v/>
      </c>
      <c r="I330">
        <f>(E330-F330)/D330</f>
        <v/>
      </c>
    </row>
    <row r="331">
      <c r="A331" s="3" t="n">
        <v>41177</v>
      </c>
      <c r="B331" t="inlineStr">
        <is>
          <t>067651</t>
        </is>
      </c>
      <c r="C331" t="inlineStr">
        <is>
          <t>CRUDE OIL, LIGHT SWEET - NEW YORK MERCANTILE EXCHANGE</t>
        </is>
      </c>
      <c r="D331" t="n">
        <v>1555863</v>
      </c>
      <c r="E331" t="n">
        <v>205884</v>
      </c>
      <c r="F331" t="n">
        <v>51782</v>
      </c>
      <c r="G331" t="n">
        <v>212874</v>
      </c>
      <c r="H331">
        <f>E331-F331</f>
        <v/>
      </c>
      <c r="I331">
        <f>(E331-F331)/D331</f>
        <v/>
      </c>
    </row>
    <row r="332">
      <c r="A332" s="3" t="n">
        <v>41184</v>
      </c>
      <c r="B332" t="inlineStr">
        <is>
          <t>067651</t>
        </is>
      </c>
      <c r="C332" t="inlineStr">
        <is>
          <t>CRUDE OIL, LIGHT SWEET - NEW YORK MERCANTILE EXCHANGE</t>
        </is>
      </c>
      <c r="D332" t="n">
        <v>1556877</v>
      </c>
      <c r="E332" t="n">
        <v>201089</v>
      </c>
      <c r="F332" t="n">
        <v>59762</v>
      </c>
      <c r="G332" t="n">
        <v>230350</v>
      </c>
      <c r="H332">
        <f>E332-F332</f>
        <v/>
      </c>
      <c r="I332">
        <f>(E332-F332)/D332</f>
        <v/>
      </c>
    </row>
    <row r="333">
      <c r="A333" s="3" t="n">
        <v>41191</v>
      </c>
      <c r="B333" t="inlineStr">
        <is>
          <t>067651</t>
        </is>
      </c>
      <c r="C333" t="inlineStr">
        <is>
          <t>CRUDE OIL, LIGHT SWEET - NEW YORK MERCANTILE EXCHANGE</t>
        </is>
      </c>
      <c r="D333" t="n">
        <v>1542886</v>
      </c>
      <c r="E333" t="n">
        <v>199014</v>
      </c>
      <c r="F333" t="n">
        <v>64014</v>
      </c>
      <c r="G333" t="n">
        <v>227100</v>
      </c>
      <c r="H333">
        <f>E333-F333</f>
        <v/>
      </c>
      <c r="I333">
        <f>(E333-F333)/D333</f>
        <v/>
      </c>
    </row>
    <row r="334">
      <c r="A334" s="3" t="n">
        <v>41198</v>
      </c>
      <c r="B334" t="inlineStr">
        <is>
          <t>067651</t>
        </is>
      </c>
      <c r="C334" t="inlineStr">
        <is>
          <t>CRUDE OIL, LIGHT SWEET - NEW YORK MERCANTILE EXCHANGE</t>
        </is>
      </c>
      <c r="D334" t="n">
        <v>1580619</v>
      </c>
      <c r="E334" t="n">
        <v>204545</v>
      </c>
      <c r="F334" t="n">
        <v>63733</v>
      </c>
      <c r="G334" t="n">
        <v>225918</v>
      </c>
      <c r="H334">
        <f>E334-F334</f>
        <v/>
      </c>
      <c r="I334">
        <f>(E334-F334)/D334</f>
        <v/>
      </c>
    </row>
    <row r="335">
      <c r="A335" s="3" t="n">
        <v>41205</v>
      </c>
      <c r="B335" t="inlineStr">
        <is>
          <t>067651</t>
        </is>
      </c>
      <c r="C335" t="inlineStr">
        <is>
          <t>CRUDE OIL, LIGHT SWEET - NEW YORK MERCANTILE EXCHANGE</t>
        </is>
      </c>
      <c r="D335" t="n">
        <v>1578997</v>
      </c>
      <c r="E335" t="n">
        <v>196929</v>
      </c>
      <c r="F335" t="n">
        <v>83990</v>
      </c>
      <c r="G335" t="n">
        <v>218718</v>
      </c>
      <c r="H335">
        <f>E335-F335</f>
        <v/>
      </c>
      <c r="I335">
        <f>(E335-F335)/D335</f>
        <v/>
      </c>
    </row>
    <row r="336">
      <c r="A336" s="3" t="n">
        <v>41212</v>
      </c>
      <c r="B336" t="inlineStr">
        <is>
          <t>067651</t>
        </is>
      </c>
      <c r="C336" t="inlineStr">
        <is>
          <t>CRUDE OIL, LIGHT SWEET - NEW YORK MERCANTILE EXCHANGE</t>
        </is>
      </c>
      <c r="D336" t="n">
        <v>1597501</v>
      </c>
      <c r="E336" t="n">
        <v>190172</v>
      </c>
      <c r="F336" t="n">
        <v>92209</v>
      </c>
      <c r="G336" t="n">
        <v>214585</v>
      </c>
      <c r="H336">
        <f>E336-F336</f>
        <v/>
      </c>
      <c r="I336">
        <f>(E336-F336)/D336</f>
        <v/>
      </c>
    </row>
    <row r="337">
      <c r="A337" s="3" t="n">
        <v>41219</v>
      </c>
      <c r="B337" t="inlineStr">
        <is>
          <t>067651</t>
        </is>
      </c>
      <c r="C337" t="inlineStr">
        <is>
          <t>CRUDE OIL, LIGHT SWEET - NEW YORK MERCANTILE EXCHANGE</t>
        </is>
      </c>
      <c r="D337" t="n">
        <v>1614897</v>
      </c>
      <c r="E337" t="n">
        <v>188831</v>
      </c>
      <c r="F337" t="n">
        <v>89991</v>
      </c>
      <c r="G337" t="n">
        <v>240105</v>
      </c>
      <c r="H337">
        <f>E337-F337</f>
        <v/>
      </c>
      <c r="I337">
        <f>(E337-F337)/D337</f>
        <v/>
      </c>
    </row>
    <row r="338">
      <c r="A338" s="3" t="n">
        <v>41226</v>
      </c>
      <c r="B338" t="inlineStr">
        <is>
          <t>067651</t>
        </is>
      </c>
      <c r="C338" t="inlineStr">
        <is>
          <t>CRUDE OIL, LIGHT SWEET - NEW YORK MERCANTILE EXCHANGE</t>
        </is>
      </c>
      <c r="D338" t="n">
        <v>1539663</v>
      </c>
      <c r="E338" t="n">
        <v>170660</v>
      </c>
      <c r="F338" t="n">
        <v>91453</v>
      </c>
      <c r="G338" t="n">
        <v>238172</v>
      </c>
      <c r="H338">
        <f>E338-F338</f>
        <v/>
      </c>
      <c r="I338">
        <f>(E338-F338)/D338</f>
        <v/>
      </c>
    </row>
    <row r="339">
      <c r="A339" s="3" t="n">
        <v>41233</v>
      </c>
      <c r="B339" t="inlineStr">
        <is>
          <t>067651</t>
        </is>
      </c>
      <c r="C339" t="inlineStr">
        <is>
          <t>CRUDE OIL, LIGHT SWEET - NEW YORK MERCANTILE EXCHANGE</t>
        </is>
      </c>
      <c r="D339" t="n">
        <v>1498820</v>
      </c>
      <c r="E339" t="n">
        <v>176931</v>
      </c>
      <c r="F339" t="n">
        <v>86381</v>
      </c>
      <c r="G339" t="n">
        <v>239243</v>
      </c>
      <c r="H339">
        <f>E339-F339</f>
        <v/>
      </c>
      <c r="I339">
        <f>(E339-F339)/D339</f>
        <v/>
      </c>
    </row>
    <row r="340">
      <c r="A340" s="3" t="n">
        <v>41240</v>
      </c>
      <c r="B340" t="inlineStr">
        <is>
          <t>067651</t>
        </is>
      </c>
      <c r="C340" t="inlineStr">
        <is>
          <t>CRUDE OIL, LIGHT SWEET - NEW YORK MERCANTILE EXCHANGE</t>
        </is>
      </c>
      <c r="D340" t="n">
        <v>1522133</v>
      </c>
      <c r="E340" t="n">
        <v>180902</v>
      </c>
      <c r="F340" t="n">
        <v>82686</v>
      </c>
      <c r="G340" t="n">
        <v>241163</v>
      </c>
      <c r="H340">
        <f>E340-F340</f>
        <v/>
      </c>
      <c r="I340">
        <f>(E340-F340)/D340</f>
        <v/>
      </c>
    </row>
    <row r="341">
      <c r="A341" s="3" t="n">
        <v>41247</v>
      </c>
      <c r="B341" t="inlineStr">
        <is>
          <t>067651</t>
        </is>
      </c>
      <c r="C341" t="inlineStr">
        <is>
          <t>CRUDE OIL, LIGHT SWEET - NEW YORK MERCANTILE EXCHANGE</t>
        </is>
      </c>
      <c r="D341" t="n">
        <v>1549067</v>
      </c>
      <c r="E341" t="n">
        <v>187019</v>
      </c>
      <c r="F341" t="n">
        <v>74822</v>
      </c>
      <c r="G341" t="n">
        <v>252826</v>
      </c>
      <c r="H341">
        <f>E341-F341</f>
        <v/>
      </c>
      <c r="I341">
        <f>(E341-F341)/D341</f>
        <v/>
      </c>
    </row>
    <row r="342">
      <c r="A342" s="3" t="n">
        <v>41254</v>
      </c>
      <c r="B342" t="inlineStr">
        <is>
          <t>067651</t>
        </is>
      </c>
      <c r="C342" t="inlineStr">
        <is>
          <t>CRUDE OIL, LIGHT SWEET - NEW YORK MERCANTILE EXCHANGE</t>
        </is>
      </c>
      <c r="D342" t="n">
        <v>1543454</v>
      </c>
      <c r="E342" t="n">
        <v>181172</v>
      </c>
      <c r="F342" t="n">
        <v>97660</v>
      </c>
      <c r="G342" t="n">
        <v>250727</v>
      </c>
      <c r="H342">
        <f>E342-F342</f>
        <v/>
      </c>
      <c r="I342">
        <f>(E342-F342)/D342</f>
        <v/>
      </c>
    </row>
    <row r="343">
      <c r="A343" s="3" t="n">
        <v>41261</v>
      </c>
      <c r="B343" t="inlineStr">
        <is>
          <t>067651</t>
        </is>
      </c>
      <c r="C343" t="inlineStr">
        <is>
          <t>CRUDE OIL, LIGHT SWEET - NEW YORK MERCANTILE EXCHANGE</t>
        </is>
      </c>
      <c r="D343" t="n">
        <v>1493851</v>
      </c>
      <c r="E343" t="n">
        <v>184629</v>
      </c>
      <c r="F343" t="n">
        <v>81606</v>
      </c>
      <c r="G343" t="n">
        <v>250607</v>
      </c>
      <c r="H343">
        <f>E343-F343</f>
        <v/>
      </c>
      <c r="I343">
        <f>(E343-F343)/D343</f>
        <v/>
      </c>
    </row>
    <row r="344">
      <c r="A344" s="3" t="n">
        <v>41267</v>
      </c>
      <c r="B344" t="inlineStr">
        <is>
          <t>067651</t>
        </is>
      </c>
      <c r="C344" t="inlineStr">
        <is>
          <t>CRUDE OIL, LIGHT SWEET - NEW YORK MERCANTILE EXCHANGE</t>
        </is>
      </c>
      <c r="D344" t="n">
        <v>1476652</v>
      </c>
      <c r="E344" t="n">
        <v>185839</v>
      </c>
      <c r="F344" t="n">
        <v>68358</v>
      </c>
      <c r="G344" t="n">
        <v>252017</v>
      </c>
      <c r="H344">
        <f>E344-F344</f>
        <v/>
      </c>
      <c r="I344">
        <f>(E344-F344)/D344</f>
        <v/>
      </c>
    </row>
    <row r="345">
      <c r="A345" s="3" t="n">
        <v>41274</v>
      </c>
      <c r="B345" t="inlineStr">
        <is>
          <t>067651</t>
        </is>
      </c>
      <c r="C345" t="inlineStr">
        <is>
          <t>CRUDE OIL, LIGHT SWEET - NEW YORK MERCANTILE EXCHANGE</t>
        </is>
      </c>
      <c r="D345" t="n">
        <v>1473345</v>
      </c>
      <c r="E345" t="n">
        <v>188972</v>
      </c>
      <c r="F345" t="n">
        <v>52499</v>
      </c>
      <c r="G345" t="n">
        <v>256689</v>
      </c>
      <c r="H345">
        <f>E345-F345</f>
        <v/>
      </c>
      <c r="I345">
        <f>(E345-F345)/D345</f>
        <v/>
      </c>
    </row>
    <row r="346">
      <c r="A346" s="3" t="n">
        <v>41282</v>
      </c>
      <c r="B346" t="inlineStr">
        <is>
          <t>067651</t>
        </is>
      </c>
      <c r="C346" t="inlineStr">
        <is>
          <t>CRUDE OIL, LIGHT SWEET - NEW YORK MERCANTILE EXCHANGE</t>
        </is>
      </c>
      <c r="D346" t="n">
        <v>1477695</v>
      </c>
      <c r="E346" t="n">
        <v>202209</v>
      </c>
      <c r="F346" t="n">
        <v>41045</v>
      </c>
      <c r="G346" t="n">
        <v>241949</v>
      </c>
      <c r="H346">
        <f>E346-F346</f>
        <v/>
      </c>
      <c r="I346">
        <f>(E346-F346)/D346</f>
        <v/>
      </c>
    </row>
    <row r="347">
      <c r="A347" s="3" t="n">
        <v>41289</v>
      </c>
      <c r="B347" t="inlineStr">
        <is>
          <t>067651</t>
        </is>
      </c>
      <c r="C347" t="inlineStr">
        <is>
          <t>CRUDE OIL, LIGHT SWEET - NEW YORK MERCANTILE EXCHANGE</t>
        </is>
      </c>
      <c r="D347" t="n">
        <v>1495149</v>
      </c>
      <c r="E347" t="n">
        <v>209693</v>
      </c>
      <c r="F347" t="n">
        <v>37007</v>
      </c>
      <c r="G347" t="n">
        <v>254296</v>
      </c>
      <c r="H347">
        <f>E347-F347</f>
        <v/>
      </c>
      <c r="I347">
        <f>(E347-F347)/D347</f>
        <v/>
      </c>
    </row>
    <row r="348">
      <c r="A348" s="3" t="n">
        <v>41296</v>
      </c>
      <c r="B348" t="inlineStr">
        <is>
          <t>067651</t>
        </is>
      </c>
      <c r="C348" t="inlineStr">
        <is>
          <t>CRUDE OIL, LIGHT SWEET - NEW YORK MERCANTILE EXCHANGE</t>
        </is>
      </c>
      <c r="D348" t="n">
        <v>1491867</v>
      </c>
      <c r="E348" t="n">
        <v>228075</v>
      </c>
      <c r="F348" t="n">
        <v>30667</v>
      </c>
      <c r="G348" t="n">
        <v>257452</v>
      </c>
      <c r="H348">
        <f>E348-F348</f>
        <v/>
      </c>
      <c r="I348">
        <f>(E348-F348)/D348</f>
        <v/>
      </c>
    </row>
    <row r="349">
      <c r="A349" s="3" t="n">
        <v>41303</v>
      </c>
      <c r="B349" t="inlineStr">
        <is>
          <t>067651</t>
        </is>
      </c>
      <c r="C349" t="inlineStr">
        <is>
          <t>CRUDE OIL, LIGHT SWEET - NEW YORK MERCANTILE EXCHANGE</t>
        </is>
      </c>
      <c r="D349" t="n">
        <v>1553636</v>
      </c>
      <c r="E349" t="n">
        <v>232827</v>
      </c>
      <c r="F349" t="n">
        <v>25773</v>
      </c>
      <c r="G349" t="n">
        <v>280007</v>
      </c>
      <c r="H349">
        <f>E349-F349</f>
        <v/>
      </c>
      <c r="I349">
        <f>(E349-F349)/D349</f>
        <v/>
      </c>
    </row>
    <row r="350">
      <c r="A350" s="3" t="n">
        <v>41310</v>
      </c>
      <c r="B350" t="inlineStr">
        <is>
          <t>067651</t>
        </is>
      </c>
      <c r="C350" t="inlineStr">
        <is>
          <t>CRUDE OIL, LIGHT SWEET - NEW YORK MERCANTILE EXCHANGE</t>
        </is>
      </c>
      <c r="D350" t="n">
        <v>1594844</v>
      </c>
      <c r="E350" t="n">
        <v>227589</v>
      </c>
      <c r="F350" t="n">
        <v>25756</v>
      </c>
      <c r="G350" t="n">
        <v>284160</v>
      </c>
      <c r="H350">
        <f>E350-F350</f>
        <v/>
      </c>
      <c r="I350">
        <f>(E350-F350)/D350</f>
        <v/>
      </c>
    </row>
    <row r="351">
      <c r="A351" s="3" t="n">
        <v>41317</v>
      </c>
      <c r="B351" t="inlineStr">
        <is>
          <t>067651</t>
        </is>
      </c>
      <c r="C351" t="inlineStr">
        <is>
          <t>CRUDE OIL, LIGHT SWEET - NEW YORK MERCANTILE EXCHANGE</t>
        </is>
      </c>
      <c r="D351" t="n">
        <v>1653440</v>
      </c>
      <c r="E351" t="n">
        <v>235696</v>
      </c>
      <c r="F351" t="n">
        <v>26131</v>
      </c>
      <c r="G351" t="n">
        <v>329099</v>
      </c>
      <c r="H351">
        <f>E351-F351</f>
        <v/>
      </c>
      <c r="I351">
        <f>(E351-F351)/D351</f>
        <v/>
      </c>
    </row>
    <row r="352">
      <c r="A352" s="3" t="n">
        <v>41324</v>
      </c>
      <c r="B352" t="inlineStr">
        <is>
          <t>067651</t>
        </is>
      </c>
      <c r="C352" t="inlineStr">
        <is>
          <t>CRUDE OIL, LIGHT SWEET - NEW YORK MERCANTILE EXCHANGE</t>
        </is>
      </c>
      <c r="D352" t="n">
        <v>1650211</v>
      </c>
      <c r="E352" t="n">
        <v>215261</v>
      </c>
      <c r="F352" t="n">
        <v>33725</v>
      </c>
      <c r="G352" t="n">
        <v>338991</v>
      </c>
      <c r="H352">
        <f>E352-F352</f>
        <v/>
      </c>
      <c r="I352">
        <f>(E352-F352)/D352</f>
        <v/>
      </c>
    </row>
    <row r="353">
      <c r="A353" s="3" t="n">
        <v>41331</v>
      </c>
      <c r="B353" t="inlineStr">
        <is>
          <t>067651</t>
        </is>
      </c>
      <c r="C353" t="inlineStr">
        <is>
          <t>CRUDE OIL, LIGHT SWEET - NEW YORK MERCANTILE EXCHANGE</t>
        </is>
      </c>
      <c r="D353" t="n">
        <v>1654089</v>
      </c>
      <c r="E353" t="n">
        <v>198020</v>
      </c>
      <c r="F353" t="n">
        <v>47595</v>
      </c>
      <c r="G353" t="n">
        <v>337843</v>
      </c>
      <c r="H353">
        <f>E353-F353</f>
        <v/>
      </c>
      <c r="I353">
        <f>(E353-F353)/D353</f>
        <v/>
      </c>
    </row>
    <row r="354">
      <c r="A354" s="3" t="n">
        <v>41338</v>
      </c>
      <c r="B354" t="inlineStr">
        <is>
          <t>067651</t>
        </is>
      </c>
      <c r="C354" t="inlineStr">
        <is>
          <t>CRUDE OIL, LIGHT SWEET - NEW YORK MERCANTILE EXCHANGE</t>
        </is>
      </c>
      <c r="D354" t="n">
        <v>1710526</v>
      </c>
      <c r="E354" t="n">
        <v>200350</v>
      </c>
      <c r="F354" t="n">
        <v>57320</v>
      </c>
      <c r="G354" t="n">
        <v>338179</v>
      </c>
      <c r="H354">
        <f>E354-F354</f>
        <v/>
      </c>
      <c r="I354">
        <f>(E354-F354)/D354</f>
        <v/>
      </c>
    </row>
    <row r="355">
      <c r="A355" s="3" t="n">
        <v>41345</v>
      </c>
      <c r="B355" t="inlineStr">
        <is>
          <t>067651</t>
        </is>
      </c>
      <c r="C355" t="inlineStr">
        <is>
          <t>CRUDE OIL, LIGHT SWEET - NEW YORK MERCANTILE EXCHANGE</t>
        </is>
      </c>
      <c r="D355" t="n">
        <v>1720024</v>
      </c>
      <c r="E355" t="n">
        <v>204471</v>
      </c>
      <c r="F355" t="n">
        <v>59442</v>
      </c>
      <c r="G355" t="n">
        <v>353216</v>
      </c>
      <c r="H355">
        <f>E355-F355</f>
        <v/>
      </c>
      <c r="I355">
        <f>(E355-F355)/D355</f>
        <v/>
      </c>
    </row>
    <row r="356">
      <c r="A356" s="3" t="n">
        <v>41352</v>
      </c>
      <c r="B356" t="inlineStr">
        <is>
          <t>067651</t>
        </is>
      </c>
      <c r="C356" t="inlineStr">
        <is>
          <t>CRUDE OIL, LIGHT SWEET - NEW YORK MERCANTILE EXCHANGE</t>
        </is>
      </c>
      <c r="D356" t="n">
        <v>1647391</v>
      </c>
      <c r="E356" t="n">
        <v>200592</v>
      </c>
      <c r="F356" t="n">
        <v>50279</v>
      </c>
      <c r="G356" t="n">
        <v>334001</v>
      </c>
      <c r="H356">
        <f>E356-F356</f>
        <v/>
      </c>
      <c r="I356">
        <f>(E356-F356)/D356</f>
        <v/>
      </c>
    </row>
    <row r="357">
      <c r="A357" s="3" t="n">
        <v>41359</v>
      </c>
      <c r="B357" t="inlineStr">
        <is>
          <t>067651</t>
        </is>
      </c>
      <c r="C357" t="inlineStr">
        <is>
          <t>CRUDE OIL, LIGHT SWEET - NEW YORK MERCANTILE EXCHANGE</t>
        </is>
      </c>
      <c r="D357" t="n">
        <v>1693684</v>
      </c>
      <c r="E357" t="n">
        <v>213640</v>
      </c>
      <c r="F357" t="n">
        <v>37766</v>
      </c>
      <c r="G357" t="n">
        <v>343920</v>
      </c>
      <c r="H357">
        <f>E357-F357</f>
        <v/>
      </c>
      <c r="I357">
        <f>(E357-F357)/D357</f>
        <v/>
      </c>
    </row>
    <row r="358">
      <c r="A358" s="3" t="n">
        <v>41366</v>
      </c>
      <c r="B358" t="inlineStr">
        <is>
          <t>067651</t>
        </is>
      </c>
      <c r="C358" t="inlineStr">
        <is>
          <t>CRUDE OIL, LIGHT SWEET - NEW YORK MERCANTILE EXCHANGE</t>
        </is>
      </c>
      <c r="D358" t="n">
        <v>1731930</v>
      </c>
      <c r="E358" t="n">
        <v>215348</v>
      </c>
      <c r="F358" t="n">
        <v>34552</v>
      </c>
      <c r="G358" t="n">
        <v>357061</v>
      </c>
      <c r="H358">
        <f>E358-F358</f>
        <v/>
      </c>
      <c r="I358">
        <f>(E358-F358)/D358</f>
        <v/>
      </c>
    </row>
    <row r="359">
      <c r="A359" s="3" t="n">
        <v>41373</v>
      </c>
      <c r="B359" t="inlineStr">
        <is>
          <t>067651</t>
        </is>
      </c>
      <c r="C359" t="inlineStr">
        <is>
          <t>CRUDE OIL, LIGHT SWEET - NEW YORK MERCANTILE EXCHANGE</t>
        </is>
      </c>
      <c r="D359" t="n">
        <v>1768185</v>
      </c>
      <c r="E359" t="n">
        <v>208268</v>
      </c>
      <c r="F359" t="n">
        <v>36637</v>
      </c>
      <c r="G359" t="n">
        <v>376178</v>
      </c>
      <c r="H359">
        <f>E359-F359</f>
        <v/>
      </c>
      <c r="I359">
        <f>(E359-F359)/D359</f>
        <v/>
      </c>
    </row>
    <row r="360">
      <c r="A360" s="3" t="n">
        <v>41380</v>
      </c>
      <c r="B360" t="inlineStr">
        <is>
          <t>067651</t>
        </is>
      </c>
      <c r="C360" t="inlineStr">
        <is>
          <t>CRUDE OIL, LIGHT SWEET - NEW YORK MERCANTILE EXCHANGE</t>
        </is>
      </c>
      <c r="D360" t="n">
        <v>1764368</v>
      </c>
      <c r="E360" t="n">
        <v>209132</v>
      </c>
      <c r="F360" t="n">
        <v>48470</v>
      </c>
      <c r="G360" t="n">
        <v>361004</v>
      </c>
      <c r="H360">
        <f>E360-F360</f>
        <v/>
      </c>
      <c r="I360">
        <f>(E360-F360)/D360</f>
        <v/>
      </c>
    </row>
    <row r="361">
      <c r="A361" s="3" t="n">
        <v>41387</v>
      </c>
      <c r="B361" t="inlineStr">
        <is>
          <t>067651</t>
        </is>
      </c>
      <c r="C361" t="inlineStr">
        <is>
          <t>CRUDE OIL, LIGHT SWEET - NEW YORK MERCANTILE EXCHANGE</t>
        </is>
      </c>
      <c r="D361" t="n">
        <v>1718878</v>
      </c>
      <c r="E361" t="n">
        <v>227376</v>
      </c>
      <c r="F361" t="n">
        <v>63680</v>
      </c>
      <c r="G361" t="n">
        <v>345100</v>
      </c>
      <c r="H361">
        <f>E361-F361</f>
        <v/>
      </c>
      <c r="I361">
        <f>(E361-F361)/D361</f>
        <v/>
      </c>
    </row>
    <row r="362">
      <c r="A362" s="3" t="n">
        <v>41394</v>
      </c>
      <c r="B362" t="inlineStr">
        <is>
          <t>067651</t>
        </is>
      </c>
      <c r="C362" t="inlineStr">
        <is>
          <t>CRUDE OIL, LIGHT SWEET - NEW YORK MERCANTILE EXCHANGE</t>
        </is>
      </c>
      <c r="D362" t="n">
        <v>1771193</v>
      </c>
      <c r="E362" t="n">
        <v>225224</v>
      </c>
      <c r="F362" t="n">
        <v>53109</v>
      </c>
      <c r="G362" t="n">
        <v>346185</v>
      </c>
      <c r="H362">
        <f>E362-F362</f>
        <v/>
      </c>
      <c r="I362">
        <f>(E362-F362)/D362</f>
        <v/>
      </c>
    </row>
    <row r="363">
      <c r="A363" s="3" t="n">
        <v>41401</v>
      </c>
      <c r="B363" t="inlineStr">
        <is>
          <t>067651</t>
        </is>
      </c>
      <c r="C363" t="inlineStr">
        <is>
          <t>CRUDE OIL, LIGHT SWEET - NEW YORK MERCANTILE EXCHANGE</t>
        </is>
      </c>
      <c r="D363" t="n">
        <v>1770442</v>
      </c>
      <c r="E363" t="n">
        <v>224475</v>
      </c>
      <c r="F363" t="n">
        <v>37085</v>
      </c>
      <c r="G363" t="n">
        <v>365293</v>
      </c>
      <c r="H363">
        <f>E363-F363</f>
        <v/>
      </c>
      <c r="I363">
        <f>(E363-F363)/D363</f>
        <v/>
      </c>
    </row>
    <row r="364">
      <c r="A364" s="3" t="n">
        <v>41408</v>
      </c>
      <c r="B364" t="inlineStr">
        <is>
          <t>067651</t>
        </is>
      </c>
      <c r="C364" t="inlineStr">
        <is>
          <t>CRUDE OIL, LIGHT SWEET - NEW YORK MERCANTILE EXCHANGE</t>
        </is>
      </c>
      <c r="D364" t="n">
        <v>1758686</v>
      </c>
      <c r="E364" t="n">
        <v>227380</v>
      </c>
      <c r="F364" t="n">
        <v>32300</v>
      </c>
      <c r="G364" t="n">
        <v>370797</v>
      </c>
      <c r="H364">
        <f>E364-F364</f>
        <v/>
      </c>
      <c r="I364">
        <f>(E364-F364)/D364</f>
        <v/>
      </c>
    </row>
    <row r="365">
      <c r="A365" s="3" t="n">
        <v>41415</v>
      </c>
      <c r="B365" t="inlineStr">
        <is>
          <t>067651</t>
        </is>
      </c>
      <c r="C365" t="inlineStr">
        <is>
          <t>CRUDE OIL, LIGHT SWEET - NEW YORK MERCANTILE EXCHANGE</t>
        </is>
      </c>
      <c r="D365" t="n">
        <v>1742051</v>
      </c>
      <c r="E365" t="n">
        <v>247573</v>
      </c>
      <c r="F365" t="n">
        <v>33824</v>
      </c>
      <c r="G365" t="n">
        <v>352290</v>
      </c>
      <c r="H365">
        <f>E365-F365</f>
        <v/>
      </c>
      <c r="I365">
        <f>(E365-F365)/D365</f>
        <v/>
      </c>
    </row>
    <row r="366">
      <c r="A366" s="3" t="n">
        <v>41422</v>
      </c>
      <c r="B366" t="inlineStr">
        <is>
          <t>067651</t>
        </is>
      </c>
      <c r="C366" t="inlineStr">
        <is>
          <t>CRUDE OIL, LIGHT SWEET - NEW YORK MERCANTILE EXCHANGE</t>
        </is>
      </c>
      <c r="D366" t="n">
        <v>1744717</v>
      </c>
      <c r="E366" t="n">
        <v>238439</v>
      </c>
      <c r="F366" t="n">
        <v>35643</v>
      </c>
      <c r="G366" t="n">
        <v>343229</v>
      </c>
      <c r="H366">
        <f>E366-F366</f>
        <v/>
      </c>
      <c r="I366">
        <f>(E366-F366)/D366</f>
        <v/>
      </c>
    </row>
    <row r="367">
      <c r="A367" s="3" t="n">
        <v>41429</v>
      </c>
      <c r="B367" t="inlineStr">
        <is>
          <t>067651</t>
        </is>
      </c>
      <c r="C367" t="inlineStr">
        <is>
          <t>CRUDE OIL, LIGHT SWEET - NEW YORK MERCANTILE EXCHANGE</t>
        </is>
      </c>
      <c r="D367" t="n">
        <v>1740663</v>
      </c>
      <c r="E367" t="n">
        <v>238624</v>
      </c>
      <c r="F367" t="n">
        <v>38889</v>
      </c>
      <c r="G367" t="n">
        <v>334288</v>
      </c>
      <c r="H367">
        <f>E367-F367</f>
        <v/>
      </c>
      <c r="I367">
        <f>(E367-F367)/D367</f>
        <v/>
      </c>
    </row>
    <row r="368">
      <c r="A368" s="3" t="n">
        <v>41436</v>
      </c>
      <c r="B368" t="inlineStr">
        <is>
          <t>067651</t>
        </is>
      </c>
      <c r="C368" t="inlineStr">
        <is>
          <t>CRUDE OIL, LIGHT SWEET - NEW YORK MERCANTILE EXCHANGE</t>
        </is>
      </c>
      <c r="D368" t="n">
        <v>1815904</v>
      </c>
      <c r="E368" t="n">
        <v>248569</v>
      </c>
      <c r="F368" t="n">
        <v>32612</v>
      </c>
      <c r="G368" t="n">
        <v>359480</v>
      </c>
      <c r="H368">
        <f>E368-F368</f>
        <v/>
      </c>
      <c r="I368">
        <f>(E368-F368)/D368</f>
        <v/>
      </c>
    </row>
    <row r="369">
      <c r="A369" s="3" t="n">
        <v>41443</v>
      </c>
      <c r="B369" t="inlineStr">
        <is>
          <t>067651</t>
        </is>
      </c>
      <c r="C369" t="inlineStr">
        <is>
          <t>CRUDE OIL, LIGHT SWEET - NEW YORK MERCANTILE EXCHANGE</t>
        </is>
      </c>
      <c r="D369" t="n">
        <v>1868964</v>
      </c>
      <c r="E369" t="n">
        <v>268324</v>
      </c>
      <c r="F369" t="n">
        <v>26870</v>
      </c>
      <c r="G369" t="n">
        <v>379339</v>
      </c>
      <c r="H369">
        <f>E369-F369</f>
        <v/>
      </c>
      <c r="I369">
        <f>(E369-F369)/D369</f>
        <v/>
      </c>
    </row>
    <row r="370">
      <c r="A370" s="3" t="n">
        <v>41450</v>
      </c>
      <c r="B370" t="inlineStr">
        <is>
          <t>067651</t>
        </is>
      </c>
      <c r="C370" t="inlineStr">
        <is>
          <t>CRUDE OIL, LIGHT SWEET - NEW YORK MERCANTILE EXCHANGE</t>
        </is>
      </c>
      <c r="D370" t="n">
        <v>1809371</v>
      </c>
      <c r="E370" t="n">
        <v>246278</v>
      </c>
      <c r="F370" t="n">
        <v>25189</v>
      </c>
      <c r="G370" t="n">
        <v>354702</v>
      </c>
      <c r="H370">
        <f>E370-F370</f>
        <v/>
      </c>
      <c r="I370">
        <f>(E370-F370)/D370</f>
        <v/>
      </c>
    </row>
    <row r="371">
      <c r="A371" s="3" t="n">
        <v>41457</v>
      </c>
      <c r="B371" t="inlineStr">
        <is>
          <t>067651</t>
        </is>
      </c>
      <c r="C371" t="inlineStr">
        <is>
          <t>CRUDE OIL, LIGHT SWEET - NEW YORK MERCANTILE EXCHANGE</t>
        </is>
      </c>
      <c r="D371" t="n">
        <v>1769805</v>
      </c>
      <c r="E371" t="n">
        <v>272728</v>
      </c>
      <c r="F371" t="n">
        <v>28849</v>
      </c>
      <c r="G371" t="n">
        <v>330917</v>
      </c>
      <c r="H371">
        <f>E371-F371</f>
        <v/>
      </c>
      <c r="I371">
        <f>(E371-F371)/D371</f>
        <v/>
      </c>
    </row>
    <row r="372">
      <c r="A372" s="3" t="n">
        <v>41464</v>
      </c>
      <c r="B372" t="inlineStr">
        <is>
          <t>067651</t>
        </is>
      </c>
      <c r="C372" t="inlineStr">
        <is>
          <t>CRUDE OIL, LIGHT SWEET - NEW YORK MERCANTILE EXCHANGE</t>
        </is>
      </c>
      <c r="D372" t="n">
        <v>1818204</v>
      </c>
      <c r="E372" t="n">
        <v>287615</v>
      </c>
      <c r="F372" t="n">
        <v>30791</v>
      </c>
      <c r="G372" t="n">
        <v>334946</v>
      </c>
      <c r="H372">
        <f>E372-F372</f>
        <v/>
      </c>
      <c r="I372">
        <f>(E372-F372)/D372</f>
        <v/>
      </c>
    </row>
    <row r="373">
      <c r="A373" s="3" t="n">
        <v>41471</v>
      </c>
      <c r="B373" t="inlineStr">
        <is>
          <t>067651</t>
        </is>
      </c>
      <c r="C373" t="inlineStr">
        <is>
          <t>CRUDE OIL, LIGHT SWEET - NEW YORK MERCANTILE EXCHANGE</t>
        </is>
      </c>
      <c r="D373" t="n">
        <v>1880612</v>
      </c>
      <c r="E373" t="n">
        <v>303124</v>
      </c>
      <c r="F373" t="n">
        <v>27302</v>
      </c>
      <c r="G373" t="n">
        <v>355051</v>
      </c>
      <c r="H373">
        <f>E373-F373</f>
        <v/>
      </c>
      <c r="I373">
        <f>(E373-F373)/D373</f>
        <v/>
      </c>
    </row>
    <row r="374">
      <c r="A374" s="3" t="n">
        <v>41478</v>
      </c>
      <c r="B374" t="inlineStr">
        <is>
          <t>067651</t>
        </is>
      </c>
      <c r="C374" t="inlineStr">
        <is>
          <t>CRUDE OIL, LIGHT SWEET - NEW YORK MERCANTILE EXCHANGE</t>
        </is>
      </c>
      <c r="D374" t="n">
        <v>1865700</v>
      </c>
      <c r="E374" t="n">
        <v>335934</v>
      </c>
      <c r="F374" t="n">
        <v>30090</v>
      </c>
      <c r="G374" t="n">
        <v>317115</v>
      </c>
      <c r="H374">
        <f>E374-F374</f>
        <v/>
      </c>
      <c r="I374">
        <f>(E374-F374)/D374</f>
        <v/>
      </c>
    </row>
    <row r="375">
      <c r="A375" s="3" t="n">
        <v>41485</v>
      </c>
      <c r="B375" t="inlineStr">
        <is>
          <t>067651</t>
        </is>
      </c>
      <c r="C375" t="inlineStr">
        <is>
          <t>CRUDE OIL, LIGHT SWEET - NEW YORK MERCANTILE EXCHANGE</t>
        </is>
      </c>
      <c r="D375" t="n">
        <v>1837823</v>
      </c>
      <c r="E375" t="n">
        <v>332291</v>
      </c>
      <c r="F375" t="n">
        <v>31298</v>
      </c>
      <c r="G375" t="n">
        <v>319841</v>
      </c>
      <c r="H375">
        <f>E375-F375</f>
        <v/>
      </c>
      <c r="I375">
        <f>(E375-F375)/D375</f>
        <v/>
      </c>
    </row>
    <row r="376">
      <c r="A376" s="3" t="n">
        <v>41492</v>
      </c>
      <c r="B376" t="inlineStr">
        <is>
          <t>067651</t>
        </is>
      </c>
      <c r="C376" t="inlineStr">
        <is>
          <t>CRUDE OIL, LIGHT SWEET - NEW YORK MERCANTILE EXCHANGE</t>
        </is>
      </c>
      <c r="D376" t="n">
        <v>1879218</v>
      </c>
      <c r="E376" t="n">
        <v>326132</v>
      </c>
      <c r="F376" t="n">
        <v>39841</v>
      </c>
      <c r="G376" t="n">
        <v>320758</v>
      </c>
      <c r="H376">
        <f>E376-F376</f>
        <v/>
      </c>
      <c r="I376">
        <f>(E376-F376)/D376</f>
        <v/>
      </c>
    </row>
    <row r="377">
      <c r="A377" s="3" t="n">
        <v>41499</v>
      </c>
      <c r="B377" t="inlineStr">
        <is>
          <t>067651</t>
        </is>
      </c>
      <c r="C377" t="inlineStr">
        <is>
          <t>CRUDE OIL, LIGHT SWEET - NEW YORK MERCANTILE EXCHANGE</t>
        </is>
      </c>
      <c r="D377" t="n">
        <v>1934417</v>
      </c>
      <c r="E377" t="n">
        <v>317888</v>
      </c>
      <c r="F377" t="n">
        <v>42829</v>
      </c>
      <c r="G377" t="n">
        <v>363037</v>
      </c>
      <c r="H377">
        <f>E377-F377</f>
        <v/>
      </c>
      <c r="I377">
        <f>(E377-F377)/D377</f>
        <v/>
      </c>
    </row>
    <row r="378">
      <c r="A378" s="3" t="n">
        <v>41506</v>
      </c>
      <c r="B378" t="inlineStr">
        <is>
          <t>067651</t>
        </is>
      </c>
      <c r="C378" t="inlineStr">
        <is>
          <t>CRUDE OIL, LIGHT SWEET - NEW YORK MERCANTILE EXCHANGE</t>
        </is>
      </c>
      <c r="D378" t="n">
        <v>1835367</v>
      </c>
      <c r="E378" t="n">
        <v>319573</v>
      </c>
      <c r="F378" t="n">
        <v>50251</v>
      </c>
      <c r="G378" t="n">
        <v>356378</v>
      </c>
      <c r="H378">
        <f>E378-F378</f>
        <v/>
      </c>
      <c r="I378">
        <f>(E378-F378)/D378</f>
        <v/>
      </c>
    </row>
    <row r="379">
      <c r="A379" s="3" t="n">
        <v>41513</v>
      </c>
      <c r="B379" t="inlineStr">
        <is>
          <t>067651</t>
        </is>
      </c>
      <c r="C379" t="inlineStr">
        <is>
          <t>CRUDE OIL, LIGHT SWEET - NEW YORK MERCANTILE EXCHANGE</t>
        </is>
      </c>
      <c r="D379" t="n">
        <v>1855284</v>
      </c>
      <c r="E379" t="n">
        <v>324636</v>
      </c>
      <c r="F379" t="n">
        <v>50749</v>
      </c>
      <c r="G379" t="n">
        <v>359023</v>
      </c>
      <c r="H379">
        <f>E379-F379</f>
        <v/>
      </c>
      <c r="I379">
        <f>(E379-F379)/D379</f>
        <v/>
      </c>
    </row>
    <row r="380">
      <c r="A380" s="3" t="n">
        <v>41520</v>
      </c>
      <c r="B380" t="inlineStr">
        <is>
          <t>067651</t>
        </is>
      </c>
      <c r="C380" t="inlineStr">
        <is>
          <t>CRUDE OIL, LIGHT SWEET - NEW YORK MERCANTILE EXCHANGE</t>
        </is>
      </c>
      <c r="D380" t="n">
        <v>1856725</v>
      </c>
      <c r="E380" t="n">
        <v>313572</v>
      </c>
      <c r="F380" t="n">
        <v>51554</v>
      </c>
      <c r="G380" t="n">
        <v>375351</v>
      </c>
      <c r="H380">
        <f>E380-F380</f>
        <v/>
      </c>
      <c r="I380">
        <f>(E380-F380)/D380</f>
        <v/>
      </c>
    </row>
    <row r="381">
      <c r="A381" s="3" t="n">
        <v>41527</v>
      </c>
      <c r="B381" t="inlineStr">
        <is>
          <t>067651</t>
        </is>
      </c>
      <c r="C381" t="inlineStr">
        <is>
          <t>CRUDE OIL, LIGHT SWEET - NEW YORK MERCANTILE EXCHANGE</t>
        </is>
      </c>
      <c r="D381" t="n">
        <v>1901643</v>
      </c>
      <c r="E381" t="n">
        <v>303451</v>
      </c>
      <c r="F381" t="n">
        <v>55667</v>
      </c>
      <c r="G381" t="n">
        <v>395100</v>
      </c>
      <c r="H381">
        <f>E381-F381</f>
        <v/>
      </c>
      <c r="I381">
        <f>(E381-F381)/D381</f>
        <v/>
      </c>
    </row>
    <row r="382">
      <c r="A382" s="3" t="n">
        <v>41534</v>
      </c>
      <c r="B382" t="inlineStr">
        <is>
          <t>067651</t>
        </is>
      </c>
      <c r="C382" t="inlineStr">
        <is>
          <t>CRUDE OIL, LIGHT SWEET - NEW YORK MERCANTILE EXCHANGE</t>
        </is>
      </c>
      <c r="D382" t="n">
        <v>1926402</v>
      </c>
      <c r="E382" t="n">
        <v>297439</v>
      </c>
      <c r="F382" t="n">
        <v>52030</v>
      </c>
      <c r="G382" t="n">
        <v>392255</v>
      </c>
      <c r="H382">
        <f>E382-F382</f>
        <v/>
      </c>
      <c r="I382">
        <f>(E382-F382)/D382</f>
        <v/>
      </c>
    </row>
    <row r="383">
      <c r="A383" s="3" t="n">
        <v>41541</v>
      </c>
      <c r="B383" t="inlineStr">
        <is>
          <t>067651</t>
        </is>
      </c>
      <c r="C383" t="inlineStr">
        <is>
          <t>CRUDE OIL, LIGHT SWEET - NEW YORK MERCANTILE EXCHANGE</t>
        </is>
      </c>
      <c r="D383" t="n">
        <v>1881081</v>
      </c>
      <c r="E383" t="n">
        <v>285293</v>
      </c>
      <c r="F383" t="n">
        <v>41582</v>
      </c>
      <c r="G383" t="n">
        <v>374108</v>
      </c>
      <c r="H383">
        <f>E383-F383</f>
        <v/>
      </c>
      <c r="I383">
        <f>(E383-F383)/D383</f>
        <v/>
      </c>
    </row>
    <row r="384">
      <c r="A384" s="3" t="n">
        <v>41548</v>
      </c>
      <c r="B384" t="inlineStr">
        <is>
          <t>067651</t>
        </is>
      </c>
      <c r="C384" t="inlineStr">
        <is>
          <t>CRUDE OIL, LIGHT SWEET - NEW YORK MERCANTILE EXCHANGE</t>
        </is>
      </c>
      <c r="D384" t="n">
        <v>1856649</v>
      </c>
      <c r="E384" t="n">
        <v>267757</v>
      </c>
      <c r="F384" t="n">
        <v>42623</v>
      </c>
      <c r="G384" t="n">
        <v>373846</v>
      </c>
      <c r="H384">
        <f>E384-F384</f>
        <v/>
      </c>
      <c r="I384">
        <f>(E384-F384)/D384</f>
        <v/>
      </c>
    </row>
    <row r="385">
      <c r="A385" s="3" t="n">
        <v>41555</v>
      </c>
      <c r="B385" t="inlineStr">
        <is>
          <t>067651</t>
        </is>
      </c>
      <c r="C385" t="inlineStr">
        <is>
          <t>CRUDE OIL, LIGHT SWEET - NEW YORK MERCANTILE EXCHANGE</t>
        </is>
      </c>
      <c r="D385" t="n">
        <v>1871940</v>
      </c>
      <c r="E385" t="n">
        <v>264481</v>
      </c>
      <c r="F385" t="n">
        <v>42058</v>
      </c>
      <c r="G385" t="n">
        <v>408106</v>
      </c>
      <c r="H385">
        <f>E385-F385</f>
        <v/>
      </c>
      <c r="I385">
        <f>(E385-F385)/D385</f>
        <v/>
      </c>
    </row>
    <row r="386">
      <c r="A386" s="3" t="n">
        <v>41562</v>
      </c>
      <c r="B386" t="inlineStr">
        <is>
          <t>067651</t>
        </is>
      </c>
      <c r="C386" t="inlineStr">
        <is>
          <t>CRUDE OIL, LIGHT SWEET - NEW YORK MERCANTILE EXCHANGE</t>
        </is>
      </c>
      <c r="D386" t="n">
        <v>1824929</v>
      </c>
      <c r="E386" t="n">
        <v>261855</v>
      </c>
      <c r="F386" t="n">
        <v>43338</v>
      </c>
      <c r="G386" t="n">
        <v>391693</v>
      </c>
      <c r="H386">
        <f>E386-F386</f>
        <v/>
      </c>
      <c r="I386">
        <f>(E386-F386)/D386</f>
        <v/>
      </c>
    </row>
    <row r="387">
      <c r="A387" s="3" t="n">
        <v>41569</v>
      </c>
      <c r="B387" t="inlineStr">
        <is>
          <t>067651</t>
        </is>
      </c>
      <c r="C387" t="inlineStr">
        <is>
          <t>CRUDE OIL, LIGHT SWEET - NEW YORK MERCANTILE EXCHANGE</t>
        </is>
      </c>
      <c r="D387" t="n">
        <v>1785295</v>
      </c>
      <c r="E387" t="n">
        <v>273597</v>
      </c>
      <c r="F387" t="n">
        <v>44340</v>
      </c>
      <c r="G387" t="n">
        <v>380319</v>
      </c>
      <c r="H387">
        <f>E387-F387</f>
        <v/>
      </c>
      <c r="I387">
        <f>(E387-F387)/D387</f>
        <v/>
      </c>
    </row>
    <row r="388">
      <c r="A388" s="3" t="n">
        <v>41576</v>
      </c>
      <c r="B388" t="inlineStr">
        <is>
          <t>067651</t>
        </is>
      </c>
      <c r="C388" t="inlineStr">
        <is>
          <t>CRUDE OIL, LIGHT SWEET - NEW YORK MERCANTILE EXCHANGE</t>
        </is>
      </c>
      <c r="D388" t="n">
        <v>1774386</v>
      </c>
      <c r="E388" t="n">
        <v>269361</v>
      </c>
      <c r="F388" t="n">
        <v>46362</v>
      </c>
      <c r="G388" t="n">
        <v>329608</v>
      </c>
      <c r="H388">
        <f>E388-F388</f>
        <v/>
      </c>
      <c r="I388">
        <f>(E388-F388)/D388</f>
        <v/>
      </c>
    </row>
    <row r="389">
      <c r="A389" s="3" t="n">
        <v>41583</v>
      </c>
      <c r="B389" t="inlineStr">
        <is>
          <t>067651</t>
        </is>
      </c>
      <c r="C389" t="inlineStr">
        <is>
          <t>CRUDE OIL, LIGHT SWEET - NEW YORK MERCANTILE EXCHANGE</t>
        </is>
      </c>
      <c r="D389" t="n">
        <v>1736874</v>
      </c>
      <c r="E389" t="n">
        <v>274452</v>
      </c>
      <c r="F389" t="n">
        <v>56911</v>
      </c>
      <c r="G389" t="n">
        <v>325293</v>
      </c>
      <c r="H389">
        <f>E389-F389</f>
        <v/>
      </c>
      <c r="I389">
        <f>(E389-F389)/D389</f>
        <v/>
      </c>
    </row>
    <row r="390">
      <c r="A390" s="3" t="n">
        <v>41590</v>
      </c>
      <c r="B390" t="inlineStr">
        <is>
          <t>067651</t>
        </is>
      </c>
      <c r="C390" t="inlineStr">
        <is>
          <t>CRUDE OIL, LIGHT SWEET - NEW YORK MERCANTILE EXCHANGE</t>
        </is>
      </c>
      <c r="D390" t="n">
        <v>1735933</v>
      </c>
      <c r="E390" t="n">
        <v>275451</v>
      </c>
      <c r="F390" t="n">
        <v>65198</v>
      </c>
      <c r="G390" t="n">
        <v>324662</v>
      </c>
      <c r="H390">
        <f>E390-F390</f>
        <v/>
      </c>
      <c r="I390">
        <f>(E390-F390)/D390</f>
        <v/>
      </c>
    </row>
    <row r="391">
      <c r="A391" s="3" t="n">
        <v>41597</v>
      </c>
      <c r="B391" t="inlineStr">
        <is>
          <t>067651</t>
        </is>
      </c>
      <c r="C391" t="inlineStr">
        <is>
          <t>CRUDE OIL, LIGHT SWEET - NEW YORK MERCANTILE EXCHANGE</t>
        </is>
      </c>
      <c r="D391" t="n">
        <v>1620641</v>
      </c>
      <c r="E391" t="n">
        <v>269600</v>
      </c>
      <c r="F391" t="n">
        <v>45424</v>
      </c>
      <c r="G391" t="n">
        <v>282261</v>
      </c>
      <c r="H391">
        <f>E391-F391</f>
        <v/>
      </c>
      <c r="I391">
        <f>(E391-F391)/D391</f>
        <v/>
      </c>
    </row>
    <row r="392">
      <c r="A392" s="3" t="n">
        <v>41604</v>
      </c>
      <c r="B392" t="inlineStr">
        <is>
          <t>067651</t>
        </is>
      </c>
      <c r="C392" t="inlineStr">
        <is>
          <t>CRUDE OIL, LIGHT SWEET - NEW YORK MERCANTILE EXCHANGE</t>
        </is>
      </c>
      <c r="D392" t="n">
        <v>1636454</v>
      </c>
      <c r="E392" t="n">
        <v>268474</v>
      </c>
      <c r="F392" t="n">
        <v>50780</v>
      </c>
      <c r="G392" t="n">
        <v>298360</v>
      </c>
      <c r="H392">
        <f>E392-F392</f>
        <v/>
      </c>
      <c r="I392">
        <f>(E392-F392)/D392</f>
        <v/>
      </c>
    </row>
    <row r="393">
      <c r="A393" s="3" t="n">
        <v>41611</v>
      </c>
      <c r="B393" t="inlineStr">
        <is>
          <t>067651</t>
        </is>
      </c>
      <c r="C393" t="inlineStr">
        <is>
          <t>CRUDE OIL, LIGHT SWEET - NEW YORK MERCANTILE EXCHANGE</t>
        </is>
      </c>
      <c r="D393" t="n">
        <v>1645686</v>
      </c>
      <c r="E393" t="n">
        <v>283646</v>
      </c>
      <c r="F393" t="n">
        <v>49575</v>
      </c>
      <c r="G393" t="n">
        <v>292434</v>
      </c>
      <c r="H393">
        <f>E393-F393</f>
        <v/>
      </c>
      <c r="I393">
        <f>(E393-F393)/D393</f>
        <v/>
      </c>
    </row>
    <row r="394">
      <c r="A394" s="3" t="n">
        <v>41618</v>
      </c>
      <c r="B394" t="inlineStr">
        <is>
          <t>067651</t>
        </is>
      </c>
      <c r="C394" t="inlineStr">
        <is>
          <t>CRUDE OIL, LIGHT SWEET - NEW YORK MERCANTILE EXCHANGE</t>
        </is>
      </c>
      <c r="D394" t="n">
        <v>1661416</v>
      </c>
      <c r="E394" t="n">
        <v>280202</v>
      </c>
      <c r="F394" t="n">
        <v>39374</v>
      </c>
      <c r="G394" t="n">
        <v>300205</v>
      </c>
      <c r="H394">
        <f>E394-F394</f>
        <v/>
      </c>
      <c r="I394">
        <f>(E394-F394)/D394</f>
        <v/>
      </c>
    </row>
    <row r="395">
      <c r="A395" s="3" t="n">
        <v>41625</v>
      </c>
      <c r="B395" t="inlineStr">
        <is>
          <t>067651</t>
        </is>
      </c>
      <c r="C395" t="inlineStr">
        <is>
          <t>CRUDE OIL, LIGHT SWEET - NEW YORK MERCANTILE EXCHANGE</t>
        </is>
      </c>
      <c r="D395" t="n">
        <v>1629694</v>
      </c>
      <c r="E395" t="n">
        <v>284764</v>
      </c>
      <c r="F395" t="n">
        <v>41859</v>
      </c>
      <c r="G395" t="n">
        <v>294549</v>
      </c>
      <c r="H395">
        <f>E395-F395</f>
        <v/>
      </c>
      <c r="I395">
        <f>(E395-F395)/D395</f>
        <v/>
      </c>
    </row>
    <row r="396">
      <c r="A396" s="3" t="n">
        <v>41632</v>
      </c>
      <c r="B396" t="inlineStr">
        <is>
          <t>067651</t>
        </is>
      </c>
      <c r="C396" t="inlineStr">
        <is>
          <t>CRUDE OIL, LIGHT SWEET - NEW YORK MERCANTILE EXCHANGE</t>
        </is>
      </c>
      <c r="D396" t="n">
        <v>1598935</v>
      </c>
      <c r="E396" t="n">
        <v>290616</v>
      </c>
      <c r="F396" t="n">
        <v>35028</v>
      </c>
      <c r="G396" t="n">
        <v>284055</v>
      </c>
      <c r="H396">
        <f>E396-F396</f>
        <v/>
      </c>
      <c r="I396">
        <f>(E396-F396)/D396</f>
        <v/>
      </c>
    </row>
    <row r="397">
      <c r="A397" s="3" t="n">
        <v>41639</v>
      </c>
      <c r="B397" t="inlineStr">
        <is>
          <t>067651</t>
        </is>
      </c>
      <c r="C397" t="inlineStr">
        <is>
          <t>CRUDE OIL, LIGHT SWEET - NEW YORK MERCANTILE EXCHANGE</t>
        </is>
      </c>
      <c r="D397" t="n">
        <v>1615844</v>
      </c>
      <c r="E397" t="n">
        <v>296918</v>
      </c>
      <c r="F397" t="n">
        <v>34559</v>
      </c>
      <c r="G397" t="n">
        <v>289084</v>
      </c>
      <c r="H397">
        <f>E397-F397</f>
        <v/>
      </c>
      <c r="I397">
        <f>(E397-F397)/D397</f>
        <v/>
      </c>
    </row>
    <row r="398">
      <c r="A398" s="3" t="n">
        <v>41646</v>
      </c>
      <c r="B398" t="inlineStr">
        <is>
          <t>067651</t>
        </is>
      </c>
      <c r="C398" t="inlineStr">
        <is>
          <t>CRUDE OIL, LIGHT SWEET - NEW YORK MERCANTILE EXCHANGE</t>
        </is>
      </c>
      <c r="D398" t="n">
        <v>1619796</v>
      </c>
      <c r="E398" t="n">
        <v>293342</v>
      </c>
      <c r="F398" t="n">
        <v>52674</v>
      </c>
      <c r="G398" t="n">
        <v>278388</v>
      </c>
      <c r="H398">
        <f>E398-F398</f>
        <v/>
      </c>
      <c r="I398">
        <f>(E398-F398)/D398</f>
        <v/>
      </c>
    </row>
    <row r="399">
      <c r="A399" s="3" t="n">
        <v>41653</v>
      </c>
      <c r="B399" t="inlineStr">
        <is>
          <t>067651</t>
        </is>
      </c>
      <c r="C399" t="inlineStr">
        <is>
          <t>CRUDE OIL, LIGHT SWEET - NEW YORK MERCANTILE EXCHANGE</t>
        </is>
      </c>
      <c r="D399" t="n">
        <v>1623027</v>
      </c>
      <c r="E399" t="n">
        <v>287413</v>
      </c>
      <c r="F399" t="n">
        <v>66038</v>
      </c>
      <c r="G399" t="n">
        <v>273760</v>
      </c>
      <c r="H399">
        <f>E399-F399</f>
        <v/>
      </c>
      <c r="I399">
        <f>(E399-F399)/D399</f>
        <v/>
      </c>
    </row>
    <row r="400">
      <c r="A400" s="3" t="n">
        <v>41660</v>
      </c>
      <c r="B400" t="inlineStr">
        <is>
          <t>067651</t>
        </is>
      </c>
      <c r="C400" t="inlineStr">
        <is>
          <t>CRUDE OIL, LIGHT SWEET - NEW YORK MERCANTILE EXCHANGE</t>
        </is>
      </c>
      <c r="D400" t="n">
        <v>1613293</v>
      </c>
      <c r="E400" t="n">
        <v>291125</v>
      </c>
      <c r="F400" t="n">
        <v>69195</v>
      </c>
      <c r="G400" t="n">
        <v>269602</v>
      </c>
      <c r="H400">
        <f>E400-F400</f>
        <v/>
      </c>
      <c r="I400">
        <f>(E400-F400)/D400</f>
        <v/>
      </c>
    </row>
    <row r="401">
      <c r="A401" s="3" t="n">
        <v>41667</v>
      </c>
      <c r="B401" t="inlineStr">
        <is>
          <t>067651</t>
        </is>
      </c>
      <c r="C401" t="inlineStr">
        <is>
          <t>CRUDE OIL, LIGHT SWEET - NEW YORK MERCANTILE EXCHANGE</t>
        </is>
      </c>
      <c r="D401" t="n">
        <v>1591971</v>
      </c>
      <c r="E401" t="n">
        <v>302094</v>
      </c>
      <c r="F401" t="n">
        <v>51791</v>
      </c>
      <c r="G401" t="n">
        <v>250143</v>
      </c>
      <c r="H401">
        <f>E401-F401</f>
        <v/>
      </c>
      <c r="I401">
        <f>(E401-F401)/D401</f>
        <v/>
      </c>
    </row>
    <row r="402">
      <c r="A402" s="3" t="n">
        <v>41674</v>
      </c>
      <c r="B402" t="inlineStr">
        <is>
          <t>067651</t>
        </is>
      </c>
      <c r="C402" t="inlineStr">
        <is>
          <t>CRUDE OIL, LIGHT SWEET - NEW YORK MERCANTILE EXCHANGE</t>
        </is>
      </c>
      <c r="D402" t="n">
        <v>1561179</v>
      </c>
      <c r="E402" t="n">
        <v>310000</v>
      </c>
      <c r="F402" t="n">
        <v>40288</v>
      </c>
      <c r="G402" t="n">
        <v>246693</v>
      </c>
      <c r="H402">
        <f>E402-F402</f>
        <v/>
      </c>
      <c r="I402">
        <f>(E402-F402)/D402</f>
        <v/>
      </c>
    </row>
    <row r="403">
      <c r="A403" s="3" t="n">
        <v>41681</v>
      </c>
      <c r="B403" t="inlineStr">
        <is>
          <t>067651</t>
        </is>
      </c>
      <c r="C403" t="inlineStr">
        <is>
          <t>CRUDE OIL, LIGHT SWEET - NEW YORK MERCANTILE EXCHANGE</t>
        </is>
      </c>
      <c r="D403" t="n">
        <v>1646415</v>
      </c>
      <c r="E403" t="n">
        <v>322701</v>
      </c>
      <c r="F403" t="n">
        <v>30643</v>
      </c>
      <c r="G403" t="n">
        <v>268756</v>
      </c>
      <c r="H403">
        <f>E403-F403</f>
        <v/>
      </c>
      <c r="I403">
        <f>(E403-F403)/D403</f>
        <v/>
      </c>
    </row>
    <row r="404">
      <c r="A404" s="3" t="n">
        <v>41688</v>
      </c>
      <c r="B404" t="inlineStr">
        <is>
          <t>067651</t>
        </is>
      </c>
      <c r="C404" t="inlineStr">
        <is>
          <t>CRUDE OIL, LIGHT SWEET - NEW YORK MERCANTILE EXCHANGE</t>
        </is>
      </c>
      <c r="D404" t="n">
        <v>1650294</v>
      </c>
      <c r="E404" t="n">
        <v>346569</v>
      </c>
      <c r="F404" t="n">
        <v>22797</v>
      </c>
      <c r="G404" t="n">
        <v>254963</v>
      </c>
      <c r="H404">
        <f>E404-F404</f>
        <v/>
      </c>
      <c r="I404">
        <f>(E404-F404)/D404</f>
        <v/>
      </c>
    </row>
    <row r="405">
      <c r="A405" s="3" t="n">
        <v>41695</v>
      </c>
      <c r="B405" t="inlineStr">
        <is>
          <t>067651</t>
        </is>
      </c>
      <c r="C405" t="inlineStr">
        <is>
          <t>CRUDE OIL, LIGHT SWEET - NEW YORK MERCANTILE EXCHANGE</t>
        </is>
      </c>
      <c r="D405" t="n">
        <v>1643886</v>
      </c>
      <c r="E405" t="n">
        <v>354507</v>
      </c>
      <c r="F405" t="n">
        <v>25378</v>
      </c>
      <c r="G405" t="n">
        <v>247615</v>
      </c>
      <c r="H405">
        <f>E405-F405</f>
        <v/>
      </c>
      <c r="I405">
        <f>(E405-F405)/D405</f>
        <v/>
      </c>
    </row>
    <row r="406">
      <c r="A406" s="3" t="n">
        <v>41702</v>
      </c>
      <c r="B406" t="inlineStr">
        <is>
          <t>067651</t>
        </is>
      </c>
      <c r="C406" t="inlineStr">
        <is>
          <t>CRUDE OIL, LIGHT SWEET - NEW YORK MERCANTILE EXCHANGE</t>
        </is>
      </c>
      <c r="D406" t="n">
        <v>1687807</v>
      </c>
      <c r="E406" t="n">
        <v>363546</v>
      </c>
      <c r="F406" t="n">
        <v>24268</v>
      </c>
      <c r="G406" t="n">
        <v>258477</v>
      </c>
      <c r="H406">
        <f>E406-F406</f>
        <v/>
      </c>
      <c r="I406">
        <f>(E406-F406)/D406</f>
        <v/>
      </c>
    </row>
    <row r="407">
      <c r="A407" s="3" t="n">
        <v>41709</v>
      </c>
      <c r="B407" t="inlineStr">
        <is>
          <t>067651</t>
        </is>
      </c>
      <c r="C407" t="inlineStr">
        <is>
          <t>CRUDE OIL, LIGHT SWEET - NEW YORK MERCANTILE EXCHANGE</t>
        </is>
      </c>
      <c r="D407" t="n">
        <v>1697240</v>
      </c>
      <c r="E407" t="n">
        <v>355002</v>
      </c>
      <c r="F407" t="n">
        <v>28413</v>
      </c>
      <c r="G407" t="n">
        <v>269413</v>
      </c>
      <c r="H407">
        <f>E407-F407</f>
        <v/>
      </c>
      <c r="I407">
        <f>(E407-F407)/D407</f>
        <v/>
      </c>
    </row>
    <row r="408">
      <c r="A408" s="3" t="n">
        <v>41716</v>
      </c>
      <c r="B408" t="inlineStr">
        <is>
          <t>067651</t>
        </is>
      </c>
      <c r="C408" t="inlineStr">
        <is>
          <t>CRUDE OIL, LIGHT SWEET - NEW YORK MERCANTILE EXCHANGE</t>
        </is>
      </c>
      <c r="D408" t="n">
        <v>1623266</v>
      </c>
      <c r="E408" t="n">
        <v>330474</v>
      </c>
      <c r="F408" t="n">
        <v>40253</v>
      </c>
      <c r="G408" t="n">
        <v>242964</v>
      </c>
      <c r="H408">
        <f>E408-F408</f>
        <v/>
      </c>
      <c r="I408">
        <f>(E408-F408)/D408</f>
        <v/>
      </c>
    </row>
    <row r="409">
      <c r="A409" s="3" t="n">
        <v>41723</v>
      </c>
      <c r="B409" t="inlineStr">
        <is>
          <t>067651</t>
        </is>
      </c>
      <c r="C409" t="inlineStr">
        <is>
          <t>CRUDE OIL, LIGHT SWEET - NEW YORK MERCANTILE EXCHANGE</t>
        </is>
      </c>
      <c r="D409" t="n">
        <v>1604566</v>
      </c>
      <c r="E409" t="n">
        <v>328802</v>
      </c>
      <c r="F409" t="n">
        <v>46166</v>
      </c>
      <c r="G409" t="n">
        <v>246101</v>
      </c>
      <c r="H409">
        <f>E409-F409</f>
        <v/>
      </c>
      <c r="I409">
        <f>(E409-F409)/D409</f>
        <v/>
      </c>
    </row>
    <row r="410">
      <c r="A410" s="3" t="n">
        <v>41730</v>
      </c>
      <c r="B410" t="inlineStr">
        <is>
          <t>067651</t>
        </is>
      </c>
      <c r="C410" t="inlineStr">
        <is>
          <t>CRUDE OIL, LIGHT SWEET - NEW YORK MERCANTILE EXCHANGE</t>
        </is>
      </c>
      <c r="D410" t="n">
        <v>1644507</v>
      </c>
      <c r="E410" t="n">
        <v>338867</v>
      </c>
      <c r="F410" t="n">
        <v>45102</v>
      </c>
      <c r="G410" t="n">
        <v>248107</v>
      </c>
      <c r="H410">
        <f>E410-F410</f>
        <v/>
      </c>
      <c r="I410">
        <f>(E410-F410)/D410</f>
        <v/>
      </c>
    </row>
    <row r="411">
      <c r="A411" s="3" t="n">
        <v>41737</v>
      </c>
      <c r="B411" t="inlineStr">
        <is>
          <t>067651</t>
        </is>
      </c>
      <c r="C411" t="inlineStr">
        <is>
          <t>CRUDE OIL, LIGHT SWEET - NEW YORK MERCANTILE EXCHANGE</t>
        </is>
      </c>
      <c r="D411" t="n">
        <v>1655472</v>
      </c>
      <c r="E411" t="n">
        <v>350767</v>
      </c>
      <c r="F411" t="n">
        <v>30872</v>
      </c>
      <c r="G411" t="n">
        <v>246689</v>
      </c>
      <c r="H411">
        <f>E411-F411</f>
        <v/>
      </c>
      <c r="I411">
        <f>(E411-F411)/D411</f>
        <v/>
      </c>
    </row>
    <row r="412">
      <c r="A412" s="3" t="n">
        <v>41744</v>
      </c>
      <c r="B412" t="inlineStr">
        <is>
          <t>067651</t>
        </is>
      </c>
      <c r="C412" t="inlineStr">
        <is>
          <t>CRUDE OIL, LIGHT SWEET - NEW YORK MERCANTILE EXCHANGE</t>
        </is>
      </c>
      <c r="D412" t="n">
        <v>1674276</v>
      </c>
      <c r="E412" t="n">
        <v>363758</v>
      </c>
      <c r="F412" t="n">
        <v>32383</v>
      </c>
      <c r="G412" t="n">
        <v>246749</v>
      </c>
      <c r="H412">
        <f>E412-F412</f>
        <v/>
      </c>
      <c r="I412">
        <f>(E412-F412)/D412</f>
        <v/>
      </c>
    </row>
    <row r="413">
      <c r="A413" s="3" t="n">
        <v>41751</v>
      </c>
      <c r="B413" t="inlineStr">
        <is>
          <t>067651</t>
        </is>
      </c>
      <c r="C413" t="inlineStr">
        <is>
          <t>CRUDE OIL, LIGHT SWEET - NEW YORK MERCANTILE EXCHANGE</t>
        </is>
      </c>
      <c r="D413" t="n">
        <v>1619737</v>
      </c>
      <c r="E413" t="n">
        <v>355102</v>
      </c>
      <c r="F413" t="n">
        <v>32314</v>
      </c>
      <c r="G413" t="n">
        <v>235437</v>
      </c>
      <c r="H413">
        <f>E413-F413</f>
        <v/>
      </c>
      <c r="I413">
        <f>(E413-F413)/D413</f>
        <v/>
      </c>
    </row>
    <row r="414">
      <c r="A414" s="3" t="n">
        <v>41758</v>
      </c>
      <c r="B414" t="inlineStr">
        <is>
          <t>067651</t>
        </is>
      </c>
      <c r="C414" t="inlineStr">
        <is>
          <t>CRUDE OIL, LIGHT SWEET - NEW YORK MERCANTILE EXCHANGE</t>
        </is>
      </c>
      <c r="D414" t="n">
        <v>1651521</v>
      </c>
      <c r="E414" t="n">
        <v>354435</v>
      </c>
      <c r="F414" t="n">
        <v>34130</v>
      </c>
      <c r="G414" t="n">
        <v>252986</v>
      </c>
      <c r="H414">
        <f>E414-F414</f>
        <v/>
      </c>
      <c r="I414">
        <f>(E414-F414)/D414</f>
        <v/>
      </c>
    </row>
    <row r="415">
      <c r="A415" s="3" t="n">
        <v>41765</v>
      </c>
      <c r="B415" t="inlineStr">
        <is>
          <t>067651</t>
        </is>
      </c>
      <c r="C415" t="inlineStr">
        <is>
          <t>CRUDE OIL, LIGHT SWEET - NEW YORK MERCANTILE EXCHANGE</t>
        </is>
      </c>
      <c r="D415" t="n">
        <v>1638412</v>
      </c>
      <c r="E415" t="n">
        <v>323525</v>
      </c>
      <c r="F415" t="n">
        <v>30871</v>
      </c>
      <c r="G415" t="n">
        <v>263976</v>
      </c>
      <c r="H415">
        <f>E415-F415</f>
        <v/>
      </c>
      <c r="I415">
        <f>(E415-F415)/D415</f>
        <v/>
      </c>
    </row>
    <row r="416">
      <c r="A416" s="3" t="n">
        <v>41772</v>
      </c>
      <c r="B416" t="inlineStr">
        <is>
          <t>067651</t>
        </is>
      </c>
      <c r="C416" t="inlineStr">
        <is>
          <t>CRUDE OIL, LIGHT SWEET - NEW YORK MERCANTILE EXCHANGE</t>
        </is>
      </c>
      <c r="D416" t="n">
        <v>1627403</v>
      </c>
      <c r="E416" t="n">
        <v>325314</v>
      </c>
      <c r="F416" t="n">
        <v>28687</v>
      </c>
      <c r="G416" t="n">
        <v>275478</v>
      </c>
      <c r="H416">
        <f>E416-F416</f>
        <v/>
      </c>
      <c r="I416">
        <f>(E416-F416)/D416</f>
        <v/>
      </c>
    </row>
    <row r="417">
      <c r="A417" s="3" t="n">
        <v>41779</v>
      </c>
      <c r="B417" t="inlineStr">
        <is>
          <t>067651</t>
        </is>
      </c>
      <c r="C417" t="inlineStr">
        <is>
          <t>CRUDE OIL, LIGHT SWEET - NEW YORK MERCANTILE EXCHANGE</t>
        </is>
      </c>
      <c r="D417" t="n">
        <v>1607523</v>
      </c>
      <c r="E417" t="n">
        <v>345335</v>
      </c>
      <c r="F417" t="n">
        <v>33443</v>
      </c>
      <c r="G417" t="n">
        <v>258939</v>
      </c>
      <c r="H417">
        <f>E417-F417</f>
        <v/>
      </c>
      <c r="I417">
        <f>(E417-F417)/D417</f>
        <v/>
      </c>
    </row>
    <row r="418">
      <c r="A418" s="3" t="n">
        <v>41786</v>
      </c>
      <c r="B418" t="inlineStr">
        <is>
          <t>067651</t>
        </is>
      </c>
      <c r="C418" t="inlineStr">
        <is>
          <t>CRUDE OIL, LIGHT SWEET - NEW YORK MERCANTILE EXCHANGE</t>
        </is>
      </c>
      <c r="D418" t="n">
        <v>1635600</v>
      </c>
      <c r="E418" t="n">
        <v>365589</v>
      </c>
      <c r="F418" t="n">
        <v>30063</v>
      </c>
      <c r="G418" t="n">
        <v>261316</v>
      </c>
      <c r="H418">
        <f>E418-F418</f>
        <v/>
      </c>
      <c r="I418">
        <f>(E418-F418)/D418</f>
        <v/>
      </c>
    </row>
    <row r="419">
      <c r="A419" s="3" t="n">
        <v>41793</v>
      </c>
      <c r="B419" t="inlineStr">
        <is>
          <t>067651</t>
        </is>
      </c>
      <c r="C419" t="inlineStr">
        <is>
          <t>CRUDE OIL, LIGHT SWEET - NEW YORK MERCANTILE EXCHANGE</t>
        </is>
      </c>
      <c r="D419" t="n">
        <v>1664043</v>
      </c>
      <c r="E419" t="n">
        <v>362982</v>
      </c>
      <c r="F419" t="n">
        <v>26818</v>
      </c>
      <c r="G419" t="n">
        <v>262366</v>
      </c>
      <c r="H419">
        <f>E419-F419</f>
        <v/>
      </c>
      <c r="I419">
        <f>(E419-F419)/D419</f>
        <v/>
      </c>
    </row>
    <row r="420">
      <c r="A420" s="3" t="n">
        <v>41800</v>
      </c>
      <c r="B420" t="inlineStr">
        <is>
          <t>067651</t>
        </is>
      </c>
      <c r="C420" t="inlineStr">
        <is>
          <t>CRUDE OIL, LIGHT SWEET - NEW YORK MERCANTILE EXCHANGE</t>
        </is>
      </c>
      <c r="D420" t="n">
        <v>1676336</v>
      </c>
      <c r="E420" t="n">
        <v>356487</v>
      </c>
      <c r="F420" t="n">
        <v>27091</v>
      </c>
      <c r="G420" t="n">
        <v>270893</v>
      </c>
      <c r="H420">
        <f>E420-F420</f>
        <v/>
      </c>
      <c r="I420">
        <f>(E420-F420)/D420</f>
        <v/>
      </c>
    </row>
    <row r="421">
      <c r="A421" s="3" t="n">
        <v>41807</v>
      </c>
      <c r="B421" t="inlineStr">
        <is>
          <t>067651</t>
        </is>
      </c>
      <c r="C421" t="inlineStr">
        <is>
          <t>CRUDE OIL, LIGHT SWEET - NEW YORK MERCANTILE EXCHANGE</t>
        </is>
      </c>
      <c r="D421" t="n">
        <v>1721703</v>
      </c>
      <c r="E421" t="n">
        <v>367081</v>
      </c>
      <c r="F421" t="n">
        <v>34799</v>
      </c>
      <c r="G421" t="n">
        <v>289917</v>
      </c>
      <c r="H421">
        <f>E421-F421</f>
        <v/>
      </c>
      <c r="I421">
        <f>(E421-F421)/D421</f>
        <v/>
      </c>
    </row>
    <row r="422">
      <c r="A422" s="3" t="n">
        <v>41814</v>
      </c>
      <c r="B422" t="inlineStr">
        <is>
          <t>067651</t>
        </is>
      </c>
      <c r="C422" t="inlineStr">
        <is>
          <t>CRUDE OIL, LIGHT SWEET - NEW YORK MERCANTILE EXCHANGE</t>
        </is>
      </c>
      <c r="D422" t="n">
        <v>1720856</v>
      </c>
      <c r="E422" t="n">
        <v>360883</v>
      </c>
      <c r="F422" t="n">
        <v>37895</v>
      </c>
      <c r="G422" t="n">
        <v>297814</v>
      </c>
      <c r="H422">
        <f>E422-F422</f>
        <v/>
      </c>
      <c r="I422">
        <f>(E422-F422)/D422</f>
        <v/>
      </c>
    </row>
    <row r="423">
      <c r="A423" s="3" t="n">
        <v>41821</v>
      </c>
      <c r="B423" t="inlineStr">
        <is>
          <t>067651</t>
        </is>
      </c>
      <c r="C423" t="inlineStr">
        <is>
          <t>CRUDE OIL, LIGHT SWEET - NEW YORK MERCANTILE EXCHANGE</t>
        </is>
      </c>
      <c r="D423" t="n">
        <v>1759554</v>
      </c>
      <c r="E423" t="n">
        <v>348787</v>
      </c>
      <c r="F423" t="n">
        <v>37392</v>
      </c>
      <c r="G423" t="n">
        <v>310414</v>
      </c>
      <c r="H423">
        <f>E423-F423</f>
        <v/>
      </c>
      <c r="I423">
        <f>(E423-F423)/D423</f>
        <v/>
      </c>
    </row>
    <row r="424">
      <c r="A424" s="3" t="n">
        <v>41828</v>
      </c>
      <c r="B424" t="inlineStr">
        <is>
          <t>067651</t>
        </is>
      </c>
      <c r="C424" t="inlineStr">
        <is>
          <t>CRUDE OIL, LIGHT SWEET - NEW YORK MERCANTILE EXCHANGE</t>
        </is>
      </c>
      <c r="D424" t="n">
        <v>1742131</v>
      </c>
      <c r="E424" t="n">
        <v>334110</v>
      </c>
      <c r="F424" t="n">
        <v>38802</v>
      </c>
      <c r="G424" t="n">
        <v>308122</v>
      </c>
      <c r="H424">
        <f>E424-F424</f>
        <v/>
      </c>
      <c r="I424">
        <f>(E424-F424)/D424</f>
        <v/>
      </c>
    </row>
    <row r="425">
      <c r="A425" s="3" t="n">
        <v>41835</v>
      </c>
      <c r="B425" t="inlineStr">
        <is>
          <t>067651</t>
        </is>
      </c>
      <c r="C425" t="inlineStr">
        <is>
          <t>CRUDE OIL, LIGHT SWEET - NEW YORK MERCANTILE EXCHANGE</t>
        </is>
      </c>
      <c r="D425" t="n">
        <v>1721704</v>
      </c>
      <c r="E425" t="n">
        <v>304847</v>
      </c>
      <c r="F425" t="n">
        <v>40906</v>
      </c>
      <c r="G425" t="n">
        <v>305830</v>
      </c>
      <c r="H425">
        <f>E425-F425</f>
        <v/>
      </c>
      <c r="I425">
        <f>(E425-F425)/D425</f>
        <v/>
      </c>
    </row>
    <row r="426">
      <c r="A426" s="3" t="n">
        <v>41842</v>
      </c>
      <c r="B426" t="inlineStr">
        <is>
          <t>067651</t>
        </is>
      </c>
      <c r="C426" t="inlineStr">
        <is>
          <t>CRUDE OIL, LIGHT SWEET - NEW YORK MERCANTILE EXCHANGE</t>
        </is>
      </c>
      <c r="D426" t="n">
        <v>1642836</v>
      </c>
      <c r="E426" t="n">
        <v>297492</v>
      </c>
      <c r="F426" t="n">
        <v>36222</v>
      </c>
      <c r="G426" t="n">
        <v>296839</v>
      </c>
      <c r="H426">
        <f>E426-F426</f>
        <v/>
      </c>
      <c r="I426">
        <f>(E426-F426)/D426</f>
        <v/>
      </c>
    </row>
    <row r="427">
      <c r="A427" s="3" t="n">
        <v>41849</v>
      </c>
      <c r="B427" t="inlineStr">
        <is>
          <t>067651</t>
        </is>
      </c>
      <c r="C427" t="inlineStr">
        <is>
          <t>CRUDE OIL, LIGHT SWEET - NEW YORK MERCANTILE EXCHANGE</t>
        </is>
      </c>
      <c r="D427" t="n">
        <v>1628926</v>
      </c>
      <c r="E427" t="n">
        <v>302682</v>
      </c>
      <c r="F427" t="n">
        <v>37182</v>
      </c>
      <c r="G427" t="n">
        <v>300352</v>
      </c>
      <c r="H427">
        <f>E427-F427</f>
        <v/>
      </c>
      <c r="I427">
        <f>(E427-F427)/D427</f>
        <v/>
      </c>
    </row>
    <row r="428">
      <c r="A428" s="3" t="n">
        <v>41856</v>
      </c>
      <c r="B428" t="inlineStr">
        <is>
          <t>067651</t>
        </is>
      </c>
      <c r="C428" t="inlineStr">
        <is>
          <t>CRUDE OIL, LIGHT SWEET - NEW YORK MERCANTILE EXCHANGE</t>
        </is>
      </c>
      <c r="D428" t="n">
        <v>1587187</v>
      </c>
      <c r="E428" t="n">
        <v>283767</v>
      </c>
      <c r="F428" t="n">
        <v>46673</v>
      </c>
      <c r="G428" t="n">
        <v>289429</v>
      </c>
      <c r="H428">
        <f>E428-F428</f>
        <v/>
      </c>
      <c r="I428">
        <f>(E428-F428)/D428</f>
        <v/>
      </c>
    </row>
    <row r="429">
      <c r="A429" s="3" t="n">
        <v>41863</v>
      </c>
      <c r="B429" t="inlineStr">
        <is>
          <t>067651</t>
        </is>
      </c>
      <c r="C429" t="inlineStr">
        <is>
          <t>CRUDE OIL, LIGHT SWEET - NEW YORK MERCANTILE EXCHANGE</t>
        </is>
      </c>
      <c r="D429" t="n">
        <v>1583609</v>
      </c>
      <c r="E429" t="n">
        <v>267654</v>
      </c>
      <c r="F429" t="n">
        <v>49179</v>
      </c>
      <c r="G429" t="n">
        <v>315427</v>
      </c>
      <c r="H429">
        <f>E429-F429</f>
        <v/>
      </c>
      <c r="I429">
        <f>(E429-F429)/D429</f>
        <v/>
      </c>
    </row>
    <row r="430">
      <c r="A430" s="3" t="n">
        <v>41870</v>
      </c>
      <c r="B430" t="inlineStr">
        <is>
          <t>067651</t>
        </is>
      </c>
      <c r="C430" t="inlineStr">
        <is>
          <t>CRUDE OIL, LIGHT SWEET - NEW YORK MERCANTILE EXCHANGE</t>
        </is>
      </c>
      <c r="D430" t="n">
        <v>1542337</v>
      </c>
      <c r="E430" t="n">
        <v>260743</v>
      </c>
      <c r="F430" t="n">
        <v>64050</v>
      </c>
      <c r="G430" t="n">
        <v>308076</v>
      </c>
      <c r="H430">
        <f>E430-F430</f>
        <v/>
      </c>
      <c r="I430">
        <f>(E430-F430)/D430</f>
        <v/>
      </c>
    </row>
    <row r="431">
      <c r="A431" s="3" t="n">
        <v>41877</v>
      </c>
      <c r="B431" t="inlineStr">
        <is>
          <t>067651</t>
        </is>
      </c>
      <c r="C431" t="inlineStr">
        <is>
          <t>CRUDE OIL, LIGHT SWEET - NEW YORK MERCANTILE EXCHANGE</t>
        </is>
      </c>
      <c r="D431" t="n">
        <v>1550253</v>
      </c>
      <c r="E431" t="n">
        <v>260843</v>
      </c>
      <c r="F431" t="n">
        <v>65101</v>
      </c>
      <c r="G431" t="n">
        <v>320692</v>
      </c>
      <c r="H431">
        <f>E431-F431</f>
        <v/>
      </c>
      <c r="I431">
        <f>(E431-F431)/D431</f>
        <v/>
      </c>
    </row>
    <row r="432">
      <c r="A432" s="3" t="n">
        <v>41884</v>
      </c>
      <c r="B432" t="inlineStr">
        <is>
          <t>067651</t>
        </is>
      </c>
      <c r="C432" t="inlineStr">
        <is>
          <t>CRUDE OIL, LIGHT SWEET - NEW YORK MERCANTILE EXCHANGE</t>
        </is>
      </c>
      <c r="D432" t="n">
        <v>1559353</v>
      </c>
      <c r="E432" t="n">
        <v>258396</v>
      </c>
      <c r="F432" t="n">
        <v>76190</v>
      </c>
      <c r="G432" t="n">
        <v>331545</v>
      </c>
      <c r="H432">
        <f>E432-F432</f>
        <v/>
      </c>
      <c r="I432">
        <f>(E432-F432)/D432</f>
        <v/>
      </c>
    </row>
    <row r="433">
      <c r="A433" s="3" t="n">
        <v>41891</v>
      </c>
      <c r="B433" t="inlineStr">
        <is>
          <t>067651</t>
        </is>
      </c>
      <c r="C433" t="inlineStr">
        <is>
          <t>CRUDE OIL, LIGHT SWEET - NEW YORK MERCANTILE EXCHANGE</t>
        </is>
      </c>
      <c r="D433" t="n">
        <v>1553516</v>
      </c>
      <c r="E433" t="n">
        <v>270286</v>
      </c>
      <c r="F433" t="n">
        <v>72124</v>
      </c>
      <c r="G433" t="n">
        <v>322450</v>
      </c>
      <c r="H433">
        <f>E433-F433</f>
        <v/>
      </c>
      <c r="I433">
        <f>(E433-F433)/D433</f>
        <v/>
      </c>
    </row>
    <row r="434">
      <c r="A434" s="3" t="n">
        <v>41898</v>
      </c>
      <c r="B434" t="inlineStr">
        <is>
          <t>067651</t>
        </is>
      </c>
      <c r="C434" t="inlineStr">
        <is>
          <t>CRUDE OIL, LIGHT SWEET - NEW YORK MERCANTILE EXCHANGE</t>
        </is>
      </c>
      <c r="D434" t="n">
        <v>1528614</v>
      </c>
      <c r="E434" t="n">
        <v>277164</v>
      </c>
      <c r="F434" t="n">
        <v>68414</v>
      </c>
      <c r="G434" t="n">
        <v>309683</v>
      </c>
      <c r="H434">
        <f>E434-F434</f>
        <v/>
      </c>
      <c r="I434">
        <f>(E434-F434)/D434</f>
        <v/>
      </c>
    </row>
    <row r="435">
      <c r="A435" s="3" t="n">
        <v>41905</v>
      </c>
      <c r="B435" t="inlineStr">
        <is>
          <t>067651</t>
        </is>
      </c>
      <c r="C435" t="inlineStr">
        <is>
          <t>CRUDE OIL, LIGHT SWEET - NEW YORK MERCANTILE EXCHANGE</t>
        </is>
      </c>
      <c r="D435" t="n">
        <v>1480629</v>
      </c>
      <c r="E435" t="n">
        <v>264713</v>
      </c>
      <c r="F435" t="n">
        <v>70644</v>
      </c>
      <c r="G435" t="n">
        <v>288442</v>
      </c>
      <c r="H435">
        <f>E435-F435</f>
        <v/>
      </c>
      <c r="I435">
        <f>(E435-F435)/D435</f>
        <v/>
      </c>
    </row>
    <row r="436">
      <c r="A436" s="3" t="n">
        <v>41912</v>
      </c>
      <c r="B436" t="inlineStr">
        <is>
          <t>067651</t>
        </is>
      </c>
      <c r="C436" t="inlineStr">
        <is>
          <t>CRUDE OIL, LIGHT SWEET - NEW YORK MERCANTILE EXCHANGE</t>
        </is>
      </c>
      <c r="D436" t="n">
        <v>1485856</v>
      </c>
      <c r="E436" t="n">
        <v>272403</v>
      </c>
      <c r="F436" t="n">
        <v>64449</v>
      </c>
      <c r="G436" t="n">
        <v>279030</v>
      </c>
      <c r="H436">
        <f>E436-F436</f>
        <v/>
      </c>
      <c r="I436">
        <f>(E436-F436)/D436</f>
        <v/>
      </c>
    </row>
    <row r="437">
      <c r="A437" s="3" t="n">
        <v>41919</v>
      </c>
      <c r="B437" t="inlineStr">
        <is>
          <t>067651</t>
        </is>
      </c>
      <c r="C437" t="inlineStr">
        <is>
          <t>CRUDE OIL, LIGHT SWEET - NEW YORK MERCANTILE EXCHANGE</t>
        </is>
      </c>
      <c r="D437" t="n">
        <v>1503764</v>
      </c>
      <c r="E437" t="n">
        <v>273096</v>
      </c>
      <c r="F437" t="n">
        <v>73126</v>
      </c>
      <c r="G437" t="n">
        <v>259865</v>
      </c>
      <c r="H437">
        <f>E437-F437</f>
        <v/>
      </c>
      <c r="I437">
        <f>(E437-F437)/D437</f>
        <v/>
      </c>
    </row>
    <row r="438">
      <c r="A438" s="3" t="n">
        <v>41926</v>
      </c>
      <c r="B438" t="inlineStr">
        <is>
          <t>067651</t>
        </is>
      </c>
      <c r="C438" t="inlineStr">
        <is>
          <t>CRUDE OIL, LIGHT SWEET - NEW YORK MERCANTILE EXCHANGE</t>
        </is>
      </c>
      <c r="D438" t="n">
        <v>1537452</v>
      </c>
      <c r="E438" t="n">
        <v>283237</v>
      </c>
      <c r="F438" t="n">
        <v>81051</v>
      </c>
      <c r="G438" t="n">
        <v>250772</v>
      </c>
      <c r="H438">
        <f>E438-F438</f>
        <v/>
      </c>
      <c r="I438">
        <f>(E438-F438)/D438</f>
        <v/>
      </c>
    </row>
    <row r="439">
      <c r="A439" s="3" t="n">
        <v>41933</v>
      </c>
      <c r="B439" t="inlineStr">
        <is>
          <t>067651</t>
        </is>
      </c>
      <c r="C439" t="inlineStr">
        <is>
          <t>CRUDE OIL, LIGHT SWEET - NEW YORK MERCANTILE EXCHANGE</t>
        </is>
      </c>
      <c r="D439" t="n">
        <v>1459981</v>
      </c>
      <c r="E439" t="n">
        <v>277256</v>
      </c>
      <c r="F439" t="n">
        <v>65899</v>
      </c>
      <c r="G439" t="n">
        <v>232040</v>
      </c>
      <c r="H439">
        <f>E439-F439</f>
        <v/>
      </c>
      <c r="I439">
        <f>(E439-F439)/D439</f>
        <v/>
      </c>
    </row>
    <row r="440">
      <c r="A440" s="3" t="n">
        <v>41940</v>
      </c>
      <c r="B440" t="inlineStr">
        <is>
          <t>067651</t>
        </is>
      </c>
      <c r="C440" t="inlineStr">
        <is>
          <t>CRUDE OIL, LIGHT SWEET - NEW YORK MERCANTILE EXCHANGE</t>
        </is>
      </c>
      <c r="D440" t="n">
        <v>1476289</v>
      </c>
      <c r="E440" t="n">
        <v>271486</v>
      </c>
      <c r="F440" t="n">
        <v>65752</v>
      </c>
      <c r="G440" t="n">
        <v>230454</v>
      </c>
      <c r="H440">
        <f>E440-F440</f>
        <v/>
      </c>
      <c r="I440">
        <f>(E440-F440)/D440</f>
        <v/>
      </c>
    </row>
    <row r="441">
      <c r="A441" s="3" t="n">
        <v>41947</v>
      </c>
      <c r="B441" t="inlineStr">
        <is>
          <t>067651</t>
        </is>
      </c>
      <c r="C441" t="inlineStr">
        <is>
          <t>CRUDE OIL, LIGHT SWEET - NEW YORK MERCANTILE EXCHANGE</t>
        </is>
      </c>
      <c r="D441" t="n">
        <v>1498736</v>
      </c>
      <c r="E441" t="n">
        <v>268471</v>
      </c>
      <c r="F441" t="n">
        <v>75800</v>
      </c>
      <c r="G441" t="n">
        <v>237758</v>
      </c>
      <c r="H441">
        <f>E441-F441</f>
        <v/>
      </c>
      <c r="I441">
        <f>(E441-F441)/D441</f>
        <v/>
      </c>
    </row>
    <row r="442">
      <c r="A442" s="3" t="n">
        <v>41954</v>
      </c>
      <c r="B442" t="inlineStr">
        <is>
          <t>067651</t>
        </is>
      </c>
      <c r="C442" t="inlineStr">
        <is>
          <t>CRUDE OIL, LIGHT SWEET - NEW YORK MERCANTILE EXCHANGE</t>
        </is>
      </c>
      <c r="D442" t="n">
        <v>1509371</v>
      </c>
      <c r="E442" t="n">
        <v>271818</v>
      </c>
      <c r="F442" t="n">
        <v>68554</v>
      </c>
      <c r="G442" t="n">
        <v>247229</v>
      </c>
      <c r="H442">
        <f>E442-F442</f>
        <v/>
      </c>
      <c r="I442">
        <f>(E442-F442)/D442</f>
        <v/>
      </c>
    </row>
    <row r="443">
      <c r="A443" s="3" t="n">
        <v>41961</v>
      </c>
      <c r="B443" t="inlineStr">
        <is>
          <t>067651</t>
        </is>
      </c>
      <c r="C443" t="inlineStr">
        <is>
          <t>CRUDE OIL, LIGHT SWEET - NEW YORK MERCANTILE EXCHANGE</t>
        </is>
      </c>
      <c r="D443" t="n">
        <v>1459175</v>
      </c>
      <c r="E443" t="n">
        <v>252086</v>
      </c>
      <c r="F443" t="n">
        <v>69711</v>
      </c>
      <c r="G443" t="n">
        <v>266583</v>
      </c>
      <c r="H443">
        <f>E443-F443</f>
        <v/>
      </c>
      <c r="I443">
        <f>(E443-F443)/D443</f>
        <v/>
      </c>
    </row>
    <row r="444">
      <c r="A444" s="3" t="n">
        <v>41968</v>
      </c>
      <c r="B444" t="inlineStr">
        <is>
          <t>067651</t>
        </is>
      </c>
      <c r="C444" t="inlineStr">
        <is>
          <t>CRUDE OIL, LIGHT SWEET - NEW YORK MERCANTILE EXCHANGE</t>
        </is>
      </c>
      <c r="D444" t="n">
        <v>1386635</v>
      </c>
      <c r="E444" t="n">
        <v>245213</v>
      </c>
      <c r="F444" t="n">
        <v>76825</v>
      </c>
      <c r="G444" t="n">
        <v>231379</v>
      </c>
      <c r="H444">
        <f>E444-F444</f>
        <v/>
      </c>
      <c r="I444">
        <f>(E444-F444)/D444</f>
        <v/>
      </c>
    </row>
    <row r="445">
      <c r="A445" s="3" t="n">
        <v>41975</v>
      </c>
      <c r="B445" t="inlineStr">
        <is>
          <t>067651</t>
        </is>
      </c>
      <c r="C445" t="inlineStr">
        <is>
          <t>CRUDE OIL, LIGHT SWEET - NEW YORK MERCANTILE EXCHANGE</t>
        </is>
      </c>
      <c r="D445" t="n">
        <v>1439654</v>
      </c>
      <c r="E445" t="n">
        <v>260916</v>
      </c>
      <c r="F445" t="n">
        <v>63273</v>
      </c>
      <c r="G445" t="n">
        <v>242551</v>
      </c>
      <c r="H445">
        <f>E445-F445</f>
        <v/>
      </c>
      <c r="I445">
        <f>(E445-F445)/D445</f>
        <v/>
      </c>
    </row>
    <row r="446">
      <c r="A446" s="3" t="n">
        <v>41982</v>
      </c>
      <c r="B446" t="inlineStr">
        <is>
          <t>067651</t>
        </is>
      </c>
      <c r="C446" t="inlineStr">
        <is>
          <t>CRUDE OIL, LIGHT SWEET - NEW YORK MERCANTILE EXCHANGE</t>
        </is>
      </c>
      <c r="D446" t="n">
        <v>1445093</v>
      </c>
      <c r="E446" t="n">
        <v>263232</v>
      </c>
      <c r="F446" t="n">
        <v>60311</v>
      </c>
      <c r="G446" t="n">
        <v>234269</v>
      </c>
      <c r="H446">
        <f>E446-F446</f>
        <v/>
      </c>
      <c r="I446">
        <f>(E446-F446)/D446</f>
        <v/>
      </c>
    </row>
    <row r="447">
      <c r="A447" s="3" t="n">
        <v>41989</v>
      </c>
      <c r="B447" t="inlineStr">
        <is>
          <t>067651</t>
        </is>
      </c>
      <c r="C447" t="inlineStr">
        <is>
          <t>CRUDE OIL, LIGHT SWEET - NEW YORK MERCANTILE EXCHANGE</t>
        </is>
      </c>
      <c r="D447" t="n">
        <v>1475862</v>
      </c>
      <c r="E447" t="n">
        <v>276135</v>
      </c>
      <c r="F447" t="n">
        <v>60996</v>
      </c>
      <c r="G447" t="n">
        <v>233013</v>
      </c>
      <c r="H447">
        <f>E447-F447</f>
        <v/>
      </c>
      <c r="I447">
        <f>(E447-F447)/D447</f>
        <v/>
      </c>
    </row>
    <row r="448">
      <c r="A448" s="3" t="n">
        <v>41996</v>
      </c>
      <c r="B448" t="inlineStr">
        <is>
          <t>067651</t>
        </is>
      </c>
      <c r="C448" t="inlineStr">
        <is>
          <t>CRUDE OIL, LIGHT SWEET - NEW YORK MERCANTILE EXCHANGE</t>
        </is>
      </c>
      <c r="D448" t="n">
        <v>1428829</v>
      </c>
      <c r="E448" t="n">
        <v>257276</v>
      </c>
      <c r="F448" t="n">
        <v>56380</v>
      </c>
      <c r="G448" t="n">
        <v>231581</v>
      </c>
      <c r="H448">
        <f>E448-F448</f>
        <v/>
      </c>
      <c r="I448">
        <f>(E448-F448)/D448</f>
        <v/>
      </c>
    </row>
    <row r="449">
      <c r="A449" s="3" t="n">
        <v>42003</v>
      </c>
      <c r="B449" t="inlineStr">
        <is>
          <t>067651</t>
        </is>
      </c>
      <c r="C449" t="inlineStr">
        <is>
          <t>CRUDE OIL, LIGHT SWEET - NEW YORK MERCANTILE EXCHANGE</t>
        </is>
      </c>
      <c r="D449" t="n">
        <v>1457729</v>
      </c>
      <c r="E449" t="n">
        <v>259253</v>
      </c>
      <c r="F449" t="n">
        <v>64769</v>
      </c>
      <c r="G449" t="n">
        <v>231540</v>
      </c>
      <c r="H449">
        <f>E449-F449</f>
        <v/>
      </c>
      <c r="I449">
        <f>(E449-F449)/D449</f>
        <v/>
      </c>
    </row>
    <row r="450">
      <c r="A450" s="3" t="n">
        <v>42010</v>
      </c>
      <c r="B450" t="inlineStr">
        <is>
          <t>067651</t>
        </is>
      </c>
      <c r="C450" t="inlineStr">
        <is>
          <t>CRUDE OIL, LIGHT SWEET - NEW YORK MERCANTILE EXCHANGE</t>
        </is>
      </c>
      <c r="D450" t="n">
        <v>1505101</v>
      </c>
      <c r="E450" t="n">
        <v>270010</v>
      </c>
      <c r="F450" t="n">
        <v>81759</v>
      </c>
      <c r="G450" t="n">
        <v>241346</v>
      </c>
      <c r="H450">
        <f>E450-F450</f>
        <v/>
      </c>
      <c r="I450">
        <f>(E450-F450)/D450</f>
        <v/>
      </c>
    </row>
    <row r="451">
      <c r="A451" s="3" t="n">
        <v>42017</v>
      </c>
      <c r="B451" t="inlineStr">
        <is>
          <t>067651</t>
        </is>
      </c>
      <c r="C451" t="inlineStr">
        <is>
          <t>CRUDE OIL, LIGHT SWEET - NEW YORK MERCANTILE EXCHANGE</t>
        </is>
      </c>
      <c r="D451" t="n">
        <v>1627535</v>
      </c>
      <c r="E451" t="n">
        <v>305707</v>
      </c>
      <c r="F451" t="n">
        <v>100912</v>
      </c>
      <c r="G451" t="n">
        <v>274875</v>
      </c>
      <c r="H451">
        <f>E451-F451</f>
        <v/>
      </c>
      <c r="I451">
        <f>(E451-F451)/D451</f>
        <v/>
      </c>
    </row>
    <row r="452">
      <c r="A452" s="3" t="n">
        <v>42024</v>
      </c>
      <c r="B452" t="inlineStr">
        <is>
          <t>067651</t>
        </is>
      </c>
      <c r="C452" t="inlineStr">
        <is>
          <t>CRUDE OIL, LIGHT SWEET - NEW YORK MERCANTILE EXCHANGE</t>
        </is>
      </c>
      <c r="D452" t="n">
        <v>1591022</v>
      </c>
      <c r="E452" t="n">
        <v>304529</v>
      </c>
      <c r="F452" t="n">
        <v>98823</v>
      </c>
      <c r="G452" t="n">
        <v>257452</v>
      </c>
      <c r="H452">
        <f>E452-F452</f>
        <v/>
      </c>
      <c r="I452">
        <f>(E452-F452)/D452</f>
        <v/>
      </c>
    </row>
    <row r="453">
      <c r="A453" s="3" t="n">
        <v>42031</v>
      </c>
      <c r="B453" t="inlineStr">
        <is>
          <t>067651</t>
        </is>
      </c>
      <c r="C453" t="inlineStr">
        <is>
          <t>CRUDE OIL, LIGHT SWEET - NEW YORK MERCANTILE EXCHANGE</t>
        </is>
      </c>
      <c r="D453" t="n">
        <v>1668047</v>
      </c>
      <c r="E453" t="n">
        <v>319868</v>
      </c>
      <c r="F453" t="n">
        <v>116124</v>
      </c>
      <c r="G453" t="n">
        <v>259279</v>
      </c>
      <c r="H453">
        <f>E453-F453</f>
        <v/>
      </c>
      <c r="I453">
        <f>(E453-F453)/D453</f>
        <v/>
      </c>
    </row>
    <row r="454">
      <c r="A454" s="3" t="n">
        <v>42038</v>
      </c>
      <c r="B454" t="inlineStr">
        <is>
          <t>067651</t>
        </is>
      </c>
      <c r="C454" t="inlineStr">
        <is>
          <t>CRUDE OIL, LIGHT SWEET - NEW YORK MERCANTILE EXCHANGE</t>
        </is>
      </c>
      <c r="D454" t="n">
        <v>1721471</v>
      </c>
      <c r="E454" t="n">
        <v>310803</v>
      </c>
      <c r="F454" t="n">
        <v>117359</v>
      </c>
      <c r="G454" t="n">
        <v>279144</v>
      </c>
      <c r="H454">
        <f>E454-F454</f>
        <v/>
      </c>
      <c r="I454">
        <f>(E454-F454)/D454</f>
        <v/>
      </c>
    </row>
    <row r="455">
      <c r="A455" s="3" t="n">
        <v>42045</v>
      </c>
      <c r="B455" t="inlineStr">
        <is>
          <t>067651</t>
        </is>
      </c>
      <c r="C455" t="inlineStr">
        <is>
          <t>CRUDE OIL, LIGHT SWEET - NEW YORK MERCANTILE EXCHANGE</t>
        </is>
      </c>
      <c r="D455" t="n">
        <v>1717593</v>
      </c>
      <c r="E455" t="n">
        <v>300286</v>
      </c>
      <c r="F455" t="n">
        <v>105240</v>
      </c>
      <c r="G455" t="n">
        <v>292900</v>
      </c>
      <c r="H455">
        <f>E455-F455</f>
        <v/>
      </c>
      <c r="I455">
        <f>(E455-F455)/D455</f>
        <v/>
      </c>
    </row>
    <row r="456">
      <c r="A456" s="3" t="n">
        <v>42052</v>
      </c>
      <c r="B456" t="inlineStr">
        <is>
          <t>067651</t>
        </is>
      </c>
      <c r="C456" t="inlineStr">
        <is>
          <t>CRUDE OIL, LIGHT SWEET - NEW YORK MERCANTILE EXCHANGE</t>
        </is>
      </c>
      <c r="D456" t="n">
        <v>1689966</v>
      </c>
      <c r="E456" t="n">
        <v>309159</v>
      </c>
      <c r="F456" t="n">
        <v>100601</v>
      </c>
      <c r="G456" t="n">
        <v>287510</v>
      </c>
      <c r="H456">
        <f>E456-F456</f>
        <v/>
      </c>
      <c r="I456">
        <f>(E456-F456)/D456</f>
        <v/>
      </c>
    </row>
    <row r="457">
      <c r="A457" s="3" t="n">
        <v>42059</v>
      </c>
      <c r="B457" t="inlineStr">
        <is>
          <t>067651</t>
        </is>
      </c>
      <c r="C457" t="inlineStr">
        <is>
          <t>CRUDE OIL, LIGHT SWEET - NEW YORK MERCANTILE EXCHANGE</t>
        </is>
      </c>
      <c r="D457" t="n">
        <v>1695437</v>
      </c>
      <c r="E457" t="n">
        <v>317774</v>
      </c>
      <c r="F457" t="n">
        <v>119347</v>
      </c>
      <c r="G457" t="n">
        <v>259491</v>
      </c>
      <c r="H457">
        <f>E457-F457</f>
        <v/>
      </c>
      <c r="I457">
        <f>(E457-F457)/D457</f>
        <v/>
      </c>
    </row>
    <row r="458">
      <c r="A458" s="3" t="n">
        <v>42066</v>
      </c>
      <c r="B458" t="inlineStr">
        <is>
          <t>067651</t>
        </is>
      </c>
      <c r="C458" t="inlineStr">
        <is>
          <t>CRUDE OIL, LIGHT SWEET - NEW YORK MERCANTILE EXCHANGE</t>
        </is>
      </c>
      <c r="D458" t="n">
        <v>1687908</v>
      </c>
      <c r="E458" t="n">
        <v>300081</v>
      </c>
      <c r="F458" t="n">
        <v>135887</v>
      </c>
      <c r="G458" t="n">
        <v>275294</v>
      </c>
      <c r="H458">
        <f>E458-F458</f>
        <v/>
      </c>
      <c r="I458">
        <f>(E458-F458)/D458</f>
        <v/>
      </c>
    </row>
    <row r="459">
      <c r="A459" s="3" t="n">
        <v>42073</v>
      </c>
      <c r="B459" t="inlineStr">
        <is>
          <t>067651</t>
        </is>
      </c>
      <c r="C459" t="inlineStr">
        <is>
          <t>CRUDE OIL, LIGHT SWEET - NEW YORK MERCANTILE EXCHANGE</t>
        </is>
      </c>
      <c r="D459" t="n">
        <v>1670894</v>
      </c>
      <c r="E459" t="n">
        <v>301134</v>
      </c>
      <c r="F459" t="n">
        <v>140849</v>
      </c>
      <c r="G459" t="n">
        <v>277579</v>
      </c>
      <c r="H459">
        <f>E459-F459</f>
        <v/>
      </c>
      <c r="I459">
        <f>(E459-F459)/D459</f>
        <v/>
      </c>
    </row>
    <row r="460">
      <c r="A460" s="3" t="n">
        <v>42080</v>
      </c>
      <c r="B460" t="inlineStr">
        <is>
          <t>067651</t>
        </is>
      </c>
      <c r="C460" t="inlineStr">
        <is>
          <t>CRUDE OIL, LIGHT SWEET - NEW YORK MERCANTILE EXCHANGE</t>
        </is>
      </c>
      <c r="D460" t="n">
        <v>1760721</v>
      </c>
      <c r="E460" t="n">
        <v>314564</v>
      </c>
      <c r="F460" t="n">
        <v>170068</v>
      </c>
      <c r="G460" t="n">
        <v>299396</v>
      </c>
      <c r="H460">
        <f>E460-F460</f>
        <v/>
      </c>
      <c r="I460">
        <f>(E460-F460)/D460</f>
        <v/>
      </c>
    </row>
    <row r="461">
      <c r="A461" s="3" t="n">
        <v>42087</v>
      </c>
      <c r="B461" t="inlineStr">
        <is>
          <t>067651</t>
        </is>
      </c>
      <c r="C461" t="inlineStr">
        <is>
          <t>CRUDE OIL, LIGHT SWEET - NEW YORK MERCANTILE EXCHANGE</t>
        </is>
      </c>
      <c r="D461" t="n">
        <v>1748067</v>
      </c>
      <c r="E461" t="n">
        <v>315174</v>
      </c>
      <c r="F461" t="n">
        <v>173210</v>
      </c>
      <c r="G461" t="n">
        <v>304287</v>
      </c>
      <c r="H461">
        <f>E461-F461</f>
        <v/>
      </c>
      <c r="I461">
        <f>(E461-F461)/D461</f>
        <v/>
      </c>
    </row>
    <row r="462">
      <c r="A462" s="3" t="n">
        <v>42094</v>
      </c>
      <c r="B462" t="inlineStr">
        <is>
          <t>067651</t>
        </is>
      </c>
      <c r="C462" t="inlineStr">
        <is>
          <t>CRUDE OIL, LIGHT SWEET - NEW YORK MERCANTILE EXCHANGE</t>
        </is>
      </c>
      <c r="D462" t="n">
        <v>1740134</v>
      </c>
      <c r="E462" t="n">
        <v>324675</v>
      </c>
      <c r="F462" t="n">
        <v>149222</v>
      </c>
      <c r="G462" t="n">
        <v>313452</v>
      </c>
      <c r="H462">
        <f>E462-F462</f>
        <v/>
      </c>
      <c r="I462">
        <f>(E462-F462)/D462</f>
        <v/>
      </c>
    </row>
    <row r="463">
      <c r="A463" s="3" t="n">
        <v>42101</v>
      </c>
      <c r="B463" t="inlineStr">
        <is>
          <t>067651</t>
        </is>
      </c>
      <c r="C463" t="inlineStr">
        <is>
          <t>CRUDE OIL, LIGHT SWEET - NEW YORK MERCANTILE EXCHANGE</t>
        </is>
      </c>
      <c r="D463" t="n">
        <v>1743733</v>
      </c>
      <c r="E463" t="n">
        <v>335452</v>
      </c>
      <c r="F463" t="n">
        <v>119031</v>
      </c>
      <c r="G463" t="n">
        <v>313226</v>
      </c>
      <c r="H463">
        <f>E463-F463</f>
        <v/>
      </c>
      <c r="I463">
        <f>(E463-F463)/D463</f>
        <v/>
      </c>
    </row>
    <row r="464">
      <c r="A464" s="3" t="n">
        <v>42108</v>
      </c>
      <c r="B464" t="inlineStr">
        <is>
          <t>067651</t>
        </is>
      </c>
      <c r="C464" t="inlineStr">
        <is>
          <t>CRUDE OIL, LIGHT SWEET - NEW YORK MERCANTILE EXCHANGE</t>
        </is>
      </c>
      <c r="D464" t="n">
        <v>1774773</v>
      </c>
      <c r="E464" t="n">
        <v>342607</v>
      </c>
      <c r="F464" t="n">
        <v>104051</v>
      </c>
      <c r="G464" t="n">
        <v>304229</v>
      </c>
      <c r="H464">
        <f>E464-F464</f>
        <v/>
      </c>
      <c r="I464">
        <f>(E464-F464)/D464</f>
        <v/>
      </c>
    </row>
    <row r="465">
      <c r="A465" s="3" t="n">
        <v>42115</v>
      </c>
      <c r="B465" t="inlineStr">
        <is>
          <t>067651</t>
        </is>
      </c>
      <c r="C465" t="inlineStr">
        <is>
          <t>CRUDE OIL, LIGHT SWEET - NEW YORK MERCANTILE EXCHANGE</t>
        </is>
      </c>
      <c r="D465" t="n">
        <v>1723025</v>
      </c>
      <c r="E465" t="n">
        <v>340036</v>
      </c>
      <c r="F465" t="n">
        <v>80750</v>
      </c>
      <c r="G465" t="n">
        <v>290266</v>
      </c>
      <c r="H465">
        <f>E465-F465</f>
        <v/>
      </c>
      <c r="I465">
        <f>(E465-F465)/D465</f>
        <v/>
      </c>
    </row>
    <row r="466">
      <c r="A466" s="3" t="n">
        <v>42122</v>
      </c>
      <c r="B466" t="inlineStr">
        <is>
          <t>067651</t>
        </is>
      </c>
      <c r="C466" t="inlineStr">
        <is>
          <t>CRUDE OIL, LIGHT SWEET - NEW YORK MERCANTILE EXCHANGE</t>
        </is>
      </c>
      <c r="D466" t="n">
        <v>1717417</v>
      </c>
      <c r="E466" t="n">
        <v>339140</v>
      </c>
      <c r="F466" t="n">
        <v>81787</v>
      </c>
      <c r="G466" t="n">
        <v>284142</v>
      </c>
      <c r="H466">
        <f>E466-F466</f>
        <v/>
      </c>
      <c r="I466">
        <f>(E466-F466)/D466</f>
        <v/>
      </c>
    </row>
    <row r="467">
      <c r="A467" s="3" t="n">
        <v>42129</v>
      </c>
      <c r="B467" t="inlineStr">
        <is>
          <t>067651</t>
        </is>
      </c>
      <c r="C467" t="inlineStr">
        <is>
          <t>CRUDE OIL, LIGHT SWEET - NEW YORK MERCANTILE EXCHANGE</t>
        </is>
      </c>
      <c r="D467" t="n">
        <v>1750082</v>
      </c>
      <c r="E467" t="n">
        <v>340604</v>
      </c>
      <c r="F467" t="n">
        <v>74294</v>
      </c>
      <c r="G467" t="n">
        <v>284530</v>
      </c>
      <c r="H467">
        <f>E467-F467</f>
        <v/>
      </c>
      <c r="I467">
        <f>(E467-F467)/D467</f>
        <v/>
      </c>
    </row>
    <row r="468">
      <c r="A468" s="3" t="n">
        <v>42136</v>
      </c>
      <c r="B468" t="inlineStr">
        <is>
          <t>067651</t>
        </is>
      </c>
      <c r="C468" t="inlineStr">
        <is>
          <t>CRUDE OIL, LIGHT SWEET - NEW YORK MERCANTILE EXCHANGE</t>
        </is>
      </c>
      <c r="D468" t="n">
        <v>1731678</v>
      </c>
      <c r="E468" t="n">
        <v>325773</v>
      </c>
      <c r="F468" t="n">
        <v>62741</v>
      </c>
      <c r="G468" t="n">
        <v>289003</v>
      </c>
      <c r="H468">
        <f>E468-F468</f>
        <v/>
      </c>
      <c r="I468">
        <f>(E468-F468)/D468</f>
        <v/>
      </c>
    </row>
    <row r="469">
      <c r="A469" s="3" t="n">
        <v>42143</v>
      </c>
      <c r="B469" t="inlineStr">
        <is>
          <t>067651</t>
        </is>
      </c>
      <c r="C469" t="inlineStr">
        <is>
          <t>CRUDE OIL, LIGHT SWEET - NEW YORK MERCANTILE EXCHANGE</t>
        </is>
      </c>
      <c r="D469" t="n">
        <v>1621198</v>
      </c>
      <c r="E469" t="n">
        <v>318849</v>
      </c>
      <c r="F469" t="n">
        <v>68276</v>
      </c>
      <c r="G469" t="n">
        <v>266596</v>
      </c>
      <c r="H469">
        <f>E469-F469</f>
        <v/>
      </c>
      <c r="I469">
        <f>(E469-F469)/D469</f>
        <v/>
      </c>
    </row>
    <row r="470">
      <c r="A470" s="3" t="n">
        <v>42150</v>
      </c>
      <c r="B470" t="inlineStr">
        <is>
          <t>067651</t>
        </is>
      </c>
      <c r="C470" t="inlineStr">
        <is>
          <t>CRUDE OIL, LIGHT SWEET - NEW YORK MERCANTILE EXCHANGE</t>
        </is>
      </c>
      <c r="D470" t="n">
        <v>1614397</v>
      </c>
      <c r="E470" t="n">
        <v>316262</v>
      </c>
      <c r="F470" t="n">
        <v>65247</v>
      </c>
      <c r="G470" t="n">
        <v>263227</v>
      </c>
      <c r="H470">
        <f>E470-F470</f>
        <v/>
      </c>
      <c r="I470">
        <f>(E470-F470)/D470</f>
        <v/>
      </c>
    </row>
    <row r="471">
      <c r="A471" s="3" t="n">
        <v>42157</v>
      </c>
      <c r="B471" t="inlineStr">
        <is>
          <t>067651</t>
        </is>
      </c>
      <c r="C471" t="inlineStr">
        <is>
          <t>CRUDE OIL, LIGHT SWEET - NEW YORK MERCANTILE EXCHANGE</t>
        </is>
      </c>
      <c r="D471" t="n">
        <v>1651499</v>
      </c>
      <c r="E471" t="n">
        <v>304462</v>
      </c>
      <c r="F471" t="n">
        <v>59940</v>
      </c>
      <c r="G471" t="n">
        <v>278681</v>
      </c>
      <c r="H471">
        <f>E471-F471</f>
        <v/>
      </c>
      <c r="I471">
        <f>(E471-F471)/D471</f>
        <v/>
      </c>
    </row>
    <row r="472">
      <c r="A472" s="3" t="n">
        <v>42164</v>
      </c>
      <c r="B472" t="inlineStr">
        <is>
          <t>067651</t>
        </is>
      </c>
      <c r="C472" t="inlineStr">
        <is>
          <t>CRUDE OIL, LIGHT SWEET - NEW YORK MERCANTILE EXCHANGE</t>
        </is>
      </c>
      <c r="D472" t="n">
        <v>1641774</v>
      </c>
      <c r="E472" t="n">
        <v>298385</v>
      </c>
      <c r="F472" t="n">
        <v>61767</v>
      </c>
      <c r="G472" t="n">
        <v>272351</v>
      </c>
      <c r="H472">
        <f>E472-F472</f>
        <v/>
      </c>
      <c r="I472">
        <f>(E472-F472)/D472</f>
        <v/>
      </c>
    </row>
    <row r="473">
      <c r="A473" s="3" t="n">
        <v>42171</v>
      </c>
      <c r="B473" t="inlineStr">
        <is>
          <t>067651</t>
        </is>
      </c>
      <c r="C473" t="inlineStr">
        <is>
          <t>CRUDE OIL, LIGHT SWEET - NEW YORK MERCANTILE EXCHANGE</t>
        </is>
      </c>
      <c r="D473" t="n">
        <v>1652013</v>
      </c>
      <c r="E473" t="n">
        <v>297492</v>
      </c>
      <c r="F473" t="n">
        <v>58448</v>
      </c>
      <c r="G473" t="n">
        <v>258146</v>
      </c>
      <c r="H473">
        <f>E473-F473</f>
        <v/>
      </c>
      <c r="I473">
        <f>(E473-F473)/D473</f>
        <v/>
      </c>
    </row>
    <row r="474">
      <c r="A474" s="3" t="n">
        <v>42178</v>
      </c>
      <c r="B474" t="inlineStr">
        <is>
          <t>067651</t>
        </is>
      </c>
      <c r="C474" t="inlineStr">
        <is>
          <t>CRUDE OIL, LIGHT SWEET - NEW YORK MERCANTILE EXCHANGE</t>
        </is>
      </c>
      <c r="D474" t="n">
        <v>1650025</v>
      </c>
      <c r="E474" t="n">
        <v>297027</v>
      </c>
      <c r="F474" t="n">
        <v>61220</v>
      </c>
      <c r="G474" t="n">
        <v>258845</v>
      </c>
      <c r="H474">
        <f>E474-F474</f>
        <v/>
      </c>
      <c r="I474">
        <f>(E474-F474)/D474</f>
        <v/>
      </c>
    </row>
    <row r="475">
      <c r="A475" s="3" t="n">
        <v>42185</v>
      </c>
      <c r="B475" t="inlineStr">
        <is>
          <t>067651</t>
        </is>
      </c>
      <c r="C475" t="inlineStr">
        <is>
          <t>CRUDE OIL, LIGHT SWEET - NEW YORK MERCANTILE EXCHANGE</t>
        </is>
      </c>
      <c r="D475" t="n">
        <v>1670091</v>
      </c>
      <c r="E475" t="n">
        <v>286776</v>
      </c>
      <c r="F475" t="n">
        <v>65724</v>
      </c>
      <c r="G475" t="n">
        <v>262170</v>
      </c>
      <c r="H475">
        <f>E475-F475</f>
        <v/>
      </c>
      <c r="I475">
        <f>(E475-F475)/D475</f>
        <v/>
      </c>
    </row>
    <row r="476">
      <c r="A476" s="3" t="n">
        <v>42192</v>
      </c>
      <c r="B476" t="inlineStr">
        <is>
          <t>067651</t>
        </is>
      </c>
      <c r="C476" t="inlineStr">
        <is>
          <t>CRUDE OIL, LIGHT SWEET - NEW YORK MERCANTILE EXCHANGE</t>
        </is>
      </c>
      <c r="D476" t="n">
        <v>1691891</v>
      </c>
      <c r="E476" t="n">
        <v>279448</v>
      </c>
      <c r="F476" t="n">
        <v>98418</v>
      </c>
      <c r="G476" t="n">
        <v>274637</v>
      </c>
      <c r="H476">
        <f>E476-F476</f>
        <v/>
      </c>
      <c r="I476">
        <f>(E476-F476)/D476</f>
        <v/>
      </c>
    </row>
    <row r="477">
      <c r="A477" s="3" t="n">
        <v>42199</v>
      </c>
      <c r="B477" t="inlineStr">
        <is>
          <t>067651</t>
        </is>
      </c>
      <c r="C477" t="inlineStr">
        <is>
          <t>CRUDE OIL, LIGHT SWEET - NEW YORK MERCANTILE EXCHANGE</t>
        </is>
      </c>
      <c r="D477" t="n">
        <v>1733695</v>
      </c>
      <c r="E477" t="n">
        <v>258100</v>
      </c>
      <c r="F477" t="n">
        <v>110751</v>
      </c>
      <c r="G477" t="n">
        <v>279629</v>
      </c>
      <c r="H477">
        <f>E477-F477</f>
        <v/>
      </c>
      <c r="I477">
        <f>(E477-F477)/D477</f>
        <v/>
      </c>
    </row>
    <row r="478">
      <c r="A478" s="3" t="n">
        <v>42206</v>
      </c>
      <c r="B478" t="inlineStr">
        <is>
          <t>067651</t>
        </is>
      </c>
      <c r="C478" t="inlineStr">
        <is>
          <t>CRUDE OIL, LIGHT SWEET - NEW YORK MERCANTILE EXCHANGE</t>
        </is>
      </c>
      <c r="D478" t="n">
        <v>1668737</v>
      </c>
      <c r="E478" t="n">
        <v>239438</v>
      </c>
      <c r="F478" t="n">
        <v>125251</v>
      </c>
      <c r="G478" t="n">
        <v>275272</v>
      </c>
      <c r="H478">
        <f>E478-F478</f>
        <v/>
      </c>
      <c r="I478">
        <f>(E478-F478)/D478</f>
        <v/>
      </c>
    </row>
    <row r="479">
      <c r="A479" s="3" t="n">
        <v>42213</v>
      </c>
      <c r="B479" t="inlineStr">
        <is>
          <t>067651</t>
        </is>
      </c>
      <c r="C479" t="inlineStr">
        <is>
          <t>CRUDE OIL, LIGHT SWEET - NEW YORK MERCANTILE EXCHANGE</t>
        </is>
      </c>
      <c r="D479" t="n">
        <v>1694436</v>
      </c>
      <c r="E479" t="n">
        <v>246018</v>
      </c>
      <c r="F479" t="n">
        <v>139552</v>
      </c>
      <c r="G479" t="n">
        <v>270602</v>
      </c>
      <c r="H479">
        <f>E479-F479</f>
        <v/>
      </c>
      <c r="I479">
        <f>(E479-F479)/D479</f>
        <v/>
      </c>
    </row>
    <row r="480">
      <c r="A480" s="3" t="n">
        <v>42220</v>
      </c>
      <c r="B480" t="inlineStr">
        <is>
          <t>067651</t>
        </is>
      </c>
      <c r="C480" t="inlineStr">
        <is>
          <t>CRUDE OIL, LIGHT SWEET - NEW YORK MERCANTILE EXCHANGE</t>
        </is>
      </c>
      <c r="D480" t="n">
        <v>1736523</v>
      </c>
      <c r="E480" t="n">
        <v>251136</v>
      </c>
      <c r="F480" t="n">
        <v>135164</v>
      </c>
      <c r="G480" t="n">
        <v>286911</v>
      </c>
      <c r="H480">
        <f>E480-F480</f>
        <v/>
      </c>
      <c r="I480">
        <f>(E480-F480)/D480</f>
        <v/>
      </c>
    </row>
    <row r="481">
      <c r="A481" s="3" t="n">
        <v>42227</v>
      </c>
      <c r="B481" t="inlineStr">
        <is>
          <t>067651</t>
        </is>
      </c>
      <c r="C481" t="inlineStr">
        <is>
          <t>CRUDE OIL, LIGHT SWEET - NEW YORK MERCANTILE EXCHANGE</t>
        </is>
      </c>
      <c r="D481" t="n">
        <v>1676233</v>
      </c>
      <c r="E481" t="n">
        <v>251147</v>
      </c>
      <c r="F481" t="n">
        <v>151015</v>
      </c>
      <c r="G481" t="n">
        <v>266762</v>
      </c>
      <c r="H481">
        <f>E481-F481</f>
        <v/>
      </c>
      <c r="I481">
        <f>(E481-F481)/D481</f>
        <v/>
      </c>
    </row>
    <row r="482">
      <c r="A482" s="3" t="n">
        <v>42234</v>
      </c>
      <c r="B482" t="inlineStr">
        <is>
          <t>067651</t>
        </is>
      </c>
      <c r="C482" t="inlineStr">
        <is>
          <t>CRUDE OIL, LIGHT SWEET - NEW YORK MERCANTILE EXCHANGE</t>
        </is>
      </c>
      <c r="D482" t="n">
        <v>1688731</v>
      </c>
      <c r="E482" t="n">
        <v>241712</v>
      </c>
      <c r="F482" t="n">
        <v>159158</v>
      </c>
      <c r="G482" t="n">
        <v>278942</v>
      </c>
      <c r="H482">
        <f>E482-F482</f>
        <v/>
      </c>
      <c r="I482">
        <f>(E482-F482)/D482</f>
        <v/>
      </c>
    </row>
    <row r="483">
      <c r="A483" s="3" t="n">
        <v>42241</v>
      </c>
      <c r="B483" t="inlineStr">
        <is>
          <t>067651</t>
        </is>
      </c>
      <c r="C483" t="inlineStr">
        <is>
          <t>CRUDE OIL, LIGHT SWEET - NEW YORK MERCANTILE EXCHANGE</t>
        </is>
      </c>
      <c r="D483" t="n">
        <v>1677151</v>
      </c>
      <c r="E483" t="n">
        <v>245238</v>
      </c>
      <c r="F483" t="n">
        <v>156004</v>
      </c>
      <c r="G483" t="n">
        <v>282891</v>
      </c>
      <c r="H483">
        <f>E483-F483</f>
        <v/>
      </c>
      <c r="I483">
        <f>(E483-F483)/D483</f>
        <v/>
      </c>
    </row>
    <row r="484">
      <c r="A484" s="3" t="n">
        <v>42248</v>
      </c>
      <c r="B484" t="inlineStr">
        <is>
          <t>067651</t>
        </is>
      </c>
      <c r="C484" t="inlineStr">
        <is>
          <t>CRUDE OIL, LIGHT SWEET - NEW YORK MERCANTILE EXCHANGE</t>
        </is>
      </c>
      <c r="D484" t="n">
        <v>1688806</v>
      </c>
      <c r="E484" t="n">
        <v>250891</v>
      </c>
      <c r="F484" t="n">
        <v>140701</v>
      </c>
      <c r="G484" t="n">
        <v>286520</v>
      </c>
      <c r="H484">
        <f>E484-F484</f>
        <v/>
      </c>
      <c r="I484">
        <f>(E484-F484)/D484</f>
        <v/>
      </c>
    </row>
    <row r="485">
      <c r="A485" s="3" t="n">
        <v>42255</v>
      </c>
      <c r="B485" t="inlineStr">
        <is>
          <t>067651</t>
        </is>
      </c>
      <c r="C485" t="inlineStr">
        <is>
          <t>CRUDE OIL, LIGHT SWEET - NEW YORK MERCANTILE EXCHANGE</t>
        </is>
      </c>
      <c r="D485" t="n">
        <v>1704251</v>
      </c>
      <c r="E485" t="n">
        <v>258812</v>
      </c>
      <c r="F485" t="n">
        <v>128732</v>
      </c>
      <c r="G485" t="n">
        <v>279278</v>
      </c>
      <c r="H485">
        <f>E485-F485</f>
        <v/>
      </c>
      <c r="I485">
        <f>(E485-F485)/D485</f>
        <v/>
      </c>
    </row>
    <row r="486">
      <c r="A486" s="3" t="n">
        <v>42262</v>
      </c>
      <c r="B486" t="inlineStr">
        <is>
          <t>067651</t>
        </is>
      </c>
      <c r="C486" t="inlineStr">
        <is>
          <t>CRUDE OIL, LIGHT SWEET - NEW YORK MERCANTILE EXCHANGE</t>
        </is>
      </c>
      <c r="D486" t="n">
        <v>1702949</v>
      </c>
      <c r="E486" t="n">
        <v>260007</v>
      </c>
      <c r="F486" t="n">
        <v>115720</v>
      </c>
      <c r="G486" t="n">
        <v>290393</v>
      </c>
      <c r="H486">
        <f>E486-F486</f>
        <v/>
      </c>
      <c r="I486">
        <f>(E486-F486)/D486</f>
        <v/>
      </c>
    </row>
    <row r="487">
      <c r="A487" s="3" t="n">
        <v>42269</v>
      </c>
      <c r="B487" t="inlineStr">
        <is>
          <t>067651</t>
        </is>
      </c>
      <c r="C487" t="inlineStr">
        <is>
          <t>CRUDE OIL, LIGHT SWEET - NEW YORK MERCANTILE EXCHANGE</t>
        </is>
      </c>
      <c r="D487" t="n">
        <v>1606217</v>
      </c>
      <c r="E487" t="n">
        <v>269393</v>
      </c>
      <c r="F487" t="n">
        <v>105552</v>
      </c>
      <c r="G487" t="n">
        <v>255609</v>
      </c>
      <c r="H487">
        <f>E487-F487</f>
        <v/>
      </c>
      <c r="I487">
        <f>(E487-F487)/D487</f>
        <v/>
      </c>
    </row>
    <row r="488">
      <c r="A488" s="3" t="n">
        <v>42276</v>
      </c>
      <c r="B488" t="inlineStr">
        <is>
          <t>067651</t>
        </is>
      </c>
      <c r="C488" t="inlineStr">
        <is>
          <t>CRUDE OIL, LIGHT SWEET - NEW YORK MERCANTILE EXCHANGE</t>
        </is>
      </c>
      <c r="D488" t="n">
        <v>1617902</v>
      </c>
      <c r="E488" t="n">
        <v>263126</v>
      </c>
      <c r="F488" t="n">
        <v>112736</v>
      </c>
      <c r="G488" t="n">
        <v>259413</v>
      </c>
      <c r="H488">
        <f>E488-F488</f>
        <v/>
      </c>
      <c r="I488">
        <f>(E488-F488)/D488</f>
        <v/>
      </c>
    </row>
    <row r="489">
      <c r="A489" s="3" t="n">
        <v>42283</v>
      </c>
      <c r="B489" t="inlineStr">
        <is>
          <t>067651</t>
        </is>
      </c>
      <c r="C489" t="inlineStr">
        <is>
          <t>CRUDE OIL, LIGHT SWEET - NEW YORK MERCANTILE EXCHANGE</t>
        </is>
      </c>
      <c r="D489" t="n">
        <v>1675676</v>
      </c>
      <c r="E489" t="n">
        <v>278318</v>
      </c>
      <c r="F489" t="n">
        <v>104851</v>
      </c>
      <c r="G489" t="n">
        <v>259398</v>
      </c>
      <c r="H489">
        <f>E489-F489</f>
        <v/>
      </c>
      <c r="I489">
        <f>(E489-F489)/D489</f>
        <v/>
      </c>
    </row>
    <row r="490">
      <c r="A490" s="3" t="n">
        <v>42290</v>
      </c>
      <c r="B490" t="inlineStr">
        <is>
          <t>067651</t>
        </is>
      </c>
      <c r="C490" t="inlineStr">
        <is>
          <t>CRUDE OIL, LIGHT SWEET - NEW YORK MERCANTILE EXCHANGE</t>
        </is>
      </c>
      <c r="D490" t="n">
        <v>1645951</v>
      </c>
      <c r="E490" t="n">
        <v>269937</v>
      </c>
      <c r="F490" t="n">
        <v>87595</v>
      </c>
      <c r="G490" t="n">
        <v>245175</v>
      </c>
      <c r="H490">
        <f>E490-F490</f>
        <v/>
      </c>
      <c r="I490">
        <f>(E490-F490)/D490</f>
        <v/>
      </c>
    </row>
    <row r="491">
      <c r="A491" s="3" t="n">
        <v>42297</v>
      </c>
      <c r="B491" t="inlineStr">
        <is>
          <t>067651</t>
        </is>
      </c>
      <c r="C491" t="inlineStr">
        <is>
          <t>CRUDE OIL, LIGHT SWEET - NEW YORK MERCANTILE EXCHANGE</t>
        </is>
      </c>
      <c r="D491" t="n">
        <v>1613562</v>
      </c>
      <c r="E491" t="n">
        <v>266363</v>
      </c>
      <c r="F491" t="n">
        <v>106570</v>
      </c>
      <c r="G491" t="n">
        <v>244676</v>
      </c>
      <c r="H491">
        <f>E491-F491</f>
        <v/>
      </c>
      <c r="I491">
        <f>(E491-F491)/D491</f>
        <v/>
      </c>
    </row>
    <row r="492">
      <c r="A492" s="3" t="n">
        <v>42304</v>
      </c>
      <c r="B492" t="inlineStr">
        <is>
          <t>067651</t>
        </is>
      </c>
      <c r="C492" t="inlineStr">
        <is>
          <t>CRUDE OIL, LIGHT SWEET - NEW YORK MERCANTILE EXCHANGE</t>
        </is>
      </c>
      <c r="D492" t="n">
        <v>1676033</v>
      </c>
      <c r="E492" t="n">
        <v>273436</v>
      </c>
      <c r="F492" t="n">
        <v>134264</v>
      </c>
      <c r="G492" t="n">
        <v>257515</v>
      </c>
      <c r="H492">
        <f>E492-F492</f>
        <v/>
      </c>
      <c r="I492">
        <f>(E492-F492)/D492</f>
        <v/>
      </c>
    </row>
    <row r="493">
      <c r="A493" s="3" t="n">
        <v>42311</v>
      </c>
      <c r="B493" t="inlineStr">
        <is>
          <t>067651</t>
        </is>
      </c>
      <c r="C493" t="inlineStr">
        <is>
          <t>CRUDE OIL, LIGHT SWEET - NEW YORK MERCANTILE EXCHANGE</t>
        </is>
      </c>
      <c r="D493" t="n">
        <v>1676897</v>
      </c>
      <c r="E493" t="n">
        <v>281962</v>
      </c>
      <c r="F493" t="n">
        <v>116244</v>
      </c>
      <c r="G493" t="n">
        <v>271557</v>
      </c>
      <c r="H493">
        <f>E493-F493</f>
        <v/>
      </c>
      <c r="I493">
        <f>(E493-F493)/D493</f>
        <v/>
      </c>
    </row>
    <row r="494">
      <c r="A494" s="3" t="n">
        <v>42318</v>
      </c>
      <c r="B494" t="inlineStr">
        <is>
          <t>067651</t>
        </is>
      </c>
      <c r="C494" t="inlineStr">
        <is>
          <t>CRUDE OIL, LIGHT SWEET - NEW YORK MERCANTILE EXCHANGE</t>
        </is>
      </c>
      <c r="D494" t="n">
        <v>1671590</v>
      </c>
      <c r="E494" t="n">
        <v>277775</v>
      </c>
      <c r="F494" t="n">
        <v>139178</v>
      </c>
      <c r="G494" t="n">
        <v>242615</v>
      </c>
      <c r="H494">
        <f>E494-F494</f>
        <v/>
      </c>
      <c r="I494">
        <f>(E494-F494)/D494</f>
        <v/>
      </c>
    </row>
    <row r="495">
      <c r="A495" s="3" t="n">
        <v>42325</v>
      </c>
      <c r="B495" t="inlineStr">
        <is>
          <t>067651</t>
        </is>
      </c>
      <c r="C495" t="inlineStr">
        <is>
          <t>CRUDE OIL, LIGHT SWEET - NEW YORK MERCANTILE EXCHANGE</t>
        </is>
      </c>
      <c r="D495" t="n">
        <v>1662829</v>
      </c>
      <c r="E495" t="n">
        <v>266187</v>
      </c>
      <c r="F495" t="n">
        <v>156229</v>
      </c>
      <c r="G495" t="n">
        <v>272578</v>
      </c>
      <c r="H495">
        <f>E495-F495</f>
        <v/>
      </c>
      <c r="I495">
        <f>(E495-F495)/D495</f>
        <v/>
      </c>
    </row>
    <row r="496">
      <c r="A496" s="3" t="n">
        <v>42332</v>
      </c>
      <c r="B496" t="inlineStr">
        <is>
          <t>067651</t>
        </is>
      </c>
      <c r="C496" t="inlineStr">
        <is>
          <t>CRUDE OIL, LIGHT SWEET - NEW YORK MERCANTILE EXCHANGE</t>
        </is>
      </c>
      <c r="D496" t="n">
        <v>1632471</v>
      </c>
      <c r="E496" t="n">
        <v>250061</v>
      </c>
      <c r="F496" t="n">
        <v>164953</v>
      </c>
      <c r="G496" t="n">
        <v>283060</v>
      </c>
      <c r="H496">
        <f>E496-F496</f>
        <v/>
      </c>
      <c r="I496">
        <f>(E496-F496)/D496</f>
        <v/>
      </c>
    </row>
    <row r="497">
      <c r="A497" s="3" t="n">
        <v>42339</v>
      </c>
      <c r="B497" t="inlineStr">
        <is>
          <t>067651</t>
        </is>
      </c>
      <c r="C497" t="inlineStr">
        <is>
          <t>CRUDE OIL, LIGHT SWEET - NEW YORK MERCANTILE EXCHANGE</t>
        </is>
      </c>
      <c r="D497" t="n">
        <v>1661176</v>
      </c>
      <c r="E497" t="n">
        <v>251057</v>
      </c>
      <c r="F497" t="n">
        <v>171805</v>
      </c>
      <c r="G497" t="n">
        <v>298513</v>
      </c>
      <c r="H497">
        <f>E497-F497</f>
        <v/>
      </c>
      <c r="I497">
        <f>(E497-F497)/D497</f>
        <v/>
      </c>
    </row>
    <row r="498">
      <c r="A498" s="3" t="n">
        <v>42346</v>
      </c>
      <c r="B498" t="inlineStr">
        <is>
          <t>067651</t>
        </is>
      </c>
      <c r="C498" t="inlineStr">
        <is>
          <t>CRUDE OIL, LIGHT SWEET - NEW YORK MERCANTILE EXCHANGE</t>
        </is>
      </c>
      <c r="D498" t="n">
        <v>1713573</v>
      </c>
      <c r="E498" t="n">
        <v>253141</v>
      </c>
      <c r="F498" t="n">
        <v>178888</v>
      </c>
      <c r="G498" t="n">
        <v>324578</v>
      </c>
      <c r="H498">
        <f>E498-F498</f>
        <v/>
      </c>
      <c r="I498">
        <f>(E498-F498)/D498</f>
        <v/>
      </c>
    </row>
    <row r="499">
      <c r="A499" s="3" t="n">
        <v>42353</v>
      </c>
      <c r="B499" t="inlineStr">
        <is>
          <t>067651</t>
        </is>
      </c>
      <c r="C499" t="inlineStr">
        <is>
          <t>CRUDE OIL, LIGHT SWEET - NEW YORK MERCANTILE EXCHANGE</t>
        </is>
      </c>
      <c r="D499" t="n">
        <v>1678527</v>
      </c>
      <c r="E499" t="n">
        <v>254885</v>
      </c>
      <c r="F499" t="n">
        <v>175477</v>
      </c>
      <c r="G499" t="n">
        <v>311899</v>
      </c>
      <c r="H499">
        <f>E499-F499</f>
        <v/>
      </c>
      <c r="I499">
        <f>(E499-F499)/D499</f>
        <v/>
      </c>
    </row>
    <row r="500">
      <c r="A500" s="3" t="n">
        <v>42360</v>
      </c>
      <c r="B500" t="inlineStr">
        <is>
          <t>067651</t>
        </is>
      </c>
      <c r="C500" t="inlineStr">
        <is>
          <t>CRUDE OIL, LIGHT SWEET - NEW YORK MERCANTILE EXCHANGE</t>
        </is>
      </c>
      <c r="D500" t="n">
        <v>1646306</v>
      </c>
      <c r="E500" t="n">
        <v>235119</v>
      </c>
      <c r="F500" t="n">
        <v>173062</v>
      </c>
      <c r="G500" t="n">
        <v>326487</v>
      </c>
      <c r="H500">
        <f>E500-F500</f>
        <v/>
      </c>
      <c r="I500">
        <f>(E500-F500)/D500</f>
        <v/>
      </c>
    </row>
    <row r="501">
      <c r="A501" s="3" t="n">
        <v>42367</v>
      </c>
      <c r="B501" t="inlineStr">
        <is>
          <t>067651</t>
        </is>
      </c>
      <c r="C501" t="inlineStr">
        <is>
          <t>CRUDE OIL, LIGHT SWEET - NEW YORK MERCANTILE EXCHANGE</t>
        </is>
      </c>
      <c r="D501" t="n">
        <v>1648904</v>
      </c>
      <c r="E501" t="n">
        <v>238919</v>
      </c>
      <c r="F501" t="n">
        <v>165168</v>
      </c>
      <c r="G501" t="n">
        <v>325755</v>
      </c>
      <c r="H501">
        <f>E501-F501</f>
        <v/>
      </c>
      <c r="I501">
        <f>(E501-F501)/D501</f>
        <v/>
      </c>
    </row>
    <row r="502">
      <c r="A502" s="3" t="n">
        <v>42374</v>
      </c>
      <c r="B502" t="inlineStr">
        <is>
          <t>067651</t>
        </is>
      </c>
      <c r="C502" t="inlineStr">
        <is>
          <t>CRUDE OIL, LIGHT SWEET - NEW YORK MERCANTILE EXCHANGE</t>
        </is>
      </c>
      <c r="D502" t="n">
        <v>1703201</v>
      </c>
      <c r="E502" t="n">
        <v>231998</v>
      </c>
      <c r="F502" t="n">
        <v>182562</v>
      </c>
      <c r="G502" t="n">
        <v>348073</v>
      </c>
      <c r="H502">
        <f>E502-F502</f>
        <v/>
      </c>
      <c r="I502">
        <f>(E502-F502)/D502</f>
        <v/>
      </c>
    </row>
    <row r="503">
      <c r="A503" s="3" t="n">
        <v>42381</v>
      </c>
      <c r="B503" t="inlineStr">
        <is>
          <t>067651</t>
        </is>
      </c>
      <c r="C503" t="inlineStr">
        <is>
          <t>CRUDE OIL, LIGHT SWEET - NEW YORK MERCANTILE EXCHANGE</t>
        </is>
      </c>
      <c r="D503" t="n">
        <v>1756232</v>
      </c>
      <c r="E503" t="n">
        <v>249863</v>
      </c>
      <c r="F503" t="n">
        <v>213491</v>
      </c>
      <c r="G503" t="n">
        <v>326905</v>
      </c>
      <c r="H503">
        <f>E503-F503</f>
        <v/>
      </c>
      <c r="I503">
        <f>(E503-F503)/D503</f>
        <v/>
      </c>
    </row>
    <row r="504">
      <c r="A504" s="3" t="n">
        <v>42388</v>
      </c>
      <c r="B504" t="inlineStr">
        <is>
          <t>067651</t>
        </is>
      </c>
      <c r="C504" t="inlineStr">
        <is>
          <t>CRUDE OIL, LIGHT SWEET - NEW YORK MERCANTILE EXCHANGE</t>
        </is>
      </c>
      <c r="D504" t="n">
        <v>1686382</v>
      </c>
      <c r="E504" t="n">
        <v>240700</v>
      </c>
      <c r="F504" t="n">
        <v>184037</v>
      </c>
      <c r="G504" t="n">
        <v>314724</v>
      </c>
      <c r="H504">
        <f>E504-F504</f>
        <v/>
      </c>
      <c r="I504">
        <f>(E504-F504)/D504</f>
        <v/>
      </c>
    </row>
    <row r="505">
      <c r="A505" s="3" t="n">
        <v>42395</v>
      </c>
      <c r="B505" t="inlineStr">
        <is>
          <t>067651</t>
        </is>
      </c>
      <c r="C505" t="inlineStr">
        <is>
          <t>CRUDE OIL, LIGHT SWEET - NEW YORK MERCANTILE EXCHANGE</t>
        </is>
      </c>
      <c r="D505" t="n">
        <v>1761883</v>
      </c>
      <c r="E505" t="n">
        <v>268202</v>
      </c>
      <c r="F505" t="n">
        <v>191118</v>
      </c>
      <c r="G505" t="n">
        <v>318940</v>
      </c>
      <c r="H505">
        <f>E505-F505</f>
        <v/>
      </c>
      <c r="I505">
        <f>(E505-F505)/D505</f>
        <v/>
      </c>
    </row>
    <row r="506">
      <c r="A506" s="3" t="n">
        <v>42402</v>
      </c>
      <c r="B506" t="inlineStr">
        <is>
          <t>067651</t>
        </is>
      </c>
      <c r="C506" t="inlineStr">
        <is>
          <t>CRUDE OIL, LIGHT SWEET - NEW YORK MERCANTILE EXCHANGE</t>
        </is>
      </c>
      <c r="D506" t="n">
        <v>1855603</v>
      </c>
      <c r="E506" t="n">
        <v>272485</v>
      </c>
      <c r="F506" t="n">
        <v>206215</v>
      </c>
      <c r="G506" t="n">
        <v>343376</v>
      </c>
      <c r="H506">
        <f>E506-F506</f>
        <v/>
      </c>
      <c r="I506">
        <f>(E506-F506)/D506</f>
        <v/>
      </c>
    </row>
    <row r="507">
      <c r="A507" s="3" t="n">
        <v>42409</v>
      </c>
      <c r="B507" t="inlineStr">
        <is>
          <t>067651</t>
        </is>
      </c>
      <c r="C507" t="inlineStr">
        <is>
          <t>CRUDE OIL, LIGHT SWEET - NEW YORK MERCANTILE EXCHANGE</t>
        </is>
      </c>
      <c r="D507" t="n">
        <v>1854379</v>
      </c>
      <c r="E507" t="n">
        <v>270210</v>
      </c>
      <c r="F507" t="n">
        <v>197807</v>
      </c>
      <c r="G507" t="n">
        <v>361662</v>
      </c>
      <c r="H507">
        <f>E507-F507</f>
        <v/>
      </c>
      <c r="I507">
        <f>(E507-F507)/D507</f>
        <v/>
      </c>
    </row>
    <row r="508">
      <c r="A508" s="3" t="n">
        <v>42416</v>
      </c>
      <c r="B508" t="inlineStr">
        <is>
          <t>067651</t>
        </is>
      </c>
      <c r="C508" t="inlineStr">
        <is>
          <t>CRUDE OIL, LIGHT SWEET - NEW YORK MERCANTILE EXCHANGE</t>
        </is>
      </c>
      <c r="D508" t="n">
        <v>1840051</v>
      </c>
      <c r="E508" t="n">
        <v>267102</v>
      </c>
      <c r="F508" t="n">
        <v>209241</v>
      </c>
      <c r="G508" t="n">
        <v>371124</v>
      </c>
      <c r="H508">
        <f>E508-F508</f>
        <v/>
      </c>
      <c r="I508">
        <f>(E508-F508)/D508</f>
        <v/>
      </c>
    </row>
    <row r="509">
      <c r="A509" s="3" t="n">
        <v>42423</v>
      </c>
      <c r="B509" t="inlineStr">
        <is>
          <t>067651</t>
        </is>
      </c>
      <c r="C509" t="inlineStr">
        <is>
          <t>CRUDE OIL, LIGHT SWEET - NEW YORK MERCANTILE EXCHANGE</t>
        </is>
      </c>
      <c r="D509" t="n">
        <v>1776696</v>
      </c>
      <c r="E509" t="n">
        <v>275705</v>
      </c>
      <c r="F509" t="n">
        <v>173453</v>
      </c>
      <c r="G509" t="n">
        <v>357338</v>
      </c>
      <c r="H509">
        <f>E509-F509</f>
        <v/>
      </c>
      <c r="I509">
        <f>(E509-F509)/D509</f>
        <v/>
      </c>
    </row>
    <row r="510">
      <c r="A510" s="3" t="n">
        <v>42430</v>
      </c>
      <c r="B510" t="inlineStr">
        <is>
          <t>067651</t>
        </is>
      </c>
      <c r="C510" t="inlineStr">
        <is>
          <t>CRUDE OIL, LIGHT SWEET - NEW YORK MERCANTILE EXCHANGE</t>
        </is>
      </c>
      <c r="D510" t="n">
        <v>1800298</v>
      </c>
      <c r="E510" t="n">
        <v>279333</v>
      </c>
      <c r="F510" t="n">
        <v>154922</v>
      </c>
      <c r="G510" t="n">
        <v>366461</v>
      </c>
      <c r="H510">
        <f>E510-F510</f>
        <v/>
      </c>
      <c r="I510">
        <f>(E510-F510)/D510</f>
        <v/>
      </c>
    </row>
    <row r="511">
      <c r="A511" s="3" t="n">
        <v>42437</v>
      </c>
      <c r="B511" t="inlineStr">
        <is>
          <t>067651</t>
        </is>
      </c>
      <c r="C511" t="inlineStr">
        <is>
          <t>CRUDE OIL, LIGHT SWEET - NEW YORK MERCANTILE EXCHANGE</t>
        </is>
      </c>
      <c r="D511" t="n">
        <v>1816474</v>
      </c>
      <c r="E511" t="n">
        <v>286827</v>
      </c>
      <c r="F511" t="n">
        <v>121576</v>
      </c>
      <c r="G511" t="n">
        <v>377482</v>
      </c>
      <c r="H511">
        <f>E511-F511</f>
        <v/>
      </c>
      <c r="I511">
        <f>(E511-F511)/D511</f>
        <v/>
      </c>
    </row>
    <row r="512">
      <c r="A512" s="3" t="n">
        <v>42444</v>
      </c>
      <c r="B512" t="inlineStr">
        <is>
          <t>067651</t>
        </is>
      </c>
      <c r="C512" t="inlineStr">
        <is>
          <t>CRUDE OIL, LIGHT SWEET - NEW YORK MERCANTILE EXCHANGE</t>
        </is>
      </c>
      <c r="D512" t="n">
        <v>1782857</v>
      </c>
      <c r="E512" t="n">
        <v>297622</v>
      </c>
      <c r="F512" t="n">
        <v>102677</v>
      </c>
      <c r="G512" t="n">
        <v>370260</v>
      </c>
      <c r="H512">
        <f>E512-F512</f>
        <v/>
      </c>
      <c r="I512">
        <f>(E512-F512)/D512</f>
        <v/>
      </c>
    </row>
    <row r="513">
      <c r="A513" s="3" t="n">
        <v>42451</v>
      </c>
      <c r="B513" t="inlineStr">
        <is>
          <t>067651</t>
        </is>
      </c>
      <c r="C513" t="inlineStr">
        <is>
          <t>CRUDE OIL, LIGHT SWEET - NEW YORK MERCANTILE EXCHANGE</t>
        </is>
      </c>
      <c r="D513" t="n">
        <v>1705631</v>
      </c>
      <c r="E513" t="n">
        <v>294899</v>
      </c>
      <c r="F513" t="n">
        <v>68813</v>
      </c>
      <c r="G513" t="n">
        <v>357844</v>
      </c>
      <c r="H513">
        <f>E513-F513</f>
        <v/>
      </c>
      <c r="I513">
        <f>(E513-F513)/D513</f>
        <v/>
      </c>
    </row>
    <row r="514">
      <c r="A514" s="3" t="n">
        <v>42458</v>
      </c>
      <c r="B514" t="inlineStr">
        <is>
          <t>067651</t>
        </is>
      </c>
      <c r="C514" t="inlineStr">
        <is>
          <t>CRUDE OIL, LIGHT SWEET - NEW YORK MERCANTILE EXCHANGE</t>
        </is>
      </c>
      <c r="D514" t="n">
        <v>1734511</v>
      </c>
      <c r="E514" t="n">
        <v>291100</v>
      </c>
      <c r="F514" t="n">
        <v>81918</v>
      </c>
      <c r="G514" t="n">
        <v>352096</v>
      </c>
      <c r="H514">
        <f>E514-F514</f>
        <v/>
      </c>
      <c r="I514">
        <f>(E514-F514)/D514</f>
        <v/>
      </c>
    </row>
    <row r="515">
      <c r="A515" s="3" t="n">
        <v>42465</v>
      </c>
      <c r="B515" t="inlineStr">
        <is>
          <t>067651</t>
        </is>
      </c>
      <c r="C515" t="inlineStr">
        <is>
          <t>CRUDE OIL, LIGHT SWEET - NEW YORK MERCANTILE EXCHANGE</t>
        </is>
      </c>
      <c r="D515" t="n">
        <v>1773774</v>
      </c>
      <c r="E515" t="n">
        <v>289770</v>
      </c>
      <c r="F515" t="n">
        <v>113262</v>
      </c>
      <c r="G515" t="n">
        <v>344622</v>
      </c>
      <c r="H515">
        <f>E515-F515</f>
        <v/>
      </c>
      <c r="I515">
        <f>(E515-F515)/D515</f>
        <v/>
      </c>
    </row>
    <row r="516">
      <c r="A516" s="3" t="n">
        <v>42472</v>
      </c>
      <c r="B516" t="inlineStr">
        <is>
          <t>067651</t>
        </is>
      </c>
      <c r="C516" t="inlineStr">
        <is>
          <t>CRUDE OIL, LIGHT SWEET - NEW YORK MERCANTILE EXCHANGE</t>
        </is>
      </c>
      <c r="D516" t="n">
        <v>1803510</v>
      </c>
      <c r="E516" t="n">
        <v>289000</v>
      </c>
      <c r="F516" t="n">
        <v>87980</v>
      </c>
      <c r="G516" t="n">
        <v>350287</v>
      </c>
      <c r="H516">
        <f>E516-F516</f>
        <v/>
      </c>
      <c r="I516">
        <f>(E516-F516)/D516</f>
        <v/>
      </c>
    </row>
    <row r="517">
      <c r="A517" s="3" t="n">
        <v>42479</v>
      </c>
      <c r="B517" t="inlineStr">
        <is>
          <t>067651</t>
        </is>
      </c>
      <c r="C517" t="inlineStr">
        <is>
          <t>CRUDE OIL, LIGHT SWEET - NEW YORK MERCANTILE EXCHANGE</t>
        </is>
      </c>
      <c r="D517" t="n">
        <v>1714186</v>
      </c>
      <c r="E517" t="n">
        <v>297733</v>
      </c>
      <c r="F517" t="n">
        <v>75862</v>
      </c>
      <c r="G517" t="n">
        <v>312610</v>
      </c>
      <c r="H517">
        <f>E517-F517</f>
        <v/>
      </c>
      <c r="I517">
        <f>(E517-F517)/D517</f>
        <v/>
      </c>
    </row>
    <row r="518">
      <c r="A518" s="3" t="n">
        <v>42486</v>
      </c>
      <c r="B518" t="inlineStr">
        <is>
          <t>067651</t>
        </is>
      </c>
      <c r="C518" t="inlineStr">
        <is>
          <t>CRUDE OIL, LIGHT SWEET - NEW YORK MERCANTILE EXCHANGE</t>
        </is>
      </c>
      <c r="D518" t="n">
        <v>1714689</v>
      </c>
      <c r="E518" t="n">
        <v>296197</v>
      </c>
      <c r="F518" t="n">
        <v>72730</v>
      </c>
      <c r="G518" t="n">
        <v>301512</v>
      </c>
      <c r="H518">
        <f>E518-F518</f>
        <v/>
      </c>
      <c r="I518">
        <f>(E518-F518)/D518</f>
        <v/>
      </c>
    </row>
    <row r="519">
      <c r="A519" s="3" t="n">
        <v>42493</v>
      </c>
      <c r="B519" t="inlineStr">
        <is>
          <t>067651</t>
        </is>
      </c>
      <c r="C519" t="inlineStr">
        <is>
          <t>CRUDE OIL, LIGHT SWEET - NEW YORK MERCANTILE EXCHANGE</t>
        </is>
      </c>
      <c r="D519" t="n">
        <v>1748628</v>
      </c>
      <c r="E519" t="n">
        <v>285229</v>
      </c>
      <c r="F519" t="n">
        <v>72472</v>
      </c>
      <c r="G519" t="n">
        <v>310881</v>
      </c>
      <c r="H519">
        <f>E519-F519</f>
        <v/>
      </c>
      <c r="I519">
        <f>(E519-F519)/D519</f>
        <v/>
      </c>
    </row>
    <row r="520">
      <c r="A520" s="3" t="n">
        <v>42500</v>
      </c>
      <c r="B520" t="inlineStr">
        <is>
          <t>067651</t>
        </is>
      </c>
      <c r="C520" t="inlineStr">
        <is>
          <t>CRUDE OIL, LIGHT SWEET - NEW YORK MERCANTILE EXCHANGE</t>
        </is>
      </c>
      <c r="D520" t="n">
        <v>1724987</v>
      </c>
      <c r="E520" t="n">
        <v>284570</v>
      </c>
      <c r="F520" t="n">
        <v>92839</v>
      </c>
      <c r="G520" t="n">
        <v>278842</v>
      </c>
      <c r="H520">
        <f>E520-F520</f>
        <v/>
      </c>
      <c r="I520">
        <f>(E520-F520)/D520</f>
        <v/>
      </c>
    </row>
    <row r="521">
      <c r="A521" s="3" t="n">
        <v>42507</v>
      </c>
      <c r="B521" t="inlineStr">
        <is>
          <t>067651</t>
        </is>
      </c>
      <c r="C521" t="inlineStr">
        <is>
          <t>CRUDE OIL, LIGHT SWEET - NEW YORK MERCANTILE EXCHANGE</t>
        </is>
      </c>
      <c r="D521" t="n">
        <v>1698980</v>
      </c>
      <c r="E521" t="n">
        <v>294071</v>
      </c>
      <c r="F521" t="n">
        <v>72245</v>
      </c>
      <c r="G521" t="n">
        <v>264496</v>
      </c>
      <c r="H521">
        <f>E521-F521</f>
        <v/>
      </c>
      <c r="I521">
        <f>(E521-F521)/D521</f>
        <v/>
      </c>
    </row>
    <row r="522">
      <c r="A522" s="3" t="n">
        <v>42514</v>
      </c>
      <c r="B522" t="inlineStr">
        <is>
          <t>067651</t>
        </is>
      </c>
      <c r="C522" t="inlineStr">
        <is>
          <t>CRUDE OIL, LIGHT SWEET - NEW YORK MERCANTILE EXCHANGE</t>
        </is>
      </c>
      <c r="D522" t="n">
        <v>1657419</v>
      </c>
      <c r="E522" t="n">
        <v>281321</v>
      </c>
      <c r="F522" t="n">
        <v>70336</v>
      </c>
      <c r="G522" t="n">
        <v>278089</v>
      </c>
      <c r="H522">
        <f>E522-F522</f>
        <v/>
      </c>
      <c r="I522">
        <f>(E522-F522)/D522</f>
        <v/>
      </c>
    </row>
    <row r="523">
      <c r="A523" s="3" t="n">
        <v>42521</v>
      </c>
      <c r="B523" t="inlineStr">
        <is>
          <t>067651</t>
        </is>
      </c>
      <c r="C523" t="inlineStr">
        <is>
          <t>CRUDE OIL, LIGHT SWEET - NEW YORK MERCANTILE EXCHANGE</t>
        </is>
      </c>
      <c r="D523" t="n">
        <v>1709540</v>
      </c>
      <c r="E523" t="n">
        <v>273948</v>
      </c>
      <c r="F523" t="n">
        <v>63302</v>
      </c>
      <c r="G523" t="n">
        <v>297513</v>
      </c>
      <c r="H523">
        <f>E523-F523</f>
        <v/>
      </c>
      <c r="I523">
        <f>(E523-F523)/D523</f>
        <v/>
      </c>
    </row>
    <row r="524">
      <c r="A524" s="3" t="n">
        <v>42528</v>
      </c>
      <c r="B524" t="inlineStr">
        <is>
          <t>067651</t>
        </is>
      </c>
      <c r="C524" t="inlineStr">
        <is>
          <t>CRUDE OIL, LIGHT SWEET - NEW YORK MERCANTILE EXCHANGE</t>
        </is>
      </c>
      <c r="D524" t="n">
        <v>1748314</v>
      </c>
      <c r="E524" t="n">
        <v>281955</v>
      </c>
      <c r="F524" t="n">
        <v>89364</v>
      </c>
      <c r="G524" t="n">
        <v>317496</v>
      </c>
      <c r="H524">
        <f>E524-F524</f>
        <v/>
      </c>
      <c r="I524">
        <f>(E524-F524)/D524</f>
        <v/>
      </c>
    </row>
    <row r="525">
      <c r="A525" s="3" t="n">
        <v>42535</v>
      </c>
      <c r="B525" t="inlineStr">
        <is>
          <t>067651</t>
        </is>
      </c>
      <c r="C525" t="inlineStr">
        <is>
          <t>CRUDE OIL, LIGHT SWEET - NEW YORK MERCANTILE EXCHANGE</t>
        </is>
      </c>
      <c r="D525" t="n">
        <v>1774350</v>
      </c>
      <c r="E525" t="n">
        <v>268734</v>
      </c>
      <c r="F525" t="n">
        <v>116036</v>
      </c>
      <c r="G525" t="n">
        <v>324967</v>
      </c>
      <c r="H525">
        <f>E525-F525</f>
        <v/>
      </c>
      <c r="I525">
        <f>(E525-F525)/D525</f>
        <v/>
      </c>
    </row>
    <row r="526">
      <c r="A526" s="3" t="n">
        <v>42542</v>
      </c>
      <c r="B526" t="inlineStr">
        <is>
          <t>067651</t>
        </is>
      </c>
      <c r="C526" t="inlineStr">
        <is>
          <t>CRUDE OIL, LIGHT SWEET - NEW YORK MERCANTILE EXCHANGE</t>
        </is>
      </c>
      <c r="D526" t="n">
        <v>1726381</v>
      </c>
      <c r="E526" t="n">
        <v>279417</v>
      </c>
      <c r="F526" t="n">
        <v>98441</v>
      </c>
      <c r="G526" t="n">
        <v>312021</v>
      </c>
      <c r="H526">
        <f>E526-F526</f>
        <v/>
      </c>
      <c r="I526">
        <f>(E526-F526)/D526</f>
        <v/>
      </c>
    </row>
    <row r="527">
      <c r="A527" s="3" t="n">
        <v>42549</v>
      </c>
      <c r="B527" t="inlineStr">
        <is>
          <t>067651</t>
        </is>
      </c>
      <c r="C527" t="inlineStr">
        <is>
          <t>CRUDE OIL, LIGHT SWEET - NEW YORK MERCANTILE EXCHANGE</t>
        </is>
      </c>
      <c r="D527" t="n">
        <v>1720740</v>
      </c>
      <c r="E527" t="n">
        <v>275846</v>
      </c>
      <c r="F527" t="n">
        <v>123235</v>
      </c>
      <c r="G527" t="n">
        <v>292431</v>
      </c>
      <c r="H527">
        <f>E527-F527</f>
        <v/>
      </c>
      <c r="I527">
        <f>(E527-F527)/D527</f>
        <v/>
      </c>
    </row>
    <row r="528">
      <c r="A528" s="3" t="n">
        <v>42556</v>
      </c>
      <c r="B528" t="inlineStr">
        <is>
          <t>067651</t>
        </is>
      </c>
      <c r="C528" t="inlineStr">
        <is>
          <t>CRUDE OIL, LIGHT SWEET - NEW YORK MERCANTILE EXCHANGE</t>
        </is>
      </c>
      <c r="D528" t="n">
        <v>1751823</v>
      </c>
      <c r="E528" t="n">
        <v>278085</v>
      </c>
      <c r="F528" t="n">
        <v>132720</v>
      </c>
      <c r="G528" t="n">
        <v>301808</v>
      </c>
      <c r="H528">
        <f>E528-F528</f>
        <v/>
      </c>
      <c r="I528">
        <f>(E528-F528)/D528</f>
        <v/>
      </c>
    </row>
    <row r="529">
      <c r="A529" s="3" t="n">
        <v>42563</v>
      </c>
      <c r="B529" t="inlineStr">
        <is>
          <t>067651</t>
        </is>
      </c>
      <c r="C529" t="inlineStr">
        <is>
          <t>CRUDE OIL, LIGHT SWEET - NEW YORK MERCANTILE EXCHANGE</t>
        </is>
      </c>
      <c r="D529" t="n">
        <v>1728765</v>
      </c>
      <c r="E529" t="n">
        <v>283738</v>
      </c>
      <c r="F529" t="n">
        <v>129209</v>
      </c>
      <c r="G529" t="n">
        <v>296267</v>
      </c>
      <c r="H529">
        <f>E529-F529</f>
        <v/>
      </c>
      <c r="I529">
        <f>(E529-F529)/D529</f>
        <v/>
      </c>
    </row>
    <row r="530">
      <c r="A530" s="3" t="n">
        <v>42570</v>
      </c>
      <c r="B530" t="inlineStr">
        <is>
          <t>067651</t>
        </is>
      </c>
      <c r="C530" t="inlineStr">
        <is>
          <t>CRUDE OIL, LIGHT SWEET - NEW YORK MERCANTILE EXCHANGE</t>
        </is>
      </c>
      <c r="D530" t="n">
        <v>1685116</v>
      </c>
      <c r="E530" t="n">
        <v>289395</v>
      </c>
      <c r="F530" t="n">
        <v>153309</v>
      </c>
      <c r="G530" t="n">
        <v>283332</v>
      </c>
      <c r="H530">
        <f>E530-F530</f>
        <v/>
      </c>
      <c r="I530">
        <f>(E530-F530)/D530</f>
        <v/>
      </c>
    </row>
    <row r="531">
      <c r="A531" s="3" t="n">
        <v>42577</v>
      </c>
      <c r="B531" t="inlineStr">
        <is>
          <t>067651</t>
        </is>
      </c>
      <c r="C531" t="inlineStr">
        <is>
          <t>CRUDE OIL, LIGHT SWEET - NEW YORK MERCANTILE EXCHANGE</t>
        </is>
      </c>
      <c r="D531" t="n">
        <v>1718306</v>
      </c>
      <c r="E531" t="n">
        <v>291432</v>
      </c>
      <c r="F531" t="n">
        <v>190825</v>
      </c>
      <c r="G531" t="n">
        <v>284954</v>
      </c>
      <c r="H531">
        <f>E531-F531</f>
        <v/>
      </c>
      <c r="I531">
        <f>(E531-F531)/D531</f>
        <v/>
      </c>
    </row>
    <row r="532">
      <c r="A532" s="3" t="n">
        <v>42584</v>
      </c>
      <c r="B532" t="inlineStr">
        <is>
          <t>067651</t>
        </is>
      </c>
      <c r="C532" t="inlineStr">
        <is>
          <t>CRUDE OIL, LIGHT SWEET - NEW YORK MERCANTILE EXCHANGE</t>
        </is>
      </c>
      <c r="D532" t="n">
        <v>1792640</v>
      </c>
      <c r="E532" t="n">
        <v>292454</v>
      </c>
      <c r="F532" t="n">
        <v>227763</v>
      </c>
      <c r="G532" t="n">
        <v>297162</v>
      </c>
      <c r="H532">
        <f>E532-F532</f>
        <v/>
      </c>
      <c r="I532">
        <f>(E532-F532)/D532</f>
        <v/>
      </c>
    </row>
    <row r="533">
      <c r="A533" s="3" t="n">
        <v>42591</v>
      </c>
      <c r="B533" t="inlineStr">
        <is>
          <t>067651</t>
        </is>
      </c>
      <c r="C533" t="inlineStr">
        <is>
          <t>CRUDE OIL, LIGHT SWEET - NEW YORK MERCANTILE EXCHANGE</t>
        </is>
      </c>
      <c r="D533" t="n">
        <v>1829979</v>
      </c>
      <c r="E533" t="n">
        <v>307186</v>
      </c>
      <c r="F533" t="n">
        <v>232202</v>
      </c>
      <c r="G533" t="n">
        <v>281874</v>
      </c>
      <c r="H533">
        <f>E533-F533</f>
        <v/>
      </c>
      <c r="I533">
        <f>(E533-F533)/D533</f>
        <v/>
      </c>
    </row>
    <row r="534">
      <c r="A534" s="3" t="n">
        <v>42598</v>
      </c>
      <c r="B534" t="inlineStr">
        <is>
          <t>067651</t>
        </is>
      </c>
      <c r="C534" t="inlineStr">
        <is>
          <t>CRUDE OIL, LIGHT SWEET - NEW YORK MERCANTILE EXCHANGE</t>
        </is>
      </c>
      <c r="D534" t="n">
        <v>1852402</v>
      </c>
      <c r="E534" t="n">
        <v>308899</v>
      </c>
      <c r="F534" t="n">
        <v>175322</v>
      </c>
      <c r="G534" t="n">
        <v>277054</v>
      </c>
      <c r="H534">
        <f>E534-F534</f>
        <v/>
      </c>
      <c r="I534">
        <f>(E534-F534)/D534</f>
        <v/>
      </c>
    </row>
    <row r="535">
      <c r="A535" s="3" t="n">
        <v>42605</v>
      </c>
      <c r="B535" t="inlineStr">
        <is>
          <t>067651</t>
        </is>
      </c>
      <c r="C535" t="inlineStr">
        <is>
          <t>CRUDE OIL, LIGHT SWEET - NEW YORK MERCANTILE EXCHANGE</t>
        </is>
      </c>
      <c r="D535" t="n">
        <v>1747499</v>
      </c>
      <c r="E535" t="n">
        <v>320757</v>
      </c>
      <c r="F535" t="n">
        <v>100651</v>
      </c>
      <c r="G535" t="n">
        <v>257581</v>
      </c>
      <c r="H535">
        <f>E535-F535</f>
        <v/>
      </c>
      <c r="I535">
        <f>(E535-F535)/D535</f>
        <v/>
      </c>
    </row>
    <row r="536">
      <c r="A536" s="3" t="n">
        <v>42612</v>
      </c>
      <c r="B536" t="inlineStr">
        <is>
          <t>067651</t>
        </is>
      </c>
      <c r="C536" t="inlineStr">
        <is>
          <t>CRUDE OIL, LIGHT SWEET - NEW YORK MERCANTILE EXCHANGE</t>
        </is>
      </c>
      <c r="D536" t="n">
        <v>1787891</v>
      </c>
      <c r="E536" t="n">
        <v>300644</v>
      </c>
      <c r="F536" t="n">
        <v>104928</v>
      </c>
      <c r="G536" t="n">
        <v>282888</v>
      </c>
      <c r="H536">
        <f>E536-F536</f>
        <v/>
      </c>
      <c r="I536">
        <f>(E536-F536)/D536</f>
        <v/>
      </c>
    </row>
    <row r="537">
      <c r="A537" s="3" t="n">
        <v>42619</v>
      </c>
      <c r="B537" t="inlineStr">
        <is>
          <t>067651</t>
        </is>
      </c>
      <c r="C537" t="inlineStr">
        <is>
          <t>CRUDE OIL, LIGHT SWEET - NEW YORK MERCANTILE EXCHANGE</t>
        </is>
      </c>
      <c r="D537" t="n">
        <v>1861718</v>
      </c>
      <c r="E537" t="n">
        <v>296386</v>
      </c>
      <c r="F537" t="n">
        <v>148034</v>
      </c>
      <c r="G537" t="n">
        <v>293754</v>
      </c>
      <c r="H537">
        <f>E537-F537</f>
        <v/>
      </c>
      <c r="I537">
        <f>(E537-F537)/D537</f>
        <v/>
      </c>
    </row>
    <row r="538">
      <c r="A538" s="3" t="n">
        <v>42626</v>
      </c>
      <c r="B538" t="inlineStr">
        <is>
          <t>067651</t>
        </is>
      </c>
      <c r="C538" t="inlineStr">
        <is>
          <t>CRUDE OIL, LIGHT SWEET - NEW YORK MERCANTILE EXCHANGE</t>
        </is>
      </c>
      <c r="D538" t="n">
        <v>1829620</v>
      </c>
      <c r="E538" t="n">
        <v>293429</v>
      </c>
      <c r="F538" t="n">
        <v>123034</v>
      </c>
      <c r="G538" t="n">
        <v>307272</v>
      </c>
      <c r="H538">
        <f>E538-F538</f>
        <v/>
      </c>
      <c r="I538">
        <f>(E538-F538)/D538</f>
        <v/>
      </c>
    </row>
    <row r="539">
      <c r="A539" s="3" t="n">
        <v>42633</v>
      </c>
      <c r="B539" t="inlineStr">
        <is>
          <t>067651</t>
        </is>
      </c>
      <c r="C539" t="inlineStr">
        <is>
          <t>CRUDE OIL, LIGHT SWEET - NEW YORK MERCANTILE EXCHANGE</t>
        </is>
      </c>
      <c r="D539" t="n">
        <v>1811705</v>
      </c>
      <c r="E539" t="n">
        <v>290493</v>
      </c>
      <c r="F539" t="n">
        <v>161939</v>
      </c>
      <c r="G539" t="n">
        <v>288878</v>
      </c>
      <c r="H539">
        <f>E539-F539</f>
        <v/>
      </c>
      <c r="I539">
        <f>(E539-F539)/D539</f>
        <v/>
      </c>
    </row>
    <row r="540">
      <c r="A540" s="3" t="n">
        <v>42640</v>
      </c>
      <c r="B540" t="inlineStr">
        <is>
          <t>067651</t>
        </is>
      </c>
      <c r="C540" t="inlineStr">
        <is>
          <t>CRUDE OIL, LIGHT SWEET - NEW YORK MERCANTILE EXCHANGE</t>
        </is>
      </c>
      <c r="D540" t="n">
        <v>1830991</v>
      </c>
      <c r="E540" t="n">
        <v>307925</v>
      </c>
      <c r="F540" t="n">
        <v>152986</v>
      </c>
      <c r="G540" t="n">
        <v>286580</v>
      </c>
      <c r="H540">
        <f>E540-F540</f>
        <v/>
      </c>
      <c r="I540">
        <f>(E540-F540)/D540</f>
        <v/>
      </c>
    </row>
    <row r="541">
      <c r="A541" s="3" t="n">
        <v>42647</v>
      </c>
      <c r="B541" t="inlineStr">
        <is>
          <t>067651</t>
        </is>
      </c>
      <c r="C541" t="inlineStr">
        <is>
          <t>CRUDE OIL, LIGHT SWEET - NEW YORK MERCANTILE EXCHANGE</t>
        </is>
      </c>
      <c r="D541" t="n">
        <v>1871665</v>
      </c>
      <c r="E541" t="n">
        <v>326975</v>
      </c>
      <c r="F541" t="n">
        <v>104144</v>
      </c>
      <c r="G541" t="n">
        <v>316309</v>
      </c>
      <c r="H541">
        <f>E541-F541</f>
        <v/>
      </c>
      <c r="I541">
        <f>(E541-F541)/D541</f>
        <v/>
      </c>
    </row>
    <row r="542">
      <c r="A542" s="3" t="n">
        <v>42654</v>
      </c>
      <c r="B542" t="inlineStr">
        <is>
          <t>067651</t>
        </is>
      </c>
      <c r="C542" t="inlineStr">
        <is>
          <t>CRUDE OIL, LIGHT SWEET - NEW YORK MERCANTILE EXCHANGE</t>
        </is>
      </c>
      <c r="D542" t="n">
        <v>1880412</v>
      </c>
      <c r="E542" t="n">
        <v>337612</v>
      </c>
      <c r="F542" t="n">
        <v>83237</v>
      </c>
      <c r="G542" t="n">
        <v>334221</v>
      </c>
      <c r="H542">
        <f>E542-F542</f>
        <v/>
      </c>
      <c r="I542">
        <f>(E542-F542)/D542</f>
        <v/>
      </c>
    </row>
    <row r="543">
      <c r="A543" s="3" t="n">
        <v>42661</v>
      </c>
      <c r="B543" t="inlineStr">
        <is>
          <t>067651</t>
        </is>
      </c>
      <c r="C543" t="inlineStr">
        <is>
          <t>CRUDE OIL, LIGHT SWEET - NEW YORK MERCANTILE EXCHANGE</t>
        </is>
      </c>
      <c r="D543" t="n">
        <v>1811281</v>
      </c>
      <c r="E543" t="n">
        <v>327095</v>
      </c>
      <c r="F543" t="n">
        <v>62609</v>
      </c>
      <c r="G543" t="n">
        <v>316231</v>
      </c>
      <c r="H543">
        <f>E543-F543</f>
        <v/>
      </c>
      <c r="I543">
        <f>(E543-F543)/D543</f>
        <v/>
      </c>
    </row>
    <row r="544">
      <c r="A544" s="3" t="n">
        <v>42668</v>
      </c>
      <c r="B544" t="inlineStr">
        <is>
          <t>067651</t>
        </is>
      </c>
      <c r="C544" t="inlineStr">
        <is>
          <t>CRUDE OIL, LIGHT SWEET - NEW YORK MERCANTILE EXCHANGE</t>
        </is>
      </c>
      <c r="D544" t="n">
        <v>1821737</v>
      </c>
      <c r="E544" t="n">
        <v>311053</v>
      </c>
      <c r="F544" t="n">
        <v>66428</v>
      </c>
      <c r="G544" t="n">
        <v>324795</v>
      </c>
      <c r="H544">
        <f>E544-F544</f>
        <v/>
      </c>
      <c r="I544">
        <f>(E544-F544)/D544</f>
        <v/>
      </c>
    </row>
    <row r="545">
      <c r="A545" s="3" t="n">
        <v>42675</v>
      </c>
      <c r="B545" t="inlineStr">
        <is>
          <t>067651</t>
        </is>
      </c>
      <c r="C545" t="inlineStr">
        <is>
          <t>CRUDE OIL, LIGHT SWEET - NEW YORK MERCANTILE EXCHANGE</t>
        </is>
      </c>
      <c r="D545" t="n">
        <v>1854612</v>
      </c>
      <c r="E545" t="n">
        <v>290299</v>
      </c>
      <c r="F545" t="n">
        <v>78890</v>
      </c>
      <c r="G545" t="n">
        <v>333613</v>
      </c>
      <c r="H545">
        <f>E545-F545</f>
        <v/>
      </c>
      <c r="I545">
        <f>(E545-F545)/D545</f>
        <v/>
      </c>
    </row>
    <row r="546">
      <c r="A546" s="3" t="n">
        <v>42682</v>
      </c>
      <c r="B546" t="inlineStr">
        <is>
          <t>067651</t>
        </is>
      </c>
      <c r="C546" t="inlineStr">
        <is>
          <t>CRUDE OIL, LIGHT SWEET - NEW YORK MERCANTILE EXCHANGE</t>
        </is>
      </c>
      <c r="D546" t="n">
        <v>1973656</v>
      </c>
      <c r="E546" t="n">
        <v>293347</v>
      </c>
      <c r="F546" t="n">
        <v>162455</v>
      </c>
      <c r="G546" t="n">
        <v>350551</v>
      </c>
      <c r="H546">
        <f>E546-F546</f>
        <v/>
      </c>
      <c r="I546">
        <f>(E546-F546)/D546</f>
        <v/>
      </c>
    </row>
    <row r="547">
      <c r="A547" s="3" t="n">
        <v>42689</v>
      </c>
      <c r="B547" t="inlineStr">
        <is>
          <t>067651</t>
        </is>
      </c>
      <c r="C547" t="inlineStr">
        <is>
          <t>CRUDE OIL, LIGHT SWEET - NEW YORK MERCANTILE EXCHANGE</t>
        </is>
      </c>
      <c r="D547" t="n">
        <v>2027539</v>
      </c>
      <c r="E547" t="n">
        <v>308940</v>
      </c>
      <c r="F547" t="n">
        <v>185047</v>
      </c>
      <c r="G547" t="n">
        <v>316075</v>
      </c>
      <c r="H547">
        <f>E547-F547</f>
        <v/>
      </c>
      <c r="I547">
        <f>(E547-F547)/D547</f>
        <v/>
      </c>
    </row>
    <row r="548">
      <c r="A548" s="3" t="n">
        <v>42696</v>
      </c>
      <c r="B548" t="inlineStr">
        <is>
          <t>067651</t>
        </is>
      </c>
      <c r="C548" t="inlineStr">
        <is>
          <t>CRUDE OIL, LIGHT SWEET - NEW YORK MERCANTILE EXCHANGE</t>
        </is>
      </c>
      <c r="D548" t="n">
        <v>1995504</v>
      </c>
      <c r="E548" t="n">
        <v>333888</v>
      </c>
      <c r="F548" t="n">
        <v>179067</v>
      </c>
      <c r="G548" t="n">
        <v>336991</v>
      </c>
      <c r="H548">
        <f>E548-F548</f>
        <v/>
      </c>
      <c r="I548">
        <f>(E548-F548)/D548</f>
        <v/>
      </c>
    </row>
    <row r="549">
      <c r="A549" s="3" t="n">
        <v>42703</v>
      </c>
      <c r="B549" t="inlineStr">
        <is>
          <t>067651</t>
        </is>
      </c>
      <c r="C549" t="inlineStr">
        <is>
          <t>CRUDE OIL, LIGHT SWEET - NEW YORK MERCANTILE EXCHANGE</t>
        </is>
      </c>
      <c r="D549" t="n">
        <v>2020026</v>
      </c>
      <c r="E549" t="n">
        <v>321114</v>
      </c>
      <c r="F549" t="n">
        <v>162434</v>
      </c>
      <c r="G549" t="n">
        <v>350572</v>
      </c>
      <c r="H549">
        <f>E549-F549</f>
        <v/>
      </c>
      <c r="I549">
        <f>(E549-F549)/D549</f>
        <v/>
      </c>
    </row>
    <row r="550">
      <c r="A550" s="3" t="n">
        <v>42710</v>
      </c>
      <c r="B550" t="inlineStr">
        <is>
          <t>067651</t>
        </is>
      </c>
      <c r="C550" t="inlineStr">
        <is>
          <t>CRUDE OIL, LIGHT SWEET - NEW YORK MERCANTILE EXCHANGE</t>
        </is>
      </c>
      <c r="D550" t="n">
        <v>2098290</v>
      </c>
      <c r="E550" t="n">
        <v>351457</v>
      </c>
      <c r="F550" t="n">
        <v>108932</v>
      </c>
      <c r="G550" t="n">
        <v>406022</v>
      </c>
      <c r="H550">
        <f>E550-F550</f>
        <v/>
      </c>
      <c r="I550">
        <f>(E550-F550)/D550</f>
        <v/>
      </c>
    </row>
    <row r="551">
      <c r="A551" s="3" t="n">
        <v>42717</v>
      </c>
      <c r="B551" t="inlineStr">
        <is>
          <t>067651</t>
        </is>
      </c>
      <c r="C551" t="inlineStr">
        <is>
          <t>CRUDE OIL, LIGHT SWEET - NEW YORK MERCANTILE EXCHANGE</t>
        </is>
      </c>
      <c r="D551" t="n">
        <v>2104703</v>
      </c>
      <c r="E551" t="n">
        <v>366232</v>
      </c>
      <c r="F551" t="n">
        <v>91475</v>
      </c>
      <c r="G551" t="n">
        <v>411110</v>
      </c>
      <c r="H551">
        <f>E551-F551</f>
        <v/>
      </c>
      <c r="I551">
        <f>(E551-F551)/D551</f>
        <v/>
      </c>
    </row>
    <row r="552">
      <c r="A552" s="3" t="n">
        <v>42724</v>
      </c>
      <c r="B552" t="inlineStr">
        <is>
          <t>067651</t>
        </is>
      </c>
      <c r="C552" t="inlineStr">
        <is>
          <t>CRUDE OIL, LIGHT SWEET - NEW YORK MERCANTILE EXCHANGE</t>
        </is>
      </c>
      <c r="D552" t="n">
        <v>2029807</v>
      </c>
      <c r="E552" t="n">
        <v>356614</v>
      </c>
      <c r="F552" t="n">
        <v>72861</v>
      </c>
      <c r="G552" t="n">
        <v>431488</v>
      </c>
      <c r="H552">
        <f>E552-F552</f>
        <v/>
      </c>
      <c r="I552">
        <f>(E552-F552)/D552</f>
        <v/>
      </c>
    </row>
    <row r="553">
      <c r="A553" s="3" t="n">
        <v>42731</v>
      </c>
      <c r="B553" t="inlineStr">
        <is>
          <t>067651</t>
        </is>
      </c>
      <c r="C553" t="inlineStr">
        <is>
          <t>CRUDE OIL, LIGHT SWEET - NEW YORK MERCANTILE EXCHANGE</t>
        </is>
      </c>
      <c r="D553" t="n">
        <v>2037834</v>
      </c>
      <c r="E553" t="n">
        <v>357096</v>
      </c>
      <c r="F553" t="n">
        <v>71857</v>
      </c>
      <c r="G553" t="n">
        <v>444825</v>
      </c>
      <c r="H553">
        <f>E553-F553</f>
        <v/>
      </c>
      <c r="I553">
        <f>(E553-F553)/D553</f>
        <v/>
      </c>
    </row>
    <row r="554">
      <c r="A554" s="3" t="n">
        <v>44565</v>
      </c>
      <c r="B554" t="inlineStr">
        <is>
          <t>067651</t>
        </is>
      </c>
      <c r="C554" t="inlineStr">
        <is>
          <t>CRUDE OIL, LIGHT SWEET - NEW YORK MERCANTILE EXCHANGE</t>
        </is>
      </c>
      <c r="D554" t="n">
        <v>1887131</v>
      </c>
      <c r="E554" t="n">
        <v>298199</v>
      </c>
      <c r="F554" t="n">
        <v>64844</v>
      </c>
      <c r="G554" t="n">
        <v>409425</v>
      </c>
      <c r="H554">
        <f>E554-F554</f>
        <v/>
      </c>
      <c r="I554">
        <f>(E554-F554)/D554</f>
        <v/>
      </c>
    </row>
    <row r="555">
      <c r="A555" s="3" t="n">
        <v>44572</v>
      </c>
      <c r="B555" t="inlineStr">
        <is>
          <t>067651</t>
        </is>
      </c>
      <c r="C555" t="inlineStr">
        <is>
          <t>CRUDE OIL, LIGHT SWEET - NEW YORK MERCANTILE EXCHANGE</t>
        </is>
      </c>
      <c r="D555" t="n">
        <v>1966615</v>
      </c>
      <c r="E555" t="n">
        <v>309691</v>
      </c>
      <c r="F555" t="n">
        <v>51037</v>
      </c>
      <c r="G555" t="n">
        <v>436858</v>
      </c>
      <c r="H555">
        <f>E555-F555</f>
        <v/>
      </c>
      <c r="I555">
        <f>(E555-F555)/D555</f>
        <v/>
      </c>
    </row>
    <row r="556">
      <c r="A556" s="3" t="n">
        <v>44579</v>
      </c>
      <c r="B556" t="inlineStr">
        <is>
          <t>067651</t>
        </is>
      </c>
      <c r="C556" t="inlineStr">
        <is>
          <t>CRUDE OIL, LIGHT SWEET - NEW YORK MERCANTILE EXCHANGE</t>
        </is>
      </c>
      <c r="D556" t="n">
        <v>2059564</v>
      </c>
      <c r="E556" t="n">
        <v>324378</v>
      </c>
      <c r="F556" t="n">
        <v>44867</v>
      </c>
      <c r="G556" t="n">
        <v>461914</v>
      </c>
      <c r="H556">
        <f>E556-F556</f>
        <v/>
      </c>
      <c r="I556">
        <f>(E556-F556)/D556</f>
        <v/>
      </c>
    </row>
    <row r="557">
      <c r="A557" s="3" t="n">
        <v>44586</v>
      </c>
      <c r="B557" t="inlineStr">
        <is>
          <t>067651</t>
        </is>
      </c>
      <c r="C557" t="inlineStr">
        <is>
          <t>CRUDE OIL, LIGHT SWEET - NEW YORK MERCANTILE EXCHANGE</t>
        </is>
      </c>
      <c r="D557" t="n">
        <v>2095994</v>
      </c>
      <c r="E557" t="n">
        <v>308832</v>
      </c>
      <c r="F557" t="n">
        <v>44978</v>
      </c>
      <c r="G557" t="n">
        <v>527294</v>
      </c>
      <c r="H557">
        <f>E557-F557</f>
        <v/>
      </c>
      <c r="I557">
        <f>(E557-F557)/D557</f>
        <v/>
      </c>
    </row>
    <row r="558">
      <c r="A558" s="3" t="n">
        <v>44593</v>
      </c>
      <c r="B558" t="inlineStr">
        <is>
          <t>067651</t>
        </is>
      </c>
      <c r="C558" t="inlineStr">
        <is>
          <t>CRUDE OIL, LIGHT SWEET - NEW YORK MERCANTILE EXCHANGE</t>
        </is>
      </c>
      <c r="D558" t="n">
        <v>2093735</v>
      </c>
      <c r="E558" t="n">
        <v>312271</v>
      </c>
      <c r="F558" t="n">
        <v>43136</v>
      </c>
      <c r="G558" t="n">
        <v>558029</v>
      </c>
      <c r="H558">
        <f>E558-F558</f>
        <v/>
      </c>
      <c r="I558">
        <f>(E558-F558)/D558</f>
        <v/>
      </c>
    </row>
    <row r="559">
      <c r="A559" s="3" t="n">
        <v>44600</v>
      </c>
      <c r="B559" t="inlineStr">
        <is>
          <t>067651</t>
        </is>
      </c>
      <c r="C559" t="inlineStr">
        <is>
          <t>WTI-PHYSICAL - NEW YORK MERCANTILE EXCHANGE</t>
        </is>
      </c>
      <c r="D559" t="n">
        <v>2170681</v>
      </c>
      <c r="E559" t="n">
        <v>306282</v>
      </c>
      <c r="F559" t="n">
        <v>45638</v>
      </c>
      <c r="G559" t="n">
        <v>589264</v>
      </c>
      <c r="H559">
        <f>E559-F559</f>
        <v/>
      </c>
      <c r="I559">
        <f>(E559-F559)/D559</f>
        <v/>
      </c>
    </row>
    <row r="560">
      <c r="A560" s="3" t="n">
        <v>44607</v>
      </c>
      <c r="B560" t="inlineStr">
        <is>
          <t>067651</t>
        </is>
      </c>
      <c r="C560" t="inlineStr">
        <is>
          <t>WTI-PHYSICAL - NEW YORK MERCANTILE EXCHANGE</t>
        </is>
      </c>
      <c r="D560" t="n">
        <v>2122758</v>
      </c>
      <c r="E560" t="n">
        <v>291400</v>
      </c>
      <c r="F560" t="n">
        <v>37945</v>
      </c>
      <c r="G560" t="n">
        <v>561344</v>
      </c>
      <c r="H560">
        <f>E560-F560</f>
        <v/>
      </c>
      <c r="I560">
        <f>(E560-F560)/D560</f>
        <v/>
      </c>
    </row>
    <row r="561">
      <c r="A561" s="3" t="n">
        <v>44614</v>
      </c>
      <c r="B561" t="inlineStr">
        <is>
          <t>067651</t>
        </is>
      </c>
      <c r="C561" t="inlineStr">
        <is>
          <t>WTI-PHYSICAL - NEW YORK MERCANTILE EXCHANGE</t>
        </is>
      </c>
      <c r="D561" t="n">
        <v>2058132</v>
      </c>
      <c r="E561" t="n">
        <v>278790</v>
      </c>
      <c r="F561" t="n">
        <v>45553</v>
      </c>
      <c r="G561" t="n">
        <v>563719</v>
      </c>
      <c r="H561">
        <f>E561-F561</f>
        <v/>
      </c>
      <c r="I561">
        <f>(E561-F561)/D561</f>
        <v/>
      </c>
    </row>
    <row r="562">
      <c r="A562" s="3" t="n">
        <v>44621</v>
      </c>
      <c r="B562" t="inlineStr">
        <is>
          <t>067651</t>
        </is>
      </c>
      <c r="C562" t="inlineStr">
        <is>
          <t>WTI-PHYSICAL - NEW YORK MERCANTILE EXCHANGE</t>
        </is>
      </c>
      <c r="D562" t="n">
        <v>2028476</v>
      </c>
      <c r="E562" t="n">
        <v>287396</v>
      </c>
      <c r="F562" t="n">
        <v>43119</v>
      </c>
      <c r="G562" t="n">
        <v>507146</v>
      </c>
      <c r="H562">
        <f>E562-F562</f>
        <v/>
      </c>
      <c r="I562">
        <f>(E562-F562)/D562</f>
        <v/>
      </c>
    </row>
    <row r="563">
      <c r="A563" s="3" t="n">
        <v>44628</v>
      </c>
      <c r="B563" t="inlineStr">
        <is>
          <t>067651</t>
        </is>
      </c>
      <c r="C563" t="inlineStr">
        <is>
          <t>WTI-PHYSICAL - NEW YORK MERCANTILE EXCHANGE</t>
        </is>
      </c>
      <c r="D563" t="n">
        <v>1896974</v>
      </c>
      <c r="E563" t="n">
        <v>276775</v>
      </c>
      <c r="F563" t="n">
        <v>41938</v>
      </c>
      <c r="G563" t="n">
        <v>432474</v>
      </c>
      <c r="H563">
        <f>E563-F563</f>
        <v/>
      </c>
      <c r="I563">
        <f>(E563-F563)/D563</f>
        <v/>
      </c>
    </row>
    <row r="564">
      <c r="A564" s="3" t="n">
        <v>44635</v>
      </c>
      <c r="B564" t="inlineStr">
        <is>
          <t>067651</t>
        </is>
      </c>
      <c r="C564" t="inlineStr">
        <is>
          <t>WTI-PHYSICAL - NEW YORK MERCANTILE EXCHANGE</t>
        </is>
      </c>
      <c r="D564" t="n">
        <v>1850794</v>
      </c>
      <c r="E564" t="n">
        <v>266577</v>
      </c>
      <c r="F564" t="n">
        <v>42926</v>
      </c>
      <c r="G564" t="n">
        <v>410064</v>
      </c>
      <c r="H564">
        <f>E564-F564</f>
        <v/>
      </c>
      <c r="I564">
        <f>(E564-F564)/D564</f>
        <v/>
      </c>
    </row>
    <row r="565">
      <c r="A565" s="3" t="n">
        <v>44642</v>
      </c>
      <c r="B565" t="inlineStr">
        <is>
          <t>067651</t>
        </is>
      </c>
      <c r="C565" t="inlineStr">
        <is>
          <t>WTI-PHYSICAL - NEW YORK MERCANTILE EXCHANGE</t>
        </is>
      </c>
      <c r="D565" t="n">
        <v>1788211</v>
      </c>
      <c r="E565" t="n">
        <v>261939</v>
      </c>
      <c r="F565" t="n">
        <v>45315</v>
      </c>
      <c r="G565" t="n">
        <v>406042</v>
      </c>
      <c r="H565">
        <f>E565-F565</f>
        <v/>
      </c>
      <c r="I565">
        <f>(E565-F565)/D565</f>
        <v/>
      </c>
    </row>
    <row r="566">
      <c r="A566" s="3" t="n">
        <v>44649</v>
      </c>
      <c r="B566" t="inlineStr">
        <is>
          <t>067651</t>
        </is>
      </c>
      <c r="C566" t="inlineStr">
        <is>
          <t>WTI-PHYSICAL - NEW YORK MERCANTILE EXCHANGE</t>
        </is>
      </c>
      <c r="D566" t="n">
        <v>1795929</v>
      </c>
      <c r="E566" t="n">
        <v>256790</v>
      </c>
      <c r="F566" t="n">
        <v>44756</v>
      </c>
      <c r="G566" t="n">
        <v>412093</v>
      </c>
      <c r="H566">
        <f>E566-F566</f>
        <v/>
      </c>
      <c r="I566">
        <f>(E566-F566)/D566</f>
        <v/>
      </c>
    </row>
    <row r="567">
      <c r="A567" s="3" t="n">
        <v>44656</v>
      </c>
      <c r="B567" t="inlineStr">
        <is>
          <t>067651</t>
        </is>
      </c>
      <c r="C567" t="inlineStr">
        <is>
          <t>WTI-PHYSICAL - NEW YORK MERCANTILE EXCHANGE</t>
        </is>
      </c>
      <c r="D567" t="n">
        <v>1823366</v>
      </c>
      <c r="E567" t="n">
        <v>250332</v>
      </c>
      <c r="F567" t="n">
        <v>44737</v>
      </c>
      <c r="G567" t="n">
        <v>414591</v>
      </c>
      <c r="H567">
        <f>E567-F567</f>
        <v/>
      </c>
      <c r="I567">
        <f>(E567-F567)/D567</f>
        <v/>
      </c>
    </row>
    <row r="568">
      <c r="A568" s="3" t="n">
        <v>44663</v>
      </c>
      <c r="B568" t="inlineStr">
        <is>
          <t>067651</t>
        </is>
      </c>
      <c r="C568" t="inlineStr">
        <is>
          <t>WTI-PHYSICAL - NEW YORK MERCANTILE EXCHANGE</t>
        </is>
      </c>
      <c r="D568" t="n">
        <v>1783725</v>
      </c>
      <c r="E568" t="n">
        <v>255201</v>
      </c>
      <c r="F568" t="n">
        <v>47884</v>
      </c>
      <c r="G568" t="n">
        <v>383839</v>
      </c>
      <c r="H568">
        <f>E568-F568</f>
        <v/>
      </c>
      <c r="I568">
        <f>(E568-F568)/D568</f>
        <v/>
      </c>
    </row>
    <row r="569">
      <c r="A569" s="3" t="n">
        <v>44670</v>
      </c>
      <c r="B569" t="inlineStr">
        <is>
          <t>067651</t>
        </is>
      </c>
      <c r="C569" t="inlineStr">
        <is>
          <t>WTI-PHYSICAL - NEW YORK MERCANTILE EXCHANGE</t>
        </is>
      </c>
      <c r="D569" t="n">
        <v>1740300</v>
      </c>
      <c r="E569" t="n">
        <v>254661</v>
      </c>
      <c r="F569" t="n">
        <v>47877</v>
      </c>
      <c r="G569" t="n">
        <v>376030</v>
      </c>
      <c r="H569">
        <f>E569-F569</f>
        <v/>
      </c>
      <c r="I569">
        <f>(E569-F569)/D569</f>
        <v/>
      </c>
    </row>
    <row r="570">
      <c r="A570" s="3" t="n">
        <v>44677</v>
      </c>
      <c r="B570" t="inlineStr">
        <is>
          <t>067651</t>
        </is>
      </c>
      <c r="C570" t="inlineStr">
        <is>
          <t>WTI-PHYSICAL - NEW YORK MERCANTILE EXCHANGE</t>
        </is>
      </c>
      <c r="D570" t="n">
        <v>1733586</v>
      </c>
      <c r="E570" t="n">
        <v>258898</v>
      </c>
      <c r="F570" t="n">
        <v>37947</v>
      </c>
      <c r="G570" t="n">
        <v>387603</v>
      </c>
      <c r="H570">
        <f>E570-F570</f>
        <v/>
      </c>
      <c r="I570">
        <f>(E570-F570)/D570</f>
        <v/>
      </c>
    </row>
    <row r="571">
      <c r="A571" s="3" t="n">
        <v>44684</v>
      </c>
      <c r="B571" t="inlineStr">
        <is>
          <t>067651</t>
        </is>
      </c>
      <c r="C571" t="inlineStr">
        <is>
          <t>WTI-PHYSICAL - NEW YORK MERCANTILE EXCHANGE</t>
        </is>
      </c>
      <c r="D571" t="n">
        <v>1751564</v>
      </c>
      <c r="E571" t="n">
        <v>261383</v>
      </c>
      <c r="F571" t="n">
        <v>36857</v>
      </c>
      <c r="G571" t="n">
        <v>413044</v>
      </c>
      <c r="H571">
        <f>E571-F571</f>
        <v/>
      </c>
      <c r="I571">
        <f>(E571-F571)/D571</f>
        <v/>
      </c>
    </row>
    <row r="572">
      <c r="A572" s="3" t="n">
        <v>44691</v>
      </c>
      <c r="B572" t="inlineStr">
        <is>
          <t>067651</t>
        </is>
      </c>
      <c r="C572" t="inlineStr">
        <is>
          <t>WTI-PHYSICAL - NEW YORK MERCANTILE EXCHANGE</t>
        </is>
      </c>
      <c r="D572" t="n">
        <v>1736594</v>
      </c>
      <c r="E572" t="n">
        <v>262116</v>
      </c>
      <c r="F572" t="n">
        <v>40015</v>
      </c>
      <c r="G572" t="n">
        <v>404406</v>
      </c>
      <c r="H572">
        <f>E572-F572</f>
        <v/>
      </c>
      <c r="I572">
        <f>(E572-F572)/D572</f>
        <v/>
      </c>
    </row>
    <row r="573">
      <c r="A573" s="3" t="n">
        <v>44698</v>
      </c>
      <c r="B573" t="inlineStr">
        <is>
          <t>067651</t>
        </is>
      </c>
      <c r="C573" t="inlineStr">
        <is>
          <t>WTI-PHYSICAL - NEW YORK MERCANTILE EXCHANGE</t>
        </is>
      </c>
      <c r="D573" t="n">
        <v>1730665</v>
      </c>
      <c r="E573" t="n">
        <v>291322</v>
      </c>
      <c r="F573" t="n">
        <v>27474</v>
      </c>
      <c r="G573" t="n">
        <v>402326</v>
      </c>
      <c r="H573">
        <f>E573-F573</f>
        <v/>
      </c>
      <c r="I573">
        <f>(E573-F573)/D573</f>
        <v/>
      </c>
    </row>
    <row r="574">
      <c r="A574" s="3" t="n">
        <v>44705</v>
      </c>
      <c r="B574" t="inlineStr">
        <is>
          <t>067651</t>
        </is>
      </c>
      <c r="C574" t="inlineStr">
        <is>
          <t>WTI-PHYSICAL - NEW YORK MERCANTILE EXCHANGE</t>
        </is>
      </c>
      <c r="D574" t="n">
        <v>1711863</v>
      </c>
      <c r="E574" t="n">
        <v>287463</v>
      </c>
      <c r="F574" t="n">
        <v>29804</v>
      </c>
      <c r="G574" t="n">
        <v>409667</v>
      </c>
      <c r="H574">
        <f>E574-F574</f>
        <v/>
      </c>
      <c r="I574">
        <f>(E574-F574)/D574</f>
        <v/>
      </c>
    </row>
    <row r="575">
      <c r="A575" s="3" t="n">
        <v>44712</v>
      </c>
      <c r="B575" t="inlineStr">
        <is>
          <t>067651</t>
        </is>
      </c>
      <c r="C575" t="inlineStr">
        <is>
          <t>WTI-PHYSICAL - NEW YORK MERCANTILE EXCHANGE</t>
        </is>
      </c>
      <c r="D575" t="n">
        <v>1787928</v>
      </c>
      <c r="E575" t="n">
        <v>291899</v>
      </c>
      <c r="F575" t="n">
        <v>26192</v>
      </c>
      <c r="G575" t="n">
        <v>428649</v>
      </c>
      <c r="H575">
        <f>E575-F575</f>
        <v/>
      </c>
      <c r="I575">
        <f>(E575-F575)/D575</f>
        <v/>
      </c>
    </row>
    <row r="576">
      <c r="A576" s="3" t="n">
        <v>44719</v>
      </c>
      <c r="B576" t="inlineStr">
        <is>
          <t>067651</t>
        </is>
      </c>
      <c r="C576" t="inlineStr">
        <is>
          <t>WTI-PHYSICAL - NEW YORK MERCANTILE EXCHANGE</t>
        </is>
      </c>
      <c r="D576" t="n">
        <v>1790618</v>
      </c>
      <c r="E576" t="n">
        <v>290174</v>
      </c>
      <c r="F576" t="n">
        <v>26693</v>
      </c>
      <c r="G576" t="n">
        <v>432315</v>
      </c>
      <c r="H576">
        <f>E576-F576</f>
        <v/>
      </c>
      <c r="I576">
        <f>(E576-F576)/D576</f>
        <v/>
      </c>
    </row>
    <row r="577">
      <c r="A577" s="3" t="n">
        <v>44726</v>
      </c>
      <c r="B577" t="inlineStr">
        <is>
          <t>067651</t>
        </is>
      </c>
      <c r="C577" t="inlineStr">
        <is>
          <t>WTI-PHYSICAL - NEW YORK MERCANTILE EXCHANGE</t>
        </is>
      </c>
      <c r="D577" t="n">
        <v>1715674</v>
      </c>
      <c r="E577" t="n">
        <v>282212</v>
      </c>
      <c r="F577" t="n">
        <v>32372</v>
      </c>
      <c r="G577" t="n">
        <v>403080</v>
      </c>
      <c r="H577">
        <f>E577-F577</f>
        <v/>
      </c>
      <c r="I577">
        <f>(E577-F577)/D577</f>
        <v/>
      </c>
    </row>
    <row r="578">
      <c r="A578" s="3" t="n">
        <v>44733</v>
      </c>
      <c r="B578" t="inlineStr">
        <is>
          <t>067651</t>
        </is>
      </c>
      <c r="C578" t="inlineStr">
        <is>
          <t>WTI-PHYSICAL - NEW YORK MERCANTILE EXCHANGE</t>
        </is>
      </c>
      <c r="D578" t="n">
        <v>1658636</v>
      </c>
      <c r="E578" t="n">
        <v>254988</v>
      </c>
      <c r="F578" t="n">
        <v>38635</v>
      </c>
      <c r="G578" t="n">
        <v>387774</v>
      </c>
      <c r="H578">
        <f>E578-F578</f>
        <v/>
      </c>
      <c r="I578">
        <f>(E578-F578)/D578</f>
        <v/>
      </c>
    </row>
    <row r="579">
      <c r="A579" s="3" t="n">
        <v>44740</v>
      </c>
      <c r="B579" t="inlineStr">
        <is>
          <t>067651</t>
        </is>
      </c>
      <c r="C579" t="inlineStr">
        <is>
          <t>WTI-PHYSICAL - NEW YORK MERCANTILE EXCHANGE</t>
        </is>
      </c>
      <c r="D579" t="n">
        <v>1651566</v>
      </c>
      <c r="E579" t="n">
        <v>261002</v>
      </c>
      <c r="F579" t="n">
        <v>35253</v>
      </c>
      <c r="G579" t="n">
        <v>380248</v>
      </c>
      <c r="H579">
        <f>E579-F579</f>
        <v/>
      </c>
      <c r="I579">
        <f>(E579-F579)/D579</f>
        <v/>
      </c>
    </row>
    <row r="580">
      <c r="A580" s="3" t="n">
        <v>44747</v>
      </c>
      <c r="B580" t="inlineStr">
        <is>
          <t>067651</t>
        </is>
      </c>
      <c r="C580" t="inlineStr">
        <is>
          <t>WTI-PHYSICAL - NEW YORK MERCANTILE EXCHANGE</t>
        </is>
      </c>
      <c r="D580" t="n">
        <v>1637862</v>
      </c>
      <c r="E580" t="n">
        <v>245861</v>
      </c>
      <c r="F580" t="n">
        <v>54159</v>
      </c>
      <c r="G580" t="n">
        <v>361006</v>
      </c>
      <c r="H580">
        <f>E580-F580</f>
        <v/>
      </c>
      <c r="I580">
        <f>(E580-F580)/D580</f>
        <v/>
      </c>
    </row>
    <row r="581">
      <c r="A581" s="3" t="n">
        <v>44754</v>
      </c>
      <c r="B581" t="inlineStr">
        <is>
          <t>067651</t>
        </is>
      </c>
      <c r="C581" t="inlineStr">
        <is>
          <t>WTI-PHYSICAL - NEW YORK MERCANTILE EXCHANGE</t>
        </is>
      </c>
      <c r="D581" t="n">
        <v>1612803</v>
      </c>
      <c r="E581" t="n">
        <v>244944</v>
      </c>
      <c r="F581" t="n">
        <v>44449</v>
      </c>
      <c r="G581" t="n">
        <v>364918</v>
      </c>
      <c r="H581">
        <f>E581-F581</f>
        <v/>
      </c>
      <c r="I581">
        <f>(E581-F581)/D581</f>
        <v/>
      </c>
    </row>
    <row r="582">
      <c r="A582" s="3" t="n">
        <v>44761</v>
      </c>
      <c r="B582" t="inlineStr">
        <is>
          <t>067651</t>
        </is>
      </c>
      <c r="C582" t="inlineStr">
        <is>
          <t>WTI-PHYSICAL - NEW YORK MERCANTILE EXCHANGE</t>
        </is>
      </c>
      <c r="D582" t="n">
        <v>1577616</v>
      </c>
      <c r="E582" t="n">
        <v>253328</v>
      </c>
      <c r="F582" t="n">
        <v>41916</v>
      </c>
      <c r="G582" t="n">
        <v>355828</v>
      </c>
      <c r="H582">
        <f>E582-F582</f>
        <v/>
      </c>
      <c r="I582">
        <f>(E582-F582)/D582</f>
        <v/>
      </c>
    </row>
    <row r="583">
      <c r="A583" s="3" t="n">
        <v>44768</v>
      </c>
      <c r="B583" t="inlineStr">
        <is>
          <t>067651</t>
        </is>
      </c>
      <c r="C583" t="inlineStr">
        <is>
          <t>WTI-PHYSICAL - NEW YORK MERCANTILE EXCHANGE</t>
        </is>
      </c>
      <c r="D583" t="n">
        <v>1597451</v>
      </c>
      <c r="E583" t="n">
        <v>243710</v>
      </c>
      <c r="F583" t="n">
        <v>43534</v>
      </c>
      <c r="G583" t="n">
        <v>361306</v>
      </c>
      <c r="H583">
        <f>E583-F583</f>
        <v/>
      </c>
      <c r="I583">
        <f>(E583-F583)/D583</f>
        <v/>
      </c>
    </row>
    <row r="584">
      <c r="A584" s="3" t="n">
        <v>44775</v>
      </c>
      <c r="B584" t="inlineStr">
        <is>
          <t>067651</t>
        </is>
      </c>
      <c r="C584" t="inlineStr">
        <is>
          <t>WTI-PHYSICAL - NEW YORK MERCANTILE EXCHANGE</t>
        </is>
      </c>
      <c r="D584" t="n">
        <v>1606910</v>
      </c>
      <c r="E584" t="n">
        <v>224177</v>
      </c>
      <c r="F584" t="n">
        <v>45634</v>
      </c>
      <c r="G584" t="n">
        <v>366706</v>
      </c>
      <c r="H584">
        <f>E584-F584</f>
        <v/>
      </c>
      <c r="I584">
        <f>(E584-F584)/D584</f>
        <v/>
      </c>
    </row>
    <row r="585">
      <c r="A585" s="3" t="n">
        <v>44782</v>
      </c>
      <c r="B585" t="inlineStr">
        <is>
          <t>067651</t>
        </is>
      </c>
      <c r="C585" t="inlineStr">
        <is>
          <t>WTI-PHYSICAL - NEW YORK MERCANTILE EXCHANGE</t>
        </is>
      </c>
      <c r="D585" t="n">
        <v>1570131</v>
      </c>
      <c r="E585" t="n">
        <v>207962</v>
      </c>
      <c r="F585" t="n">
        <v>58045</v>
      </c>
      <c r="G585" t="n">
        <v>350528</v>
      </c>
      <c r="H585">
        <f>E585-F585</f>
        <v/>
      </c>
      <c r="I585">
        <f>(E585-F585)/D585</f>
        <v/>
      </c>
    </row>
    <row r="586">
      <c r="A586" s="3" t="n">
        <v>44789</v>
      </c>
      <c r="B586" t="inlineStr">
        <is>
          <t>067651</t>
        </is>
      </c>
      <c r="C586" t="inlineStr">
        <is>
          <t>WTI-PHYSICAL - NEW YORK MERCANTILE EXCHANGE</t>
        </is>
      </c>
      <c r="D586" t="n">
        <v>1557349</v>
      </c>
      <c r="E586" t="n">
        <v>203553</v>
      </c>
      <c r="F586" t="n">
        <v>68235</v>
      </c>
      <c r="G586" t="n">
        <v>331571</v>
      </c>
      <c r="H586">
        <f>E586-F586</f>
        <v/>
      </c>
      <c r="I586">
        <f>(E586-F586)/D586</f>
        <v/>
      </c>
    </row>
    <row r="587">
      <c r="A587" s="3" t="n">
        <v>44796</v>
      </c>
      <c r="B587" t="inlineStr">
        <is>
          <t>067651</t>
        </is>
      </c>
      <c r="C587" t="inlineStr">
        <is>
          <t>WTI-PHYSICAL - NEW YORK MERCANTILE EXCHANGE</t>
        </is>
      </c>
      <c r="D587" t="n">
        <v>1503506</v>
      </c>
      <c r="E587" t="n">
        <v>203267</v>
      </c>
      <c r="F587" t="n">
        <v>42940</v>
      </c>
      <c r="G587" t="n">
        <v>333621</v>
      </c>
      <c r="H587">
        <f>E587-F587</f>
        <v/>
      </c>
      <c r="I587">
        <f>(E587-F587)/D587</f>
        <v/>
      </c>
    </row>
    <row r="588">
      <c r="A588" s="3" t="n">
        <v>44803</v>
      </c>
      <c r="B588" t="inlineStr">
        <is>
          <t>067651</t>
        </is>
      </c>
      <c r="C588" t="inlineStr">
        <is>
          <t>WTI-PHYSICAL - NEW YORK MERCANTILE EXCHANGE</t>
        </is>
      </c>
      <c r="D588" t="n">
        <v>1470207</v>
      </c>
      <c r="E588" t="n">
        <v>200782</v>
      </c>
      <c r="F588" t="n">
        <v>53127</v>
      </c>
      <c r="G588" t="n">
        <v>309448</v>
      </c>
      <c r="H588">
        <f>E588-F588</f>
        <v/>
      </c>
      <c r="I588">
        <f>(E588-F588)/D588</f>
        <v/>
      </c>
    </row>
    <row r="589">
      <c r="A589" s="3" t="n">
        <v>44810</v>
      </c>
      <c r="B589" t="inlineStr">
        <is>
          <t>067651</t>
        </is>
      </c>
      <c r="C589" t="inlineStr">
        <is>
          <t>WTI-PHYSICAL - NEW YORK MERCANTILE EXCHANGE</t>
        </is>
      </c>
      <c r="D589" t="n">
        <v>1480320</v>
      </c>
      <c r="E589" t="n">
        <v>198513</v>
      </c>
      <c r="F589" t="n">
        <v>53303</v>
      </c>
      <c r="G589" t="n">
        <v>308817</v>
      </c>
      <c r="H589">
        <f>E589-F589</f>
        <v/>
      </c>
      <c r="I589">
        <f>(E589-F589)/D589</f>
        <v/>
      </c>
    </row>
    <row r="590">
      <c r="A590" s="3" t="n">
        <v>44817</v>
      </c>
      <c r="B590" t="inlineStr">
        <is>
          <t>067651</t>
        </is>
      </c>
      <c r="C590" t="inlineStr">
        <is>
          <t>WTI-PHYSICAL - NEW YORK MERCANTILE EXCHANGE</t>
        </is>
      </c>
      <c r="D590" t="n">
        <v>1498059</v>
      </c>
      <c r="E590" t="n">
        <v>202300</v>
      </c>
      <c r="F590" t="n">
        <v>43952</v>
      </c>
      <c r="G590" t="n">
        <v>306356</v>
      </c>
      <c r="H590">
        <f>E590-F590</f>
        <v/>
      </c>
      <c r="I590">
        <f>(E590-F590)/D590</f>
        <v/>
      </c>
    </row>
    <row r="591">
      <c r="A591" s="3" t="n">
        <v>44824</v>
      </c>
      <c r="B591" t="inlineStr">
        <is>
          <t>067651</t>
        </is>
      </c>
      <c r="C591" t="inlineStr">
        <is>
          <t>WTI-PHYSICAL - NEW YORK MERCANTILE EXCHANGE</t>
        </is>
      </c>
      <c r="D591" t="n">
        <v>1481545</v>
      </c>
      <c r="E591" t="n">
        <v>206193</v>
      </c>
      <c r="F591" t="n">
        <v>41165</v>
      </c>
      <c r="G591" t="n">
        <v>313259</v>
      </c>
      <c r="H591">
        <f>E591-F591</f>
        <v/>
      </c>
      <c r="I591">
        <f>(E591-F591)/D591</f>
        <v/>
      </c>
    </row>
    <row r="592">
      <c r="A592" s="3" t="n">
        <v>44831</v>
      </c>
      <c r="B592" t="inlineStr">
        <is>
          <t>067651</t>
        </is>
      </c>
      <c r="C592" t="inlineStr">
        <is>
          <t>WTI-PHYSICAL - NEW YORK MERCANTILE EXCHANGE</t>
        </is>
      </c>
      <c r="D592" t="n">
        <v>1504991</v>
      </c>
      <c r="E592" t="n">
        <v>190822</v>
      </c>
      <c r="F592" t="n">
        <v>51655</v>
      </c>
      <c r="G592" t="n">
        <v>320755</v>
      </c>
      <c r="H592">
        <f>E592-F592</f>
        <v/>
      </c>
      <c r="I592">
        <f>(E592-F592)/D592</f>
        <v/>
      </c>
    </row>
    <row r="593">
      <c r="A593" s="3" t="n">
        <v>44838</v>
      </c>
      <c r="B593" t="inlineStr">
        <is>
          <t>067651</t>
        </is>
      </c>
      <c r="C593" t="inlineStr">
        <is>
          <t>WTI-PHYSICAL - NEW YORK MERCANTILE EXCHANGE</t>
        </is>
      </c>
      <c r="D593" t="n">
        <v>1495538</v>
      </c>
      <c r="E593" t="n">
        <v>195247</v>
      </c>
      <c r="F593" t="n">
        <v>36371</v>
      </c>
      <c r="G593" t="n">
        <v>322140</v>
      </c>
      <c r="H593">
        <f>E593-F593</f>
        <v/>
      </c>
      <c r="I593">
        <f>(E593-F593)/D593</f>
        <v/>
      </c>
    </row>
    <row r="594">
      <c r="A594" s="3" t="n">
        <v>44845</v>
      </c>
      <c r="B594" t="inlineStr">
        <is>
          <t>067651</t>
        </is>
      </c>
      <c r="C594" t="inlineStr">
        <is>
          <t>WTI-PHYSICAL - NEW YORK MERCANTILE EXCHANGE</t>
        </is>
      </c>
      <c r="D594" t="n">
        <v>1499498</v>
      </c>
      <c r="E594" t="n">
        <v>210330</v>
      </c>
      <c r="F594" t="n">
        <v>32841</v>
      </c>
      <c r="G594" t="n">
        <v>315347</v>
      </c>
      <c r="H594">
        <f>E594-F594</f>
        <v/>
      </c>
      <c r="I594">
        <f>(E594-F594)/D594</f>
        <v/>
      </c>
    </row>
    <row r="595">
      <c r="A595" s="3" t="n">
        <v>44852</v>
      </c>
      <c r="B595" t="inlineStr">
        <is>
          <t>067651</t>
        </is>
      </c>
      <c r="C595" t="inlineStr">
        <is>
          <t>WTI-PHYSICAL - NEW YORK MERCANTILE EXCHANGE</t>
        </is>
      </c>
      <c r="D595" t="n">
        <v>1454431</v>
      </c>
      <c r="E595" t="n">
        <v>195314</v>
      </c>
      <c r="F595" t="n">
        <v>47335</v>
      </c>
      <c r="G595" t="n">
        <v>306897</v>
      </c>
      <c r="H595">
        <f>E595-F595</f>
        <v/>
      </c>
      <c r="I595">
        <f>(E595-F595)/D595</f>
        <v/>
      </c>
    </row>
    <row r="596">
      <c r="A596" s="3" t="n">
        <v>44859</v>
      </c>
      <c r="B596" t="inlineStr">
        <is>
          <t>067651</t>
        </is>
      </c>
      <c r="C596" t="inlineStr">
        <is>
          <t>WTI-PHYSICAL - NEW YORK MERCANTILE EXCHANGE</t>
        </is>
      </c>
      <c r="D596" t="n">
        <v>1436942</v>
      </c>
      <c r="E596" t="n">
        <v>197343</v>
      </c>
      <c r="F596" t="n">
        <v>43660</v>
      </c>
      <c r="G596" t="n">
        <v>301891</v>
      </c>
      <c r="H596">
        <f>E596-F596</f>
        <v/>
      </c>
      <c r="I596">
        <f>(E596-F596)/D596</f>
        <v/>
      </c>
    </row>
    <row r="597">
      <c r="A597" s="3" t="n">
        <v>44866</v>
      </c>
      <c r="B597" t="inlineStr">
        <is>
          <t>067651</t>
        </is>
      </c>
      <c r="C597" t="inlineStr">
        <is>
          <t>WTI-PHYSICAL - NEW YORK MERCANTILE EXCHANGE</t>
        </is>
      </c>
      <c r="D597" t="n">
        <v>1459052</v>
      </c>
      <c r="E597" t="n">
        <v>212424</v>
      </c>
      <c r="F597" t="n">
        <v>43011</v>
      </c>
      <c r="G597" t="n">
        <v>290806</v>
      </c>
      <c r="H597">
        <f>E597-F597</f>
        <v/>
      </c>
      <c r="I597">
        <f>(E597-F597)/D597</f>
        <v/>
      </c>
    </row>
    <row r="598">
      <c r="A598" s="3" t="n">
        <v>44873</v>
      </c>
      <c r="B598" t="inlineStr">
        <is>
          <t>067651</t>
        </is>
      </c>
      <c r="C598" t="inlineStr">
        <is>
          <t>WTI-PHYSICAL - NEW YORK MERCANTILE EXCHANGE</t>
        </is>
      </c>
      <c r="D598" t="n">
        <v>1446658</v>
      </c>
      <c r="E598" t="n">
        <v>229598</v>
      </c>
      <c r="F598" t="n">
        <v>43942</v>
      </c>
      <c r="G598" t="n">
        <v>279799</v>
      </c>
      <c r="H598">
        <f>E598-F598</f>
        <v/>
      </c>
      <c r="I598">
        <f>(E598-F598)/D598</f>
        <v/>
      </c>
    </row>
    <row r="599">
      <c r="A599" s="3" t="n">
        <v>44880</v>
      </c>
      <c r="B599" t="inlineStr">
        <is>
          <t>067651</t>
        </is>
      </c>
      <c r="C599" t="inlineStr">
        <is>
          <t>WTI-PHYSICAL - NEW YORK MERCANTILE EXCHANGE</t>
        </is>
      </c>
      <c r="D599" t="n">
        <v>1469437</v>
      </c>
      <c r="E599" t="n">
        <v>212532</v>
      </c>
      <c r="F599" t="n">
        <v>46241</v>
      </c>
      <c r="G599" t="n">
        <v>295161</v>
      </c>
      <c r="H599">
        <f>E599-F599</f>
        <v/>
      </c>
      <c r="I599">
        <f>(E599-F599)/D599</f>
        <v/>
      </c>
    </row>
    <row r="600">
      <c r="A600" s="3" t="n">
        <v>44887</v>
      </c>
      <c r="B600" t="inlineStr">
        <is>
          <t>067651</t>
        </is>
      </c>
      <c r="C600" t="inlineStr">
        <is>
          <t>WTI-PHYSICAL - NEW YORK MERCANTILE EXCHANGE</t>
        </is>
      </c>
      <c r="D600" t="n">
        <v>1405565</v>
      </c>
      <c r="E600" t="n">
        <v>196423</v>
      </c>
      <c r="F600" t="n">
        <v>49260</v>
      </c>
      <c r="G600" t="n">
        <v>322821</v>
      </c>
      <c r="H600">
        <f>E600-F600</f>
        <v/>
      </c>
      <c r="I600">
        <f>(E600-F600)/D600</f>
        <v/>
      </c>
    </row>
    <row r="601">
      <c r="A601" s="3" t="n">
        <v>44894</v>
      </c>
      <c r="B601" t="inlineStr">
        <is>
          <t>067651</t>
        </is>
      </c>
      <c r="C601" t="inlineStr">
        <is>
          <t>WTI-PHYSICAL - NEW YORK MERCANTILE EXCHANGE</t>
        </is>
      </c>
      <c r="D601" t="n">
        <v>1412121</v>
      </c>
      <c r="E601" t="n">
        <v>186206</v>
      </c>
      <c r="F601" t="n">
        <v>46409</v>
      </c>
      <c r="G601" t="n">
        <v>327906</v>
      </c>
      <c r="H601">
        <f>E601-F601</f>
        <v/>
      </c>
      <c r="I601">
        <f>(E601-F601)/D601</f>
        <v/>
      </c>
    </row>
    <row r="602">
      <c r="A602" s="3" t="n">
        <v>44901</v>
      </c>
      <c r="B602" t="inlineStr">
        <is>
          <t>067651</t>
        </is>
      </c>
      <c r="C602" t="inlineStr">
        <is>
          <t>WTI-PHYSICAL - NEW YORK MERCANTILE EXCHANGE</t>
        </is>
      </c>
      <c r="D602" t="n">
        <v>1436728</v>
      </c>
      <c r="E602" t="n">
        <v>208273</v>
      </c>
      <c r="F602" t="n">
        <v>64192</v>
      </c>
      <c r="G602" t="n">
        <v>318820</v>
      </c>
      <c r="H602">
        <f>E602-F602</f>
        <v/>
      </c>
      <c r="I602">
        <f>(E602-F602)/D602</f>
        <v/>
      </c>
    </row>
    <row r="603">
      <c r="A603" s="3" t="n">
        <v>44908</v>
      </c>
      <c r="B603" t="inlineStr">
        <is>
          <t>067651</t>
        </is>
      </c>
      <c r="C603" t="inlineStr">
        <is>
          <t>WTI-PHYSICAL - NEW YORK MERCANTILE EXCHANGE</t>
        </is>
      </c>
      <c r="D603" t="n">
        <v>1450482</v>
      </c>
      <c r="E603" t="n">
        <v>209842</v>
      </c>
      <c r="F603" t="n">
        <v>65359</v>
      </c>
      <c r="G603" t="n">
        <v>333412</v>
      </c>
      <c r="H603">
        <f>E603-F603</f>
        <v/>
      </c>
      <c r="I603">
        <f>(E603-F603)/D603</f>
        <v/>
      </c>
    </row>
    <row r="604">
      <c r="A604" s="3" t="n">
        <v>44915</v>
      </c>
      <c r="B604" t="inlineStr">
        <is>
          <t>067651</t>
        </is>
      </c>
      <c r="C604" t="inlineStr">
        <is>
          <t>WTI-PHYSICAL - NEW YORK MERCANTILE EXCHANGE</t>
        </is>
      </c>
      <c r="D604" t="n">
        <v>1395622</v>
      </c>
      <c r="E604" t="n">
        <v>213065</v>
      </c>
      <c r="F604" t="n">
        <v>50393</v>
      </c>
      <c r="G604" t="n">
        <v>324628</v>
      </c>
      <c r="H604">
        <f>E604-F604</f>
        <v/>
      </c>
      <c r="I604">
        <f>(E604-F604)/D604</f>
        <v/>
      </c>
    </row>
    <row r="605">
      <c r="A605" s="3" t="n">
        <v>44922</v>
      </c>
      <c r="B605" t="inlineStr">
        <is>
          <t>067651</t>
        </is>
      </c>
      <c r="C605" t="inlineStr">
        <is>
          <t>WTI-PHYSICAL - NEW YORK MERCANTILE EXCHANGE</t>
        </is>
      </c>
      <c r="D605" t="n">
        <v>1413545</v>
      </c>
      <c r="E605" t="n">
        <v>212511</v>
      </c>
      <c r="F605" t="n">
        <v>43509</v>
      </c>
      <c r="G605" t="n">
        <v>338698</v>
      </c>
      <c r="H605">
        <f>E605-F605</f>
        <v/>
      </c>
      <c r="I605">
        <f>(E605-F605)/D605</f>
        <v/>
      </c>
    </row>
    <row r="606">
      <c r="A606" s="3" t="n">
        <v>46028</v>
      </c>
      <c r="B606" t="inlineStr">
        <is>
          <t>067651</t>
        </is>
      </c>
      <c r="C606" t="inlineStr">
        <is>
          <t>WTI-PHYSICAL - NEW YORK MERCANTILE EXCHANGE</t>
        </is>
      </c>
      <c r="D606" t="n">
        <v>1968879</v>
      </c>
      <c r="E606" t="n">
        <v>148771</v>
      </c>
      <c r="F606" t="n">
        <v>124243</v>
      </c>
      <c r="G606" t="n">
        <v>411573</v>
      </c>
      <c r="H606">
        <f>E606-F606</f>
        <v/>
      </c>
      <c r="I606">
        <f>(E606-F606)/D606</f>
        <v/>
      </c>
    </row>
    <row r="607">
      <c r="A607" s="3" t="n">
        <v>46035</v>
      </c>
      <c r="B607" t="inlineStr">
        <is>
          <t>067651</t>
        </is>
      </c>
      <c r="C607" t="inlineStr">
        <is>
          <t>WTI-PHYSICAL - NEW YORK MERCANTILE EXCHANGE</t>
        </is>
      </c>
      <c r="D607" t="n">
        <v>2018789</v>
      </c>
      <c r="E607" t="n">
        <v>174209</v>
      </c>
      <c r="F607" t="n">
        <v>126639</v>
      </c>
      <c r="G607" t="n">
        <v>402347</v>
      </c>
      <c r="H607">
        <f>E607-F607</f>
        <v/>
      </c>
      <c r="I607">
        <f>(E607-F607)/D607</f>
        <v/>
      </c>
    </row>
    <row r="608">
      <c r="A608" s="3" t="n">
        <v>46042</v>
      </c>
      <c r="B608" t="inlineStr">
        <is>
          <t>067651</t>
        </is>
      </c>
      <c r="C608" t="inlineStr">
        <is>
          <t>WTI-PHYSICAL - NEW YORK MERCANTILE EXCHANGE</t>
        </is>
      </c>
      <c r="D608" t="n">
        <v>1964359</v>
      </c>
      <c r="E608" t="n">
        <v>169655</v>
      </c>
      <c r="F608" t="n">
        <v>122155</v>
      </c>
      <c r="G608" t="n">
        <v>399525</v>
      </c>
      <c r="H608">
        <f>E608-F608</f>
        <v/>
      </c>
      <c r="I608">
        <f>(E608-F608)/D608</f>
        <v/>
      </c>
    </row>
    <row r="609">
      <c r="A609" s="3" t="n">
        <v>46049</v>
      </c>
      <c r="B609" t="inlineStr">
        <is>
          <t>067651</t>
        </is>
      </c>
      <c r="C609" t="inlineStr">
        <is>
          <t>WTI-PHYSICAL - NEW YORK MERCANTILE EXCHANGE</t>
        </is>
      </c>
      <c r="D609" t="n">
        <v>2035649</v>
      </c>
      <c r="E609" t="n">
        <v>176380</v>
      </c>
      <c r="F609" t="n">
        <v>117333</v>
      </c>
      <c r="G609" t="n">
        <v>423265</v>
      </c>
      <c r="H609">
        <f>E609-F609</f>
        <v/>
      </c>
      <c r="I609">
        <f>(E609-F609)/D609</f>
        <v/>
      </c>
    </row>
    <row r="610">
      <c r="A610" s="3" t="n">
        <v>46056</v>
      </c>
      <c r="B610" t="inlineStr">
        <is>
          <t>067651</t>
        </is>
      </c>
      <c r="C610" t="inlineStr">
        <is>
          <t>WTI-PHYSICAL - NEW YORK MERCANTILE EXCHANGE</t>
        </is>
      </c>
      <c r="D610" t="n">
        <v>2091314</v>
      </c>
      <c r="E610" t="n">
        <v>189550</v>
      </c>
      <c r="F610" t="n">
        <v>112790</v>
      </c>
      <c r="G610" t="n">
        <v>424955</v>
      </c>
      <c r="H610">
        <f>E610-F610</f>
        <v/>
      </c>
      <c r="I610">
        <f>(E610-F610)/D610</f>
        <v/>
      </c>
    </row>
    <row r="611">
      <c r="A611" s="3" t="n">
        <v>46063</v>
      </c>
      <c r="B611" t="inlineStr">
        <is>
          <t>067651</t>
        </is>
      </c>
      <c r="C611" t="inlineStr">
        <is>
          <t>WTI-PHYSICAL - NEW YORK MERCANTILE EXCHANGE</t>
        </is>
      </c>
      <c r="D611" t="n">
        <v>2070538</v>
      </c>
      <c r="E611" t="n">
        <v>191747</v>
      </c>
      <c r="F611" t="n">
        <v>112601</v>
      </c>
      <c r="G611" t="n">
        <v>413749</v>
      </c>
      <c r="H611">
        <f>E611-F611</f>
        <v/>
      </c>
      <c r="I611">
        <f>(E611-F611)/D611</f>
        <v/>
      </c>
    </row>
    <row r="612">
      <c r="A612" s="3" t="n">
        <v>46070</v>
      </c>
      <c r="B612" t="inlineStr">
        <is>
          <t>067651</t>
        </is>
      </c>
      <c r="C612" t="inlineStr">
        <is>
          <t>WTI-PHYSICAL - NEW YORK MERCANTILE EXCHANGE</t>
        </is>
      </c>
      <c r="D612" t="n">
        <v>2087493</v>
      </c>
      <c r="E612" t="n">
        <v>183954</v>
      </c>
      <c r="F612" t="n">
        <v>120169</v>
      </c>
      <c r="G612" t="n">
        <v>417550</v>
      </c>
      <c r="H612">
        <f>E612-F612</f>
        <v/>
      </c>
      <c r="I612">
        <f>(E612-F612)/D612</f>
        <v/>
      </c>
    </row>
    <row r="613">
      <c r="A613" s="3" t="n">
        <v>46077</v>
      </c>
      <c r="B613" t="inlineStr">
        <is>
          <t>067651</t>
        </is>
      </c>
      <c r="C613" t="inlineStr">
        <is>
          <t>WTI-PHYSICAL - NEW YORK MERCANTILE EXCHANGE</t>
        </is>
      </c>
      <c r="D613" t="n">
        <v>2102705</v>
      </c>
      <c r="E613" t="n">
        <v>193433</v>
      </c>
      <c r="F613" t="n">
        <v>125733</v>
      </c>
      <c r="G613" t="n">
        <v>423449</v>
      </c>
      <c r="H613">
        <f>E613-F613</f>
        <v/>
      </c>
      <c r="I613">
        <f>(E613-F613)/D613</f>
        <v/>
      </c>
    </row>
    <row r="614">
      <c r="A614" s="3" t="n">
        <v>46084</v>
      </c>
      <c r="B614" t="inlineStr">
        <is>
          <t>067651</t>
        </is>
      </c>
      <c r="C614" t="inlineStr">
        <is>
          <t>WTI-PHYSICAL - NEW YORK MERCANTILE EXCHANGE</t>
        </is>
      </c>
      <c r="D614" t="n">
        <v>2073033</v>
      </c>
      <c r="E614" t="n">
        <v>187335</v>
      </c>
      <c r="F614" t="n">
        <v>118950</v>
      </c>
      <c r="G614" t="n">
        <v>424442</v>
      </c>
      <c r="H614">
        <f>E614-F614</f>
        <v/>
      </c>
      <c r="I614">
        <f>(E614-F614)/D614</f>
        <v/>
      </c>
    </row>
    <row r="615">
      <c r="A615" s="3" t="n">
        <v>46091</v>
      </c>
      <c r="B615" t="inlineStr">
        <is>
          <t>067651</t>
        </is>
      </c>
      <c r="C615" t="inlineStr">
        <is>
          <t>WTI-PHYSICAL - NEW YORK MERCANTILE EXCHANGE</t>
        </is>
      </c>
      <c r="D615" t="n">
        <v>2051321</v>
      </c>
      <c r="E615" t="n">
        <v>189998</v>
      </c>
      <c r="F615" t="n">
        <v>97876</v>
      </c>
      <c r="G615" t="n">
        <v>386718</v>
      </c>
      <c r="H615">
        <f>E615-F615</f>
        <v/>
      </c>
      <c r="I615">
        <f>(E615-F615)/D615</f>
        <v/>
      </c>
    </row>
    <row r="616">
      <c r="A616" s="3" t="n">
        <v>46098</v>
      </c>
      <c r="B616" t="inlineStr">
        <is>
          <t>067651</t>
        </is>
      </c>
      <c r="C616" t="inlineStr">
        <is>
          <t>WTI-PHYSICAL - NEW YORK MERCANTILE EXCHANGE</t>
        </is>
      </c>
      <c r="D616" t="n">
        <v>2081576</v>
      </c>
      <c r="E616" t="n">
        <v>189353</v>
      </c>
      <c r="F616" t="n">
        <v>92982</v>
      </c>
      <c r="G616" t="n">
        <v>384449</v>
      </c>
      <c r="H616">
        <f>E616-F616</f>
        <v/>
      </c>
      <c r="I616">
        <f>(E616-F616)/D616</f>
        <v/>
      </c>
    </row>
    <row r="617">
      <c r="A617" s="3" t="n">
        <v>46105</v>
      </c>
      <c r="B617" t="inlineStr">
        <is>
          <t>067651</t>
        </is>
      </c>
      <c r="C617" t="inlineStr">
        <is>
          <t>WTI-PHYSICAL - NEW YORK MERCANTILE EXCHANGE</t>
        </is>
      </c>
      <c r="D617" t="n">
        <v>2002065</v>
      </c>
      <c r="E617" t="n">
        <v>181139</v>
      </c>
      <c r="F617" t="n">
        <v>86803</v>
      </c>
      <c r="G617" t="n">
        <v>375012</v>
      </c>
      <c r="H617">
        <f>E617-F617</f>
        <v/>
      </c>
      <c r="I617">
        <f>(E617-F617)/D617</f>
        <v/>
      </c>
    </row>
    <row r="618">
      <c r="A618" s="3" t="n">
        <v>46112</v>
      </c>
      <c r="B618" t="inlineStr">
        <is>
          <t>067651</t>
        </is>
      </c>
      <c r="C618" t="inlineStr">
        <is>
          <t>WTI-PHYSICAL - NEW YORK MERCANTILE EXCHANGE</t>
        </is>
      </c>
      <c r="D618" t="n">
        <v>2030970</v>
      </c>
      <c r="E618" t="n">
        <v>177780</v>
      </c>
      <c r="F618" t="n">
        <v>104433</v>
      </c>
      <c r="G618" t="n">
        <v>356557</v>
      </c>
      <c r="H618">
        <f>E618-F618</f>
        <v/>
      </c>
      <c r="I618">
        <f>(E618-F618)/D618</f>
        <v/>
      </c>
    </row>
    <row r="619">
      <c r="A619" s="3" t="n">
        <v>46119</v>
      </c>
      <c r="B619" t="inlineStr">
        <is>
          <t>067651</t>
        </is>
      </c>
      <c r="C619" t="inlineStr">
        <is>
          <t>WTI-PHYSICAL - NEW YORK MERCANTILE EXCHANGE</t>
        </is>
      </c>
      <c r="D619" t="n">
        <v>2037857</v>
      </c>
      <c r="E619" t="n">
        <v>186768</v>
      </c>
      <c r="F619" t="n">
        <v>108068</v>
      </c>
      <c r="G619" t="n">
        <v>344399</v>
      </c>
      <c r="H619">
        <f>E619-F619</f>
        <v/>
      </c>
      <c r="I619">
        <f>(E619-F619)/D619</f>
        <v/>
      </c>
    </row>
    <row r="620">
      <c r="A620" s="3" t="n">
        <v>46126</v>
      </c>
      <c r="B620" t="inlineStr">
        <is>
          <t>067651</t>
        </is>
      </c>
      <c r="C620" t="inlineStr">
        <is>
          <t>WTI-PHYSICAL - NEW YORK MERCANTILE EXCHANGE</t>
        </is>
      </c>
      <c r="D620" t="n">
        <v>2094492</v>
      </c>
      <c r="E620" t="n">
        <v>200130</v>
      </c>
      <c r="F620" t="n">
        <v>101762</v>
      </c>
      <c r="G620" t="n">
        <v>355264</v>
      </c>
      <c r="H620">
        <f>E620-F620</f>
        <v/>
      </c>
      <c r="I620">
        <f>(E620-F620)/D620</f>
        <v/>
      </c>
    </row>
    <row r="621">
      <c r="A621" s="3" t="n">
        <v>46133</v>
      </c>
      <c r="B621" t="inlineStr">
        <is>
          <t>067651</t>
        </is>
      </c>
      <c r="C621" t="inlineStr">
        <is>
          <t>WTI-PHYSICAL - NEW YORK MERCANTILE EXCHANGE</t>
        </is>
      </c>
      <c r="D621" t="n">
        <v>1984747</v>
      </c>
      <c r="E621" t="n">
        <v>200831</v>
      </c>
      <c r="F621" t="n">
        <v>100944</v>
      </c>
      <c r="G621" t="n">
        <v>318777</v>
      </c>
      <c r="H621">
        <f>E621-F621</f>
        <v/>
      </c>
      <c r="I621">
        <f>(E621-F621)/D621</f>
        <v/>
      </c>
    </row>
    <row r="622">
      <c r="A622" s="3" t="n">
        <v>46140</v>
      </c>
      <c r="B622" t="inlineStr">
        <is>
          <t>067651</t>
        </is>
      </c>
      <c r="C622" t="inlineStr">
        <is>
          <t>WTI-PHYSICAL - NEW YORK MERCANTILE EXCHANGE</t>
        </is>
      </c>
      <c r="D622" t="n">
        <v>2017038</v>
      </c>
      <c r="E622" t="n">
        <v>193329</v>
      </c>
      <c r="F622" t="n">
        <v>112998</v>
      </c>
      <c r="G622" t="n">
        <v>329503</v>
      </c>
      <c r="H622">
        <f>E622-F622</f>
        <v/>
      </c>
      <c r="I622">
        <f>(E622-F622)/D622</f>
        <v/>
      </c>
    </row>
    <row r="623">
      <c r="A623" s="3" t="n">
        <v>46147</v>
      </c>
      <c r="B623" t="inlineStr">
        <is>
          <t>067651</t>
        </is>
      </c>
      <c r="C623" t="inlineStr">
        <is>
          <t>WTI-PHYSICAL - NEW YORK MERCANTILE EXCHANGE</t>
        </is>
      </c>
      <c r="D623" t="n">
        <v>2067827</v>
      </c>
      <c r="E623" t="n">
        <v>185755</v>
      </c>
      <c r="F623" t="n">
        <v>114964</v>
      </c>
      <c r="G623" t="n">
        <v>324225</v>
      </c>
      <c r="H623">
        <f>E623-F623</f>
        <v/>
      </c>
      <c r="I623">
        <f>(E623-F623)/D623</f>
        <v/>
      </c>
    </row>
    <row r="624">
      <c r="A624" s="3" t="n">
        <v>46154</v>
      </c>
      <c r="B624" t="inlineStr">
        <is>
          <t>067651</t>
        </is>
      </c>
      <c r="C624" t="inlineStr">
        <is>
          <t>WTI-PHYSICAL - NEW YORK MERCANTILE EXCHANGE</t>
        </is>
      </c>
      <c r="D624" t="n">
        <v>2081927</v>
      </c>
      <c r="E624" t="n">
        <v>187332</v>
      </c>
      <c r="F624" t="n">
        <v>114531</v>
      </c>
      <c r="G624" t="n">
        <v>313935</v>
      </c>
      <c r="H624">
        <f>E624-F624</f>
        <v/>
      </c>
      <c r="I624">
        <f>(E624-F624)/D624</f>
        <v/>
      </c>
    </row>
    <row r="625">
      <c r="A625" s="3" t="n">
        <v>46161</v>
      </c>
      <c r="B625" t="inlineStr">
        <is>
          <t>067651</t>
        </is>
      </c>
      <c r="C625" t="inlineStr">
        <is>
          <t>WTI-PHYSICAL - NEW YORK MERCANTILE EXCHANGE</t>
        </is>
      </c>
      <c r="D625" t="n">
        <v>2002950</v>
      </c>
      <c r="E625" t="n">
        <v>207565</v>
      </c>
      <c r="F625" t="n">
        <v>109346</v>
      </c>
      <c r="G625" t="n">
        <v>292016</v>
      </c>
      <c r="H625">
        <f>E625-F625</f>
        <v/>
      </c>
      <c r="I625">
        <f>(E625-F625)/D625</f>
        <v/>
      </c>
    </row>
    <row r="626">
      <c r="A626" s="3" t="n">
        <v>46168</v>
      </c>
      <c r="B626" t="inlineStr">
        <is>
          <t>067651</t>
        </is>
      </c>
      <c r="C626" t="inlineStr">
        <is>
          <t>WTI-PHYSICAL - NEW YORK MERCANTILE EXCHANGE</t>
        </is>
      </c>
      <c r="D626" t="n">
        <v>2003795</v>
      </c>
      <c r="E626" t="n">
        <v>200581</v>
      </c>
      <c r="F626" t="n">
        <v>120657</v>
      </c>
      <c r="G626" t="n">
        <v>283688</v>
      </c>
      <c r="H626">
        <f>E626-F626</f>
        <v/>
      </c>
      <c r="I626">
        <f>(E626-F626)/D626</f>
        <v/>
      </c>
    </row>
    <row r="627">
      <c r="A627" s="3" t="n">
        <v>46175</v>
      </c>
      <c r="B627" t="inlineStr">
        <is>
          <t>067651</t>
        </is>
      </c>
      <c r="C627" t="inlineStr">
        <is>
          <t>WTI-PHYSICAL - NEW YORK MERCANTILE EXCHANGE</t>
        </is>
      </c>
      <c r="D627" t="n">
        <v>2025180</v>
      </c>
      <c r="E627" t="n">
        <v>218787</v>
      </c>
      <c r="F627" t="n">
        <v>128022</v>
      </c>
      <c r="G627" t="n">
        <v>278341</v>
      </c>
      <c r="H627">
        <f>E627-F627</f>
        <v/>
      </c>
      <c r="I627">
        <f>(E627-F627)/D627</f>
        <v/>
      </c>
    </row>
    <row r="628">
      <c r="A628" s="3" t="n">
        <v>46182</v>
      </c>
      <c r="B628" t="inlineStr">
        <is>
          <t>067651</t>
        </is>
      </c>
      <c r="C628" t="inlineStr">
        <is>
          <t>WTI-PHYSICAL - NEW YORK MERCANTILE EXCHANGE</t>
        </is>
      </c>
      <c r="D628" t="n">
        <v>2006635</v>
      </c>
      <c r="E628" t="n">
        <v>213483</v>
      </c>
      <c r="F628" t="n">
        <v>118758</v>
      </c>
      <c r="G628" t="n">
        <v>272004</v>
      </c>
      <c r="H628">
        <f>E628-F628</f>
        <v/>
      </c>
      <c r="I628">
        <f>(E628-F628)/D628</f>
        <v/>
      </c>
    </row>
    <row r="629">
      <c r="A629" s="3" t="n">
        <v>46189</v>
      </c>
      <c r="B629" t="inlineStr">
        <is>
          <t>067651</t>
        </is>
      </c>
      <c r="C629" t="inlineStr">
        <is>
          <t>WTI-PHYSICAL - NEW YORK MERCANTILE EXCHANGE</t>
        </is>
      </c>
      <c r="D629" t="n">
        <v>2007709</v>
      </c>
      <c r="E629" t="n">
        <v>220173</v>
      </c>
      <c r="F629" t="n">
        <v>123945</v>
      </c>
      <c r="G629" t="n">
        <v>268299</v>
      </c>
      <c r="H629">
        <f>E629-F629</f>
        <v/>
      </c>
      <c r="I629">
        <f>(E629-F629)/D629</f>
        <v/>
      </c>
    </row>
    <row r="630">
      <c r="A630" s="3" t="n">
        <v>46196</v>
      </c>
      <c r="B630" t="inlineStr">
        <is>
          <t>067651</t>
        </is>
      </c>
      <c r="C630" t="inlineStr">
        <is>
          <t>WTI-PHYSICAL - NEW YORK MERCANTILE EXCHANGE</t>
        </is>
      </c>
      <c r="D630" t="n">
        <v>1911877</v>
      </c>
      <c r="E630" t="n">
        <v>209683</v>
      </c>
      <c r="F630" t="n">
        <v>126811</v>
      </c>
      <c r="G630" t="n">
        <v>251557</v>
      </c>
      <c r="H630">
        <f>E630-F630</f>
        <v/>
      </c>
      <c r="I630">
        <f>(E630-F630)/D630</f>
        <v/>
      </c>
    </row>
    <row r="631">
      <c r="A631" s="3" t="n">
        <v>46203</v>
      </c>
      <c r="B631" t="inlineStr">
        <is>
          <t>067651</t>
        </is>
      </c>
      <c r="C631" t="inlineStr">
        <is>
          <t>WTI-PHYSICAL - NEW YORK MERCANTILE EXCHANGE</t>
        </is>
      </c>
      <c r="D631" t="n">
        <v>1914443</v>
      </c>
      <c r="E631" t="n">
        <v>203601</v>
      </c>
      <c r="F631" t="n">
        <v>122319</v>
      </c>
      <c r="G631" t="n">
        <v>244512</v>
      </c>
      <c r="H631">
        <f>E631-F631</f>
        <v/>
      </c>
      <c r="I631">
        <f>(E631-F631)/D631</f>
        <v/>
      </c>
    </row>
    <row r="632">
      <c r="A632" s="3" t="n">
        <v>46210</v>
      </c>
      <c r="B632" t="inlineStr">
        <is>
          <t>067651</t>
        </is>
      </c>
      <c r="C632" t="inlineStr">
        <is>
          <t>WTI-PHYSICAL - NEW YORK MERCANTILE EXCHANGE</t>
        </is>
      </c>
      <c r="D632" t="n">
        <v>1905761</v>
      </c>
      <c r="E632" t="n">
        <v>193113</v>
      </c>
      <c r="F632" t="n">
        <v>129072</v>
      </c>
      <c r="G632" t="n">
        <v>255635</v>
      </c>
      <c r="H632">
        <f>E632-F632</f>
        <v/>
      </c>
      <c r="I632">
        <f>(E632-F632)/D632</f>
        <v/>
      </c>
    </row>
    <row r="633">
      <c r="A633" s="3" t="n">
        <v>46217</v>
      </c>
      <c r="B633" t="inlineStr">
        <is>
          <t>067651</t>
        </is>
      </c>
      <c r="C633" t="inlineStr">
        <is>
          <t>WTI-PHYSICAL - NEW YORK MERCANTILE EXCHANGE</t>
        </is>
      </c>
      <c r="D633" t="n">
        <v>1875496</v>
      </c>
      <c r="E633" t="n">
        <v>181161</v>
      </c>
      <c r="F633" t="n">
        <v>119187</v>
      </c>
      <c r="G633" t="n">
        <v>272638</v>
      </c>
      <c r="H633">
        <f>E633-F633</f>
        <v/>
      </c>
      <c r="I633">
        <f>(E633-F633)/D633</f>
        <v/>
      </c>
    </row>
    <row r="634">
      <c r="A634" s="3" t="n">
        <v>46224</v>
      </c>
      <c r="B634" t="inlineStr">
        <is>
          <t>067651</t>
        </is>
      </c>
      <c r="C634" t="inlineStr">
        <is>
          <t>WTI-PHYSICAL - NEW YORK MERCANTILE EXCHANGE</t>
        </is>
      </c>
      <c r="D634" t="n">
        <v>1864487</v>
      </c>
      <c r="E634" t="n">
        <v>187469</v>
      </c>
      <c r="F634" t="n">
        <v>123490</v>
      </c>
      <c r="G634" t="n">
        <v>273264</v>
      </c>
      <c r="H634">
        <f>E634-F634</f>
        <v/>
      </c>
      <c r="I634">
        <f>(E634-F634)/D634</f>
        <v/>
      </c>
    </row>
    <row r="635">
      <c r="A635" s="3" t="n">
        <v>46231</v>
      </c>
      <c r="B635" t="inlineStr">
        <is>
          <t>067651</t>
        </is>
      </c>
      <c r="C635" t="inlineStr">
        <is>
          <t>WTI-PHYSICAL - NEW YORK MERCANTILE EXCHANGE</t>
        </is>
      </c>
      <c r="D635" t="n">
        <v>1859795</v>
      </c>
      <c r="E635" t="n">
        <v>193959</v>
      </c>
      <c r="F635" t="n">
        <v>101016</v>
      </c>
      <c r="G635" t="n">
        <v>258553</v>
      </c>
      <c r="H635">
        <f>E635-F635</f>
        <v/>
      </c>
      <c r="I635">
        <f>(E635-F635)/D635</f>
        <v/>
      </c>
    </row>
    <row r="636">
      <c r="A636" s="3" t="n">
        <v>46238</v>
      </c>
      <c r="B636" t="inlineStr">
        <is>
          <t>067651</t>
        </is>
      </c>
      <c r="C636" t="inlineStr">
        <is>
          <t>WTI-PHYSICAL - NEW YORK MERCANTILE EXCHANGE</t>
        </is>
      </c>
      <c r="D636" t="n">
        <v>1886816</v>
      </c>
      <c r="E636" t="n">
        <v>189518</v>
      </c>
      <c r="F636" t="n">
        <v>102560</v>
      </c>
      <c r="G636" t="n">
        <v>268591</v>
      </c>
      <c r="H636">
        <f>E636-F636</f>
        <v/>
      </c>
      <c r="I636">
        <f>(E636-F636)/D636</f>
        <v/>
      </c>
    </row>
    <row r="637">
      <c r="A637" s="3" t="n">
        <v>46245</v>
      </c>
      <c r="B637" t="inlineStr">
        <is>
          <t>067651</t>
        </is>
      </c>
      <c r="C637" t="inlineStr">
        <is>
          <t>WTI-PHYSICAL - NEW YORK MERCANTILE EXCHANGE</t>
        </is>
      </c>
      <c r="D637" t="n">
        <v>1892429</v>
      </c>
      <c r="E637" t="n">
        <v>190554</v>
      </c>
      <c r="F637" t="n">
        <v>110638</v>
      </c>
      <c r="G637" t="n">
        <v>278279</v>
      </c>
      <c r="H637">
        <f>E637-F637</f>
        <v/>
      </c>
      <c r="I637">
        <f>(E637-F637)/D637</f>
        <v/>
      </c>
    </row>
    <row r="638">
      <c r="A638" s="3" t="n">
        <v>46252</v>
      </c>
      <c r="B638" t="inlineStr">
        <is>
          <t>067651</t>
        </is>
      </c>
      <c r="C638" t="inlineStr">
        <is>
          <t>WTI-PHYSICAL - NEW YORK MERCANTILE EXCHANGE</t>
        </is>
      </c>
      <c r="D638" t="n">
        <v>1888960</v>
      </c>
      <c r="E638" t="n">
        <v>195538</v>
      </c>
      <c r="F638" t="n">
        <v>108059</v>
      </c>
      <c r="G638" t="n">
        <v>267661</v>
      </c>
      <c r="H638">
        <f>E638-F638</f>
        <v/>
      </c>
      <c r="I638">
        <f>(E638-F638)/D638</f>
        <v/>
      </c>
    </row>
    <row r="639">
      <c r="A639" s="3" t="n">
        <v>46259</v>
      </c>
      <c r="B639" t="inlineStr">
        <is>
          <t>067651</t>
        </is>
      </c>
      <c r="C639" t="inlineStr">
        <is>
          <t>WTI-PHYSICAL - NEW YORK MERCANTILE EXCHANGE</t>
        </is>
      </c>
      <c r="D639" t="n">
        <v>1906740</v>
      </c>
      <c r="E639" t="n">
        <v>196882</v>
      </c>
      <c r="F639" t="n">
        <v>112862</v>
      </c>
      <c r="G639" t="n">
        <v>289511</v>
      </c>
      <c r="H639">
        <f>E639-F639</f>
        <v/>
      </c>
      <c r="I639">
        <f>(E639-F639)/D639</f>
        <v/>
      </c>
    </row>
    <row r="640">
      <c r="A640" s="3" t="n">
        <v>46266</v>
      </c>
      <c r="B640" t="inlineStr">
        <is>
          <t>067651</t>
        </is>
      </c>
      <c r="C640" t="inlineStr">
        <is>
          <t>WTI-PHYSICAL - NEW YORK MERCANTILE EXCHANGE</t>
        </is>
      </c>
      <c r="D640" t="n">
        <v>1921085</v>
      </c>
      <c r="E640" t="n">
        <v>205300</v>
      </c>
      <c r="F640" t="n">
        <v>111019</v>
      </c>
      <c r="G640" t="n">
        <v>295613</v>
      </c>
      <c r="H640">
        <f>E640-F640</f>
        <v/>
      </c>
      <c r="I640">
        <f>(E640-F640)/D640</f>
        <v/>
      </c>
    </row>
    <row r="641">
      <c r="A641" s="3" t="n">
        <v>46273</v>
      </c>
      <c r="B641" t="inlineStr">
        <is>
          <t>067651</t>
        </is>
      </c>
      <c r="C641" t="inlineStr">
        <is>
          <t>WTI-PHYSICAL - NEW YORK MERCANTILE EXCHANGE</t>
        </is>
      </c>
      <c r="D641" t="n">
        <v>1939911</v>
      </c>
      <c r="E641" t="n">
        <v>218960</v>
      </c>
      <c r="F641" t="n">
        <v>107229</v>
      </c>
      <c r="G641" t="n">
        <v>284214</v>
      </c>
      <c r="H641">
        <f>E641-F641</f>
        <v/>
      </c>
      <c r="I641">
        <f>(E641-F641)/D641</f>
        <v/>
      </c>
    </row>
    <row r="642">
      <c r="A642" s="3" t="n">
        <v>46280</v>
      </c>
      <c r="B642" t="inlineStr">
        <is>
          <t>067651</t>
        </is>
      </c>
      <c r="C642" t="inlineStr">
        <is>
          <t>WTI-PHYSICAL - NEW YORK MERCANTILE EXCHANGE</t>
        </is>
      </c>
      <c r="D642" t="n">
        <v>1955764</v>
      </c>
      <c r="E642" t="n">
        <v>221896</v>
      </c>
      <c r="F642" t="n">
        <v>115617</v>
      </c>
      <c r="G642" t="n">
        <v>298939</v>
      </c>
      <c r="H642">
        <f>E642-F642</f>
        <v/>
      </c>
      <c r="I642">
        <f>(E642-F642)/D642</f>
        <v/>
      </c>
    </row>
    <row r="643">
      <c r="A643" s="3" t="n">
        <v>38881</v>
      </c>
      <c r="B643" t="inlineStr">
        <is>
          <t>111659</t>
        </is>
      </c>
      <c r="C643" t="inlineStr">
        <is>
          <t>GASOLINE BLENDSTOCK (RBOB) - NEW YORK MERCANTILE EXCHANGE</t>
        </is>
      </c>
      <c r="D643" t="n">
        <v>48232</v>
      </c>
      <c r="E643" t="n">
        <v>7682</v>
      </c>
      <c r="F643" t="n">
        <v>0</v>
      </c>
      <c r="G643" t="n">
        <v>1241</v>
      </c>
      <c r="H643">
        <f>E643-F643</f>
        <v/>
      </c>
      <c r="I643">
        <f>(E643-F643)/D643</f>
        <v/>
      </c>
    </row>
    <row r="644">
      <c r="A644" s="3" t="n">
        <v>38888</v>
      </c>
      <c r="B644" t="inlineStr">
        <is>
          <t>111659</t>
        </is>
      </c>
      <c r="C644" t="inlineStr">
        <is>
          <t>GASOLINE BLENDSTOCK (RBOB) - NEW YORK MERCANTILE EXCHANGE</t>
        </is>
      </c>
      <c r="D644" t="n">
        <v>49740</v>
      </c>
      <c r="E644" t="n">
        <v>8338</v>
      </c>
      <c r="F644" t="n">
        <v>0</v>
      </c>
      <c r="G644" t="n">
        <v>1561</v>
      </c>
      <c r="H644">
        <f>E644-F644</f>
        <v/>
      </c>
      <c r="I644">
        <f>(E644-F644)/D644</f>
        <v/>
      </c>
    </row>
    <row r="645">
      <c r="A645" s="3" t="n">
        <v>38895</v>
      </c>
      <c r="B645" t="inlineStr">
        <is>
          <t>111659</t>
        </is>
      </c>
      <c r="C645" t="inlineStr">
        <is>
          <t>GASOLINE BLENDSTOCK (RBOB) - NEW YORK MERCANTILE EXCHANGE</t>
        </is>
      </c>
      <c r="D645" t="n">
        <v>50423</v>
      </c>
      <c r="E645" t="n">
        <v>8264</v>
      </c>
      <c r="F645" t="n">
        <v>0</v>
      </c>
      <c r="G645" t="n">
        <v>1574</v>
      </c>
      <c r="H645">
        <f>E645-F645</f>
        <v/>
      </c>
      <c r="I645">
        <f>(E645-F645)/D645</f>
        <v/>
      </c>
    </row>
    <row r="646">
      <c r="A646" s="3" t="n">
        <v>38901</v>
      </c>
      <c r="B646" t="inlineStr">
        <is>
          <t>111659</t>
        </is>
      </c>
      <c r="C646" t="inlineStr">
        <is>
          <t>GASOLINE BLENDSTOCK (RBOB) - NEW YORK MERCANTILE EXCHANGE</t>
        </is>
      </c>
      <c r="D646" t="n">
        <v>50645</v>
      </c>
      <c r="E646" t="n">
        <v>7492</v>
      </c>
      <c r="F646" t="n">
        <v>1</v>
      </c>
      <c r="G646" t="n">
        <v>1551</v>
      </c>
      <c r="H646">
        <f>E646-F646</f>
        <v/>
      </c>
      <c r="I646">
        <f>(E646-F646)/D646</f>
        <v/>
      </c>
    </row>
    <row r="647">
      <c r="A647" s="3" t="n">
        <v>38909</v>
      </c>
      <c r="B647" t="inlineStr">
        <is>
          <t>111659</t>
        </is>
      </c>
      <c r="C647" t="inlineStr">
        <is>
          <t>GASOLINE BLENDSTOCK (RBOB) - NEW YORK MERCANTILE EXCHANGE</t>
        </is>
      </c>
      <c r="D647" t="n">
        <v>51329</v>
      </c>
      <c r="E647" t="n">
        <v>7113</v>
      </c>
      <c r="F647" t="n">
        <v>333</v>
      </c>
      <c r="G647" t="n">
        <v>1791</v>
      </c>
      <c r="H647">
        <f>E647-F647</f>
        <v/>
      </c>
      <c r="I647">
        <f>(E647-F647)/D647</f>
        <v/>
      </c>
    </row>
    <row r="648">
      <c r="A648" s="3" t="n">
        <v>38916</v>
      </c>
      <c r="B648" t="inlineStr">
        <is>
          <t>111659</t>
        </is>
      </c>
      <c r="C648" t="inlineStr">
        <is>
          <t>GASOLINE BLENDSTOCK (RBOB) - NEW YORK MERCANTILE EXCHANGE</t>
        </is>
      </c>
      <c r="D648" t="n">
        <v>53448</v>
      </c>
      <c r="E648" t="n">
        <v>6843</v>
      </c>
      <c r="F648" t="n">
        <v>891</v>
      </c>
      <c r="G648" t="n">
        <v>1846</v>
      </c>
      <c r="H648">
        <f>E648-F648</f>
        <v/>
      </c>
      <c r="I648">
        <f>(E648-F648)/D648</f>
        <v/>
      </c>
    </row>
    <row r="649">
      <c r="A649" s="3" t="n">
        <v>38923</v>
      </c>
      <c r="B649" t="inlineStr">
        <is>
          <t>111659</t>
        </is>
      </c>
      <c r="C649" t="inlineStr">
        <is>
          <t>GASOLINE BLENDSTOCK (RBOB) - NEW YORK MERCANTILE EXCHANGE</t>
        </is>
      </c>
      <c r="D649" t="n">
        <v>53746</v>
      </c>
      <c r="E649" t="n">
        <v>7238</v>
      </c>
      <c r="F649" t="n">
        <v>1206</v>
      </c>
      <c r="G649" t="n">
        <v>1588</v>
      </c>
      <c r="H649">
        <f>E649-F649</f>
        <v/>
      </c>
      <c r="I649">
        <f>(E649-F649)/D649</f>
        <v/>
      </c>
    </row>
    <row r="650">
      <c r="A650" s="3" t="n">
        <v>38930</v>
      </c>
      <c r="B650" t="inlineStr">
        <is>
          <t>111659</t>
        </is>
      </c>
      <c r="C650" t="inlineStr">
        <is>
          <t>GASOLINE BLENDSTOCK (RBOB) - NEW YORK MERCANTILE EXCHANGE</t>
        </is>
      </c>
      <c r="D650" t="n">
        <v>52495</v>
      </c>
      <c r="E650" t="n">
        <v>8452</v>
      </c>
      <c r="F650" t="n">
        <v>1200</v>
      </c>
      <c r="G650" t="n">
        <v>2298</v>
      </c>
      <c r="H650">
        <f>E650-F650</f>
        <v/>
      </c>
      <c r="I650">
        <f>(E650-F650)/D650</f>
        <v/>
      </c>
    </row>
    <row r="651">
      <c r="A651" s="3" t="n">
        <v>38937</v>
      </c>
      <c r="B651" t="inlineStr">
        <is>
          <t>111659</t>
        </is>
      </c>
      <c r="C651" t="inlineStr">
        <is>
          <t>GASOLINE BLENDSTOCK (RBOB) - NEW YORK MERCANTILE EXCHANGE</t>
        </is>
      </c>
      <c r="D651" t="n">
        <v>58029</v>
      </c>
      <c r="E651" t="n">
        <v>9099</v>
      </c>
      <c r="F651" t="n">
        <v>591</v>
      </c>
      <c r="G651" t="n">
        <v>2676</v>
      </c>
      <c r="H651">
        <f>E651-F651</f>
        <v/>
      </c>
      <c r="I651">
        <f>(E651-F651)/D651</f>
        <v/>
      </c>
    </row>
    <row r="652">
      <c r="A652" s="3" t="n">
        <v>38944</v>
      </c>
      <c r="B652" t="inlineStr">
        <is>
          <t>111659</t>
        </is>
      </c>
      <c r="C652" t="inlineStr">
        <is>
          <t>GASOLINE BLENDSTOCK (RBOB) - NEW YORK MERCANTILE EXCHANGE</t>
        </is>
      </c>
      <c r="D652" t="n">
        <v>63365</v>
      </c>
      <c r="E652" t="n">
        <v>10301</v>
      </c>
      <c r="F652" t="n">
        <v>0</v>
      </c>
      <c r="G652" t="n">
        <v>2148</v>
      </c>
      <c r="H652">
        <f>E652-F652</f>
        <v/>
      </c>
      <c r="I652">
        <f>(E652-F652)/D652</f>
        <v/>
      </c>
    </row>
    <row r="653">
      <c r="A653" s="3" t="n">
        <v>38951</v>
      </c>
      <c r="B653" t="inlineStr">
        <is>
          <t>111659</t>
        </is>
      </c>
      <c r="C653" t="inlineStr">
        <is>
          <t>GASOLINE BLENDSTOCK (RBOB) - NEW YORK MERCANTILE EXCHANGE</t>
        </is>
      </c>
      <c r="D653" t="n">
        <v>67687</v>
      </c>
      <c r="E653" t="n">
        <v>9830</v>
      </c>
      <c r="F653" t="n">
        <v>0</v>
      </c>
      <c r="G653" t="n">
        <v>2059</v>
      </c>
      <c r="H653">
        <f>E653-F653</f>
        <v/>
      </c>
      <c r="I653">
        <f>(E653-F653)/D653</f>
        <v/>
      </c>
    </row>
    <row r="654">
      <c r="A654" s="3" t="n">
        <v>38958</v>
      </c>
      <c r="B654" t="inlineStr">
        <is>
          <t>111659</t>
        </is>
      </c>
      <c r="C654" t="inlineStr">
        <is>
          <t>GASOLINE BLENDSTOCK (RBOB) - NEW YORK MERCANTILE EXCHANGE</t>
        </is>
      </c>
      <c r="D654" t="n">
        <v>68285</v>
      </c>
      <c r="E654" t="n">
        <v>8760</v>
      </c>
      <c r="F654" t="n">
        <v>741</v>
      </c>
      <c r="G654" t="n">
        <v>2786</v>
      </c>
      <c r="H654">
        <f>E654-F654</f>
        <v/>
      </c>
      <c r="I654">
        <f>(E654-F654)/D654</f>
        <v/>
      </c>
    </row>
    <row r="655">
      <c r="A655" s="3" t="n">
        <v>38965</v>
      </c>
      <c r="B655" t="inlineStr">
        <is>
          <t>111659</t>
        </is>
      </c>
      <c r="C655" t="inlineStr">
        <is>
          <t>GASOLINE BLENDSTOCK (RBOB) - NEW YORK MERCANTILE EXCHANGE</t>
        </is>
      </c>
      <c r="D655" t="n">
        <v>72886</v>
      </c>
      <c r="E655" t="n">
        <v>9437</v>
      </c>
      <c r="F655" t="n">
        <v>273</v>
      </c>
      <c r="G655" t="n">
        <v>3124</v>
      </c>
      <c r="H655">
        <f>E655-F655</f>
        <v/>
      </c>
      <c r="I655">
        <f>(E655-F655)/D655</f>
        <v/>
      </c>
    </row>
    <row r="656">
      <c r="A656" s="3" t="n">
        <v>38972</v>
      </c>
      <c r="B656" t="inlineStr">
        <is>
          <t>111659</t>
        </is>
      </c>
      <c r="C656" t="inlineStr">
        <is>
          <t>GASOLINE BLENDSTOCK (RBOB) - NEW YORK MERCANTILE EXCHANGE</t>
        </is>
      </c>
      <c r="D656" t="n">
        <v>79638</v>
      </c>
      <c r="E656" t="n">
        <v>10649</v>
      </c>
      <c r="F656" t="n">
        <v>673</v>
      </c>
      <c r="G656" t="n">
        <v>2926</v>
      </c>
      <c r="H656">
        <f>E656-F656</f>
        <v/>
      </c>
      <c r="I656">
        <f>(E656-F656)/D656</f>
        <v/>
      </c>
    </row>
    <row r="657">
      <c r="A657" s="3" t="n">
        <v>38979</v>
      </c>
      <c r="B657" t="inlineStr">
        <is>
          <t>111659</t>
        </is>
      </c>
      <c r="C657" t="inlineStr">
        <is>
          <t>GASOLINE BLENDSTOCK (RBOB) - NEW YORK MERCANTILE EXCHANGE</t>
        </is>
      </c>
      <c r="D657" t="n">
        <v>85465</v>
      </c>
      <c r="E657" t="n">
        <v>10286</v>
      </c>
      <c r="F657" t="n">
        <v>1567</v>
      </c>
      <c r="G657" t="n">
        <v>2557</v>
      </c>
      <c r="H657">
        <f>E657-F657</f>
        <v/>
      </c>
      <c r="I657">
        <f>(E657-F657)/D657</f>
        <v/>
      </c>
    </row>
    <row r="658">
      <c r="A658" s="3" t="n">
        <v>38986</v>
      </c>
      <c r="B658" t="inlineStr">
        <is>
          <t>111659</t>
        </is>
      </c>
      <c r="C658" t="inlineStr">
        <is>
          <t>GASOLINE BLENDSTOCK (RBOB) - NEW YORK MERCANTILE EXCHANGE</t>
        </is>
      </c>
      <c r="D658" t="n">
        <v>87455</v>
      </c>
      <c r="E658" t="n">
        <v>7810</v>
      </c>
      <c r="F658" t="n">
        <v>2101</v>
      </c>
      <c r="G658" t="n">
        <v>3702</v>
      </c>
      <c r="H658">
        <f>E658-F658</f>
        <v/>
      </c>
      <c r="I658">
        <f>(E658-F658)/D658</f>
        <v/>
      </c>
    </row>
    <row r="659">
      <c r="A659" s="3" t="n">
        <v>38993</v>
      </c>
      <c r="B659" t="inlineStr">
        <is>
          <t>111659</t>
        </is>
      </c>
      <c r="C659" t="inlineStr">
        <is>
          <t>GASOLINE BLENDSTOCK (RBOB) - NEW YORK MERCANTILE EXCHANGE</t>
        </is>
      </c>
      <c r="D659" t="n">
        <v>92034</v>
      </c>
      <c r="E659" t="n">
        <v>7243</v>
      </c>
      <c r="F659" t="n">
        <v>2895</v>
      </c>
      <c r="G659" t="n">
        <v>4328</v>
      </c>
      <c r="H659">
        <f>E659-F659</f>
        <v/>
      </c>
      <c r="I659">
        <f>(E659-F659)/D659</f>
        <v/>
      </c>
    </row>
    <row r="660">
      <c r="A660" s="3" t="n">
        <v>39000</v>
      </c>
      <c r="B660" t="inlineStr">
        <is>
          <t>111659</t>
        </is>
      </c>
      <c r="C660" t="inlineStr">
        <is>
          <t>GASOLINE BLENDSTOCK (RBOB) - NEW YORK MERCANTILE EXCHANGE</t>
        </is>
      </c>
      <c r="D660" t="n">
        <v>94305</v>
      </c>
      <c r="E660" t="n">
        <v>7533</v>
      </c>
      <c r="F660" t="n">
        <v>2908</v>
      </c>
      <c r="G660" t="n">
        <v>3108</v>
      </c>
      <c r="H660">
        <f>E660-F660</f>
        <v/>
      </c>
      <c r="I660">
        <f>(E660-F660)/D660</f>
        <v/>
      </c>
    </row>
    <row r="661">
      <c r="A661" s="3" t="n">
        <v>39007</v>
      </c>
      <c r="B661" t="inlineStr">
        <is>
          <t>111659</t>
        </is>
      </c>
      <c r="C661" t="inlineStr">
        <is>
          <t>GASOLINE BLENDSTOCK (RBOB) - NEW YORK MERCANTILE EXCHANGE</t>
        </is>
      </c>
      <c r="D661" t="n">
        <v>99377</v>
      </c>
      <c r="E661" t="n">
        <v>8593</v>
      </c>
      <c r="F661" t="n">
        <v>4218</v>
      </c>
      <c r="G661" t="n">
        <v>2092</v>
      </c>
      <c r="H661">
        <f>E661-F661</f>
        <v/>
      </c>
      <c r="I661">
        <f>(E661-F661)/D661</f>
        <v/>
      </c>
    </row>
    <row r="662">
      <c r="A662" s="3" t="n">
        <v>39014</v>
      </c>
      <c r="B662" t="inlineStr">
        <is>
          <t>111659</t>
        </is>
      </c>
      <c r="C662" t="inlineStr">
        <is>
          <t>GASOLINE BLENDSTOCK (RBOB) - NEW YORK MERCANTILE EXCHANGE</t>
        </is>
      </c>
      <c r="D662" t="n">
        <v>101292</v>
      </c>
      <c r="E662" t="n">
        <v>9163</v>
      </c>
      <c r="F662" t="n">
        <v>6078</v>
      </c>
      <c r="G662" t="n">
        <v>1501</v>
      </c>
      <c r="H662">
        <f>E662-F662</f>
        <v/>
      </c>
      <c r="I662">
        <f>(E662-F662)/D662</f>
        <v/>
      </c>
    </row>
    <row r="663">
      <c r="A663" s="3" t="n">
        <v>39021</v>
      </c>
      <c r="B663" t="inlineStr">
        <is>
          <t>111659</t>
        </is>
      </c>
      <c r="C663" t="inlineStr">
        <is>
          <t>GASOLINE BLENDSTOCK (RBOB) - NEW YORK MERCANTILE EXCHANGE</t>
        </is>
      </c>
      <c r="D663" t="n">
        <v>105257</v>
      </c>
      <c r="E663" t="n">
        <v>10249</v>
      </c>
      <c r="F663" t="n">
        <v>10092</v>
      </c>
      <c r="G663" t="n">
        <v>1002</v>
      </c>
      <c r="H663">
        <f>E663-F663</f>
        <v/>
      </c>
      <c r="I663">
        <f>(E663-F663)/D663</f>
        <v/>
      </c>
    </row>
    <row r="664">
      <c r="A664" s="3" t="n">
        <v>39028</v>
      </c>
      <c r="B664" t="inlineStr">
        <is>
          <t>111659</t>
        </is>
      </c>
      <c r="C664" t="inlineStr">
        <is>
          <t>GASOLINE BLENDSTOCK (RBOB) - NEW YORK MERCANTILE EXCHANGE</t>
        </is>
      </c>
      <c r="D664" t="n">
        <v>112876</v>
      </c>
      <c r="E664" t="n">
        <v>10619</v>
      </c>
      <c r="F664" t="n">
        <v>10719</v>
      </c>
      <c r="G664" t="n">
        <v>1111</v>
      </c>
      <c r="H664">
        <f>E664-F664</f>
        <v/>
      </c>
      <c r="I664">
        <f>(E664-F664)/D664</f>
        <v/>
      </c>
    </row>
    <row r="665">
      <c r="A665" s="3" t="n">
        <v>39035</v>
      </c>
      <c r="B665" t="inlineStr">
        <is>
          <t>111659</t>
        </is>
      </c>
      <c r="C665" t="inlineStr">
        <is>
          <t>GASOLINE BLENDSTOCK (RBOB) - NEW YORK MERCANTILE EXCHANGE</t>
        </is>
      </c>
      <c r="D665" t="n">
        <v>119859</v>
      </c>
      <c r="E665" t="n">
        <v>12046</v>
      </c>
      <c r="F665" t="n">
        <v>8341</v>
      </c>
      <c r="G665" t="n">
        <v>1290</v>
      </c>
      <c r="H665">
        <f>E665-F665</f>
        <v/>
      </c>
      <c r="I665">
        <f>(E665-F665)/D665</f>
        <v/>
      </c>
    </row>
    <row r="666">
      <c r="A666" s="3" t="n">
        <v>39042</v>
      </c>
      <c r="B666" t="inlineStr">
        <is>
          <t>111659</t>
        </is>
      </c>
      <c r="C666" t="inlineStr">
        <is>
          <t>GASOLINE BLENDSTOCK (RBOB) - NEW YORK MERCANTILE EXCHANGE</t>
        </is>
      </c>
      <c r="D666" t="n">
        <v>124115</v>
      </c>
      <c r="E666" t="n">
        <v>14603</v>
      </c>
      <c r="F666" t="n">
        <v>8304</v>
      </c>
      <c r="G666" t="n">
        <v>1176</v>
      </c>
      <c r="H666">
        <f>E666-F666</f>
        <v/>
      </c>
      <c r="I666">
        <f>(E666-F666)/D666</f>
        <v/>
      </c>
    </row>
    <row r="667">
      <c r="A667" s="3" t="n">
        <v>39049</v>
      </c>
      <c r="B667" t="inlineStr">
        <is>
          <t>111659</t>
        </is>
      </c>
      <c r="C667" t="inlineStr">
        <is>
          <t>GASOLINE BLENDSTOCK (RBOB) - NEW YORK MERCANTILE EXCHANGE</t>
        </is>
      </c>
      <c r="D667" t="n">
        <v>121321</v>
      </c>
      <c r="E667" t="n">
        <v>14204</v>
      </c>
      <c r="F667" t="n">
        <v>8216</v>
      </c>
      <c r="G667" t="n">
        <v>1823</v>
      </c>
      <c r="H667">
        <f>E667-F667</f>
        <v/>
      </c>
      <c r="I667">
        <f>(E667-F667)/D667</f>
        <v/>
      </c>
    </row>
    <row r="668">
      <c r="A668" s="3" t="n">
        <v>39056</v>
      </c>
      <c r="B668" t="inlineStr">
        <is>
          <t>111659</t>
        </is>
      </c>
      <c r="C668" t="inlineStr">
        <is>
          <t>GASOLINE BLENDSTOCK (RBOB) - NEW YORK MERCANTILE EXCHANGE</t>
        </is>
      </c>
      <c r="D668" t="n">
        <v>121496</v>
      </c>
      <c r="E668" t="n">
        <v>15604</v>
      </c>
      <c r="F668" t="n">
        <v>8369</v>
      </c>
      <c r="G668" t="n">
        <v>2738</v>
      </c>
      <c r="H668">
        <f>E668-F668</f>
        <v/>
      </c>
      <c r="I668">
        <f>(E668-F668)/D668</f>
        <v/>
      </c>
    </row>
    <row r="669">
      <c r="A669" s="3" t="n">
        <v>39063</v>
      </c>
      <c r="B669" t="inlineStr">
        <is>
          <t>111659</t>
        </is>
      </c>
      <c r="C669" t="inlineStr">
        <is>
          <t>GASOLINE BLENDSTOCK (RBOB) - NEW YORK MERCANTILE EXCHANGE</t>
        </is>
      </c>
      <c r="D669" t="n">
        <v>128516</v>
      </c>
      <c r="E669" t="n">
        <v>18948</v>
      </c>
      <c r="F669" t="n">
        <v>11285</v>
      </c>
      <c r="G669" t="n">
        <v>1733</v>
      </c>
      <c r="H669">
        <f>E669-F669</f>
        <v/>
      </c>
      <c r="I669">
        <f>(E669-F669)/D669</f>
        <v/>
      </c>
    </row>
    <row r="670">
      <c r="A670" s="3" t="n">
        <v>39070</v>
      </c>
      <c r="B670" t="inlineStr">
        <is>
          <t>111659</t>
        </is>
      </c>
      <c r="C670" t="inlineStr">
        <is>
          <t>GASOLINE BLENDSTOCK (RBOB) - NEW YORK MERCANTILE EXCHANGE</t>
        </is>
      </c>
      <c r="D670" t="n">
        <v>136276</v>
      </c>
      <c r="E670" t="n">
        <v>18476</v>
      </c>
      <c r="F670" t="n">
        <v>8935</v>
      </c>
      <c r="G670" t="n">
        <v>1424</v>
      </c>
      <c r="H670">
        <f>E670-F670</f>
        <v/>
      </c>
      <c r="I670">
        <f>(E670-F670)/D670</f>
        <v/>
      </c>
    </row>
    <row r="671">
      <c r="A671" s="3" t="n">
        <v>39077</v>
      </c>
      <c r="B671" t="inlineStr">
        <is>
          <t>111659</t>
        </is>
      </c>
      <c r="C671" t="inlineStr">
        <is>
          <t>GASOLINE BLENDSTOCK (RBOB) - NEW YORK MERCANTILE EXCHANGE</t>
        </is>
      </c>
      <c r="D671" t="n">
        <v>143582</v>
      </c>
      <c r="E671" t="n">
        <v>18011</v>
      </c>
      <c r="F671" t="n">
        <v>14158</v>
      </c>
      <c r="G671" t="n">
        <v>1237</v>
      </c>
      <c r="H671">
        <f>E671-F671</f>
        <v/>
      </c>
      <c r="I671">
        <f>(E671-F671)/D671</f>
        <v/>
      </c>
    </row>
    <row r="672">
      <c r="A672" s="3" t="n">
        <v>39085</v>
      </c>
      <c r="B672" t="inlineStr">
        <is>
          <t>111659</t>
        </is>
      </c>
      <c r="C672" t="inlineStr">
        <is>
          <t>GASOLINE BLENDSTOCK (RBOB) - NEW YORK MERCANTILE EXCHANGE</t>
        </is>
      </c>
      <c r="D672" t="n">
        <v>147462</v>
      </c>
      <c r="E672" t="n">
        <v>21160</v>
      </c>
      <c r="F672" t="n">
        <v>17892</v>
      </c>
      <c r="G672" t="n">
        <v>1947</v>
      </c>
      <c r="H672">
        <f>E672-F672</f>
        <v/>
      </c>
      <c r="I672">
        <f>(E672-F672)/D672</f>
        <v/>
      </c>
    </row>
    <row r="673">
      <c r="A673" s="3" t="n">
        <v>39091</v>
      </c>
      <c r="B673" t="inlineStr">
        <is>
          <t>111659</t>
        </is>
      </c>
      <c r="C673" t="inlineStr">
        <is>
          <t>GASOLINE BLENDSTOCK (RBOB) - NEW YORK MERCANTILE EXCHANGE</t>
        </is>
      </c>
      <c r="D673" t="n">
        <v>159514</v>
      </c>
      <c r="E673" t="n">
        <v>21790</v>
      </c>
      <c r="F673" t="n">
        <v>20843</v>
      </c>
      <c r="G673" t="n">
        <v>2398</v>
      </c>
      <c r="H673">
        <f>E673-F673</f>
        <v/>
      </c>
      <c r="I673">
        <f>(E673-F673)/D673</f>
        <v/>
      </c>
    </row>
    <row r="674">
      <c r="A674" s="3" t="n">
        <v>39098</v>
      </c>
      <c r="B674" t="inlineStr">
        <is>
          <t>111659</t>
        </is>
      </c>
      <c r="C674" t="inlineStr">
        <is>
          <t>GASOLINE BLENDSTOCK (RBOB) - NEW YORK MERCANTILE EXCHANGE</t>
        </is>
      </c>
      <c r="D674" t="n">
        <v>166779</v>
      </c>
      <c r="E674" t="n">
        <v>21085</v>
      </c>
      <c r="F674" t="n">
        <v>21985</v>
      </c>
      <c r="G674" t="n">
        <v>3366</v>
      </c>
      <c r="H674">
        <f>E674-F674</f>
        <v/>
      </c>
      <c r="I674">
        <f>(E674-F674)/D674</f>
        <v/>
      </c>
    </row>
    <row r="675">
      <c r="A675" s="3" t="n">
        <v>39105</v>
      </c>
      <c r="B675" t="inlineStr">
        <is>
          <t>111659</t>
        </is>
      </c>
      <c r="C675" t="inlineStr">
        <is>
          <t>GASOLINE BLENDSTOCK (RBOB) - NEW YORK MERCANTILE EXCHANGE</t>
        </is>
      </c>
      <c r="D675" t="n">
        <v>167007</v>
      </c>
      <c r="E675" t="n">
        <v>23294</v>
      </c>
      <c r="F675" t="n">
        <v>24301</v>
      </c>
      <c r="G675" t="n">
        <v>4113</v>
      </c>
      <c r="H675">
        <f>E675-F675</f>
        <v/>
      </c>
      <c r="I675">
        <f>(E675-F675)/D675</f>
        <v/>
      </c>
    </row>
    <row r="676">
      <c r="A676" s="3" t="n">
        <v>39112</v>
      </c>
      <c r="B676" t="inlineStr">
        <is>
          <t>111659</t>
        </is>
      </c>
      <c r="C676" t="inlineStr">
        <is>
          <t>GASOLINE BLENDSTOCK (RBOB) - NEW YORK MERCANTILE EXCHANGE</t>
        </is>
      </c>
      <c r="D676" t="n">
        <v>160062</v>
      </c>
      <c r="E676" t="n">
        <v>26112</v>
      </c>
      <c r="F676" t="n">
        <v>18658</v>
      </c>
      <c r="G676" t="n">
        <v>5576</v>
      </c>
      <c r="H676">
        <f>E676-F676</f>
        <v/>
      </c>
      <c r="I676">
        <f>(E676-F676)/D676</f>
        <v/>
      </c>
    </row>
    <row r="677">
      <c r="A677" s="3" t="n">
        <v>39119</v>
      </c>
      <c r="B677" t="inlineStr">
        <is>
          <t>111659</t>
        </is>
      </c>
      <c r="C677" t="inlineStr">
        <is>
          <t>GASOLINE BLENDSTOCK (RBOB) - NEW YORK MERCANTILE EXCHANGE</t>
        </is>
      </c>
      <c r="D677" t="n">
        <v>156578</v>
      </c>
      <c r="E677" t="n">
        <v>25942</v>
      </c>
      <c r="F677" t="n">
        <v>16571</v>
      </c>
      <c r="G677" t="n">
        <v>5908</v>
      </c>
      <c r="H677">
        <f>E677-F677</f>
        <v/>
      </c>
      <c r="I677">
        <f>(E677-F677)/D677</f>
        <v/>
      </c>
    </row>
    <row r="678">
      <c r="A678" s="3" t="n">
        <v>39126</v>
      </c>
      <c r="B678" t="inlineStr">
        <is>
          <t>111659</t>
        </is>
      </c>
      <c r="C678" t="inlineStr">
        <is>
          <t>GASOLINE BLENDSTOCK (RBOB) - NEW YORK MERCANTILE EXCHANGE</t>
        </is>
      </c>
      <c r="D678" t="n">
        <v>160196</v>
      </c>
      <c r="E678" t="n">
        <v>24810</v>
      </c>
      <c r="F678" t="n">
        <v>14860</v>
      </c>
      <c r="G678" t="n">
        <v>7471</v>
      </c>
      <c r="H678">
        <f>E678-F678</f>
        <v/>
      </c>
      <c r="I678">
        <f>(E678-F678)/D678</f>
        <v/>
      </c>
    </row>
    <row r="679">
      <c r="A679" s="3" t="n">
        <v>39133</v>
      </c>
      <c r="B679" t="inlineStr">
        <is>
          <t>111659</t>
        </is>
      </c>
      <c r="C679" t="inlineStr">
        <is>
          <t>GASOLINE BLENDSTOCK (RBOB) - NEW YORK MERCANTILE EXCHANGE</t>
        </is>
      </c>
      <c r="D679" t="n">
        <v>165247</v>
      </c>
      <c r="E679" t="n">
        <v>25063</v>
      </c>
      <c r="F679" t="n">
        <v>14021</v>
      </c>
      <c r="G679" t="n">
        <v>6772</v>
      </c>
      <c r="H679">
        <f>E679-F679</f>
        <v/>
      </c>
      <c r="I679">
        <f>(E679-F679)/D679</f>
        <v/>
      </c>
    </row>
    <row r="680">
      <c r="A680" s="3" t="n">
        <v>39140</v>
      </c>
      <c r="B680" t="inlineStr">
        <is>
          <t>111659</t>
        </is>
      </c>
      <c r="C680" t="inlineStr">
        <is>
          <t>GASOLINE BLENDSTOCK (RBOB) - NEW YORK MERCANTILE EXCHANGE</t>
        </is>
      </c>
      <c r="D680" t="n">
        <v>161259</v>
      </c>
      <c r="E680" t="n">
        <v>24018</v>
      </c>
      <c r="F680" t="n">
        <v>8216</v>
      </c>
      <c r="G680" t="n">
        <v>5742</v>
      </c>
      <c r="H680">
        <f>E680-F680</f>
        <v/>
      </c>
      <c r="I680">
        <f>(E680-F680)/D680</f>
        <v/>
      </c>
    </row>
    <row r="681">
      <c r="A681" s="3" t="n">
        <v>39147</v>
      </c>
      <c r="B681" t="inlineStr">
        <is>
          <t>111659</t>
        </is>
      </c>
      <c r="C681" t="inlineStr">
        <is>
          <t>GASOLINE BLENDSTOCK (RBOB) - NEW YORK MERCANTILE EXCHANGE</t>
        </is>
      </c>
      <c r="D681" t="n">
        <v>166182</v>
      </c>
      <c r="E681" t="n">
        <v>27855</v>
      </c>
      <c r="F681" t="n">
        <v>7010</v>
      </c>
      <c r="G681" t="n">
        <v>6687</v>
      </c>
      <c r="H681">
        <f>E681-F681</f>
        <v/>
      </c>
      <c r="I681">
        <f>(E681-F681)/D681</f>
        <v/>
      </c>
    </row>
    <row r="682">
      <c r="A682" s="3" t="n">
        <v>39154</v>
      </c>
      <c r="B682" t="inlineStr">
        <is>
          <t>111659</t>
        </is>
      </c>
      <c r="C682" t="inlineStr">
        <is>
          <t>GASOLINE BLENDSTOCK (RBOB) - NEW YORK MERCANTILE EXCHANGE</t>
        </is>
      </c>
      <c r="D682" t="n">
        <v>167680</v>
      </c>
      <c r="E682" t="n">
        <v>28647</v>
      </c>
      <c r="F682" t="n">
        <v>5700</v>
      </c>
      <c r="G682" t="n">
        <v>7722</v>
      </c>
      <c r="H682">
        <f>E682-F682</f>
        <v/>
      </c>
      <c r="I682">
        <f>(E682-F682)/D682</f>
        <v/>
      </c>
    </row>
    <row r="683">
      <c r="A683" s="3" t="n">
        <v>39161</v>
      </c>
      <c r="B683" t="inlineStr">
        <is>
          <t>111659</t>
        </is>
      </c>
      <c r="C683" t="inlineStr">
        <is>
          <t>GASOLINE BLENDSTOCK (RBOB) - NEW YORK MERCANTILE EXCHANGE</t>
        </is>
      </c>
      <c r="D683" t="n">
        <v>168222</v>
      </c>
      <c r="E683" t="n">
        <v>27721</v>
      </c>
      <c r="F683" t="n">
        <v>4308</v>
      </c>
      <c r="G683" t="n">
        <v>7382</v>
      </c>
      <c r="H683">
        <f>E683-F683</f>
        <v/>
      </c>
      <c r="I683">
        <f>(E683-F683)/D683</f>
        <v/>
      </c>
    </row>
    <row r="684">
      <c r="A684" s="3" t="n">
        <v>39168</v>
      </c>
      <c r="B684" t="inlineStr">
        <is>
          <t>111659</t>
        </is>
      </c>
      <c r="C684" t="inlineStr">
        <is>
          <t>GASOLINE BLENDSTOCK (RBOB) - NEW YORK MERCANTILE EXCHANGE</t>
        </is>
      </c>
      <c r="D684" t="n">
        <v>164359</v>
      </c>
      <c r="E684" t="n">
        <v>34058</v>
      </c>
      <c r="F684" t="n">
        <v>4270</v>
      </c>
      <c r="G684" t="n">
        <v>6939</v>
      </c>
      <c r="H684">
        <f>E684-F684</f>
        <v/>
      </c>
      <c r="I684">
        <f>(E684-F684)/D684</f>
        <v/>
      </c>
    </row>
    <row r="685">
      <c r="A685" s="3" t="n">
        <v>39175</v>
      </c>
      <c r="B685" t="inlineStr">
        <is>
          <t>111659</t>
        </is>
      </c>
      <c r="C685" t="inlineStr">
        <is>
          <t>GASOLINE BLENDSTOCK (RBOB) - NEW YORK MERCANTILE EXCHANGE</t>
        </is>
      </c>
      <c r="D685" t="n">
        <v>166050</v>
      </c>
      <c r="E685" t="n">
        <v>35075</v>
      </c>
      <c r="F685" t="n">
        <v>4661</v>
      </c>
      <c r="G685" t="n">
        <v>6369</v>
      </c>
      <c r="H685">
        <f>E685-F685</f>
        <v/>
      </c>
      <c r="I685">
        <f>(E685-F685)/D685</f>
        <v/>
      </c>
    </row>
    <row r="686">
      <c r="A686" s="3" t="n">
        <v>39182</v>
      </c>
      <c r="B686" t="inlineStr">
        <is>
          <t>111659</t>
        </is>
      </c>
      <c r="C686" t="inlineStr">
        <is>
          <t>GASOLINE BLENDSTOCK (RBOB) - NEW YORK MERCANTILE EXCHANGE</t>
        </is>
      </c>
      <c r="D686" t="n">
        <v>164313</v>
      </c>
      <c r="E686" t="n">
        <v>35588</v>
      </c>
      <c r="F686" t="n">
        <v>4539</v>
      </c>
      <c r="G686" t="n">
        <v>5882</v>
      </c>
      <c r="H686">
        <f>E686-F686</f>
        <v/>
      </c>
      <c r="I686">
        <f>(E686-F686)/D686</f>
        <v/>
      </c>
    </row>
    <row r="687">
      <c r="A687" s="3" t="n">
        <v>39189</v>
      </c>
      <c r="B687" t="inlineStr">
        <is>
          <t>111659</t>
        </is>
      </c>
      <c r="C687" t="inlineStr">
        <is>
          <t>GASOLINE BLENDSTOCK (RBOB) - NEW YORK MERCANTILE EXCHANGE</t>
        </is>
      </c>
      <c r="D687" t="n">
        <v>178170</v>
      </c>
      <c r="E687" t="n">
        <v>34709</v>
      </c>
      <c r="F687" t="n">
        <v>5208</v>
      </c>
      <c r="G687" t="n">
        <v>5507</v>
      </c>
      <c r="H687">
        <f>E687-F687</f>
        <v/>
      </c>
      <c r="I687">
        <f>(E687-F687)/D687</f>
        <v/>
      </c>
    </row>
    <row r="688">
      <c r="A688" s="3" t="n">
        <v>39196</v>
      </c>
      <c r="B688" t="inlineStr">
        <is>
          <t>111659</t>
        </is>
      </c>
      <c r="C688" t="inlineStr">
        <is>
          <t>GASOLINE BLENDSTOCK (RBOB) - NEW YORK MERCANTILE EXCHANGE</t>
        </is>
      </c>
      <c r="D688" t="n">
        <v>177043</v>
      </c>
      <c r="E688" t="n">
        <v>33903</v>
      </c>
      <c r="F688" t="n">
        <v>5541</v>
      </c>
      <c r="G688" t="n">
        <v>5483</v>
      </c>
      <c r="H688">
        <f>E688-F688</f>
        <v/>
      </c>
      <c r="I688">
        <f>(E688-F688)/D688</f>
        <v/>
      </c>
    </row>
    <row r="689">
      <c r="A689" s="3" t="n">
        <v>39203</v>
      </c>
      <c r="B689" t="inlineStr">
        <is>
          <t>111659</t>
        </is>
      </c>
      <c r="C689" t="inlineStr">
        <is>
          <t>GASOLINE BLENDSTOCK (RBOB) - NEW YORK MERCANTILE EXCHANGE</t>
        </is>
      </c>
      <c r="D689" t="n">
        <v>165418</v>
      </c>
      <c r="E689" t="n">
        <v>38179</v>
      </c>
      <c r="F689" t="n">
        <v>4720</v>
      </c>
      <c r="G689" t="n">
        <v>6023</v>
      </c>
      <c r="H689">
        <f>E689-F689</f>
        <v/>
      </c>
      <c r="I689">
        <f>(E689-F689)/D689</f>
        <v/>
      </c>
    </row>
    <row r="690">
      <c r="A690" s="3" t="n">
        <v>39210</v>
      </c>
      <c r="B690" t="inlineStr">
        <is>
          <t>111659</t>
        </is>
      </c>
      <c r="C690" t="inlineStr">
        <is>
          <t>GASOLINE BLENDSTOCK (RBOB) - NEW YORK MERCANTILE EXCHANGE</t>
        </is>
      </c>
      <c r="D690" t="n">
        <v>166087</v>
      </c>
      <c r="E690" t="n">
        <v>35710</v>
      </c>
      <c r="F690" t="n">
        <v>8739</v>
      </c>
      <c r="G690" t="n">
        <v>6669</v>
      </c>
      <c r="H690">
        <f>E690-F690</f>
        <v/>
      </c>
      <c r="I690">
        <f>(E690-F690)/D690</f>
        <v/>
      </c>
    </row>
    <row r="691">
      <c r="A691" s="3" t="n">
        <v>39217</v>
      </c>
      <c r="B691" t="inlineStr">
        <is>
          <t>111659</t>
        </is>
      </c>
      <c r="C691" t="inlineStr">
        <is>
          <t>GASOLINE BLENDSTOCK (RBOB) - NEW YORK MERCANTILE EXCHANGE</t>
        </is>
      </c>
      <c r="D691" t="n">
        <v>174273</v>
      </c>
      <c r="E691" t="n">
        <v>38348</v>
      </c>
      <c r="F691" t="n">
        <v>9696</v>
      </c>
      <c r="G691" t="n">
        <v>8210</v>
      </c>
      <c r="H691">
        <f>E691-F691</f>
        <v/>
      </c>
      <c r="I691">
        <f>(E691-F691)/D691</f>
        <v/>
      </c>
    </row>
    <row r="692">
      <c r="A692" s="3" t="n">
        <v>39224</v>
      </c>
      <c r="B692" t="inlineStr">
        <is>
          <t>111659</t>
        </is>
      </c>
      <c r="C692" t="inlineStr">
        <is>
          <t>GASOLINE BLENDSTOCK (RBOB) - NEW YORK MERCANTILE EXCHANGE</t>
        </is>
      </c>
      <c r="D692" t="n">
        <v>181135</v>
      </c>
      <c r="E692" t="n">
        <v>36407</v>
      </c>
      <c r="F692" t="n">
        <v>11326</v>
      </c>
      <c r="G692" t="n">
        <v>7517</v>
      </c>
      <c r="H692">
        <f>E692-F692</f>
        <v/>
      </c>
      <c r="I692">
        <f>(E692-F692)/D692</f>
        <v/>
      </c>
    </row>
    <row r="693">
      <c r="A693" s="3" t="n">
        <v>39231</v>
      </c>
      <c r="B693" t="inlineStr">
        <is>
          <t>111659</t>
        </is>
      </c>
      <c r="C693" t="inlineStr">
        <is>
          <t>GASOLINE BLENDSTOCK (RBOB) - NEW YORK MERCANTILE EXCHANGE</t>
        </is>
      </c>
      <c r="D693" t="n">
        <v>175918</v>
      </c>
      <c r="E693" t="n">
        <v>36573</v>
      </c>
      <c r="F693" t="n">
        <v>10330</v>
      </c>
      <c r="G693" t="n">
        <v>6667</v>
      </c>
      <c r="H693">
        <f>E693-F693</f>
        <v/>
      </c>
      <c r="I693">
        <f>(E693-F693)/D693</f>
        <v/>
      </c>
    </row>
    <row r="694">
      <c r="A694" s="3" t="n">
        <v>39238</v>
      </c>
      <c r="B694" t="inlineStr">
        <is>
          <t>111659</t>
        </is>
      </c>
      <c r="C694" t="inlineStr">
        <is>
          <t>GASOLINE BLENDSTOCK (RBOB) - NEW YORK MERCANTILE EXCHANGE</t>
        </is>
      </c>
      <c r="D694" t="n">
        <v>168752</v>
      </c>
      <c r="E694" t="n">
        <v>37087</v>
      </c>
      <c r="F694" t="n">
        <v>8351</v>
      </c>
      <c r="G694" t="n">
        <v>7810</v>
      </c>
      <c r="H694">
        <f>E694-F694</f>
        <v/>
      </c>
      <c r="I694">
        <f>(E694-F694)/D694</f>
        <v/>
      </c>
    </row>
    <row r="695">
      <c r="A695" s="3" t="n">
        <v>39245</v>
      </c>
      <c r="B695" t="inlineStr">
        <is>
          <t>111659</t>
        </is>
      </c>
      <c r="C695" t="inlineStr">
        <is>
          <t>GASOLINE BLENDSTOCK (RBOB) - NEW YORK MERCANTILE EXCHANGE</t>
        </is>
      </c>
      <c r="D695" t="n">
        <v>185560</v>
      </c>
      <c r="E695" t="n">
        <v>34864</v>
      </c>
      <c r="F695" t="n">
        <v>5525</v>
      </c>
      <c r="G695" t="n">
        <v>13736</v>
      </c>
      <c r="H695">
        <f>E695-F695</f>
        <v/>
      </c>
      <c r="I695">
        <f>(E695-F695)/D695</f>
        <v/>
      </c>
    </row>
    <row r="696">
      <c r="A696" s="3" t="n">
        <v>39252</v>
      </c>
      <c r="B696" t="inlineStr">
        <is>
          <t>111659</t>
        </is>
      </c>
      <c r="C696" t="inlineStr">
        <is>
          <t>GASOLINE BLENDSTOCK (RBOB) - NEW YORK MERCANTILE EXCHANGE</t>
        </is>
      </c>
      <c r="D696" t="n">
        <v>189493</v>
      </c>
      <c r="E696" t="n">
        <v>41030</v>
      </c>
      <c r="F696" t="n">
        <v>3465</v>
      </c>
      <c r="G696" t="n">
        <v>11941</v>
      </c>
      <c r="H696">
        <f>E696-F696</f>
        <v/>
      </c>
      <c r="I696">
        <f>(E696-F696)/D696</f>
        <v/>
      </c>
    </row>
    <row r="697">
      <c r="A697" s="3" t="n">
        <v>39259</v>
      </c>
      <c r="B697" t="inlineStr">
        <is>
          <t>111659</t>
        </is>
      </c>
      <c r="C697" t="inlineStr">
        <is>
          <t>GASOLINE BLENDSTOCK (RBOB) - NEW YORK MERCANTILE EXCHANGE</t>
        </is>
      </c>
      <c r="D697" t="n">
        <v>190670</v>
      </c>
      <c r="E697" t="n">
        <v>42401</v>
      </c>
      <c r="F697" t="n">
        <v>4039</v>
      </c>
      <c r="G697" t="n">
        <v>11078</v>
      </c>
      <c r="H697">
        <f>E697-F697</f>
        <v/>
      </c>
      <c r="I697">
        <f>(E697-F697)/D697</f>
        <v/>
      </c>
    </row>
    <row r="698">
      <c r="A698" s="3" t="n">
        <v>39266</v>
      </c>
      <c r="B698" t="inlineStr">
        <is>
          <t>111659</t>
        </is>
      </c>
      <c r="C698" t="inlineStr">
        <is>
          <t>GASOLINE BLENDSTOCK (RBOB) - NEW YORK MERCANTILE EXCHANGE</t>
        </is>
      </c>
      <c r="D698" t="n">
        <v>179638</v>
      </c>
      <c r="E698" t="n">
        <v>43915</v>
      </c>
      <c r="F698" t="n">
        <v>4564</v>
      </c>
      <c r="G698" t="n">
        <v>10662</v>
      </c>
      <c r="H698">
        <f>E698-F698</f>
        <v/>
      </c>
      <c r="I698">
        <f>(E698-F698)/D698</f>
        <v/>
      </c>
    </row>
    <row r="699">
      <c r="A699" s="3" t="n">
        <v>39273</v>
      </c>
      <c r="B699" t="inlineStr">
        <is>
          <t>111659</t>
        </is>
      </c>
      <c r="C699" t="inlineStr">
        <is>
          <t>GASOLINE BLENDSTOCK (RBOB) - NEW YORK MERCANTILE EXCHANGE</t>
        </is>
      </c>
      <c r="D699" t="n">
        <v>189495</v>
      </c>
      <c r="E699" t="n">
        <v>49700</v>
      </c>
      <c r="F699" t="n">
        <v>4678</v>
      </c>
      <c r="G699" t="n">
        <v>10412</v>
      </c>
      <c r="H699">
        <f>E699-F699</f>
        <v/>
      </c>
      <c r="I699">
        <f>(E699-F699)/D699</f>
        <v/>
      </c>
    </row>
    <row r="700">
      <c r="A700" s="3" t="n">
        <v>39280</v>
      </c>
      <c r="B700" t="inlineStr">
        <is>
          <t>111659</t>
        </is>
      </c>
      <c r="C700" t="inlineStr">
        <is>
          <t>GASOLINE BLENDSTOCK (RBOB) - NEW YORK MERCANTILE EXCHANGE</t>
        </is>
      </c>
      <c r="D700" t="n">
        <v>186036</v>
      </c>
      <c r="E700" t="n">
        <v>40767</v>
      </c>
      <c r="F700" t="n">
        <v>5815</v>
      </c>
      <c r="G700" t="n">
        <v>11276</v>
      </c>
      <c r="H700">
        <f>E700-F700</f>
        <v/>
      </c>
      <c r="I700">
        <f>(E700-F700)/D700</f>
        <v/>
      </c>
    </row>
    <row r="701">
      <c r="A701" s="3" t="n">
        <v>39287</v>
      </c>
      <c r="B701" t="inlineStr">
        <is>
          <t>111659</t>
        </is>
      </c>
      <c r="C701" t="inlineStr">
        <is>
          <t>GASOLINE BLENDSTOCK (RBOB) - NEW YORK MERCANTILE EXCHANGE</t>
        </is>
      </c>
      <c r="D701" t="n">
        <v>193827</v>
      </c>
      <c r="E701" t="n">
        <v>39402</v>
      </c>
      <c r="F701" t="n">
        <v>5320</v>
      </c>
      <c r="G701" t="n">
        <v>10940</v>
      </c>
      <c r="H701">
        <f>E701-F701</f>
        <v/>
      </c>
      <c r="I701">
        <f>(E701-F701)/D701</f>
        <v/>
      </c>
    </row>
    <row r="702">
      <c r="A702" s="3" t="n">
        <v>39294</v>
      </c>
      <c r="B702" t="inlineStr">
        <is>
          <t>111659</t>
        </is>
      </c>
      <c r="C702" t="inlineStr">
        <is>
          <t>GASOLINE BLENDSTOCK (RBOB) - NEW YORK MERCANTILE EXCHANGE</t>
        </is>
      </c>
      <c r="D702" t="n">
        <v>186555</v>
      </c>
      <c r="E702" t="n">
        <v>43314</v>
      </c>
      <c r="F702" t="n">
        <v>5441</v>
      </c>
      <c r="G702" t="n">
        <v>10042</v>
      </c>
      <c r="H702">
        <f>E702-F702</f>
        <v/>
      </c>
      <c r="I702">
        <f>(E702-F702)/D702</f>
        <v/>
      </c>
    </row>
    <row r="703">
      <c r="A703" s="3" t="n">
        <v>39301</v>
      </c>
      <c r="B703" t="inlineStr">
        <is>
          <t>111659</t>
        </is>
      </c>
      <c r="C703" t="inlineStr">
        <is>
          <t>GASOLINE BLENDSTOCK (RBOB) - NEW YORK MERCANTILE EXCHANGE</t>
        </is>
      </c>
      <c r="D703" t="n">
        <v>186045</v>
      </c>
      <c r="E703" t="n">
        <v>40456</v>
      </c>
      <c r="F703" t="n">
        <v>6858</v>
      </c>
      <c r="G703" t="n">
        <v>10004</v>
      </c>
      <c r="H703">
        <f>E703-F703</f>
        <v/>
      </c>
      <c r="I703">
        <f>(E703-F703)/D703</f>
        <v/>
      </c>
    </row>
    <row r="704">
      <c r="A704" s="3" t="n">
        <v>39308</v>
      </c>
      <c r="B704" t="inlineStr">
        <is>
          <t>111659</t>
        </is>
      </c>
      <c r="C704" t="inlineStr">
        <is>
          <t>GASOLINE BLENDSTOCK (RBOB) - NEW YORK MERCANTILE EXCHANGE</t>
        </is>
      </c>
      <c r="D704" t="n">
        <v>188129</v>
      </c>
      <c r="E704" t="n">
        <v>35691</v>
      </c>
      <c r="F704" t="n">
        <v>8735</v>
      </c>
      <c r="G704" t="n">
        <v>9622</v>
      </c>
      <c r="H704">
        <f>E704-F704</f>
        <v/>
      </c>
      <c r="I704">
        <f>(E704-F704)/D704</f>
        <v/>
      </c>
    </row>
    <row r="705">
      <c r="A705" s="3" t="n">
        <v>39315</v>
      </c>
      <c r="B705" t="inlineStr">
        <is>
          <t>111659</t>
        </is>
      </c>
      <c r="C705" t="inlineStr">
        <is>
          <t>GASOLINE BLENDSTOCK (RBOB) - NEW YORK MERCANTILE EXCHANGE</t>
        </is>
      </c>
      <c r="D705" t="n">
        <v>188647</v>
      </c>
      <c r="E705" t="n">
        <v>31078</v>
      </c>
      <c r="F705" t="n">
        <v>10004</v>
      </c>
      <c r="G705" t="n">
        <v>8966</v>
      </c>
      <c r="H705">
        <f>E705-F705</f>
        <v/>
      </c>
      <c r="I705">
        <f>(E705-F705)/D705</f>
        <v/>
      </c>
    </row>
    <row r="706">
      <c r="A706" s="3" t="n">
        <v>39322</v>
      </c>
      <c r="B706" t="inlineStr">
        <is>
          <t>111659</t>
        </is>
      </c>
      <c r="C706" t="inlineStr">
        <is>
          <t>GASOLINE BLENDSTOCK (RBOB) - NEW YORK MERCANTILE EXCHANGE</t>
        </is>
      </c>
      <c r="D706" t="n">
        <v>180320</v>
      </c>
      <c r="E706" t="n">
        <v>32645</v>
      </c>
      <c r="F706" t="n">
        <v>7422</v>
      </c>
      <c r="G706" t="n">
        <v>6861</v>
      </c>
      <c r="H706">
        <f>E706-F706</f>
        <v/>
      </c>
      <c r="I706">
        <f>(E706-F706)/D706</f>
        <v/>
      </c>
    </row>
    <row r="707">
      <c r="A707" s="3" t="n">
        <v>39329</v>
      </c>
      <c r="B707" t="inlineStr">
        <is>
          <t>111659</t>
        </is>
      </c>
      <c r="C707" t="inlineStr">
        <is>
          <t>GASOLINE BLENDSTOCK (RBOB) - NEW YORK MERCANTILE EXCHANGE</t>
        </is>
      </c>
      <c r="D707" t="n">
        <v>173903</v>
      </c>
      <c r="E707" t="n">
        <v>39313</v>
      </c>
      <c r="F707" t="n">
        <v>6227</v>
      </c>
      <c r="G707" t="n">
        <v>7596</v>
      </c>
      <c r="H707">
        <f>E707-F707</f>
        <v/>
      </c>
      <c r="I707">
        <f>(E707-F707)/D707</f>
        <v/>
      </c>
    </row>
    <row r="708">
      <c r="A708" s="3" t="n">
        <v>39336</v>
      </c>
      <c r="B708" t="inlineStr">
        <is>
          <t>111659</t>
        </is>
      </c>
      <c r="C708" t="inlineStr">
        <is>
          <t>GASOLINE BLENDSTOCK (RBOB) - NEW YORK MERCANTILE EXCHANGE</t>
        </is>
      </c>
      <c r="D708" t="n">
        <v>178068</v>
      </c>
      <c r="E708" t="n">
        <v>43739</v>
      </c>
      <c r="F708" t="n">
        <v>5653</v>
      </c>
      <c r="G708" t="n">
        <v>5413</v>
      </c>
      <c r="H708">
        <f>E708-F708</f>
        <v/>
      </c>
      <c r="I708">
        <f>(E708-F708)/D708</f>
        <v/>
      </c>
    </row>
    <row r="709">
      <c r="A709" s="3" t="n">
        <v>39343</v>
      </c>
      <c r="B709" t="inlineStr">
        <is>
          <t>111659</t>
        </is>
      </c>
      <c r="C709" t="inlineStr">
        <is>
          <t>GASOLINE BLENDSTOCK (RBOB) - NEW YORK MERCANTILE EXCHANGE</t>
        </is>
      </c>
      <c r="D709" t="n">
        <v>196274</v>
      </c>
      <c r="E709" t="n">
        <v>53281</v>
      </c>
      <c r="F709" t="n">
        <v>5280</v>
      </c>
      <c r="G709" t="n">
        <v>6320</v>
      </c>
      <c r="H709">
        <f>E709-F709</f>
        <v/>
      </c>
      <c r="I709">
        <f>(E709-F709)/D709</f>
        <v/>
      </c>
    </row>
    <row r="710">
      <c r="A710" s="3" t="n">
        <v>39350</v>
      </c>
      <c r="B710" t="inlineStr">
        <is>
          <t>111659</t>
        </is>
      </c>
      <c r="C710" t="inlineStr">
        <is>
          <t>GASOLINE BLENDSTOCK (RBOB) - NEW YORK MERCANTILE EXCHANGE</t>
        </is>
      </c>
      <c r="D710" t="n">
        <v>196935</v>
      </c>
      <c r="E710" t="n">
        <v>53031</v>
      </c>
      <c r="F710" t="n">
        <v>4538</v>
      </c>
      <c r="G710" t="n">
        <v>6901</v>
      </c>
      <c r="H710">
        <f>E710-F710</f>
        <v/>
      </c>
      <c r="I710">
        <f>(E710-F710)/D710</f>
        <v/>
      </c>
    </row>
    <row r="711">
      <c r="A711" s="3" t="n">
        <v>39357</v>
      </c>
      <c r="B711" t="inlineStr">
        <is>
          <t>111659</t>
        </is>
      </c>
      <c r="C711" t="inlineStr">
        <is>
          <t>GASOLINE BLENDSTOCK (RBOB) - NEW YORK MERCANTILE EXCHANGE</t>
        </is>
      </c>
      <c r="D711" t="n">
        <v>189668</v>
      </c>
      <c r="E711" t="n">
        <v>48571</v>
      </c>
      <c r="F711" t="n">
        <v>4930</v>
      </c>
      <c r="G711" t="n">
        <v>6183</v>
      </c>
      <c r="H711">
        <f>E711-F711</f>
        <v/>
      </c>
      <c r="I711">
        <f>(E711-F711)/D711</f>
        <v/>
      </c>
    </row>
    <row r="712">
      <c r="A712" s="3" t="n">
        <v>39364</v>
      </c>
      <c r="B712" t="inlineStr">
        <is>
          <t>111659</t>
        </is>
      </c>
      <c r="C712" t="inlineStr">
        <is>
          <t>GASOLINE BLENDSTOCK (RBOB) - NEW YORK MERCANTILE EXCHANGE</t>
        </is>
      </c>
      <c r="D712" t="n">
        <v>190786</v>
      </c>
      <c r="E712" t="n">
        <v>50775</v>
      </c>
      <c r="F712" t="n">
        <v>4118</v>
      </c>
      <c r="G712" t="n">
        <v>5841</v>
      </c>
      <c r="H712">
        <f>E712-F712</f>
        <v/>
      </c>
      <c r="I712">
        <f>(E712-F712)/D712</f>
        <v/>
      </c>
    </row>
    <row r="713">
      <c r="A713" s="3" t="n">
        <v>39371</v>
      </c>
      <c r="B713" t="inlineStr">
        <is>
          <t>111659</t>
        </is>
      </c>
      <c r="C713" t="inlineStr">
        <is>
          <t>GASOLINE BLENDSTOCK (RBOB) - NEW YORK MERCANTILE EXCHANGE</t>
        </is>
      </c>
      <c r="D713" t="n">
        <v>197482</v>
      </c>
      <c r="E713" t="n">
        <v>54402</v>
      </c>
      <c r="F713" t="n">
        <v>3430</v>
      </c>
      <c r="G713" t="n">
        <v>6971</v>
      </c>
      <c r="H713">
        <f>E713-F713</f>
        <v/>
      </c>
      <c r="I713">
        <f>(E713-F713)/D713</f>
        <v/>
      </c>
    </row>
    <row r="714">
      <c r="A714" s="3" t="n">
        <v>39378</v>
      </c>
      <c r="B714" t="inlineStr">
        <is>
          <t>111659</t>
        </is>
      </c>
      <c r="C714" t="inlineStr">
        <is>
          <t>GASOLINE BLENDSTOCK (RBOB) - NEW YORK MERCANTILE EXCHANGE</t>
        </is>
      </c>
      <c r="D714" t="n">
        <v>201891</v>
      </c>
      <c r="E714" t="n">
        <v>55532</v>
      </c>
      <c r="F714" t="n">
        <v>3693</v>
      </c>
      <c r="G714" t="n">
        <v>6680</v>
      </c>
      <c r="H714">
        <f>E714-F714</f>
        <v/>
      </c>
      <c r="I714">
        <f>(E714-F714)/D714</f>
        <v/>
      </c>
    </row>
    <row r="715">
      <c r="A715" s="3" t="n">
        <v>39385</v>
      </c>
      <c r="B715" t="inlineStr">
        <is>
          <t>111659</t>
        </is>
      </c>
      <c r="C715" t="inlineStr">
        <is>
          <t>GASOLINE BLENDSTOCK (RBOB) - NEW YORK MERCANTILE EXCHANGE</t>
        </is>
      </c>
      <c r="D715" t="n">
        <v>193704</v>
      </c>
      <c r="E715" t="n">
        <v>53800</v>
      </c>
      <c r="F715" t="n">
        <v>4883</v>
      </c>
      <c r="G715" t="n">
        <v>6491</v>
      </c>
      <c r="H715">
        <f>E715-F715</f>
        <v/>
      </c>
      <c r="I715">
        <f>(E715-F715)/D715</f>
        <v/>
      </c>
    </row>
    <row r="716">
      <c r="A716" s="3" t="n">
        <v>39392</v>
      </c>
      <c r="B716" t="inlineStr">
        <is>
          <t>111659</t>
        </is>
      </c>
      <c r="C716" t="inlineStr">
        <is>
          <t>GASOLINE BLENDSTOCK (RBOB) - NEW YORK MERCANTILE EXCHANGE</t>
        </is>
      </c>
      <c r="D716" t="n">
        <v>203363</v>
      </c>
      <c r="E716" t="n">
        <v>48366</v>
      </c>
      <c r="F716" t="n">
        <v>4711</v>
      </c>
      <c r="G716" t="n">
        <v>7490</v>
      </c>
      <c r="H716">
        <f>E716-F716</f>
        <v/>
      </c>
      <c r="I716">
        <f>(E716-F716)/D716</f>
        <v/>
      </c>
    </row>
    <row r="717">
      <c r="A717" s="3" t="n">
        <v>39399</v>
      </c>
      <c r="B717" t="inlineStr">
        <is>
          <t>111659</t>
        </is>
      </c>
      <c r="C717" t="inlineStr">
        <is>
          <t>GASOLINE BLENDSTOCK (RBOB) - NEW YORK MERCANTILE EXCHANGE</t>
        </is>
      </c>
      <c r="D717" t="n">
        <v>211586</v>
      </c>
      <c r="E717" t="n">
        <v>48718</v>
      </c>
      <c r="F717" t="n">
        <v>3786</v>
      </c>
      <c r="G717" t="n">
        <v>8620</v>
      </c>
      <c r="H717">
        <f>E717-F717</f>
        <v/>
      </c>
      <c r="I717">
        <f>(E717-F717)/D717</f>
        <v/>
      </c>
    </row>
    <row r="718">
      <c r="A718" s="3" t="n">
        <v>39406</v>
      </c>
      <c r="B718" t="inlineStr">
        <is>
          <t>111659</t>
        </is>
      </c>
      <c r="C718" t="inlineStr">
        <is>
          <t>GASOLINE BLENDSTOCK (RBOB) - NEW YORK MERCANTILE EXCHANGE</t>
        </is>
      </c>
      <c r="D718" t="n">
        <v>211181</v>
      </c>
      <c r="E718" t="n">
        <v>50860</v>
      </c>
      <c r="F718" t="n">
        <v>4666</v>
      </c>
      <c r="G718" t="n">
        <v>7101</v>
      </c>
      <c r="H718">
        <f>E718-F718</f>
        <v/>
      </c>
      <c r="I718">
        <f>(E718-F718)/D718</f>
        <v/>
      </c>
    </row>
    <row r="719">
      <c r="A719" s="3" t="n">
        <v>39413</v>
      </c>
      <c r="B719" t="inlineStr">
        <is>
          <t>111659</t>
        </is>
      </c>
      <c r="C719" t="inlineStr">
        <is>
          <t>GASOLINE BLENDSTOCK (RBOB) - NEW YORK MERCANTILE EXCHANGE</t>
        </is>
      </c>
      <c r="D719" t="n">
        <v>207631</v>
      </c>
      <c r="E719" t="n">
        <v>48751</v>
      </c>
      <c r="F719" t="n">
        <v>4208</v>
      </c>
      <c r="G719" t="n">
        <v>7860</v>
      </c>
      <c r="H719">
        <f>E719-F719</f>
        <v/>
      </c>
      <c r="I719">
        <f>(E719-F719)/D719</f>
        <v/>
      </c>
    </row>
    <row r="720">
      <c r="A720" s="3" t="n">
        <v>39420</v>
      </c>
      <c r="B720" t="inlineStr">
        <is>
          <t>111659</t>
        </is>
      </c>
      <c r="C720" t="inlineStr">
        <is>
          <t>GASOLINE BLENDSTOCK (RBOB) - NEW YORK MERCANTILE EXCHANGE</t>
        </is>
      </c>
      <c r="D720" t="n">
        <v>195655</v>
      </c>
      <c r="E720" t="n">
        <v>39716</v>
      </c>
      <c r="F720" t="n">
        <v>5308</v>
      </c>
      <c r="G720" t="n">
        <v>9355</v>
      </c>
      <c r="H720">
        <f>E720-F720</f>
        <v/>
      </c>
      <c r="I720">
        <f>(E720-F720)/D720</f>
        <v/>
      </c>
    </row>
    <row r="721">
      <c r="A721" s="3" t="n">
        <v>39427</v>
      </c>
      <c r="B721" t="inlineStr">
        <is>
          <t>111659</t>
        </is>
      </c>
      <c r="C721" t="inlineStr">
        <is>
          <t>GASOLINE BLENDSTOCK (RBOB) - NEW YORK MERCANTILE EXCHANGE</t>
        </is>
      </c>
      <c r="D721" t="n">
        <v>204220</v>
      </c>
      <c r="E721" t="n">
        <v>38734</v>
      </c>
      <c r="F721" t="n">
        <v>6328</v>
      </c>
      <c r="G721" t="n">
        <v>14023</v>
      </c>
      <c r="H721">
        <f>E721-F721</f>
        <v/>
      </c>
      <c r="I721">
        <f>(E721-F721)/D721</f>
        <v/>
      </c>
    </row>
    <row r="722">
      <c r="A722" s="3" t="n">
        <v>39434</v>
      </c>
      <c r="B722" t="inlineStr">
        <is>
          <t>111659</t>
        </is>
      </c>
      <c r="C722" t="inlineStr">
        <is>
          <t>GASOLINE BLENDSTOCK (RBOB) - NEW YORK MERCANTILE EXCHANGE</t>
        </is>
      </c>
      <c r="D722" t="n">
        <v>212897</v>
      </c>
      <c r="E722" t="n">
        <v>43527</v>
      </c>
      <c r="F722" t="n">
        <v>5161</v>
      </c>
      <c r="G722" t="n">
        <v>14698</v>
      </c>
      <c r="H722">
        <f>E722-F722</f>
        <v/>
      </c>
      <c r="I722">
        <f>(E722-F722)/D722</f>
        <v/>
      </c>
    </row>
    <row r="723">
      <c r="A723" s="3" t="n">
        <v>39440</v>
      </c>
      <c r="B723" t="inlineStr">
        <is>
          <t>111659</t>
        </is>
      </c>
      <c r="C723" t="inlineStr">
        <is>
          <t>GASOLINE BLENDSTOCK (RBOB) - NEW YORK MERCANTILE EXCHANGE</t>
        </is>
      </c>
      <c r="D723" t="n">
        <v>215092</v>
      </c>
      <c r="E723" t="n">
        <v>47181</v>
      </c>
      <c r="F723" t="n">
        <v>5788</v>
      </c>
      <c r="G723" t="n">
        <v>13308</v>
      </c>
      <c r="H723">
        <f>E723-F723</f>
        <v/>
      </c>
      <c r="I723">
        <f>(E723-F723)/D723</f>
        <v/>
      </c>
    </row>
    <row r="724">
      <c r="A724" s="3" t="n">
        <v>39447</v>
      </c>
      <c r="B724" t="inlineStr">
        <is>
          <t>111659</t>
        </is>
      </c>
      <c r="C724" t="inlineStr">
        <is>
          <t>GASOLINE BLENDSTOCK (RBOB) - NEW YORK MERCANTILE EXCHANGE</t>
        </is>
      </c>
      <c r="D724" t="n">
        <v>204390</v>
      </c>
      <c r="E724" t="n">
        <v>51922</v>
      </c>
      <c r="F724" t="n">
        <v>4182</v>
      </c>
      <c r="G724" t="n">
        <v>13676</v>
      </c>
      <c r="H724">
        <f>E724-F724</f>
        <v/>
      </c>
      <c r="I724">
        <f>(E724-F724)/D724</f>
        <v/>
      </c>
    </row>
    <row r="725">
      <c r="A725" s="3" t="n">
        <v>39455</v>
      </c>
      <c r="B725" t="inlineStr">
        <is>
          <t>111659</t>
        </is>
      </c>
      <c r="C725" t="inlineStr">
        <is>
          <t>GASOLINE BLENDSTOCK (RBOB) - NEW YORK MERCANTILE EXCHANGE</t>
        </is>
      </c>
      <c r="D725" t="n">
        <v>216289</v>
      </c>
      <c r="E725" t="n">
        <v>47771</v>
      </c>
      <c r="F725" t="n">
        <v>7227</v>
      </c>
      <c r="G725" t="n">
        <v>12912</v>
      </c>
      <c r="H725">
        <f>E725-F725</f>
        <v/>
      </c>
      <c r="I725">
        <f>(E725-F725)/D725</f>
        <v/>
      </c>
    </row>
    <row r="726">
      <c r="A726" s="3" t="n">
        <v>39462</v>
      </c>
      <c r="B726" t="inlineStr">
        <is>
          <t>111659</t>
        </is>
      </c>
      <c r="C726" t="inlineStr">
        <is>
          <t>GASOLINE BLENDSTOCK (RBOB) - NEW YORK MERCANTILE EXCHANGE</t>
        </is>
      </c>
      <c r="D726" t="n">
        <v>225023</v>
      </c>
      <c r="E726" t="n">
        <v>33992</v>
      </c>
      <c r="F726" t="n">
        <v>14170</v>
      </c>
      <c r="G726" t="n">
        <v>13379</v>
      </c>
      <c r="H726">
        <f>E726-F726</f>
        <v/>
      </c>
      <c r="I726">
        <f>(E726-F726)/D726</f>
        <v/>
      </c>
    </row>
    <row r="727">
      <c r="A727" s="3" t="n">
        <v>39469</v>
      </c>
      <c r="B727" t="inlineStr">
        <is>
          <t>111659</t>
        </is>
      </c>
      <c r="C727" t="inlineStr">
        <is>
          <t>GASOLINE BLENDSTOCK (RBOB) - NEW YORK MERCANTILE EXCHANGE</t>
        </is>
      </c>
      <c r="D727" t="n">
        <v>239437</v>
      </c>
      <c r="E727" t="n">
        <v>31163</v>
      </c>
      <c r="F727" t="n">
        <v>8319</v>
      </c>
      <c r="G727" t="n">
        <v>15878</v>
      </c>
      <c r="H727">
        <f>E727-F727</f>
        <v/>
      </c>
      <c r="I727">
        <f>(E727-F727)/D727</f>
        <v/>
      </c>
    </row>
    <row r="728">
      <c r="A728" s="3" t="n">
        <v>39476</v>
      </c>
      <c r="B728" t="inlineStr">
        <is>
          <t>111659</t>
        </is>
      </c>
      <c r="C728" t="inlineStr">
        <is>
          <t>GASOLINE BLENDSTOCK (RBOB) - NEW YORK MERCANTILE EXCHANGE</t>
        </is>
      </c>
      <c r="D728" t="n">
        <v>242228</v>
      </c>
      <c r="E728" t="n">
        <v>32371</v>
      </c>
      <c r="F728" t="n">
        <v>7713</v>
      </c>
      <c r="G728" t="n">
        <v>17111</v>
      </c>
      <c r="H728">
        <f>E728-F728</f>
        <v/>
      </c>
      <c r="I728">
        <f>(E728-F728)/D728</f>
        <v/>
      </c>
    </row>
    <row r="729">
      <c r="A729" s="3" t="n">
        <v>39483</v>
      </c>
      <c r="B729" t="inlineStr">
        <is>
          <t>111659</t>
        </is>
      </c>
      <c r="C729" t="inlineStr">
        <is>
          <t>GASOLINE BLENDSTOCK (RBOB) - NEW YORK MERCANTILE EXCHANGE</t>
        </is>
      </c>
      <c r="D729" t="n">
        <v>247021</v>
      </c>
      <c r="E729" t="n">
        <v>29878</v>
      </c>
      <c r="F729" t="n">
        <v>11935</v>
      </c>
      <c r="G729" t="n">
        <v>22131</v>
      </c>
      <c r="H729">
        <f>E729-F729</f>
        <v/>
      </c>
      <c r="I729">
        <f>(E729-F729)/D729</f>
        <v/>
      </c>
    </row>
    <row r="730">
      <c r="A730" s="3" t="n">
        <v>39490</v>
      </c>
      <c r="B730" t="inlineStr">
        <is>
          <t>111659</t>
        </is>
      </c>
      <c r="C730" t="inlineStr">
        <is>
          <t>GASOLINE BLENDSTOCK (RBOB) - NEW YORK MERCANTILE EXCHANGE</t>
        </is>
      </c>
      <c r="D730" t="n">
        <v>257671</v>
      </c>
      <c r="E730" t="n">
        <v>38083</v>
      </c>
      <c r="F730" t="n">
        <v>9405</v>
      </c>
      <c r="G730" t="n">
        <v>24451</v>
      </c>
      <c r="H730">
        <f>E730-F730</f>
        <v/>
      </c>
      <c r="I730">
        <f>(E730-F730)/D730</f>
        <v/>
      </c>
    </row>
    <row r="731">
      <c r="A731" s="3" t="n">
        <v>39497</v>
      </c>
      <c r="B731" t="inlineStr">
        <is>
          <t>111659</t>
        </is>
      </c>
      <c r="C731" t="inlineStr">
        <is>
          <t>GASOLINE BLENDSTOCK (RBOB) - NEW YORK MERCANTILE EXCHANGE</t>
        </is>
      </c>
      <c r="D731" t="n">
        <v>258636</v>
      </c>
      <c r="E731" t="n">
        <v>45550</v>
      </c>
      <c r="F731" t="n">
        <v>7586</v>
      </c>
      <c r="G731" t="n">
        <v>21389</v>
      </c>
      <c r="H731">
        <f>E731-F731</f>
        <v/>
      </c>
      <c r="I731">
        <f>(E731-F731)/D731</f>
        <v/>
      </c>
    </row>
    <row r="732">
      <c r="A732" s="3" t="n">
        <v>39504</v>
      </c>
      <c r="B732" t="inlineStr">
        <is>
          <t>111659</t>
        </is>
      </c>
      <c r="C732" t="inlineStr">
        <is>
          <t>GASOLINE BLENDSTOCK (RBOB) - NEW YORK MERCANTILE EXCHANGE</t>
        </is>
      </c>
      <c r="D732" t="n">
        <v>251315</v>
      </c>
      <c r="E732" t="n">
        <v>53567</v>
      </c>
      <c r="F732" t="n">
        <v>10577</v>
      </c>
      <c r="G732" t="n">
        <v>17756</v>
      </c>
      <c r="H732">
        <f>E732-F732</f>
        <v/>
      </c>
      <c r="I732">
        <f>(E732-F732)/D732</f>
        <v/>
      </c>
    </row>
    <row r="733">
      <c r="A733" s="3" t="n">
        <v>39511</v>
      </c>
      <c r="B733" t="inlineStr">
        <is>
          <t>111659</t>
        </is>
      </c>
      <c r="C733" t="inlineStr">
        <is>
          <t>GASOLINE BLENDSTOCK (RBOB) - NEW YORK MERCANTILE EXCHANGE</t>
        </is>
      </c>
      <c r="D733" t="n">
        <v>230924</v>
      </c>
      <c r="E733" t="n">
        <v>50777</v>
      </c>
      <c r="F733" t="n">
        <v>12534</v>
      </c>
      <c r="G733" t="n">
        <v>17643</v>
      </c>
      <c r="H733">
        <f>E733-F733</f>
        <v/>
      </c>
      <c r="I733">
        <f>(E733-F733)/D733</f>
        <v/>
      </c>
    </row>
    <row r="734">
      <c r="A734" s="3" t="n">
        <v>39518</v>
      </c>
      <c r="B734" t="inlineStr">
        <is>
          <t>111659</t>
        </is>
      </c>
      <c r="C734" t="inlineStr">
        <is>
          <t>GASOLINE BLENDSTOCK (RBOB) - NEW YORK MERCANTILE EXCHANGE</t>
        </is>
      </c>
      <c r="D734" t="n">
        <v>239844</v>
      </c>
      <c r="E734" t="n">
        <v>56489</v>
      </c>
      <c r="F734" t="n">
        <v>13303</v>
      </c>
      <c r="G734" t="n">
        <v>19257</v>
      </c>
      <c r="H734">
        <f>E734-F734</f>
        <v/>
      </c>
      <c r="I734">
        <f>(E734-F734)/D734</f>
        <v/>
      </c>
    </row>
    <row r="735">
      <c r="A735" s="3" t="n">
        <v>39525</v>
      </c>
      <c r="B735" t="inlineStr">
        <is>
          <t>111659</t>
        </is>
      </c>
      <c r="C735" t="inlineStr">
        <is>
          <t>GASOLINE BLENDSTOCK (RBOB) - NEW YORK MERCANTILE EXCHANGE</t>
        </is>
      </c>
      <c r="D735" t="n">
        <v>245672</v>
      </c>
      <c r="E735" t="n">
        <v>46878</v>
      </c>
      <c r="F735" t="n">
        <v>8693</v>
      </c>
      <c r="G735" t="n">
        <v>16624</v>
      </c>
      <c r="H735">
        <f>E735-F735</f>
        <v/>
      </c>
      <c r="I735">
        <f>(E735-F735)/D735</f>
        <v/>
      </c>
    </row>
    <row r="736">
      <c r="A736" s="3" t="n">
        <v>39532</v>
      </c>
      <c r="B736" t="inlineStr">
        <is>
          <t>111659</t>
        </is>
      </c>
      <c r="C736" t="inlineStr">
        <is>
          <t>GASOLINE BLENDSTOCK (RBOB) - NEW YORK MERCANTILE EXCHANGE</t>
        </is>
      </c>
      <c r="D736" t="n">
        <v>243467</v>
      </c>
      <c r="E736" t="n">
        <v>42951</v>
      </c>
      <c r="F736" t="n">
        <v>9131</v>
      </c>
      <c r="G736" t="n">
        <v>15390</v>
      </c>
      <c r="H736">
        <f>E736-F736</f>
        <v/>
      </c>
      <c r="I736">
        <f>(E736-F736)/D736</f>
        <v/>
      </c>
    </row>
    <row r="737">
      <c r="A737" s="3" t="n">
        <v>39539</v>
      </c>
      <c r="B737" t="inlineStr">
        <is>
          <t>111659</t>
        </is>
      </c>
      <c r="C737" t="inlineStr">
        <is>
          <t>GASOLINE BLENDSTOCK (RBOB) - NEW YORK MERCANTILE EXCHANGE</t>
        </is>
      </c>
      <c r="D737" t="n">
        <v>228865</v>
      </c>
      <c r="E737" t="n">
        <v>46760</v>
      </c>
      <c r="F737" t="n">
        <v>11046</v>
      </c>
      <c r="G737" t="n">
        <v>15407</v>
      </c>
      <c r="H737">
        <f>E737-F737</f>
        <v/>
      </c>
      <c r="I737">
        <f>(E737-F737)/D737</f>
        <v/>
      </c>
    </row>
    <row r="738">
      <c r="A738" s="3" t="n">
        <v>39546</v>
      </c>
      <c r="B738" t="inlineStr">
        <is>
          <t>111659</t>
        </is>
      </c>
      <c r="C738" t="inlineStr">
        <is>
          <t>GASOLINE BLENDSTOCK (RBOB) - NEW YORK MERCANTILE EXCHANGE</t>
        </is>
      </c>
      <c r="D738" t="n">
        <v>232729</v>
      </c>
      <c r="E738" t="n">
        <v>47989</v>
      </c>
      <c r="F738" t="n">
        <v>9550</v>
      </c>
      <c r="G738" t="n">
        <v>14823</v>
      </c>
      <c r="H738">
        <f>E738-F738</f>
        <v/>
      </c>
      <c r="I738">
        <f>(E738-F738)/D738</f>
        <v/>
      </c>
    </row>
    <row r="739">
      <c r="A739" s="3" t="n">
        <v>39553</v>
      </c>
      <c r="B739" t="inlineStr">
        <is>
          <t>111659</t>
        </is>
      </c>
      <c r="C739" t="inlineStr">
        <is>
          <t>GASOLINE BLENDSTOCK (RBOB) - NEW YORK MERCANTILE EXCHANGE</t>
        </is>
      </c>
      <c r="D739" t="n">
        <v>245695</v>
      </c>
      <c r="E739" t="n">
        <v>55418</v>
      </c>
      <c r="F739" t="n">
        <v>8429</v>
      </c>
      <c r="G739" t="n">
        <v>16595</v>
      </c>
      <c r="H739">
        <f>E739-F739</f>
        <v/>
      </c>
      <c r="I739">
        <f>(E739-F739)/D739</f>
        <v/>
      </c>
    </row>
    <row r="740">
      <c r="A740" s="3" t="n">
        <v>39560</v>
      </c>
      <c r="B740" t="inlineStr">
        <is>
          <t>111659</t>
        </is>
      </c>
      <c r="C740" t="inlineStr">
        <is>
          <t>GASOLINE BLENDSTOCK (RBOB) - NEW YORK MERCANTILE EXCHANGE</t>
        </is>
      </c>
      <c r="D740" t="n">
        <v>274657</v>
      </c>
      <c r="E740" t="n">
        <v>63965</v>
      </c>
      <c r="F740" t="n">
        <v>7643</v>
      </c>
      <c r="G740" t="n">
        <v>14770</v>
      </c>
      <c r="H740">
        <f>E740-F740</f>
        <v/>
      </c>
      <c r="I740">
        <f>(E740-F740)/D740</f>
        <v/>
      </c>
    </row>
    <row r="741">
      <c r="A741" s="3" t="n">
        <v>39567</v>
      </c>
      <c r="B741" t="inlineStr">
        <is>
          <t>111659</t>
        </is>
      </c>
      <c r="C741" t="inlineStr">
        <is>
          <t>GASOLINE BLENDSTOCK (RBOB) - NEW YORK MERCANTILE EXCHANGE</t>
        </is>
      </c>
      <c r="D741" t="n">
        <v>258089</v>
      </c>
      <c r="E741" t="n">
        <v>60854</v>
      </c>
      <c r="F741" t="n">
        <v>7410</v>
      </c>
      <c r="G741" t="n">
        <v>16896</v>
      </c>
      <c r="H741">
        <f>E741-F741</f>
        <v/>
      </c>
      <c r="I741">
        <f>(E741-F741)/D741</f>
        <v/>
      </c>
    </row>
    <row r="742">
      <c r="A742" s="3" t="n">
        <v>39574</v>
      </c>
      <c r="B742" t="inlineStr">
        <is>
          <t>111659</t>
        </is>
      </c>
      <c r="C742" t="inlineStr">
        <is>
          <t>GASOLINE BLENDSTOCK (RBOB) - NEW YORK MERCANTILE EXCHANGE</t>
        </is>
      </c>
      <c r="D742" t="n">
        <v>262307</v>
      </c>
      <c r="E742" t="n">
        <v>59914</v>
      </c>
      <c r="F742" t="n">
        <v>6017</v>
      </c>
      <c r="G742" t="n">
        <v>19744</v>
      </c>
      <c r="H742">
        <f>E742-F742</f>
        <v/>
      </c>
      <c r="I742">
        <f>(E742-F742)/D742</f>
        <v/>
      </c>
    </row>
    <row r="743">
      <c r="A743" s="3" t="n">
        <v>39581</v>
      </c>
      <c r="B743" t="inlineStr">
        <is>
          <t>111659</t>
        </is>
      </c>
      <c r="C743" t="inlineStr">
        <is>
          <t>GASOLINE BLENDSTOCK (RBOB) - NEW YORK MERCANTILE EXCHANGE</t>
        </is>
      </c>
      <c r="D743" t="n">
        <v>262563</v>
      </c>
      <c r="E743" t="n">
        <v>67738</v>
      </c>
      <c r="F743" t="n">
        <v>6539</v>
      </c>
      <c r="G743" t="n">
        <v>19588</v>
      </c>
      <c r="H743">
        <f>E743-F743</f>
        <v/>
      </c>
      <c r="I743">
        <f>(E743-F743)/D743</f>
        <v/>
      </c>
    </row>
    <row r="744">
      <c r="A744" s="3" t="n">
        <v>39588</v>
      </c>
      <c r="B744" t="inlineStr">
        <is>
          <t>111659</t>
        </is>
      </c>
      <c r="C744" t="inlineStr">
        <is>
          <t>GASOLINE BLENDSTOCK (RBOB) - NEW YORK MERCANTILE EXCHANGE</t>
        </is>
      </c>
      <c r="D744" t="n">
        <v>275372</v>
      </c>
      <c r="E744" t="n">
        <v>68277</v>
      </c>
      <c r="F744" t="n">
        <v>5742</v>
      </c>
      <c r="G744" t="n">
        <v>22361</v>
      </c>
      <c r="H744">
        <f>E744-F744</f>
        <v/>
      </c>
      <c r="I744">
        <f>(E744-F744)/D744</f>
        <v/>
      </c>
    </row>
    <row r="745">
      <c r="A745" s="3" t="n">
        <v>39595</v>
      </c>
      <c r="B745" t="inlineStr">
        <is>
          <t>111659</t>
        </is>
      </c>
      <c r="C745" t="inlineStr">
        <is>
          <t>GASOLINE BLENDSTOCK (RBOB) - NEW YORK MERCANTILE EXCHANGE</t>
        </is>
      </c>
      <c r="D745" t="n">
        <v>270454</v>
      </c>
      <c r="E745" t="n">
        <v>62671</v>
      </c>
      <c r="F745" t="n">
        <v>6941</v>
      </c>
      <c r="G745" t="n">
        <v>20207</v>
      </c>
      <c r="H745">
        <f>E745-F745</f>
        <v/>
      </c>
      <c r="I745">
        <f>(E745-F745)/D745</f>
        <v/>
      </c>
    </row>
    <row r="746">
      <c r="A746" s="3" t="n">
        <v>39602</v>
      </c>
      <c r="B746" t="inlineStr">
        <is>
          <t>111659</t>
        </is>
      </c>
      <c r="C746" t="inlineStr">
        <is>
          <t>GASOLINE BLENDSTOCK (RBOB) - NEW YORK MERCANTILE EXCHANGE</t>
        </is>
      </c>
      <c r="D746" t="n">
        <v>254501</v>
      </c>
      <c r="E746" t="n">
        <v>64807</v>
      </c>
      <c r="F746" t="n">
        <v>5541</v>
      </c>
      <c r="G746" t="n">
        <v>19837</v>
      </c>
      <c r="H746">
        <f>E746-F746</f>
        <v/>
      </c>
      <c r="I746">
        <f>(E746-F746)/D746</f>
        <v/>
      </c>
    </row>
    <row r="747">
      <c r="A747" s="3" t="n">
        <v>39609</v>
      </c>
      <c r="B747" t="inlineStr">
        <is>
          <t>111659</t>
        </is>
      </c>
      <c r="C747" t="inlineStr">
        <is>
          <t>GASOLINE BLENDSTOCK (RBOB) - NEW YORK MERCANTILE EXCHANGE</t>
        </is>
      </c>
      <c r="D747" t="n">
        <v>248486</v>
      </c>
      <c r="E747" t="n">
        <v>56745</v>
      </c>
      <c r="F747" t="n">
        <v>9275</v>
      </c>
      <c r="G747" t="n">
        <v>18066</v>
      </c>
      <c r="H747">
        <f>E747-F747</f>
        <v/>
      </c>
      <c r="I747">
        <f>(E747-F747)/D747</f>
        <v/>
      </c>
    </row>
    <row r="748">
      <c r="A748" s="3" t="n">
        <v>39616</v>
      </c>
      <c r="B748" t="inlineStr">
        <is>
          <t>111659</t>
        </is>
      </c>
      <c r="C748" t="inlineStr">
        <is>
          <t>GASOLINE BLENDSTOCK (RBOB) - NEW YORK MERCANTILE EXCHANGE</t>
        </is>
      </c>
      <c r="D748" t="n">
        <v>257886</v>
      </c>
      <c r="E748" t="n">
        <v>55822</v>
      </c>
      <c r="F748" t="n">
        <v>8132</v>
      </c>
      <c r="G748" t="n">
        <v>21047</v>
      </c>
      <c r="H748">
        <f>E748-F748</f>
        <v/>
      </c>
      <c r="I748">
        <f>(E748-F748)/D748</f>
        <v/>
      </c>
    </row>
    <row r="749">
      <c r="A749" s="3" t="n">
        <v>39623</v>
      </c>
      <c r="B749" t="inlineStr">
        <is>
          <t>111659</t>
        </is>
      </c>
      <c r="C749" t="inlineStr">
        <is>
          <t>GASOLINE BLENDSTOCK (RBOB) - NEW YORK MERCANTILE EXCHANGE</t>
        </is>
      </c>
      <c r="D749" t="n">
        <v>266171</v>
      </c>
      <c r="E749" t="n">
        <v>57470</v>
      </c>
      <c r="F749" t="n">
        <v>8198</v>
      </c>
      <c r="G749" t="n">
        <v>21740</v>
      </c>
      <c r="H749">
        <f>E749-F749</f>
        <v/>
      </c>
      <c r="I749">
        <f>(E749-F749)/D749</f>
        <v/>
      </c>
    </row>
    <row r="750">
      <c r="A750" s="3" t="n">
        <v>39630</v>
      </c>
      <c r="B750" t="inlineStr">
        <is>
          <t>111659</t>
        </is>
      </c>
      <c r="C750" t="inlineStr">
        <is>
          <t>GASOLINE BLENDSTOCK (RBOB) - NEW YORK MERCANTILE EXCHANGE</t>
        </is>
      </c>
      <c r="D750" t="n">
        <v>247679</v>
      </c>
      <c r="E750" t="n">
        <v>60562</v>
      </c>
      <c r="F750" t="n">
        <v>7093</v>
      </c>
      <c r="G750" t="n">
        <v>18443</v>
      </c>
      <c r="H750">
        <f>E750-F750</f>
        <v/>
      </c>
      <c r="I750">
        <f>(E750-F750)/D750</f>
        <v/>
      </c>
    </row>
    <row r="751">
      <c r="A751" s="3" t="n">
        <v>39637</v>
      </c>
      <c r="B751" t="inlineStr">
        <is>
          <t>111659</t>
        </is>
      </c>
      <c r="C751" t="inlineStr">
        <is>
          <t>GASOLINE BLENDSTOCK (RBOB) - NEW YORK MERCANTILE EXCHANGE</t>
        </is>
      </c>
      <c r="D751" t="n">
        <v>246370</v>
      </c>
      <c r="E751" t="n">
        <v>54739</v>
      </c>
      <c r="F751" t="n">
        <v>13923</v>
      </c>
      <c r="G751" t="n">
        <v>14772</v>
      </c>
      <c r="H751">
        <f>E751-F751</f>
        <v/>
      </c>
      <c r="I751">
        <f>(E751-F751)/D751</f>
        <v/>
      </c>
    </row>
    <row r="752">
      <c r="A752" s="3" t="n">
        <v>39644</v>
      </c>
      <c r="B752" t="inlineStr">
        <is>
          <t>111659</t>
        </is>
      </c>
      <c r="C752" t="inlineStr">
        <is>
          <t>GASOLINE BLENDSTOCK (RBOB) - NEW YORK MERCANTILE EXCHANGE</t>
        </is>
      </c>
      <c r="D752" t="n">
        <v>244161</v>
      </c>
      <c r="E752" t="n">
        <v>52601</v>
      </c>
      <c r="F752" t="n">
        <v>12554</v>
      </c>
      <c r="G752" t="n">
        <v>13513</v>
      </c>
      <c r="H752">
        <f>E752-F752</f>
        <v/>
      </c>
      <c r="I752">
        <f>(E752-F752)/D752</f>
        <v/>
      </c>
    </row>
    <row r="753">
      <c r="A753" s="3" t="n">
        <v>39651</v>
      </c>
      <c r="B753" t="inlineStr">
        <is>
          <t>111659</t>
        </is>
      </c>
      <c r="C753" t="inlineStr">
        <is>
          <t>GASOLINE BLENDSTOCK (RBOB) - NEW YORK MERCANTILE EXCHANGE</t>
        </is>
      </c>
      <c r="D753" t="n">
        <v>236184</v>
      </c>
      <c r="E753" t="n">
        <v>47964</v>
      </c>
      <c r="F753" t="n">
        <v>11462</v>
      </c>
      <c r="G753" t="n">
        <v>13373</v>
      </c>
      <c r="H753">
        <f>E753-F753</f>
        <v/>
      </c>
      <c r="I753">
        <f>(E753-F753)/D753</f>
        <v/>
      </c>
    </row>
    <row r="754">
      <c r="A754" s="3" t="n">
        <v>39658</v>
      </c>
      <c r="B754" t="inlineStr">
        <is>
          <t>111659</t>
        </is>
      </c>
      <c r="C754" t="inlineStr">
        <is>
          <t>GASOLINE BLENDSTOCK (RBOB) - NEW YORK MERCANTILE EXCHANGE</t>
        </is>
      </c>
      <c r="D754" t="n">
        <v>222794</v>
      </c>
      <c r="E754" t="n">
        <v>48136</v>
      </c>
      <c r="F754" t="n">
        <v>9633</v>
      </c>
      <c r="G754" t="n">
        <v>12133</v>
      </c>
      <c r="H754">
        <f>E754-F754</f>
        <v/>
      </c>
      <c r="I754">
        <f>(E754-F754)/D754</f>
        <v/>
      </c>
    </row>
    <row r="755">
      <c r="A755" s="3" t="n">
        <v>39665</v>
      </c>
      <c r="B755" t="inlineStr">
        <is>
          <t>111659</t>
        </is>
      </c>
      <c r="C755" t="inlineStr">
        <is>
          <t>GASOLINE BLENDSTOCK (RBOB) - NEW YORK MERCANTILE EXCHANGE</t>
        </is>
      </c>
      <c r="D755" t="n">
        <v>218125</v>
      </c>
      <c r="E755" t="n">
        <v>50231</v>
      </c>
      <c r="F755" t="n">
        <v>8514</v>
      </c>
      <c r="G755" t="n">
        <v>10633</v>
      </c>
      <c r="H755">
        <f>E755-F755</f>
        <v/>
      </c>
      <c r="I755">
        <f>(E755-F755)/D755</f>
        <v/>
      </c>
    </row>
    <row r="756">
      <c r="A756" s="3" t="n">
        <v>39672</v>
      </c>
      <c r="B756" t="inlineStr">
        <is>
          <t>111659</t>
        </is>
      </c>
      <c r="C756" t="inlineStr">
        <is>
          <t>GASOLINE BLENDSTOCK (RBOB) - NEW YORK MERCANTILE EXCHANGE</t>
        </is>
      </c>
      <c r="D756" t="n">
        <v>219268</v>
      </c>
      <c r="E756" t="n">
        <v>49426</v>
      </c>
      <c r="F756" t="n">
        <v>6590</v>
      </c>
      <c r="G756" t="n">
        <v>10779</v>
      </c>
      <c r="H756">
        <f>E756-F756</f>
        <v/>
      </c>
      <c r="I756">
        <f>(E756-F756)/D756</f>
        <v/>
      </c>
    </row>
    <row r="757">
      <c r="A757" s="3" t="n">
        <v>39679</v>
      </c>
      <c r="B757" t="inlineStr">
        <is>
          <t>111659</t>
        </is>
      </c>
      <c r="C757" t="inlineStr">
        <is>
          <t>GASOLINE BLENDSTOCK (RBOB) - NEW YORK MERCANTILE EXCHANGE</t>
        </is>
      </c>
      <c r="D757" t="n">
        <v>226341</v>
      </c>
      <c r="E757" t="n">
        <v>50457</v>
      </c>
      <c r="F757" t="n">
        <v>6421</v>
      </c>
      <c r="G757" t="n">
        <v>12531</v>
      </c>
      <c r="H757">
        <f>E757-F757</f>
        <v/>
      </c>
      <c r="I757">
        <f>(E757-F757)/D757</f>
        <v/>
      </c>
    </row>
    <row r="758">
      <c r="A758" s="3" t="n">
        <v>39686</v>
      </c>
      <c r="B758" t="inlineStr">
        <is>
          <t>111659</t>
        </is>
      </c>
      <c r="C758" t="inlineStr">
        <is>
          <t>GASOLINE BLENDSTOCK (RBOB) - NEW YORK MERCANTILE EXCHANGE</t>
        </is>
      </c>
      <c r="D758" t="n">
        <v>220044</v>
      </c>
      <c r="E758" t="n">
        <v>45669</v>
      </c>
      <c r="F758" t="n">
        <v>4697</v>
      </c>
      <c r="G758" t="n">
        <v>13720</v>
      </c>
      <c r="H758">
        <f>E758-F758</f>
        <v/>
      </c>
      <c r="I758">
        <f>(E758-F758)/D758</f>
        <v/>
      </c>
    </row>
    <row r="759">
      <c r="A759" s="3" t="n">
        <v>39693</v>
      </c>
      <c r="B759" t="inlineStr">
        <is>
          <t>111659</t>
        </is>
      </c>
      <c r="C759" t="inlineStr">
        <is>
          <t>GASOLINE BLENDSTOCK (RBOB) - NEW YORK MERCANTILE EXCHANGE</t>
        </is>
      </c>
      <c r="D759" t="n">
        <v>207391</v>
      </c>
      <c r="E759" t="n">
        <v>49646</v>
      </c>
      <c r="F759" t="n">
        <v>5554</v>
      </c>
      <c r="G759" t="n">
        <v>8548</v>
      </c>
      <c r="H759">
        <f>E759-F759</f>
        <v/>
      </c>
      <c r="I759">
        <f>(E759-F759)/D759</f>
        <v/>
      </c>
    </row>
    <row r="760">
      <c r="A760" s="3" t="n">
        <v>39700</v>
      </c>
      <c r="B760" t="inlineStr">
        <is>
          <t>111659</t>
        </is>
      </c>
      <c r="C760" t="inlineStr">
        <is>
          <t>GASOLINE BLENDSTOCK (RBOB) - NEW YORK MERCANTILE EXCHANGE</t>
        </is>
      </c>
      <c r="D760" t="n">
        <v>200653</v>
      </c>
      <c r="E760" t="n">
        <v>47130</v>
      </c>
      <c r="F760" t="n">
        <v>8052</v>
      </c>
      <c r="G760" t="n">
        <v>8149</v>
      </c>
      <c r="H760">
        <f>E760-F760</f>
        <v/>
      </c>
      <c r="I760">
        <f>(E760-F760)/D760</f>
        <v/>
      </c>
    </row>
    <row r="761">
      <c r="A761" s="3" t="n">
        <v>39707</v>
      </c>
      <c r="B761" t="inlineStr">
        <is>
          <t>111659</t>
        </is>
      </c>
      <c r="C761" t="inlineStr">
        <is>
          <t>GASOLINE BLENDSTOCK (RBOB) - NEW YORK MERCANTILE EXCHANGE</t>
        </is>
      </c>
      <c r="D761" t="n">
        <v>200068</v>
      </c>
      <c r="E761" t="n">
        <v>41213</v>
      </c>
      <c r="F761" t="n">
        <v>6609</v>
      </c>
      <c r="G761" t="n">
        <v>20677</v>
      </c>
      <c r="H761">
        <f>E761-F761</f>
        <v/>
      </c>
      <c r="I761">
        <f>(E761-F761)/D761</f>
        <v/>
      </c>
    </row>
    <row r="762">
      <c r="A762" s="3" t="n">
        <v>39714</v>
      </c>
      <c r="B762" t="inlineStr">
        <is>
          <t>111659</t>
        </is>
      </c>
      <c r="C762" t="inlineStr">
        <is>
          <t>GASOLINE BLENDSTOCK (RBOB) - NEW YORK MERCANTILE EXCHANGE</t>
        </is>
      </c>
      <c r="D762" t="n">
        <v>201134</v>
      </c>
      <c r="E762" t="n">
        <v>34670</v>
      </c>
      <c r="F762" t="n">
        <v>10477</v>
      </c>
      <c r="G762" t="n">
        <v>14123</v>
      </c>
      <c r="H762">
        <f>E762-F762</f>
        <v/>
      </c>
      <c r="I762">
        <f>(E762-F762)/D762</f>
        <v/>
      </c>
    </row>
    <row r="763">
      <c r="A763" s="3" t="n">
        <v>39721</v>
      </c>
      <c r="B763" t="inlineStr">
        <is>
          <t>111659</t>
        </is>
      </c>
      <c r="C763" t="inlineStr">
        <is>
          <t>GASOLINE BLENDSTOCK (RBOB) - NEW YORK MERCANTILE EXCHANGE</t>
        </is>
      </c>
      <c r="D763" t="n">
        <v>170701</v>
      </c>
      <c r="E763" t="n">
        <v>30786</v>
      </c>
      <c r="F763" t="n">
        <v>10944</v>
      </c>
      <c r="G763" t="n">
        <v>14395</v>
      </c>
      <c r="H763">
        <f>E763-F763</f>
        <v/>
      </c>
      <c r="I763">
        <f>(E763-F763)/D763</f>
        <v/>
      </c>
    </row>
    <row r="764">
      <c r="A764" s="3" t="n">
        <v>39728</v>
      </c>
      <c r="B764" t="inlineStr">
        <is>
          <t>111659</t>
        </is>
      </c>
      <c r="C764" t="inlineStr">
        <is>
          <t>GASOLINE BLENDSTOCK (RBOB) - NEW YORK MERCANTILE EXCHANGE</t>
        </is>
      </c>
      <c r="D764" t="n">
        <v>163241</v>
      </c>
      <c r="E764" t="n">
        <v>28951</v>
      </c>
      <c r="F764" t="n">
        <v>10919</v>
      </c>
      <c r="G764" t="n">
        <v>11426</v>
      </c>
      <c r="H764">
        <f>E764-F764</f>
        <v/>
      </c>
      <c r="I764">
        <f>(E764-F764)/D764</f>
        <v/>
      </c>
    </row>
    <row r="765">
      <c r="A765" s="3" t="n">
        <v>39735</v>
      </c>
      <c r="B765" t="inlineStr">
        <is>
          <t>111659</t>
        </is>
      </c>
      <c r="C765" t="inlineStr">
        <is>
          <t>GASOLINE BLENDSTOCK (RBOB) - NEW YORK MERCANTILE EXCHANGE</t>
        </is>
      </c>
      <c r="D765" t="n">
        <v>162328</v>
      </c>
      <c r="E765" t="n">
        <v>30481</v>
      </c>
      <c r="F765" t="n">
        <v>11070</v>
      </c>
      <c r="G765" t="n">
        <v>8500</v>
      </c>
      <c r="H765">
        <f>E765-F765</f>
        <v/>
      </c>
      <c r="I765">
        <f>(E765-F765)/D765</f>
        <v/>
      </c>
    </row>
    <row r="766">
      <c r="A766" s="3" t="n">
        <v>39742</v>
      </c>
      <c r="B766" t="inlineStr">
        <is>
          <t>111659</t>
        </is>
      </c>
      <c r="C766" t="inlineStr">
        <is>
          <t>GASOLINE BLENDSTOCK (RBOB) - NEW YORK MERCANTILE EXCHANGE</t>
        </is>
      </c>
      <c r="D766" t="n">
        <v>162185</v>
      </c>
      <c r="E766" t="n">
        <v>31904</v>
      </c>
      <c r="F766" t="n">
        <v>8401</v>
      </c>
      <c r="G766" t="n">
        <v>7172</v>
      </c>
      <c r="H766">
        <f>E766-F766</f>
        <v/>
      </c>
      <c r="I766">
        <f>(E766-F766)/D766</f>
        <v/>
      </c>
    </row>
    <row r="767">
      <c r="A767" s="3" t="n">
        <v>39749</v>
      </c>
      <c r="B767" t="inlineStr">
        <is>
          <t>111659</t>
        </is>
      </c>
      <c r="C767" t="inlineStr">
        <is>
          <t>GASOLINE BLENDSTOCK (RBOB) - NEW YORK MERCANTILE EXCHANGE</t>
        </is>
      </c>
      <c r="D767" t="n">
        <v>161599</v>
      </c>
      <c r="E767" t="n">
        <v>34501</v>
      </c>
      <c r="F767" t="n">
        <v>7146</v>
      </c>
      <c r="G767" t="n">
        <v>7613</v>
      </c>
      <c r="H767">
        <f>E767-F767</f>
        <v/>
      </c>
      <c r="I767">
        <f>(E767-F767)/D767</f>
        <v/>
      </c>
    </row>
    <row r="768">
      <c r="A768" s="3" t="n">
        <v>39756</v>
      </c>
      <c r="B768" t="inlineStr">
        <is>
          <t>111659</t>
        </is>
      </c>
      <c r="C768" t="inlineStr">
        <is>
          <t>GASOLINE BLENDSTOCK (RBOB) - NEW YORK MERCANTILE EXCHANGE</t>
        </is>
      </c>
      <c r="D768" t="n">
        <v>159174</v>
      </c>
      <c r="E768" t="n">
        <v>38194</v>
      </c>
      <c r="F768" t="n">
        <v>7630</v>
      </c>
      <c r="G768" t="n">
        <v>7149</v>
      </c>
      <c r="H768">
        <f>E768-F768</f>
        <v/>
      </c>
      <c r="I768">
        <f>(E768-F768)/D768</f>
        <v/>
      </c>
    </row>
    <row r="769">
      <c r="A769" s="3" t="n">
        <v>39763</v>
      </c>
      <c r="B769" t="inlineStr">
        <is>
          <t>111659</t>
        </is>
      </c>
      <c r="C769" t="inlineStr">
        <is>
          <t>GASOLINE BLENDSTOCK (RBOB) - NEW YORK MERCANTILE EXCHANGE</t>
        </is>
      </c>
      <c r="D769" t="n">
        <v>165275</v>
      </c>
      <c r="E769" t="n">
        <v>37090</v>
      </c>
      <c r="F769" t="n">
        <v>7651</v>
      </c>
      <c r="G769" t="n">
        <v>8429</v>
      </c>
      <c r="H769">
        <f>E769-F769</f>
        <v/>
      </c>
      <c r="I769">
        <f>(E769-F769)/D769</f>
        <v/>
      </c>
    </row>
    <row r="770">
      <c r="A770" s="3" t="n">
        <v>39770</v>
      </c>
      <c r="B770" t="inlineStr">
        <is>
          <t>111659</t>
        </is>
      </c>
      <c r="C770" t="inlineStr">
        <is>
          <t>GASOLINE BLENDSTOCK (RBOB) - NEW YORK MERCANTILE EXCHANGE</t>
        </is>
      </c>
      <c r="D770" t="n">
        <v>183988</v>
      </c>
      <c r="E770" t="n">
        <v>40050</v>
      </c>
      <c r="F770" t="n">
        <v>6761</v>
      </c>
      <c r="G770" t="n">
        <v>8635</v>
      </c>
      <c r="H770">
        <f>E770-F770</f>
        <v/>
      </c>
      <c r="I770">
        <f>(E770-F770)/D770</f>
        <v/>
      </c>
    </row>
    <row r="771">
      <c r="A771" s="3" t="n">
        <v>39777</v>
      </c>
      <c r="B771" t="inlineStr">
        <is>
          <t>111659</t>
        </is>
      </c>
      <c r="C771" t="inlineStr">
        <is>
          <t>GASOLINE BLENDSTOCK (RBOB) - NEW YORK MERCANTILE EXCHANGE</t>
        </is>
      </c>
      <c r="D771" t="n">
        <v>176651</v>
      </c>
      <c r="E771" t="n">
        <v>42490</v>
      </c>
      <c r="F771" t="n">
        <v>5964</v>
      </c>
      <c r="G771" t="n">
        <v>9714</v>
      </c>
      <c r="H771">
        <f>E771-F771</f>
        <v/>
      </c>
      <c r="I771">
        <f>(E771-F771)/D771</f>
        <v/>
      </c>
    </row>
    <row r="772">
      <c r="A772" s="3" t="n">
        <v>39784</v>
      </c>
      <c r="B772" t="inlineStr">
        <is>
          <t>111659</t>
        </is>
      </c>
      <c r="C772" t="inlineStr">
        <is>
          <t>GASOLINE BLENDSTOCK (RBOB) - NEW YORK MERCANTILE EXCHANGE</t>
        </is>
      </c>
      <c r="D772" t="n">
        <v>175674</v>
      </c>
      <c r="E772" t="n">
        <v>43257</v>
      </c>
      <c r="F772" t="n">
        <v>4961</v>
      </c>
      <c r="G772" t="n">
        <v>10113</v>
      </c>
      <c r="H772">
        <f>E772-F772</f>
        <v/>
      </c>
      <c r="I772">
        <f>(E772-F772)/D772</f>
        <v/>
      </c>
    </row>
    <row r="773">
      <c r="A773" s="3" t="n">
        <v>39791</v>
      </c>
      <c r="B773" t="inlineStr">
        <is>
          <t>111659</t>
        </is>
      </c>
      <c r="C773" t="inlineStr">
        <is>
          <t>GASOLINE BLENDSTOCK (RBOB) - NEW YORK MERCANTILE EXCHANGE</t>
        </is>
      </c>
      <c r="D773" t="n">
        <v>190195</v>
      </c>
      <c r="E773" t="n">
        <v>48504</v>
      </c>
      <c r="F773" t="n">
        <v>4704</v>
      </c>
      <c r="G773" t="n">
        <v>11130</v>
      </c>
      <c r="H773">
        <f>E773-F773</f>
        <v/>
      </c>
      <c r="I773">
        <f>(E773-F773)/D773</f>
        <v/>
      </c>
    </row>
    <row r="774">
      <c r="A774" s="3" t="n">
        <v>39798</v>
      </c>
      <c r="B774" t="inlineStr">
        <is>
          <t>111659</t>
        </is>
      </c>
      <c r="C774" t="inlineStr">
        <is>
          <t>GASOLINE BLENDSTOCK (RBOB) - NEW YORK MERCANTILE EXCHANGE</t>
        </is>
      </c>
      <c r="D774" t="n">
        <v>202393</v>
      </c>
      <c r="E774" t="n">
        <v>48241</v>
      </c>
      <c r="F774" t="n">
        <v>3483</v>
      </c>
      <c r="G774" t="n">
        <v>7651</v>
      </c>
      <c r="H774">
        <f>E774-F774</f>
        <v/>
      </c>
      <c r="I774">
        <f>(E774-F774)/D774</f>
        <v/>
      </c>
    </row>
    <row r="775">
      <c r="A775" s="3" t="n">
        <v>39804</v>
      </c>
      <c r="B775" t="inlineStr">
        <is>
          <t>111659</t>
        </is>
      </c>
      <c r="C775" t="inlineStr">
        <is>
          <t>GASOLINE BLENDSTOCK (RBOB) - NEW YORK MERCANTILE EXCHANGE</t>
        </is>
      </c>
      <c r="D775" t="n">
        <v>201659</v>
      </c>
      <c r="E775" t="n">
        <v>46710</v>
      </c>
      <c r="F775" t="n">
        <v>4781</v>
      </c>
      <c r="G775" t="n">
        <v>7436</v>
      </c>
      <c r="H775">
        <f>E775-F775</f>
        <v/>
      </c>
      <c r="I775">
        <f>(E775-F775)/D775</f>
        <v/>
      </c>
    </row>
    <row r="776">
      <c r="A776" s="3" t="n">
        <v>39812</v>
      </c>
      <c r="B776" t="inlineStr">
        <is>
          <t>111659</t>
        </is>
      </c>
      <c r="C776" t="inlineStr">
        <is>
          <t>GASOLINE BLENDSTOCK (RBOB) - NEW YORK MERCANTILE EXCHANGE</t>
        </is>
      </c>
      <c r="D776" t="n">
        <v>194464</v>
      </c>
      <c r="E776" t="n">
        <v>47348</v>
      </c>
      <c r="F776" t="n">
        <v>4583</v>
      </c>
      <c r="G776" t="n">
        <v>6729</v>
      </c>
      <c r="H776">
        <f>E776-F776</f>
        <v/>
      </c>
      <c r="I776">
        <f>(E776-F776)/D776</f>
        <v/>
      </c>
    </row>
    <row r="777">
      <c r="A777" s="3" t="n">
        <v>39819</v>
      </c>
      <c r="B777" t="inlineStr">
        <is>
          <t>111659</t>
        </is>
      </c>
      <c r="C777" t="inlineStr">
        <is>
          <t>GASOLINE BLENDSTOCK (RBOB) - NEW YORK MERCANTILE EXCHANGE</t>
        </is>
      </c>
      <c r="D777" t="n">
        <v>192928</v>
      </c>
      <c r="E777" t="n">
        <v>46676</v>
      </c>
      <c r="F777" t="n">
        <v>2723</v>
      </c>
      <c r="G777" t="n">
        <v>8629</v>
      </c>
      <c r="H777">
        <f>E777-F777</f>
        <v/>
      </c>
      <c r="I777">
        <f>(E777-F777)/D777</f>
        <v/>
      </c>
    </row>
    <row r="778">
      <c r="A778" s="3" t="n">
        <v>39826</v>
      </c>
      <c r="B778" t="inlineStr">
        <is>
          <t>111659</t>
        </is>
      </c>
      <c r="C778" t="inlineStr">
        <is>
          <t>GASOLINE BLENDSTOCK (RBOB) - NEW YORK MERCANTILE EXCHANGE</t>
        </is>
      </c>
      <c r="D778" t="n">
        <v>196328</v>
      </c>
      <c r="E778" t="n">
        <v>45830</v>
      </c>
      <c r="F778" t="n">
        <v>1637</v>
      </c>
      <c r="G778" t="n">
        <v>7377</v>
      </c>
      <c r="H778">
        <f>E778-F778</f>
        <v/>
      </c>
      <c r="I778">
        <f>(E778-F778)/D778</f>
        <v/>
      </c>
    </row>
    <row r="779">
      <c r="A779" s="3" t="n">
        <v>39833</v>
      </c>
      <c r="B779" t="inlineStr">
        <is>
          <t>111659</t>
        </is>
      </c>
      <c r="C779" t="inlineStr">
        <is>
          <t>GASOLINE BLENDSTOCK (RBOB) - NEW YORK MERCANTILE EXCHANGE</t>
        </is>
      </c>
      <c r="D779" t="n">
        <v>201329</v>
      </c>
      <c r="E779" t="n">
        <v>44355</v>
      </c>
      <c r="F779" t="n">
        <v>1515</v>
      </c>
      <c r="G779" t="n">
        <v>10629</v>
      </c>
      <c r="H779">
        <f>E779-F779</f>
        <v/>
      </c>
      <c r="I779">
        <f>(E779-F779)/D779</f>
        <v/>
      </c>
    </row>
    <row r="780">
      <c r="A780" s="3" t="n">
        <v>39840</v>
      </c>
      <c r="B780" t="inlineStr">
        <is>
          <t>111659</t>
        </is>
      </c>
      <c r="C780" t="inlineStr">
        <is>
          <t>GASOLINE BLENDSTOCK (RBOB) - NEW YORK MERCANTILE EXCHANGE</t>
        </is>
      </c>
      <c r="D780" t="n">
        <v>186245</v>
      </c>
      <c r="E780" t="n">
        <v>41600</v>
      </c>
      <c r="F780" t="n">
        <v>2012</v>
      </c>
      <c r="G780" t="n">
        <v>8467</v>
      </c>
      <c r="H780">
        <f>E780-F780</f>
        <v/>
      </c>
      <c r="I780">
        <f>(E780-F780)/D780</f>
        <v/>
      </c>
    </row>
    <row r="781">
      <c r="A781" s="3" t="n">
        <v>39847</v>
      </c>
      <c r="B781" t="inlineStr">
        <is>
          <t>111659</t>
        </is>
      </c>
      <c r="C781" t="inlineStr">
        <is>
          <t>GASOLINE BLENDSTOCK (RBOB) - NEW YORK MERCANTILE EXCHANGE</t>
        </is>
      </c>
      <c r="D781" t="n">
        <v>180933</v>
      </c>
      <c r="E781" t="n">
        <v>40937</v>
      </c>
      <c r="F781" t="n">
        <v>2746</v>
      </c>
      <c r="G781" t="n">
        <v>8519</v>
      </c>
      <c r="H781">
        <f>E781-F781</f>
        <v/>
      </c>
      <c r="I781">
        <f>(E781-F781)/D781</f>
        <v/>
      </c>
    </row>
    <row r="782">
      <c r="A782" s="3" t="n">
        <v>39854</v>
      </c>
      <c r="B782" t="inlineStr">
        <is>
          <t>111659</t>
        </is>
      </c>
      <c r="C782" t="inlineStr">
        <is>
          <t>GASOLINE BLENDSTOCK (RBOB) - NEW YORK MERCANTILE EXCHANGE</t>
        </is>
      </c>
      <c r="D782" t="n">
        <v>187594</v>
      </c>
      <c r="E782" t="n">
        <v>43590</v>
      </c>
      <c r="F782" t="n">
        <v>2077</v>
      </c>
      <c r="G782" t="n">
        <v>7634</v>
      </c>
      <c r="H782">
        <f>E782-F782</f>
        <v/>
      </c>
      <c r="I782">
        <f>(E782-F782)/D782</f>
        <v/>
      </c>
    </row>
    <row r="783">
      <c r="A783" s="3" t="n">
        <v>39861</v>
      </c>
      <c r="B783" t="inlineStr">
        <is>
          <t>111659</t>
        </is>
      </c>
      <c r="C783" t="inlineStr">
        <is>
          <t>GASOLINE BLENDSTOCK (RBOB) - NEW YORK MERCANTILE EXCHANGE</t>
        </is>
      </c>
      <c r="D783" t="n">
        <v>191512</v>
      </c>
      <c r="E783" t="n">
        <v>42843</v>
      </c>
      <c r="F783" t="n">
        <v>5725</v>
      </c>
      <c r="G783" t="n">
        <v>6951</v>
      </c>
      <c r="H783">
        <f>E783-F783</f>
        <v/>
      </c>
      <c r="I783">
        <f>(E783-F783)/D783</f>
        <v/>
      </c>
    </row>
    <row r="784">
      <c r="A784" s="3" t="n">
        <v>39868</v>
      </c>
      <c r="B784" t="inlineStr">
        <is>
          <t>111659</t>
        </is>
      </c>
      <c r="C784" t="inlineStr">
        <is>
          <t>GASOLINE BLENDSTOCK (RBOB) - NEW YORK MERCANTILE EXCHANGE</t>
        </is>
      </c>
      <c r="D784" t="n">
        <v>188086</v>
      </c>
      <c r="E784" t="n">
        <v>45907</v>
      </c>
      <c r="F784" t="n">
        <v>9433</v>
      </c>
      <c r="G784" t="n">
        <v>5149</v>
      </c>
      <c r="H784">
        <f>E784-F784</f>
        <v/>
      </c>
      <c r="I784">
        <f>(E784-F784)/D784</f>
        <v/>
      </c>
    </row>
    <row r="785">
      <c r="A785" s="3" t="n">
        <v>39875</v>
      </c>
      <c r="B785" t="inlineStr">
        <is>
          <t>111659</t>
        </is>
      </c>
      <c r="C785" t="inlineStr">
        <is>
          <t>GASOLINE BLENDSTOCK (RBOB) - NEW YORK MERCANTILE EXCHANGE</t>
        </is>
      </c>
      <c r="D785" t="n">
        <v>180753</v>
      </c>
      <c r="E785" t="n">
        <v>47378</v>
      </c>
      <c r="F785" t="n">
        <v>3437</v>
      </c>
      <c r="G785" t="n">
        <v>4393</v>
      </c>
      <c r="H785">
        <f>E785-F785</f>
        <v/>
      </c>
      <c r="I785">
        <f>(E785-F785)/D785</f>
        <v/>
      </c>
    </row>
    <row r="786">
      <c r="A786" s="3" t="n">
        <v>39882</v>
      </c>
      <c r="B786" t="inlineStr">
        <is>
          <t>111659</t>
        </is>
      </c>
      <c r="C786" t="inlineStr">
        <is>
          <t>GASOLINE BLENDSTOCK (RBOB) - NEW YORK MERCANTILE EXCHANGE</t>
        </is>
      </c>
      <c r="D786" t="n">
        <v>195144</v>
      </c>
      <c r="E786" t="n">
        <v>48152</v>
      </c>
      <c r="F786" t="n">
        <v>3334</v>
      </c>
      <c r="G786" t="n">
        <v>6059</v>
      </c>
      <c r="H786">
        <f>E786-F786</f>
        <v/>
      </c>
      <c r="I786">
        <f>(E786-F786)/D786</f>
        <v/>
      </c>
    </row>
    <row r="787">
      <c r="A787" s="3" t="n">
        <v>39889</v>
      </c>
      <c r="B787" t="inlineStr">
        <is>
          <t>111659</t>
        </is>
      </c>
      <c r="C787" t="inlineStr">
        <is>
          <t>GASOLINE BLENDSTOCK (RBOB) - NEW YORK MERCANTILE EXCHANGE</t>
        </is>
      </c>
      <c r="D787" t="n">
        <v>205255</v>
      </c>
      <c r="E787" t="n">
        <v>49361</v>
      </c>
      <c r="F787" t="n">
        <v>3325</v>
      </c>
      <c r="G787" t="n">
        <v>6165</v>
      </c>
      <c r="H787">
        <f>E787-F787</f>
        <v/>
      </c>
      <c r="I787">
        <f>(E787-F787)/D787</f>
        <v/>
      </c>
    </row>
    <row r="788">
      <c r="A788" s="3" t="n">
        <v>39896</v>
      </c>
      <c r="B788" t="inlineStr">
        <is>
          <t>111659</t>
        </is>
      </c>
      <c r="C788" t="inlineStr">
        <is>
          <t>GASOLINE BLENDSTOCK (RBOB) - NEW YORK MERCANTILE EXCHANGE</t>
        </is>
      </c>
      <c r="D788" t="n">
        <v>210290</v>
      </c>
      <c r="E788" t="n">
        <v>52302</v>
      </c>
      <c r="F788" t="n">
        <v>3252</v>
      </c>
      <c r="G788" t="n">
        <v>6352</v>
      </c>
      <c r="H788">
        <f>E788-F788</f>
        <v/>
      </c>
      <c r="I788">
        <f>(E788-F788)/D788</f>
        <v/>
      </c>
    </row>
    <row r="789">
      <c r="A789" s="3" t="n">
        <v>39903</v>
      </c>
      <c r="B789" t="inlineStr">
        <is>
          <t>111659</t>
        </is>
      </c>
      <c r="C789" t="inlineStr">
        <is>
          <t>GASOLINE BLENDSTOCK (RBOB) - NEW YORK MERCANTILE EXCHANGE</t>
        </is>
      </c>
      <c r="D789" t="n">
        <v>198386</v>
      </c>
      <c r="E789" t="n">
        <v>44140</v>
      </c>
      <c r="F789" t="n">
        <v>4100</v>
      </c>
      <c r="G789" t="n">
        <v>5741</v>
      </c>
      <c r="H789">
        <f>E789-F789</f>
        <v/>
      </c>
      <c r="I789">
        <f>(E789-F789)/D789</f>
        <v/>
      </c>
    </row>
    <row r="790">
      <c r="A790" s="3" t="n">
        <v>39910</v>
      </c>
      <c r="B790" t="inlineStr">
        <is>
          <t>111659</t>
        </is>
      </c>
      <c r="C790" t="inlineStr">
        <is>
          <t>GASOLINE BLENDSTOCK (RBOB) - NEW YORK MERCANTILE EXCHANGE</t>
        </is>
      </c>
      <c r="D790" t="n">
        <v>199169</v>
      </c>
      <c r="E790" t="n">
        <v>44582</v>
      </c>
      <c r="F790" t="n">
        <v>3618</v>
      </c>
      <c r="G790" t="n">
        <v>6201</v>
      </c>
      <c r="H790">
        <f>E790-F790</f>
        <v/>
      </c>
      <c r="I790">
        <f>(E790-F790)/D790</f>
        <v/>
      </c>
    </row>
    <row r="791">
      <c r="A791" s="3" t="n">
        <v>39917</v>
      </c>
      <c r="B791" t="inlineStr">
        <is>
          <t>111659</t>
        </is>
      </c>
      <c r="C791" t="inlineStr">
        <is>
          <t>GASOLINE BLENDSTOCK (RBOB) - NEW YORK MERCANTILE EXCHANGE</t>
        </is>
      </c>
      <c r="D791" t="n">
        <v>205558</v>
      </c>
      <c r="E791" t="n">
        <v>41694</v>
      </c>
      <c r="F791" t="n">
        <v>3399</v>
      </c>
      <c r="G791" t="n">
        <v>9149</v>
      </c>
      <c r="H791">
        <f>E791-F791</f>
        <v/>
      </c>
      <c r="I791">
        <f>(E791-F791)/D791</f>
        <v/>
      </c>
    </row>
    <row r="792">
      <c r="A792" s="3" t="n">
        <v>39924</v>
      </c>
      <c r="B792" t="inlineStr">
        <is>
          <t>111659</t>
        </is>
      </c>
      <c r="C792" t="inlineStr">
        <is>
          <t>GASOLINE BLENDSTOCK (RBOB) - NEW YORK MERCANTILE EXCHANGE</t>
        </is>
      </c>
      <c r="D792" t="n">
        <v>210662</v>
      </c>
      <c r="E792" t="n">
        <v>42899</v>
      </c>
      <c r="F792" t="n">
        <v>5793</v>
      </c>
      <c r="G792" t="n">
        <v>10012</v>
      </c>
      <c r="H792">
        <f>E792-F792</f>
        <v/>
      </c>
      <c r="I792">
        <f>(E792-F792)/D792</f>
        <v/>
      </c>
    </row>
    <row r="793">
      <c r="A793" s="3" t="n">
        <v>39931</v>
      </c>
      <c r="B793" t="inlineStr">
        <is>
          <t>111659</t>
        </is>
      </c>
      <c r="C793" t="inlineStr">
        <is>
          <t>GASOLINE BLENDSTOCK (RBOB) - NEW YORK MERCANTILE EXCHANGE</t>
        </is>
      </c>
      <c r="D793" t="n">
        <v>207735</v>
      </c>
      <c r="E793" t="n">
        <v>41255</v>
      </c>
      <c r="F793" t="n">
        <v>8610</v>
      </c>
      <c r="G793" t="n">
        <v>9589</v>
      </c>
      <c r="H793">
        <f>E793-F793</f>
        <v/>
      </c>
      <c r="I793">
        <f>(E793-F793)/D793</f>
        <v/>
      </c>
    </row>
    <row r="794">
      <c r="A794" s="3" t="n">
        <v>39938</v>
      </c>
      <c r="B794" t="inlineStr">
        <is>
          <t>111659</t>
        </is>
      </c>
      <c r="C794" t="inlineStr">
        <is>
          <t>GASOLINE BLENDSTOCK (RBOB) - NEW YORK MERCANTILE EXCHANGE</t>
        </is>
      </c>
      <c r="D794" t="n">
        <v>208670</v>
      </c>
      <c r="E794" t="n">
        <v>48761</v>
      </c>
      <c r="F794" t="n">
        <v>3811</v>
      </c>
      <c r="G794" t="n">
        <v>8890</v>
      </c>
      <c r="H794">
        <f>E794-F794</f>
        <v/>
      </c>
      <c r="I794">
        <f>(E794-F794)/D794</f>
        <v/>
      </c>
    </row>
    <row r="795">
      <c r="A795" s="3" t="n">
        <v>39945</v>
      </c>
      <c r="B795" t="inlineStr">
        <is>
          <t>111659</t>
        </is>
      </c>
      <c r="C795" t="inlineStr">
        <is>
          <t>GASOLINE BLENDSTOCK (RBOB) - NEW YORK MERCANTILE EXCHANGE</t>
        </is>
      </c>
      <c r="D795" t="n">
        <v>211652</v>
      </c>
      <c r="E795" t="n">
        <v>52908</v>
      </c>
      <c r="F795" t="n">
        <v>3225</v>
      </c>
      <c r="G795" t="n">
        <v>8573</v>
      </c>
      <c r="H795">
        <f>E795-F795</f>
        <v/>
      </c>
      <c r="I795">
        <f>(E795-F795)/D795</f>
        <v/>
      </c>
    </row>
    <row r="796">
      <c r="A796" s="3" t="n">
        <v>39952</v>
      </c>
      <c r="B796" t="inlineStr">
        <is>
          <t>111659</t>
        </is>
      </c>
      <c r="C796" t="inlineStr">
        <is>
          <t>GASOLINE BLENDSTOCK (RBOB) - NEW YORK MERCANTILE EXCHANGE</t>
        </is>
      </c>
      <c r="D796" t="n">
        <v>230487</v>
      </c>
      <c r="E796" t="n">
        <v>54359</v>
      </c>
      <c r="F796" t="n">
        <v>3977</v>
      </c>
      <c r="G796" t="n">
        <v>10848</v>
      </c>
      <c r="H796">
        <f>E796-F796</f>
        <v/>
      </c>
      <c r="I796">
        <f>(E796-F796)/D796</f>
        <v/>
      </c>
    </row>
    <row r="797">
      <c r="A797" s="3" t="n">
        <v>39959</v>
      </c>
      <c r="B797" t="inlineStr">
        <is>
          <t>111659</t>
        </is>
      </c>
      <c r="C797" t="inlineStr">
        <is>
          <t>GASOLINE BLENDSTOCK (RBOB) - NEW YORK MERCANTILE EXCHANGE</t>
        </is>
      </c>
      <c r="D797" t="n">
        <v>226947</v>
      </c>
      <c r="E797" t="n">
        <v>57641</v>
      </c>
      <c r="F797" t="n">
        <v>3642</v>
      </c>
      <c r="G797" t="n">
        <v>11098</v>
      </c>
      <c r="H797">
        <f>E797-F797</f>
        <v/>
      </c>
      <c r="I797">
        <f>(E797-F797)/D797</f>
        <v/>
      </c>
    </row>
    <row r="798">
      <c r="A798" s="3" t="n">
        <v>39966</v>
      </c>
      <c r="B798" t="inlineStr">
        <is>
          <t>111659</t>
        </is>
      </c>
      <c r="C798" t="inlineStr">
        <is>
          <t>GASOLINE BLENDSTOCK (RBOB) - NEW YORK MERCANTILE EXCHANGE</t>
        </is>
      </c>
      <c r="D798" t="n">
        <v>210410</v>
      </c>
      <c r="E798" t="n">
        <v>57374</v>
      </c>
      <c r="F798" t="n">
        <v>4973</v>
      </c>
      <c r="G798" t="n">
        <v>9553</v>
      </c>
      <c r="H798">
        <f>E798-F798</f>
        <v/>
      </c>
      <c r="I798">
        <f>(E798-F798)/D798</f>
        <v/>
      </c>
    </row>
    <row r="799">
      <c r="A799" s="3" t="n">
        <v>39973</v>
      </c>
      <c r="B799" t="inlineStr">
        <is>
          <t>111659</t>
        </is>
      </c>
      <c r="C799" t="inlineStr">
        <is>
          <t>GASOLINE BLENDSTOCK (RBOB) - NEW YORK MERCANTILE EXCHANGE</t>
        </is>
      </c>
      <c r="D799" t="n">
        <v>214629</v>
      </c>
      <c r="E799" t="n">
        <v>60160</v>
      </c>
      <c r="F799" t="n">
        <v>4909</v>
      </c>
      <c r="G799" t="n">
        <v>10012</v>
      </c>
      <c r="H799">
        <f>E799-F799</f>
        <v/>
      </c>
      <c r="I799">
        <f>(E799-F799)/D799</f>
        <v/>
      </c>
    </row>
    <row r="800">
      <c r="A800" s="3" t="n">
        <v>39980</v>
      </c>
      <c r="B800" t="inlineStr">
        <is>
          <t>111659</t>
        </is>
      </c>
      <c r="C800" t="inlineStr">
        <is>
          <t>GASOLINE BLENDSTOCK (RBOB) - NEW YORK MERCANTILE EXCHANGE</t>
        </is>
      </c>
      <c r="D800" t="n">
        <v>227322</v>
      </c>
      <c r="E800" t="n">
        <v>59232</v>
      </c>
      <c r="F800" t="n">
        <v>4359</v>
      </c>
      <c r="G800" t="n">
        <v>11999</v>
      </c>
      <c r="H800">
        <f>E800-F800</f>
        <v/>
      </c>
      <c r="I800">
        <f>(E800-F800)/D800</f>
        <v/>
      </c>
    </row>
    <row r="801">
      <c r="A801" s="3" t="n">
        <v>39987</v>
      </c>
      <c r="B801" t="inlineStr">
        <is>
          <t>111659</t>
        </is>
      </c>
      <c r="C801" t="inlineStr">
        <is>
          <t>GASOLINE BLENDSTOCK (RBOB) - NEW YORK MERCANTILE EXCHANGE</t>
        </is>
      </c>
      <c r="D801" t="n">
        <v>215238</v>
      </c>
      <c r="E801" t="n">
        <v>52854</v>
      </c>
      <c r="F801" t="n">
        <v>3782</v>
      </c>
      <c r="G801" t="n">
        <v>10765</v>
      </c>
      <c r="H801">
        <f>E801-F801</f>
        <v/>
      </c>
      <c r="I801">
        <f>(E801-F801)/D801</f>
        <v/>
      </c>
    </row>
    <row r="802">
      <c r="A802" s="3" t="n">
        <v>39994</v>
      </c>
      <c r="B802" t="inlineStr">
        <is>
          <t>111659</t>
        </is>
      </c>
      <c r="C802" t="inlineStr">
        <is>
          <t>GASOLINE BLENDSTOCK (RBOB) - NEW YORK MERCANTILE EXCHANGE</t>
        </is>
      </c>
      <c r="D802" t="n">
        <v>194199</v>
      </c>
      <c r="E802" t="n">
        <v>48529</v>
      </c>
      <c r="F802" t="n">
        <v>4476</v>
      </c>
      <c r="G802" t="n">
        <v>8733</v>
      </c>
      <c r="H802">
        <f>E802-F802</f>
        <v/>
      </c>
      <c r="I802">
        <f>(E802-F802)/D802</f>
        <v/>
      </c>
    </row>
    <row r="803">
      <c r="A803" s="3" t="n">
        <v>40001</v>
      </c>
      <c r="B803" t="inlineStr">
        <is>
          <t>111659</t>
        </is>
      </c>
      <c r="C803" t="inlineStr">
        <is>
          <t>GASOLINE BLENDSTOCK (RBOB) - NEW YORK MERCANTILE EXCHANGE</t>
        </is>
      </c>
      <c r="D803" t="n">
        <v>196234</v>
      </c>
      <c r="E803" t="n">
        <v>40575</v>
      </c>
      <c r="F803" t="n">
        <v>5832</v>
      </c>
      <c r="G803" t="n">
        <v>9546</v>
      </c>
      <c r="H803">
        <f>E803-F803</f>
        <v/>
      </c>
      <c r="I803">
        <f>(E803-F803)/D803</f>
        <v/>
      </c>
    </row>
    <row r="804">
      <c r="A804" s="3" t="n">
        <v>40008</v>
      </c>
      <c r="B804" t="inlineStr">
        <is>
          <t>111659</t>
        </is>
      </c>
      <c r="C804" t="inlineStr">
        <is>
          <t>GASOLINE BLENDSTOCK (RBOB) - NEW YORK MERCANTILE EXCHANGE</t>
        </is>
      </c>
      <c r="D804" t="n">
        <v>196807</v>
      </c>
      <c r="E804" t="n">
        <v>33350</v>
      </c>
      <c r="F804" t="n">
        <v>5170</v>
      </c>
      <c r="G804" t="n">
        <v>11643</v>
      </c>
      <c r="H804">
        <f>E804-F804</f>
        <v/>
      </c>
      <c r="I804">
        <f>(E804-F804)/D804</f>
        <v/>
      </c>
    </row>
    <row r="805">
      <c r="A805" s="3" t="n">
        <v>40015</v>
      </c>
      <c r="B805" t="inlineStr">
        <is>
          <t>111659</t>
        </is>
      </c>
      <c r="C805" t="inlineStr">
        <is>
          <t>GASOLINE BLENDSTOCK (RBOB) - NEW YORK MERCANTILE EXCHANGE</t>
        </is>
      </c>
      <c r="D805" t="n">
        <v>203831</v>
      </c>
      <c r="E805" t="n">
        <v>38549</v>
      </c>
      <c r="F805" t="n">
        <v>6751</v>
      </c>
      <c r="G805" t="n">
        <v>9496</v>
      </c>
      <c r="H805">
        <f>E805-F805</f>
        <v/>
      </c>
      <c r="I805">
        <f>(E805-F805)/D805</f>
        <v/>
      </c>
    </row>
    <row r="806">
      <c r="A806" s="3" t="n">
        <v>40022</v>
      </c>
      <c r="B806" t="inlineStr">
        <is>
          <t>111659</t>
        </is>
      </c>
      <c r="C806" t="inlineStr">
        <is>
          <t>GASOLINE BLENDSTOCK (RBOB) - NEW YORK MERCANTILE EXCHANGE</t>
        </is>
      </c>
      <c r="D806" t="n">
        <v>204976</v>
      </c>
      <c r="E806" t="n">
        <v>46822</v>
      </c>
      <c r="F806" t="n">
        <v>2159</v>
      </c>
      <c r="G806" t="n">
        <v>10495</v>
      </c>
      <c r="H806">
        <f>E806-F806</f>
        <v/>
      </c>
      <c r="I806">
        <f>(E806-F806)/D806</f>
        <v/>
      </c>
    </row>
    <row r="807">
      <c r="A807" s="3" t="n">
        <v>40029</v>
      </c>
      <c r="B807" t="inlineStr">
        <is>
          <t>111659</t>
        </is>
      </c>
      <c r="C807" t="inlineStr">
        <is>
          <t>GASOLINE BLENDSTOCK (RBOB) - NEW YORK MERCANTILE EXCHANGE</t>
        </is>
      </c>
      <c r="D807" t="n">
        <v>211080</v>
      </c>
      <c r="E807" t="n">
        <v>51756</v>
      </c>
      <c r="F807" t="n">
        <v>2057</v>
      </c>
      <c r="G807" t="n">
        <v>12343</v>
      </c>
      <c r="H807">
        <f>E807-F807</f>
        <v/>
      </c>
      <c r="I807">
        <f>(E807-F807)/D807</f>
        <v/>
      </c>
    </row>
    <row r="808">
      <c r="A808" s="3" t="n">
        <v>40036</v>
      </c>
      <c r="B808" t="inlineStr">
        <is>
          <t>111659</t>
        </is>
      </c>
      <c r="C808" t="inlineStr">
        <is>
          <t>GASOLINE BLENDSTOCK (RBOB) - NEW YORK MERCANTILE EXCHANGE</t>
        </is>
      </c>
      <c r="D808" t="n">
        <v>215557</v>
      </c>
      <c r="E808" t="n">
        <v>56031</v>
      </c>
      <c r="F808" t="n">
        <v>3236</v>
      </c>
      <c r="G808" t="n">
        <v>12961</v>
      </c>
      <c r="H808">
        <f>E808-F808</f>
        <v/>
      </c>
      <c r="I808">
        <f>(E808-F808)/D808</f>
        <v/>
      </c>
    </row>
    <row r="809">
      <c r="A809" s="3" t="n">
        <v>40043</v>
      </c>
      <c r="B809" t="inlineStr">
        <is>
          <t>111659</t>
        </is>
      </c>
      <c r="C809" t="inlineStr">
        <is>
          <t>GASOLINE BLENDSTOCK (RBOB) - NEW YORK MERCANTILE EXCHANGE</t>
        </is>
      </c>
      <c r="D809" t="n">
        <v>223214</v>
      </c>
      <c r="E809" t="n">
        <v>52133</v>
      </c>
      <c r="F809" t="n">
        <v>8109</v>
      </c>
      <c r="G809" t="n">
        <v>12530</v>
      </c>
      <c r="H809">
        <f>E809-F809</f>
        <v/>
      </c>
      <c r="I809">
        <f>(E809-F809)/D809</f>
        <v/>
      </c>
    </row>
    <row r="810">
      <c r="A810" s="3" t="n">
        <v>40050</v>
      </c>
      <c r="B810" t="inlineStr">
        <is>
          <t>111659</t>
        </is>
      </c>
      <c r="C810" t="inlineStr">
        <is>
          <t>GASOLINE BLENDSTOCK (RBOB) - NEW YORK MERCANTILE EXCHANGE</t>
        </is>
      </c>
      <c r="D810" t="n">
        <v>217791</v>
      </c>
      <c r="E810" t="n">
        <v>48020</v>
      </c>
      <c r="F810" t="n">
        <v>7750</v>
      </c>
      <c r="G810" t="n">
        <v>12442</v>
      </c>
      <c r="H810">
        <f>E810-F810</f>
        <v/>
      </c>
      <c r="I810">
        <f>(E810-F810)/D810</f>
        <v/>
      </c>
    </row>
    <row r="811">
      <c r="A811" s="3" t="n">
        <v>40057</v>
      </c>
      <c r="B811" t="inlineStr">
        <is>
          <t>111659</t>
        </is>
      </c>
      <c r="C811" t="inlineStr">
        <is>
          <t>GASOLINE BLENDSTOCK (RBOB) - NEW YORK MERCANTILE EXCHANGE</t>
        </is>
      </c>
      <c r="D811" t="n">
        <v>206857</v>
      </c>
      <c r="E811" t="n">
        <v>39856</v>
      </c>
      <c r="F811" t="n">
        <v>3407</v>
      </c>
      <c r="G811" t="n">
        <v>11635</v>
      </c>
      <c r="H811">
        <f>E811-F811</f>
        <v/>
      </c>
      <c r="I811">
        <f>(E811-F811)/D811</f>
        <v/>
      </c>
    </row>
    <row r="812">
      <c r="A812" s="3" t="n">
        <v>40064</v>
      </c>
      <c r="B812" t="inlineStr">
        <is>
          <t>111659</t>
        </is>
      </c>
      <c r="C812" t="inlineStr">
        <is>
          <t>GASOLINE BLENDSTOCK (RBOB) - NEW YORK MERCANTILE EXCHANGE</t>
        </is>
      </c>
      <c r="D812" t="n">
        <v>206685</v>
      </c>
      <c r="E812" t="n">
        <v>39973</v>
      </c>
      <c r="F812" t="n">
        <v>2404</v>
      </c>
      <c r="G812" t="n">
        <v>10929</v>
      </c>
      <c r="H812">
        <f>E812-F812</f>
        <v/>
      </c>
      <c r="I812">
        <f>(E812-F812)/D812</f>
        <v/>
      </c>
    </row>
    <row r="813">
      <c r="A813" s="3" t="n">
        <v>40071</v>
      </c>
      <c r="B813" t="inlineStr">
        <is>
          <t>111659</t>
        </is>
      </c>
      <c r="C813" t="inlineStr">
        <is>
          <t>GASOLINE BLENDSTOCK (RBOB) - NEW YORK MERCANTILE EXCHANGE</t>
        </is>
      </c>
      <c r="D813" t="n">
        <v>203784</v>
      </c>
      <c r="E813" t="n">
        <v>34347</v>
      </c>
      <c r="F813" t="n">
        <v>5504</v>
      </c>
      <c r="G813" t="n">
        <v>8796</v>
      </c>
      <c r="H813">
        <f>E813-F813</f>
        <v/>
      </c>
      <c r="I813">
        <f>(E813-F813)/D813</f>
        <v/>
      </c>
    </row>
    <row r="814">
      <c r="A814" s="3" t="n">
        <v>40078</v>
      </c>
      <c r="B814" t="inlineStr">
        <is>
          <t>111659</t>
        </is>
      </c>
      <c r="C814" t="inlineStr">
        <is>
          <t>GASOLINE BLENDSTOCK (RBOB) - NEW YORK MERCANTILE EXCHANGE</t>
        </is>
      </c>
      <c r="D814" t="n">
        <v>206372</v>
      </c>
      <c r="E814" t="n">
        <v>37967</v>
      </c>
      <c r="F814" t="n">
        <v>5376</v>
      </c>
      <c r="G814" t="n">
        <v>9840</v>
      </c>
      <c r="H814">
        <f>E814-F814</f>
        <v/>
      </c>
      <c r="I814">
        <f>(E814-F814)/D814</f>
        <v/>
      </c>
    </row>
    <row r="815">
      <c r="A815" s="3" t="n">
        <v>40085</v>
      </c>
      <c r="B815" t="inlineStr">
        <is>
          <t>111659</t>
        </is>
      </c>
      <c r="C815" t="inlineStr">
        <is>
          <t>GASOLINE BLENDSTOCK (RBOB) - NEW YORK MERCANTILE EXCHANGE</t>
        </is>
      </c>
      <c r="D815" t="n">
        <v>194528</v>
      </c>
      <c r="E815" t="n">
        <v>33020</v>
      </c>
      <c r="F815" t="n">
        <v>8858</v>
      </c>
      <c r="G815" t="n">
        <v>9550</v>
      </c>
      <c r="H815">
        <f>E815-F815</f>
        <v/>
      </c>
      <c r="I815">
        <f>(E815-F815)/D815</f>
        <v/>
      </c>
    </row>
    <row r="816">
      <c r="A816" s="3" t="n">
        <v>40092</v>
      </c>
      <c r="B816" t="inlineStr">
        <is>
          <t>111659</t>
        </is>
      </c>
      <c r="C816" t="inlineStr">
        <is>
          <t>GASOLINE BLENDSTOCK (RBOB) - NEW YORK MERCANTILE EXCHANGE</t>
        </is>
      </c>
      <c r="D816" t="n">
        <v>195796</v>
      </c>
      <c r="E816" t="n">
        <v>36879</v>
      </c>
      <c r="F816" t="n">
        <v>7793</v>
      </c>
      <c r="G816" t="n">
        <v>10627</v>
      </c>
      <c r="H816">
        <f>E816-F816</f>
        <v/>
      </c>
      <c r="I816">
        <f>(E816-F816)/D816</f>
        <v/>
      </c>
    </row>
    <row r="817">
      <c r="A817" s="3" t="n">
        <v>40099</v>
      </c>
      <c r="B817" t="inlineStr">
        <is>
          <t>111659</t>
        </is>
      </c>
      <c r="C817" t="inlineStr">
        <is>
          <t>GASOLINE BLENDSTOCK (RBOB) - NEW YORK MERCANTILE EXCHANGE</t>
        </is>
      </c>
      <c r="D817" t="n">
        <v>205367</v>
      </c>
      <c r="E817" t="n">
        <v>40555</v>
      </c>
      <c r="F817" t="n">
        <v>6330</v>
      </c>
      <c r="G817" t="n">
        <v>15697</v>
      </c>
      <c r="H817">
        <f>E817-F817</f>
        <v/>
      </c>
      <c r="I817">
        <f>(E817-F817)/D817</f>
        <v/>
      </c>
    </row>
    <row r="818">
      <c r="A818" s="3" t="n">
        <v>40106</v>
      </c>
      <c r="B818" t="inlineStr">
        <is>
          <t>111659</t>
        </is>
      </c>
      <c r="C818" t="inlineStr">
        <is>
          <t>GASOLINE BLENDSTOCK (RBOB) - NEW YORK MERCANTILE EXCHANGE</t>
        </is>
      </c>
      <c r="D818" t="n">
        <v>233898</v>
      </c>
      <c r="E818" t="n">
        <v>61123</v>
      </c>
      <c r="F818" t="n">
        <v>5293</v>
      </c>
      <c r="G818" t="n">
        <v>16406</v>
      </c>
      <c r="H818">
        <f>E818-F818</f>
        <v/>
      </c>
      <c r="I818">
        <f>(E818-F818)/D818</f>
        <v/>
      </c>
    </row>
    <row r="819">
      <c r="A819" s="3" t="n">
        <v>40113</v>
      </c>
      <c r="B819" t="inlineStr">
        <is>
          <t>111659</t>
        </is>
      </c>
      <c r="C819" t="inlineStr">
        <is>
          <t>GASOLINE BLENDSTOCK (RBOB) - NEW YORK MERCANTILE EXCHANGE</t>
        </is>
      </c>
      <c r="D819" t="n">
        <v>247752</v>
      </c>
      <c r="E819" t="n">
        <v>68366</v>
      </c>
      <c r="F819" t="n">
        <v>6759</v>
      </c>
      <c r="G819" t="n">
        <v>15996</v>
      </c>
      <c r="H819">
        <f>E819-F819</f>
        <v/>
      </c>
      <c r="I819">
        <f>(E819-F819)/D819</f>
        <v/>
      </c>
    </row>
    <row r="820">
      <c r="A820" s="3" t="n">
        <v>40120</v>
      </c>
      <c r="B820" t="inlineStr">
        <is>
          <t>111659</t>
        </is>
      </c>
      <c r="C820" t="inlineStr">
        <is>
          <t>GASOLINE BLENDSTOCK (RBOB) - NEW YORK MERCANTILE EXCHANGE</t>
        </is>
      </c>
      <c r="D820" t="n">
        <v>251089</v>
      </c>
      <c r="E820" t="n">
        <v>69038</v>
      </c>
      <c r="F820" t="n">
        <v>6417</v>
      </c>
      <c r="G820" t="n">
        <v>15114</v>
      </c>
      <c r="H820">
        <f>E820-F820</f>
        <v/>
      </c>
      <c r="I820">
        <f>(E820-F820)/D820</f>
        <v/>
      </c>
    </row>
    <row r="821">
      <c r="A821" s="3" t="n">
        <v>40126</v>
      </c>
      <c r="B821" t="inlineStr">
        <is>
          <t>111659</t>
        </is>
      </c>
      <c r="C821" t="inlineStr">
        <is>
          <t>GASOLINE BLENDSTOCK (RBOB) - NEW YORK MERCANTILE EXCHANGE</t>
        </is>
      </c>
      <c r="D821" t="n">
        <v>252600</v>
      </c>
      <c r="E821" t="n">
        <v>62742</v>
      </c>
      <c r="F821" t="n">
        <v>7879</v>
      </c>
      <c r="G821" t="n">
        <v>14585</v>
      </c>
      <c r="H821">
        <f>E821-F821</f>
        <v/>
      </c>
      <c r="I821">
        <f>(E821-F821)/D821</f>
        <v/>
      </c>
    </row>
    <row r="822">
      <c r="A822" s="3" t="n">
        <v>40134</v>
      </c>
      <c r="B822" t="inlineStr">
        <is>
          <t>111659</t>
        </is>
      </c>
      <c r="C822" t="inlineStr">
        <is>
          <t>GASOLINE BLENDSTOCK (RBOB) - NEW YORK MERCANTILE EXCHANGE</t>
        </is>
      </c>
      <c r="D822" t="n">
        <v>269477</v>
      </c>
      <c r="E822" t="n">
        <v>63042</v>
      </c>
      <c r="F822" t="n">
        <v>10507</v>
      </c>
      <c r="G822" t="n">
        <v>16449</v>
      </c>
      <c r="H822">
        <f>E822-F822</f>
        <v/>
      </c>
      <c r="I822">
        <f>(E822-F822)/D822</f>
        <v/>
      </c>
    </row>
    <row r="823">
      <c r="A823" s="3" t="n">
        <v>40141</v>
      </c>
      <c r="B823" t="inlineStr">
        <is>
          <t>111659</t>
        </is>
      </c>
      <c r="C823" t="inlineStr">
        <is>
          <t>GASOLINE BLENDSTOCK (RBOB) - NEW YORK MERCANTILE EXCHANGE</t>
        </is>
      </c>
      <c r="D823" t="n">
        <v>257325</v>
      </c>
      <c r="E823" t="n">
        <v>58298</v>
      </c>
      <c r="F823" t="n">
        <v>10288</v>
      </c>
      <c r="G823" t="n">
        <v>16034</v>
      </c>
      <c r="H823">
        <f>E823-F823</f>
        <v/>
      </c>
      <c r="I823">
        <f>(E823-F823)/D823</f>
        <v/>
      </c>
    </row>
    <row r="824">
      <c r="A824" s="3" t="n">
        <v>40148</v>
      </c>
      <c r="B824" t="inlineStr">
        <is>
          <t>111659</t>
        </is>
      </c>
      <c r="C824" t="inlineStr">
        <is>
          <t>GASOLINE BLENDSTOCK (RBOB) - NEW YORK MERCANTILE EXCHANGE</t>
        </is>
      </c>
      <c r="D824" t="n">
        <v>255306</v>
      </c>
      <c r="E824" t="n">
        <v>63838</v>
      </c>
      <c r="F824" t="n">
        <v>11876</v>
      </c>
      <c r="G824" t="n">
        <v>16606</v>
      </c>
      <c r="H824">
        <f>E824-F824</f>
        <v/>
      </c>
      <c r="I824">
        <f>(E824-F824)/D824</f>
        <v/>
      </c>
    </row>
    <row r="825">
      <c r="A825" s="3" t="n">
        <v>40155</v>
      </c>
      <c r="B825" t="inlineStr">
        <is>
          <t>111659</t>
        </is>
      </c>
      <c r="C825" t="inlineStr">
        <is>
          <t>GASOLINE BLENDSTOCK (RBOB) - NEW YORK MERCANTILE EXCHANGE</t>
        </is>
      </c>
      <c r="D825" t="n">
        <v>241434</v>
      </c>
      <c r="E825" t="n">
        <v>52312</v>
      </c>
      <c r="F825" t="n">
        <v>11374</v>
      </c>
      <c r="G825" t="n">
        <v>15538</v>
      </c>
      <c r="H825">
        <f>E825-F825</f>
        <v/>
      </c>
      <c r="I825">
        <f>(E825-F825)/D825</f>
        <v/>
      </c>
    </row>
    <row r="826">
      <c r="A826" s="3" t="n">
        <v>40162</v>
      </c>
      <c r="B826" t="inlineStr">
        <is>
          <t>111659</t>
        </is>
      </c>
      <c r="C826" t="inlineStr">
        <is>
          <t>GASOLINE BLENDSTOCK (RBOB) - NEW YORK MERCANTILE EXCHANGE</t>
        </is>
      </c>
      <c r="D826" t="n">
        <v>234450</v>
      </c>
      <c r="E826" t="n">
        <v>48624</v>
      </c>
      <c r="F826" t="n">
        <v>11610</v>
      </c>
      <c r="G826" t="n">
        <v>16403</v>
      </c>
      <c r="H826">
        <f>E826-F826</f>
        <v/>
      </c>
      <c r="I826">
        <f>(E826-F826)/D826</f>
        <v/>
      </c>
    </row>
    <row r="827">
      <c r="A827" s="3" t="n">
        <v>40169</v>
      </c>
      <c r="B827" t="inlineStr">
        <is>
          <t>111659</t>
        </is>
      </c>
      <c r="C827" t="inlineStr">
        <is>
          <t>GASOLINE BLENDSTOCK (RBOB) - NEW YORK MERCANTILE EXCHANGE</t>
        </is>
      </c>
      <c r="D827" t="n">
        <v>234009</v>
      </c>
      <c r="E827" t="n">
        <v>47068</v>
      </c>
      <c r="F827" t="n">
        <v>11195</v>
      </c>
      <c r="G827" t="n">
        <v>13826</v>
      </c>
      <c r="H827">
        <f>E827-F827</f>
        <v/>
      </c>
      <c r="I827">
        <f>(E827-F827)/D827</f>
        <v/>
      </c>
    </row>
    <row r="828">
      <c r="A828" s="3" t="n">
        <v>40176</v>
      </c>
      <c r="B828" t="inlineStr">
        <is>
          <t>111659</t>
        </is>
      </c>
      <c r="C828" t="inlineStr">
        <is>
          <t>GASOLINE BLENDSTOCK (RBOB) - NEW YORK MERCANTILE EXCHANGE</t>
        </is>
      </c>
      <c r="D828" t="n">
        <v>235180</v>
      </c>
      <c r="E828" t="n">
        <v>58273</v>
      </c>
      <c r="F828" t="n">
        <v>7864</v>
      </c>
      <c r="G828" t="n">
        <v>12348</v>
      </c>
      <c r="H828">
        <f>E828-F828</f>
        <v/>
      </c>
      <c r="I828">
        <f>(E828-F828)/D828</f>
        <v/>
      </c>
    </row>
    <row r="829">
      <c r="A829" s="3" t="n">
        <v>40183</v>
      </c>
      <c r="B829" t="inlineStr">
        <is>
          <t>111659</t>
        </is>
      </c>
      <c r="C829" t="inlineStr">
        <is>
          <t>GASOLINE BLENDSTOCK (RBOB) - NEW YORK MERCANTILE EXCHANGE</t>
        </is>
      </c>
      <c r="D829" t="n">
        <v>246966</v>
      </c>
      <c r="E829" t="n">
        <v>73856</v>
      </c>
      <c r="F829" t="n">
        <v>7982</v>
      </c>
      <c r="G829" t="n">
        <v>13963</v>
      </c>
      <c r="H829">
        <f>E829-F829</f>
        <v/>
      </c>
      <c r="I829">
        <f>(E829-F829)/D829</f>
        <v/>
      </c>
    </row>
    <row r="830">
      <c r="A830" s="3" t="n">
        <v>40190</v>
      </c>
      <c r="B830" t="inlineStr">
        <is>
          <t>111659</t>
        </is>
      </c>
      <c r="C830" t="inlineStr">
        <is>
          <t>GASOLINE BLENDSTOCK (RBOB) - NEW YORK MERCANTILE EXCHANGE</t>
        </is>
      </c>
      <c r="D830" t="n">
        <v>265579</v>
      </c>
      <c r="E830" t="n">
        <v>78117</v>
      </c>
      <c r="F830" t="n">
        <v>10059</v>
      </c>
      <c r="G830" t="n">
        <v>14106</v>
      </c>
      <c r="H830">
        <f>E830-F830</f>
        <v/>
      </c>
      <c r="I830">
        <f>(E830-F830)/D830</f>
        <v/>
      </c>
    </row>
    <row r="831">
      <c r="A831" s="3" t="n">
        <v>40197</v>
      </c>
      <c r="B831" t="inlineStr">
        <is>
          <t>111659</t>
        </is>
      </c>
      <c r="C831" t="inlineStr">
        <is>
          <t>GASOLINE BLENDSTOCK (RBOB) - NEW YORK MERCANTILE EXCHANGE</t>
        </is>
      </c>
      <c r="D831" t="n">
        <v>273395</v>
      </c>
      <c r="E831" t="n">
        <v>75106</v>
      </c>
      <c r="F831" t="n">
        <v>10249</v>
      </c>
      <c r="G831" t="n">
        <v>17531</v>
      </c>
      <c r="H831">
        <f>E831-F831</f>
        <v/>
      </c>
      <c r="I831">
        <f>(E831-F831)/D831</f>
        <v/>
      </c>
    </row>
    <row r="832">
      <c r="A832" s="3" t="n">
        <v>40204</v>
      </c>
      <c r="B832" t="inlineStr">
        <is>
          <t>111659</t>
        </is>
      </c>
      <c r="C832" t="inlineStr">
        <is>
          <t>GASOLINE BLENDSTOCK (RBOB) - NEW YORK MERCANTILE EXCHANGE</t>
        </is>
      </c>
      <c r="D832" t="n">
        <v>261580</v>
      </c>
      <c r="E832" t="n">
        <v>60408</v>
      </c>
      <c r="F832" t="n">
        <v>7241</v>
      </c>
      <c r="G832" t="n">
        <v>20192</v>
      </c>
      <c r="H832">
        <f>E832-F832</f>
        <v/>
      </c>
      <c r="I832">
        <f>(E832-F832)/D832</f>
        <v/>
      </c>
    </row>
    <row r="833">
      <c r="A833" s="3" t="n">
        <v>40211</v>
      </c>
      <c r="B833" t="inlineStr">
        <is>
          <t>111659</t>
        </is>
      </c>
      <c r="C833" t="inlineStr">
        <is>
          <t>GASOLINE BLENDSTOCK (RBOB) - NEW YORK MERCANTILE EXCHANGE</t>
        </is>
      </c>
      <c r="D833" t="n">
        <v>258118</v>
      </c>
      <c r="E833" t="n">
        <v>58002</v>
      </c>
      <c r="F833" t="n">
        <v>8149</v>
      </c>
      <c r="G833" t="n">
        <v>21420</v>
      </c>
      <c r="H833">
        <f>E833-F833</f>
        <v/>
      </c>
      <c r="I833">
        <f>(E833-F833)/D833</f>
        <v/>
      </c>
    </row>
    <row r="834">
      <c r="A834" s="3" t="n">
        <v>40218</v>
      </c>
      <c r="B834" t="inlineStr">
        <is>
          <t>111659</t>
        </is>
      </c>
      <c r="C834" t="inlineStr">
        <is>
          <t>GASOLINE BLENDSTOCK (RBOB) - NEW YORK MERCANTILE EXCHANGE</t>
        </is>
      </c>
      <c r="D834" t="n">
        <v>258438</v>
      </c>
      <c r="E834" t="n">
        <v>49363</v>
      </c>
      <c r="F834" t="n">
        <v>8166</v>
      </c>
      <c r="G834" t="n">
        <v>22394</v>
      </c>
      <c r="H834">
        <f>E834-F834</f>
        <v/>
      </c>
      <c r="I834">
        <f>(E834-F834)/D834</f>
        <v/>
      </c>
    </row>
    <row r="835">
      <c r="A835" s="3" t="n">
        <v>40225</v>
      </c>
      <c r="B835" t="inlineStr">
        <is>
          <t>111659</t>
        </is>
      </c>
      <c r="C835" t="inlineStr">
        <is>
          <t>GASOLINE BLENDSTOCK (RBOB) - NEW YORK MERCANTILE EXCHANGE</t>
        </is>
      </c>
      <c r="D835" t="n">
        <v>255823</v>
      </c>
      <c r="E835" t="n">
        <v>51103</v>
      </c>
      <c r="F835" t="n">
        <v>6484</v>
      </c>
      <c r="G835" t="n">
        <v>20925</v>
      </c>
      <c r="H835">
        <f>E835-F835</f>
        <v/>
      </c>
      <c r="I835">
        <f>(E835-F835)/D835</f>
        <v/>
      </c>
    </row>
    <row r="836">
      <c r="A836" s="3" t="n">
        <v>40232</v>
      </c>
      <c r="B836" t="inlineStr">
        <is>
          <t>111659</t>
        </is>
      </c>
      <c r="C836" t="inlineStr">
        <is>
          <t>GASOLINE BLENDSTOCK (RBOB) - NEW YORK MERCANTILE EXCHANGE</t>
        </is>
      </c>
      <c r="D836" t="n">
        <v>264553</v>
      </c>
      <c r="E836" t="n">
        <v>64848</v>
      </c>
      <c r="F836" t="n">
        <v>4059</v>
      </c>
      <c r="G836" t="n">
        <v>23989</v>
      </c>
      <c r="H836">
        <f>E836-F836</f>
        <v/>
      </c>
      <c r="I836">
        <f>(E836-F836)/D836</f>
        <v/>
      </c>
    </row>
    <row r="837">
      <c r="A837" s="3" t="n">
        <v>40239</v>
      </c>
      <c r="B837" t="inlineStr">
        <is>
          <t>111659</t>
        </is>
      </c>
      <c r="C837" t="inlineStr">
        <is>
          <t>GASOLINE BLENDSTOCK (RBOB) - NEW YORK MERCANTILE EXCHANGE</t>
        </is>
      </c>
      <c r="D837" t="n">
        <v>268322</v>
      </c>
      <c r="E837" t="n">
        <v>65270</v>
      </c>
      <c r="F837" t="n">
        <v>7774</v>
      </c>
      <c r="G837" t="n">
        <v>22588</v>
      </c>
      <c r="H837">
        <f>E837-F837</f>
        <v/>
      </c>
      <c r="I837">
        <f>(E837-F837)/D837</f>
        <v/>
      </c>
    </row>
    <row r="838">
      <c r="A838" s="3" t="n">
        <v>40246</v>
      </c>
      <c r="B838" t="inlineStr">
        <is>
          <t>111659</t>
        </is>
      </c>
      <c r="C838" t="inlineStr">
        <is>
          <t>GASOLINE BLENDSTOCK (RBOB) - NEW YORK MERCANTILE EXCHANGE</t>
        </is>
      </c>
      <c r="D838" t="n">
        <v>292916</v>
      </c>
      <c r="E838" t="n">
        <v>68305</v>
      </c>
      <c r="F838" t="n">
        <v>9133</v>
      </c>
      <c r="G838" t="n">
        <v>25011</v>
      </c>
      <c r="H838">
        <f>E838-F838</f>
        <v/>
      </c>
      <c r="I838">
        <f>(E838-F838)/D838</f>
        <v/>
      </c>
    </row>
    <row r="839">
      <c r="A839" s="3" t="n">
        <v>40253</v>
      </c>
      <c r="B839" t="inlineStr">
        <is>
          <t>111659</t>
        </is>
      </c>
      <c r="C839" t="inlineStr">
        <is>
          <t>GASOLINE BLENDSTOCK (RBOB) - NEW YORK MERCANTILE EXCHANGE</t>
        </is>
      </c>
      <c r="D839" t="n">
        <v>313010</v>
      </c>
      <c r="E839" t="n">
        <v>72952</v>
      </c>
      <c r="F839" t="n">
        <v>7142</v>
      </c>
      <c r="G839" t="n">
        <v>24546</v>
      </c>
      <c r="H839">
        <f>E839-F839</f>
        <v/>
      </c>
      <c r="I839">
        <f>(E839-F839)/D839</f>
        <v/>
      </c>
    </row>
    <row r="840">
      <c r="A840" s="3" t="n">
        <v>40260</v>
      </c>
      <c r="B840" t="inlineStr">
        <is>
          <t>111659</t>
        </is>
      </c>
      <c r="C840" t="inlineStr">
        <is>
          <t>GASOLINE BLENDSTOCK (RBOB) - NEW YORK MERCANTILE EXCHANGE</t>
        </is>
      </c>
      <c r="D840" t="n">
        <v>324322</v>
      </c>
      <c r="E840" t="n">
        <v>70102</v>
      </c>
      <c r="F840" t="n">
        <v>8526</v>
      </c>
      <c r="G840" t="n">
        <v>28646</v>
      </c>
      <c r="H840">
        <f>E840-F840</f>
        <v/>
      </c>
      <c r="I840">
        <f>(E840-F840)/D840</f>
        <v/>
      </c>
    </row>
    <row r="841">
      <c r="A841" s="3" t="n">
        <v>40267</v>
      </c>
      <c r="B841" t="inlineStr">
        <is>
          <t>111659</t>
        </is>
      </c>
      <c r="C841" t="inlineStr">
        <is>
          <t>GASOLINE BLENDSTOCK (RBOB) - NEW YORK MERCANTILE EXCHANGE</t>
        </is>
      </c>
      <c r="D841" t="n">
        <v>313127</v>
      </c>
      <c r="E841" t="n">
        <v>69503</v>
      </c>
      <c r="F841" t="n">
        <v>8347</v>
      </c>
      <c r="G841" t="n">
        <v>22978</v>
      </c>
      <c r="H841">
        <f>E841-F841</f>
        <v/>
      </c>
      <c r="I841">
        <f>(E841-F841)/D841</f>
        <v/>
      </c>
    </row>
    <row r="842">
      <c r="A842" s="3" t="n">
        <v>40274</v>
      </c>
      <c r="B842" t="inlineStr">
        <is>
          <t>111659</t>
        </is>
      </c>
      <c r="C842" t="inlineStr">
        <is>
          <t>GASOLINE BLENDSTOCK (RBOB) - NEW YORK MERCANTILE EXCHANGE</t>
        </is>
      </c>
      <c r="D842" t="n">
        <v>321990</v>
      </c>
      <c r="E842" t="n">
        <v>74625</v>
      </c>
      <c r="F842" t="n">
        <v>8498</v>
      </c>
      <c r="G842" t="n">
        <v>23282</v>
      </c>
      <c r="H842">
        <f>E842-F842</f>
        <v/>
      </c>
      <c r="I842">
        <f>(E842-F842)/D842</f>
        <v/>
      </c>
    </row>
    <row r="843">
      <c r="A843" s="3" t="n">
        <v>40281</v>
      </c>
      <c r="B843" t="inlineStr">
        <is>
          <t>111659</t>
        </is>
      </c>
      <c r="C843" t="inlineStr">
        <is>
          <t>GASOLINE BLENDSTOCK (RBOB) - NEW YORK MERCANTILE EXCHANGE</t>
        </is>
      </c>
      <c r="D843" t="n">
        <v>323469</v>
      </c>
      <c r="E843" t="n">
        <v>73034</v>
      </c>
      <c r="F843" t="n">
        <v>9242</v>
      </c>
      <c r="G843" t="n">
        <v>16604</v>
      </c>
      <c r="H843">
        <f>E843-F843</f>
        <v/>
      </c>
      <c r="I843">
        <f>(E843-F843)/D843</f>
        <v/>
      </c>
    </row>
    <row r="844">
      <c r="A844" s="3" t="n">
        <v>40288</v>
      </c>
      <c r="B844" t="inlineStr">
        <is>
          <t>111659</t>
        </is>
      </c>
      <c r="C844" t="inlineStr">
        <is>
          <t>GASOLINE BLENDSTOCK (RBOB) - NEW YORK MERCANTILE EXCHANGE</t>
        </is>
      </c>
      <c r="D844" t="n">
        <v>322769</v>
      </c>
      <c r="E844" t="n">
        <v>67805</v>
      </c>
      <c r="F844" t="n">
        <v>9335</v>
      </c>
      <c r="G844" t="n">
        <v>18105</v>
      </c>
      <c r="H844">
        <f>E844-F844</f>
        <v/>
      </c>
      <c r="I844">
        <f>(E844-F844)/D844</f>
        <v/>
      </c>
    </row>
    <row r="845">
      <c r="A845" s="3" t="n">
        <v>40295</v>
      </c>
      <c r="B845" t="inlineStr">
        <is>
          <t>111659</t>
        </is>
      </c>
      <c r="C845" t="inlineStr">
        <is>
          <t>GASOLINE BLENDSTOCK (RBOB) - NEW YORK MERCANTILE EXCHANGE</t>
        </is>
      </c>
      <c r="D845" t="n">
        <v>309407</v>
      </c>
      <c r="E845" t="n">
        <v>72999</v>
      </c>
      <c r="F845" t="n">
        <v>11578</v>
      </c>
      <c r="G845" t="n">
        <v>22123</v>
      </c>
      <c r="H845">
        <f>E845-F845</f>
        <v/>
      </c>
      <c r="I845">
        <f>(E845-F845)/D845</f>
        <v/>
      </c>
    </row>
    <row r="846">
      <c r="A846" s="3" t="n">
        <v>40302</v>
      </c>
      <c r="B846" t="inlineStr">
        <is>
          <t>111659</t>
        </is>
      </c>
      <c r="C846" t="inlineStr">
        <is>
          <t>GASOLINE BLENDSTOCK (RBOB) - NEW YORK MERCANTILE EXCHANGE</t>
        </is>
      </c>
      <c r="D846" t="n">
        <v>301231</v>
      </c>
      <c r="E846" t="n">
        <v>76090</v>
      </c>
      <c r="F846" t="n">
        <v>7168</v>
      </c>
      <c r="G846" t="n">
        <v>23592</v>
      </c>
      <c r="H846">
        <f>E846-F846</f>
        <v/>
      </c>
      <c r="I846">
        <f>(E846-F846)/D846</f>
        <v/>
      </c>
    </row>
    <row r="847">
      <c r="A847" s="3" t="n">
        <v>40309</v>
      </c>
      <c r="B847" t="inlineStr">
        <is>
          <t>111659</t>
        </is>
      </c>
      <c r="C847" t="inlineStr">
        <is>
          <t>GASOLINE BLENDSTOCK (RBOB) - NEW YORK MERCANTILE EXCHANGE</t>
        </is>
      </c>
      <c r="D847" t="n">
        <v>282428</v>
      </c>
      <c r="E847" t="n">
        <v>47998</v>
      </c>
      <c r="F847" t="n">
        <v>9219</v>
      </c>
      <c r="G847" t="n">
        <v>25504</v>
      </c>
      <c r="H847">
        <f>E847-F847</f>
        <v/>
      </c>
      <c r="I847">
        <f>(E847-F847)/D847</f>
        <v/>
      </c>
    </row>
    <row r="848">
      <c r="A848" s="3" t="n">
        <v>40316</v>
      </c>
      <c r="B848" t="inlineStr">
        <is>
          <t>111659</t>
        </is>
      </c>
      <c r="C848" t="inlineStr">
        <is>
          <t>GASOLINE BLENDSTOCK (RBOB) - NEW YORK MERCANTILE EXCHANGE</t>
        </is>
      </c>
      <c r="D848" t="n">
        <v>269582</v>
      </c>
      <c r="E848" t="n">
        <v>44236</v>
      </c>
      <c r="F848" t="n">
        <v>10486</v>
      </c>
      <c r="G848" t="n">
        <v>23357</v>
      </c>
      <c r="H848">
        <f>E848-F848</f>
        <v/>
      </c>
      <c r="I848">
        <f>(E848-F848)/D848</f>
        <v/>
      </c>
    </row>
    <row r="849">
      <c r="A849" s="3" t="n">
        <v>40323</v>
      </c>
      <c r="B849" t="inlineStr">
        <is>
          <t>111659</t>
        </is>
      </c>
      <c r="C849" t="inlineStr">
        <is>
          <t>GASOLINE BLENDSTOCK (RBOB) - NEW YORK MERCANTILE EXCHANGE</t>
        </is>
      </c>
      <c r="D849" t="n">
        <v>253511</v>
      </c>
      <c r="E849" t="n">
        <v>33052</v>
      </c>
      <c r="F849" t="n">
        <v>18172</v>
      </c>
      <c r="G849" t="n">
        <v>21354</v>
      </c>
      <c r="H849">
        <f>E849-F849</f>
        <v/>
      </c>
      <c r="I849">
        <f>(E849-F849)/D849</f>
        <v/>
      </c>
    </row>
    <row r="850">
      <c r="A850" s="3" t="n">
        <v>40330</v>
      </c>
      <c r="B850" t="inlineStr">
        <is>
          <t>111659</t>
        </is>
      </c>
      <c r="C850" t="inlineStr">
        <is>
          <t>GASOLINE BLENDSTOCK (RBOB) - NEW YORK MERCANTILE EXCHANGE</t>
        </is>
      </c>
      <c r="D850" t="n">
        <v>246745</v>
      </c>
      <c r="E850" t="n">
        <v>33136</v>
      </c>
      <c r="F850" t="n">
        <v>22102</v>
      </c>
      <c r="G850" t="n">
        <v>19733</v>
      </c>
      <c r="H850">
        <f>E850-F850</f>
        <v/>
      </c>
      <c r="I850">
        <f>(E850-F850)/D850</f>
        <v/>
      </c>
    </row>
    <row r="851">
      <c r="A851" s="3" t="n">
        <v>40337</v>
      </c>
      <c r="B851" t="inlineStr">
        <is>
          <t>111659</t>
        </is>
      </c>
      <c r="C851" t="inlineStr">
        <is>
          <t>GASOLINE BLENDSTOCK (RBOB) - NEW YORK MERCANTILE EXCHANGE</t>
        </is>
      </c>
      <c r="D851" t="n">
        <v>249413</v>
      </c>
      <c r="E851" t="n">
        <v>33365</v>
      </c>
      <c r="F851" t="n">
        <v>20807</v>
      </c>
      <c r="G851" t="n">
        <v>18065</v>
      </c>
      <c r="H851">
        <f>E851-F851</f>
        <v/>
      </c>
      <c r="I851">
        <f>(E851-F851)/D851</f>
        <v/>
      </c>
    </row>
    <row r="852">
      <c r="A852" s="3" t="n">
        <v>40344</v>
      </c>
      <c r="B852" t="inlineStr">
        <is>
          <t>111659</t>
        </is>
      </c>
      <c r="C852" t="inlineStr">
        <is>
          <t>GASOLINE BLENDSTOCK (RBOB) - NEW YORK MERCANTILE EXCHANGE</t>
        </is>
      </c>
      <c r="D852" t="n">
        <v>246480</v>
      </c>
      <c r="E852" t="n">
        <v>36097</v>
      </c>
      <c r="F852" t="n">
        <v>16270</v>
      </c>
      <c r="G852" t="n">
        <v>17147</v>
      </c>
      <c r="H852">
        <f>E852-F852</f>
        <v/>
      </c>
      <c r="I852">
        <f>(E852-F852)/D852</f>
        <v/>
      </c>
    </row>
    <row r="853">
      <c r="A853" s="3" t="n">
        <v>40351</v>
      </c>
      <c r="B853" t="inlineStr">
        <is>
          <t>111659</t>
        </is>
      </c>
      <c r="C853" t="inlineStr">
        <is>
          <t>GASOLINE BLENDSTOCK (RBOB) - NEW YORK MERCANTILE EXCHANGE</t>
        </is>
      </c>
      <c r="D853" t="n">
        <v>249522</v>
      </c>
      <c r="E853" t="n">
        <v>40484</v>
      </c>
      <c r="F853" t="n">
        <v>10103</v>
      </c>
      <c r="G853" t="n">
        <v>17277</v>
      </c>
      <c r="H853">
        <f>E853-F853</f>
        <v/>
      </c>
      <c r="I853">
        <f>(E853-F853)/D853</f>
        <v/>
      </c>
    </row>
    <row r="854">
      <c r="A854" s="3" t="n">
        <v>40358</v>
      </c>
      <c r="B854" t="inlineStr">
        <is>
          <t>111659</t>
        </is>
      </c>
      <c r="C854" t="inlineStr">
        <is>
          <t>GASOLINE BLENDSTOCK (RBOB) - NEW YORK MERCANTILE EXCHANGE</t>
        </is>
      </c>
      <c r="D854" t="n">
        <v>226538</v>
      </c>
      <c r="E854" t="n">
        <v>39396</v>
      </c>
      <c r="F854" t="n">
        <v>9932</v>
      </c>
      <c r="G854" t="n">
        <v>13812</v>
      </c>
      <c r="H854">
        <f>E854-F854</f>
        <v/>
      </c>
      <c r="I854">
        <f>(E854-F854)/D854</f>
        <v/>
      </c>
    </row>
    <row r="855">
      <c r="A855" s="3" t="n">
        <v>40365</v>
      </c>
      <c r="B855" t="inlineStr">
        <is>
          <t>111659</t>
        </is>
      </c>
      <c r="C855" t="inlineStr">
        <is>
          <t>GASOLINE BLENDSTOCK (RBOB) - NEW YORK MERCANTILE EXCHANGE</t>
        </is>
      </c>
      <c r="D855" t="n">
        <v>230219</v>
      </c>
      <c r="E855" t="n">
        <v>35072</v>
      </c>
      <c r="F855" t="n">
        <v>13214</v>
      </c>
      <c r="G855" t="n">
        <v>15838</v>
      </c>
      <c r="H855">
        <f>E855-F855</f>
        <v/>
      </c>
      <c r="I855">
        <f>(E855-F855)/D855</f>
        <v/>
      </c>
    </row>
    <row r="856">
      <c r="A856" s="3" t="n">
        <v>40372</v>
      </c>
      <c r="B856" t="inlineStr">
        <is>
          <t>111659</t>
        </is>
      </c>
      <c r="C856" t="inlineStr">
        <is>
          <t>GASOLINE BLENDSTOCK (RBOB) - NEW YORK MERCANTILE EXCHANGE</t>
        </is>
      </c>
      <c r="D856" t="n">
        <v>229391</v>
      </c>
      <c r="E856" t="n">
        <v>35964</v>
      </c>
      <c r="F856" t="n">
        <v>9843</v>
      </c>
      <c r="G856" t="n">
        <v>15706</v>
      </c>
      <c r="H856">
        <f>E856-F856</f>
        <v/>
      </c>
      <c r="I856">
        <f>(E856-F856)/D856</f>
        <v/>
      </c>
    </row>
    <row r="857">
      <c r="A857" s="3" t="n">
        <v>40379</v>
      </c>
      <c r="B857" t="inlineStr">
        <is>
          <t>111659</t>
        </is>
      </c>
      <c r="C857" t="inlineStr">
        <is>
          <t>GASOLINE BLENDSTOCK (RBOB) - NEW YORK MERCANTILE EXCHANGE</t>
        </is>
      </c>
      <c r="D857" t="n">
        <v>245190</v>
      </c>
      <c r="E857" t="n">
        <v>37339</v>
      </c>
      <c r="F857" t="n">
        <v>9289</v>
      </c>
      <c r="G857" t="n">
        <v>14714</v>
      </c>
      <c r="H857">
        <f>E857-F857</f>
        <v/>
      </c>
      <c r="I857">
        <f>(E857-F857)/D857</f>
        <v/>
      </c>
    </row>
    <row r="858">
      <c r="A858" s="3" t="n">
        <v>40386</v>
      </c>
      <c r="B858" t="inlineStr">
        <is>
          <t>111659</t>
        </is>
      </c>
      <c r="C858" t="inlineStr">
        <is>
          <t>GASOLINE BLENDSTOCK (RBOB) - NEW YORK MERCANTILE EXCHANGE</t>
        </is>
      </c>
      <c r="D858" t="n">
        <v>249133</v>
      </c>
      <c r="E858" t="n">
        <v>43725</v>
      </c>
      <c r="F858" t="n">
        <v>6629</v>
      </c>
      <c r="G858" t="n">
        <v>16462</v>
      </c>
      <c r="H858">
        <f>E858-F858</f>
        <v/>
      </c>
      <c r="I858">
        <f>(E858-F858)/D858</f>
        <v/>
      </c>
    </row>
    <row r="859">
      <c r="A859" s="3" t="n">
        <v>40393</v>
      </c>
      <c r="B859" t="inlineStr">
        <is>
          <t>111659</t>
        </is>
      </c>
      <c r="C859" t="inlineStr">
        <is>
          <t>GASOLINE BLENDSTOCK (RBOB) - NEW YORK MERCANTILE EXCHANGE</t>
        </is>
      </c>
      <c r="D859" t="n">
        <v>247595</v>
      </c>
      <c r="E859" t="n">
        <v>48623</v>
      </c>
      <c r="F859" t="n">
        <v>6658</v>
      </c>
      <c r="G859" t="n">
        <v>15561</v>
      </c>
      <c r="H859">
        <f>E859-F859</f>
        <v/>
      </c>
      <c r="I859">
        <f>(E859-F859)/D859</f>
        <v/>
      </c>
    </row>
    <row r="860">
      <c r="A860" s="3" t="n">
        <v>40400</v>
      </c>
      <c r="B860" t="inlineStr">
        <is>
          <t>111659</t>
        </is>
      </c>
      <c r="C860" t="inlineStr">
        <is>
          <t>GASOLINE BLENDSTOCK (RBOB) - NEW YORK MERCANTILE EXCHANGE</t>
        </is>
      </c>
      <c r="D860" t="n">
        <v>244527</v>
      </c>
      <c r="E860" t="n">
        <v>46333</v>
      </c>
      <c r="F860" t="n">
        <v>7928</v>
      </c>
      <c r="G860" t="n">
        <v>16384</v>
      </c>
      <c r="H860">
        <f>E860-F860</f>
        <v/>
      </c>
      <c r="I860">
        <f>(E860-F860)/D860</f>
        <v/>
      </c>
    </row>
    <row r="861">
      <c r="A861" s="3" t="n">
        <v>40407</v>
      </c>
      <c r="B861" t="inlineStr">
        <is>
          <t>111659</t>
        </is>
      </c>
      <c r="C861" t="inlineStr">
        <is>
          <t>GASOLINE BLENDSTOCK (RBOB) - NEW YORK MERCANTILE EXCHANGE</t>
        </is>
      </c>
      <c r="D861" t="n">
        <v>251053</v>
      </c>
      <c r="E861" t="n">
        <v>39360</v>
      </c>
      <c r="F861" t="n">
        <v>29675</v>
      </c>
      <c r="G861" t="n">
        <v>19382</v>
      </c>
      <c r="H861">
        <f>E861-F861</f>
        <v/>
      </c>
      <c r="I861">
        <f>(E861-F861)/D861</f>
        <v/>
      </c>
    </row>
    <row r="862">
      <c r="A862" s="3" t="n">
        <v>40414</v>
      </c>
      <c r="B862" t="inlineStr">
        <is>
          <t>111659</t>
        </is>
      </c>
      <c r="C862" t="inlineStr">
        <is>
          <t>GASOLINE BLENDSTOCK (RBOB) - NEW YORK MERCANTILE EXCHANGE</t>
        </is>
      </c>
      <c r="D862" t="n">
        <v>251276</v>
      </c>
      <c r="E862" t="n">
        <v>31880</v>
      </c>
      <c r="F862" t="n">
        <v>30873</v>
      </c>
      <c r="G862" t="n">
        <v>21294</v>
      </c>
      <c r="H862">
        <f>E862-F862</f>
        <v/>
      </c>
      <c r="I862">
        <f>(E862-F862)/D862</f>
        <v/>
      </c>
    </row>
    <row r="863">
      <c r="A863" s="3" t="n">
        <v>40421</v>
      </c>
      <c r="B863" t="inlineStr">
        <is>
          <t>111659</t>
        </is>
      </c>
      <c r="C863" t="inlineStr">
        <is>
          <t>GASOLINE BLENDSTOCK (RBOB) - NEW YORK MERCANTILE EXCHANGE</t>
        </is>
      </c>
      <c r="D863" t="n">
        <v>235012</v>
      </c>
      <c r="E863" t="n">
        <v>31119</v>
      </c>
      <c r="F863" t="n">
        <v>32672</v>
      </c>
      <c r="G863" t="n">
        <v>21788</v>
      </c>
      <c r="H863">
        <f>E863-F863</f>
        <v/>
      </c>
      <c r="I863">
        <f>(E863-F863)/D863</f>
        <v/>
      </c>
    </row>
    <row r="864">
      <c r="A864" s="3" t="n">
        <v>40428</v>
      </c>
      <c r="B864" t="inlineStr">
        <is>
          <t>111659</t>
        </is>
      </c>
      <c r="C864" t="inlineStr">
        <is>
          <t>GASOLINE BLENDSTOCK (RBOB) - NEW YORK MERCANTILE EXCHANGE</t>
        </is>
      </c>
      <c r="D864" t="n">
        <v>239551</v>
      </c>
      <c r="E864" t="n">
        <v>32396</v>
      </c>
      <c r="F864" t="n">
        <v>26740</v>
      </c>
      <c r="G864" t="n">
        <v>21719</v>
      </c>
      <c r="H864">
        <f>E864-F864</f>
        <v/>
      </c>
      <c r="I864">
        <f>(E864-F864)/D864</f>
        <v/>
      </c>
    </row>
    <row r="865">
      <c r="A865" s="3" t="n">
        <v>40435</v>
      </c>
      <c r="B865" t="inlineStr">
        <is>
          <t>111659</t>
        </is>
      </c>
      <c r="C865" t="inlineStr">
        <is>
          <t>GASOLINE BLENDSTOCK (RBOB) - NEW YORK MERCANTILE EXCHANGE</t>
        </is>
      </c>
      <c r="D865" t="n">
        <v>242771</v>
      </c>
      <c r="E865" t="n">
        <v>35434</v>
      </c>
      <c r="F865" t="n">
        <v>20121</v>
      </c>
      <c r="G865" t="n">
        <v>19175</v>
      </c>
      <c r="H865">
        <f>E865-F865</f>
        <v/>
      </c>
      <c r="I865">
        <f>(E865-F865)/D865</f>
        <v/>
      </c>
    </row>
    <row r="866">
      <c r="A866" s="3" t="n">
        <v>40442</v>
      </c>
      <c r="B866" t="inlineStr">
        <is>
          <t>111659</t>
        </is>
      </c>
      <c r="C866" t="inlineStr">
        <is>
          <t>GASOLINE BLENDSTOCK (RBOB) - NEW YORK MERCANTILE EXCHANGE</t>
        </is>
      </c>
      <c r="D866" t="n">
        <v>241578</v>
      </c>
      <c r="E866" t="n">
        <v>39322</v>
      </c>
      <c r="F866" t="n">
        <v>19360</v>
      </c>
      <c r="G866" t="n">
        <v>17587</v>
      </c>
      <c r="H866">
        <f>E866-F866</f>
        <v/>
      </c>
      <c r="I866">
        <f>(E866-F866)/D866</f>
        <v/>
      </c>
    </row>
    <row r="867">
      <c r="A867" s="3" t="n">
        <v>40449</v>
      </c>
      <c r="B867" t="inlineStr">
        <is>
          <t>111659</t>
        </is>
      </c>
      <c r="C867" t="inlineStr">
        <is>
          <t>GASOLINE BLENDSTOCK (RBOB) - NEW YORK MERCANTILE EXCHANGE</t>
        </is>
      </c>
      <c r="D867" t="n">
        <v>242914</v>
      </c>
      <c r="E867" t="n">
        <v>37861</v>
      </c>
      <c r="F867" t="n">
        <v>15426</v>
      </c>
      <c r="G867" t="n">
        <v>18544</v>
      </c>
      <c r="H867">
        <f>E867-F867</f>
        <v/>
      </c>
      <c r="I867">
        <f>(E867-F867)/D867</f>
        <v/>
      </c>
    </row>
    <row r="868">
      <c r="A868" s="3" t="n">
        <v>40456</v>
      </c>
      <c r="B868" t="inlineStr">
        <is>
          <t>111659</t>
        </is>
      </c>
      <c r="C868" t="inlineStr">
        <is>
          <t>GASOLINE BLENDSTOCK (RBOB) - NEW YORK MERCANTILE EXCHANGE</t>
        </is>
      </c>
      <c r="D868" t="n">
        <v>259571</v>
      </c>
      <c r="E868" t="n">
        <v>60655</v>
      </c>
      <c r="F868" t="n">
        <v>10963</v>
      </c>
      <c r="G868" t="n">
        <v>21045</v>
      </c>
      <c r="H868">
        <f>E868-F868</f>
        <v/>
      </c>
      <c r="I868">
        <f>(E868-F868)/D868</f>
        <v/>
      </c>
    </row>
    <row r="869">
      <c r="A869" s="3" t="n">
        <v>40463</v>
      </c>
      <c r="B869" t="inlineStr">
        <is>
          <t>111659</t>
        </is>
      </c>
      <c r="C869" t="inlineStr">
        <is>
          <t>GASOLINE BLENDSTOCK (RBOB) - NEW YORK MERCANTILE EXCHANGE</t>
        </is>
      </c>
      <c r="D869" t="n">
        <v>269889</v>
      </c>
      <c r="E869" t="n">
        <v>64188</v>
      </c>
      <c r="F869" t="n">
        <v>7604</v>
      </c>
      <c r="G869" t="n">
        <v>21896</v>
      </c>
      <c r="H869">
        <f>E869-F869</f>
        <v/>
      </c>
      <c r="I869">
        <f>(E869-F869)/D869</f>
        <v/>
      </c>
    </row>
    <row r="870">
      <c r="A870" s="3" t="n">
        <v>40470</v>
      </c>
      <c r="B870" t="inlineStr">
        <is>
          <t>111659</t>
        </is>
      </c>
      <c r="C870" t="inlineStr">
        <is>
          <t>GASOLINE BLENDSTOCK (RBOB) - NEW YORK MERCANTILE EXCHANGE</t>
        </is>
      </c>
      <c r="D870" t="n">
        <v>282151</v>
      </c>
      <c r="E870" t="n">
        <v>67136</v>
      </c>
      <c r="F870" t="n">
        <v>9417</v>
      </c>
      <c r="G870" t="n">
        <v>23810</v>
      </c>
      <c r="H870">
        <f>E870-F870</f>
        <v/>
      </c>
      <c r="I870">
        <f>(E870-F870)/D870</f>
        <v/>
      </c>
    </row>
    <row r="871">
      <c r="A871" s="3" t="n">
        <v>40477</v>
      </c>
      <c r="B871" t="inlineStr">
        <is>
          <t>111659</t>
        </is>
      </c>
      <c r="C871" t="inlineStr">
        <is>
          <t>GASOLINE BLENDSTOCK (RBOB) - NEW YORK MERCANTILE EXCHANGE</t>
        </is>
      </c>
      <c r="D871" t="n">
        <v>277065</v>
      </c>
      <c r="E871" t="n">
        <v>60845</v>
      </c>
      <c r="F871" t="n">
        <v>9083</v>
      </c>
      <c r="G871" t="n">
        <v>22949</v>
      </c>
      <c r="H871">
        <f>E871-F871</f>
        <v/>
      </c>
      <c r="I871">
        <f>(E871-F871)/D871</f>
        <v/>
      </c>
    </row>
    <row r="872">
      <c r="A872" s="3" t="n">
        <v>40484</v>
      </c>
      <c r="B872" t="inlineStr">
        <is>
          <t>111659</t>
        </is>
      </c>
      <c r="C872" t="inlineStr">
        <is>
          <t>GASOLINE BLENDSTOCK (RBOB) - NEW YORK MERCANTILE EXCHANGE</t>
        </is>
      </c>
      <c r="D872" t="n">
        <v>277836</v>
      </c>
      <c r="E872" t="n">
        <v>59399</v>
      </c>
      <c r="F872" t="n">
        <v>8873</v>
      </c>
      <c r="G872" t="n">
        <v>24359</v>
      </c>
      <c r="H872">
        <f>E872-F872</f>
        <v/>
      </c>
      <c r="I872">
        <f>(E872-F872)/D872</f>
        <v/>
      </c>
    </row>
    <row r="873">
      <c r="A873" s="3" t="n">
        <v>40491</v>
      </c>
      <c r="B873" t="inlineStr">
        <is>
          <t>111659</t>
        </is>
      </c>
      <c r="C873" t="inlineStr">
        <is>
          <t>GASOLINE BLENDSTOCK (RBOB) - NEW YORK MERCANTILE EXCHANGE</t>
        </is>
      </c>
      <c r="D873" t="n">
        <v>292042</v>
      </c>
      <c r="E873" t="n">
        <v>64004</v>
      </c>
      <c r="F873" t="n">
        <v>10857</v>
      </c>
      <c r="G873" t="n">
        <v>18279</v>
      </c>
      <c r="H873">
        <f>E873-F873</f>
        <v/>
      </c>
      <c r="I873">
        <f>(E873-F873)/D873</f>
        <v/>
      </c>
    </row>
    <row r="874">
      <c r="A874" s="3" t="n">
        <v>40498</v>
      </c>
      <c r="B874" t="inlineStr">
        <is>
          <t>111659</t>
        </is>
      </c>
      <c r="C874" t="inlineStr">
        <is>
          <t>GASOLINE BLENDSTOCK (RBOB) - NEW YORK MERCANTILE EXCHANGE</t>
        </is>
      </c>
      <c r="D874" t="n">
        <v>285976</v>
      </c>
      <c r="E874" t="n">
        <v>70093</v>
      </c>
      <c r="F874" t="n">
        <v>8788</v>
      </c>
      <c r="G874" t="n">
        <v>18415</v>
      </c>
      <c r="H874">
        <f>E874-F874</f>
        <v/>
      </c>
      <c r="I874">
        <f>(E874-F874)/D874</f>
        <v/>
      </c>
    </row>
    <row r="875">
      <c r="A875" s="3" t="n">
        <v>40505</v>
      </c>
      <c r="B875" t="inlineStr">
        <is>
          <t>111659</t>
        </is>
      </c>
      <c r="C875" t="inlineStr">
        <is>
          <t>GASOLINE BLENDSTOCK (RBOB) - NEW YORK MERCANTILE EXCHANGE</t>
        </is>
      </c>
      <c r="D875" t="n">
        <v>277551</v>
      </c>
      <c r="E875" t="n">
        <v>65272</v>
      </c>
      <c r="F875" t="n">
        <v>3984</v>
      </c>
      <c r="G875" t="n">
        <v>19008</v>
      </c>
      <c r="H875">
        <f>E875-F875</f>
        <v/>
      </c>
      <c r="I875">
        <f>(E875-F875)/D875</f>
        <v/>
      </c>
    </row>
    <row r="876">
      <c r="A876" s="3" t="n">
        <v>40512</v>
      </c>
      <c r="B876" t="inlineStr">
        <is>
          <t>111659</t>
        </is>
      </c>
      <c r="C876" t="inlineStr">
        <is>
          <t>GASOLINE BLENDSTOCK (RBOB) - NEW YORK MERCANTILE EXCHANGE</t>
        </is>
      </c>
      <c r="D876" t="n">
        <v>271829</v>
      </c>
      <c r="E876" t="n">
        <v>69867</v>
      </c>
      <c r="F876" t="n">
        <v>4397</v>
      </c>
      <c r="G876" t="n">
        <v>20638</v>
      </c>
      <c r="H876">
        <f>E876-F876</f>
        <v/>
      </c>
      <c r="I876">
        <f>(E876-F876)/D876</f>
        <v/>
      </c>
    </row>
    <row r="877">
      <c r="A877" s="3" t="n">
        <v>40519</v>
      </c>
      <c r="B877" t="inlineStr">
        <is>
          <t>111659</t>
        </is>
      </c>
      <c r="C877" t="inlineStr">
        <is>
          <t>GASOLINE BLENDSTOCK (RBOB) - NEW YORK MERCANTILE EXCHANGE</t>
        </is>
      </c>
      <c r="D877" t="n">
        <v>269059</v>
      </c>
      <c r="E877" t="n">
        <v>72238</v>
      </c>
      <c r="F877" t="n">
        <v>3827</v>
      </c>
      <c r="G877" t="n">
        <v>17511</v>
      </c>
      <c r="H877">
        <f>E877-F877</f>
        <v/>
      </c>
      <c r="I877">
        <f>(E877-F877)/D877</f>
        <v/>
      </c>
    </row>
    <row r="878">
      <c r="A878" s="3" t="n">
        <v>40526</v>
      </c>
      <c r="B878" t="inlineStr">
        <is>
          <t>111659</t>
        </is>
      </c>
      <c r="C878" t="inlineStr">
        <is>
          <t>GASOLINE BLENDSTOCK (RBOB) - NEW YORK MERCANTILE EXCHANGE</t>
        </is>
      </c>
      <c r="D878" t="n">
        <v>268541</v>
      </c>
      <c r="E878" t="n">
        <v>69546</v>
      </c>
      <c r="F878" t="n">
        <v>2809</v>
      </c>
      <c r="G878" t="n">
        <v>16872</v>
      </c>
      <c r="H878">
        <f>E878-F878</f>
        <v/>
      </c>
      <c r="I878">
        <f>(E878-F878)/D878</f>
        <v/>
      </c>
    </row>
    <row r="879">
      <c r="A879" s="3" t="n">
        <v>40533</v>
      </c>
      <c r="B879" t="inlineStr">
        <is>
          <t>111659</t>
        </is>
      </c>
      <c r="C879" t="inlineStr">
        <is>
          <t>GASOLINE BLENDSTOCK (RBOB) - NEW YORK MERCANTILE EXCHANGE</t>
        </is>
      </c>
      <c r="D879" t="n">
        <v>282834</v>
      </c>
      <c r="E879" t="n">
        <v>73053</v>
      </c>
      <c r="F879" t="n">
        <v>4172</v>
      </c>
      <c r="G879" t="n">
        <v>18305</v>
      </c>
      <c r="H879">
        <f>E879-F879</f>
        <v/>
      </c>
      <c r="I879">
        <f>(E879-F879)/D879</f>
        <v/>
      </c>
    </row>
    <row r="880">
      <c r="A880" s="3" t="n">
        <v>40540</v>
      </c>
      <c r="B880" t="inlineStr">
        <is>
          <t>111659</t>
        </is>
      </c>
      <c r="C880" t="inlineStr">
        <is>
          <t>GASOLINE BLENDSTOCK (RBOB) - NEW YORK MERCANTILE EXCHANGE</t>
        </is>
      </c>
      <c r="D880" t="n">
        <v>281314</v>
      </c>
      <c r="E880" t="n">
        <v>71567</v>
      </c>
      <c r="F880" t="n">
        <v>3925</v>
      </c>
      <c r="G880" t="n">
        <v>18753</v>
      </c>
      <c r="H880">
        <f>E880-F880</f>
        <v/>
      </c>
      <c r="I880">
        <f>(E880-F880)/D880</f>
        <v/>
      </c>
    </row>
    <row r="881">
      <c r="A881" s="3" t="n">
        <v>40547</v>
      </c>
      <c r="B881" t="inlineStr">
        <is>
          <t>111659</t>
        </is>
      </c>
      <c r="C881" t="inlineStr">
        <is>
          <t>GASOLINE BLENDSTOCK (RBOB) - NEW YORK MERCANTILE EXCHANGE</t>
        </is>
      </c>
      <c r="D881" t="n">
        <v>270115</v>
      </c>
      <c r="E881" t="n">
        <v>74452</v>
      </c>
      <c r="F881" t="n">
        <v>4546</v>
      </c>
      <c r="G881" t="n">
        <v>17087</v>
      </c>
      <c r="H881">
        <f>E881-F881</f>
        <v/>
      </c>
      <c r="I881">
        <f>(E881-F881)/D881</f>
        <v/>
      </c>
    </row>
    <row r="882">
      <c r="A882" s="3" t="n">
        <v>40554</v>
      </c>
      <c r="B882" t="inlineStr">
        <is>
          <t>111659</t>
        </is>
      </c>
      <c r="C882" t="inlineStr">
        <is>
          <t>GASOLINE BLENDSTOCK (RBOB) - NEW YORK MERCANTILE EXCHANGE</t>
        </is>
      </c>
      <c r="D882" t="n">
        <v>276293</v>
      </c>
      <c r="E882" t="n">
        <v>73622</v>
      </c>
      <c r="F882" t="n">
        <v>3971</v>
      </c>
      <c r="G882" t="n">
        <v>17952</v>
      </c>
      <c r="H882">
        <f>E882-F882</f>
        <v/>
      </c>
      <c r="I882">
        <f>(E882-F882)/D882</f>
        <v/>
      </c>
    </row>
    <row r="883">
      <c r="A883" s="3" t="n">
        <v>40561</v>
      </c>
      <c r="B883" t="inlineStr">
        <is>
          <t>111659</t>
        </is>
      </c>
      <c r="C883" t="inlineStr">
        <is>
          <t>GASOLINE BLENDSTOCK (RBOB) - NEW YORK MERCANTILE EXCHANGE</t>
        </is>
      </c>
      <c r="D883" t="n">
        <v>287146</v>
      </c>
      <c r="E883" t="n">
        <v>70955</v>
      </c>
      <c r="F883" t="n">
        <v>4039</v>
      </c>
      <c r="G883" t="n">
        <v>18265</v>
      </c>
      <c r="H883">
        <f>E883-F883</f>
        <v/>
      </c>
      <c r="I883">
        <f>(E883-F883)/D883</f>
        <v/>
      </c>
    </row>
    <row r="884">
      <c r="A884" s="3" t="n">
        <v>40568</v>
      </c>
      <c r="B884" t="inlineStr">
        <is>
          <t>111659</t>
        </is>
      </c>
      <c r="C884" t="inlineStr">
        <is>
          <t>GASOLINE BLENDSTOCK (RBOB) - NEW YORK MERCANTILE EXCHANGE</t>
        </is>
      </c>
      <c r="D884" t="n">
        <v>282934</v>
      </c>
      <c r="E884" t="n">
        <v>67292</v>
      </c>
      <c r="F884" t="n">
        <v>5154</v>
      </c>
      <c r="G884" t="n">
        <v>13823</v>
      </c>
      <c r="H884">
        <f>E884-F884</f>
        <v/>
      </c>
      <c r="I884">
        <f>(E884-F884)/D884</f>
        <v/>
      </c>
    </row>
    <row r="885">
      <c r="A885" s="3" t="n">
        <v>40575</v>
      </c>
      <c r="B885" t="inlineStr">
        <is>
          <t>111659</t>
        </is>
      </c>
      <c r="C885" t="inlineStr">
        <is>
          <t>GASOLINE BLENDSTOCK (RBOB) - NEW YORK MERCANTILE EXCHANGE</t>
        </is>
      </c>
      <c r="D885" t="n">
        <v>279746</v>
      </c>
      <c r="E885" t="n">
        <v>69052</v>
      </c>
      <c r="F885" t="n">
        <v>3264</v>
      </c>
      <c r="G885" t="n">
        <v>12951</v>
      </c>
      <c r="H885">
        <f>E885-F885</f>
        <v/>
      </c>
      <c r="I885">
        <f>(E885-F885)/D885</f>
        <v/>
      </c>
    </row>
    <row r="886">
      <c r="A886" s="3" t="n">
        <v>40582</v>
      </c>
      <c r="B886" t="inlineStr">
        <is>
          <t>111659</t>
        </is>
      </c>
      <c r="C886" t="inlineStr">
        <is>
          <t>GASOLINE BLENDSTOCK (RBOB) - NEW YORK MERCANTILE EXCHANGE</t>
        </is>
      </c>
      <c r="D886" t="n">
        <v>264204</v>
      </c>
      <c r="E886" t="n">
        <v>64156</v>
      </c>
      <c r="F886" t="n">
        <v>3732</v>
      </c>
      <c r="G886" t="n">
        <v>13802</v>
      </c>
      <c r="H886">
        <f>E886-F886</f>
        <v/>
      </c>
      <c r="I886">
        <f>(E886-F886)/D886</f>
        <v/>
      </c>
    </row>
    <row r="887">
      <c r="A887" s="3" t="n">
        <v>40589</v>
      </c>
      <c r="B887" t="inlineStr">
        <is>
          <t>111659</t>
        </is>
      </c>
      <c r="C887" t="inlineStr">
        <is>
          <t>GASOLINE BLENDSTOCK (RBOB) - NEW YORK MERCANTILE EXCHANGE</t>
        </is>
      </c>
      <c r="D887" t="n">
        <v>276250</v>
      </c>
      <c r="E887" t="n">
        <v>62496</v>
      </c>
      <c r="F887" t="n">
        <v>8226</v>
      </c>
      <c r="G887" t="n">
        <v>13292</v>
      </c>
      <c r="H887">
        <f>E887-F887</f>
        <v/>
      </c>
      <c r="I887">
        <f>(E887-F887)/D887</f>
        <v/>
      </c>
    </row>
    <row r="888">
      <c r="A888" s="3" t="n">
        <v>40596</v>
      </c>
      <c r="B888" t="inlineStr">
        <is>
          <t>111659</t>
        </is>
      </c>
      <c r="C888" t="inlineStr">
        <is>
          <t>GASOLINE BLENDSTOCK (RBOB) - NEW YORK MERCANTILE EXCHANGE</t>
        </is>
      </c>
      <c r="D888" t="n">
        <v>281878</v>
      </c>
      <c r="E888" t="n">
        <v>62344</v>
      </c>
      <c r="F888" t="n">
        <v>9911</v>
      </c>
      <c r="G888" t="n">
        <v>12726</v>
      </c>
      <c r="H888">
        <f>E888-F888</f>
        <v/>
      </c>
      <c r="I888">
        <f>(E888-F888)/D888</f>
        <v/>
      </c>
    </row>
    <row r="889">
      <c r="A889" s="3" t="n">
        <v>40603</v>
      </c>
      <c r="B889" t="inlineStr">
        <is>
          <t>111659</t>
        </is>
      </c>
      <c r="C889" t="inlineStr">
        <is>
          <t>GASOLINE BLENDSTOCK (RBOB) - NEW YORK MERCANTILE EXCHANGE</t>
        </is>
      </c>
      <c r="D889" t="n">
        <v>278336</v>
      </c>
      <c r="E889" t="n">
        <v>60346</v>
      </c>
      <c r="F889" t="n">
        <v>10785</v>
      </c>
      <c r="G889" t="n">
        <v>13063</v>
      </c>
      <c r="H889">
        <f>E889-F889</f>
        <v/>
      </c>
      <c r="I889">
        <f>(E889-F889)/D889</f>
        <v/>
      </c>
    </row>
    <row r="890">
      <c r="A890" s="3" t="n">
        <v>40610</v>
      </c>
      <c r="B890" t="inlineStr">
        <is>
          <t>111659</t>
        </is>
      </c>
      <c r="C890" t="inlineStr">
        <is>
          <t>GASOLINE BLENDSTOCK (RBOB) - NEW YORK MERCANTILE EXCHANGE</t>
        </is>
      </c>
      <c r="D890" t="n">
        <v>274371</v>
      </c>
      <c r="E890" t="n">
        <v>63861</v>
      </c>
      <c r="F890" t="n">
        <v>8377</v>
      </c>
      <c r="G890" t="n">
        <v>11837</v>
      </c>
      <c r="H890">
        <f>E890-F890</f>
        <v/>
      </c>
      <c r="I890">
        <f>(E890-F890)/D890</f>
        <v/>
      </c>
    </row>
    <row r="891">
      <c r="A891" s="3" t="n">
        <v>40617</v>
      </c>
      <c r="B891" t="inlineStr">
        <is>
          <t>111659</t>
        </is>
      </c>
      <c r="C891" t="inlineStr">
        <is>
          <t>GASOLINE BLENDSTOCK (RBOB) - NEW YORK MERCANTILE EXCHANGE</t>
        </is>
      </c>
      <c r="D891" t="n">
        <v>269787</v>
      </c>
      <c r="E891" t="n">
        <v>62108</v>
      </c>
      <c r="F891" t="n">
        <v>5528</v>
      </c>
      <c r="G891" t="n">
        <v>14250</v>
      </c>
      <c r="H891">
        <f>E891-F891</f>
        <v/>
      </c>
      <c r="I891">
        <f>(E891-F891)/D891</f>
        <v/>
      </c>
    </row>
    <row r="892">
      <c r="A892" s="3" t="n">
        <v>40624</v>
      </c>
      <c r="B892" t="inlineStr">
        <is>
          <t>111659</t>
        </is>
      </c>
      <c r="C892" t="inlineStr">
        <is>
          <t>GASOLINE BLENDSTOCK (RBOB) - NEW YORK MERCANTILE EXCHANGE</t>
        </is>
      </c>
      <c r="D892" t="n">
        <v>274519</v>
      </c>
      <c r="E892" t="n">
        <v>62147</v>
      </c>
      <c r="F892" t="n">
        <v>4007</v>
      </c>
      <c r="G892" t="n">
        <v>12475</v>
      </c>
      <c r="H892">
        <f>E892-F892</f>
        <v/>
      </c>
      <c r="I892">
        <f>(E892-F892)/D892</f>
        <v/>
      </c>
    </row>
    <row r="893">
      <c r="A893" s="3" t="n">
        <v>40631</v>
      </c>
      <c r="B893" t="inlineStr">
        <is>
          <t>111659</t>
        </is>
      </c>
      <c r="C893" t="inlineStr">
        <is>
          <t>GASOLINE BLENDSTOCK (RBOB) - NEW YORK MERCANTILE EXCHANGE</t>
        </is>
      </c>
      <c r="D893" t="n">
        <v>281632</v>
      </c>
      <c r="E893" t="n">
        <v>66482</v>
      </c>
      <c r="F893" t="n">
        <v>5229</v>
      </c>
      <c r="G893" t="n">
        <v>11578</v>
      </c>
      <c r="H893">
        <f>E893-F893</f>
        <v/>
      </c>
      <c r="I893">
        <f>(E893-F893)/D893</f>
        <v/>
      </c>
    </row>
    <row r="894">
      <c r="A894" s="3" t="n">
        <v>40638</v>
      </c>
      <c r="B894" t="inlineStr">
        <is>
          <t>111659</t>
        </is>
      </c>
      <c r="C894" t="inlineStr">
        <is>
          <t>GASOLINE BLENDSTOCK (RBOB) - NEW YORK MERCANTILE EXCHANGE</t>
        </is>
      </c>
      <c r="D894" t="n">
        <v>286614</v>
      </c>
      <c r="E894" t="n">
        <v>69444</v>
      </c>
      <c r="F894" t="n">
        <v>5026</v>
      </c>
      <c r="G894" t="n">
        <v>15695</v>
      </c>
      <c r="H894">
        <f>E894-F894</f>
        <v/>
      </c>
      <c r="I894">
        <f>(E894-F894)/D894</f>
        <v/>
      </c>
    </row>
    <row r="895">
      <c r="A895" s="3" t="n">
        <v>40645</v>
      </c>
      <c r="B895" t="inlineStr">
        <is>
          <t>111659</t>
        </is>
      </c>
      <c r="C895" t="inlineStr">
        <is>
          <t>GASOLINE BLENDSTOCK (RBOB) - NEW YORK MERCANTILE EXCHANGE</t>
        </is>
      </c>
      <c r="D895" t="n">
        <v>293832</v>
      </c>
      <c r="E895" t="n">
        <v>67778</v>
      </c>
      <c r="F895" t="n">
        <v>6687</v>
      </c>
      <c r="G895" t="n">
        <v>13096</v>
      </c>
      <c r="H895">
        <f>E895-F895</f>
        <v/>
      </c>
      <c r="I895">
        <f>(E895-F895)/D895</f>
        <v/>
      </c>
    </row>
    <row r="896">
      <c r="A896" s="3" t="n">
        <v>40652</v>
      </c>
      <c r="B896" t="inlineStr">
        <is>
          <t>111659</t>
        </is>
      </c>
      <c r="C896" t="inlineStr">
        <is>
          <t>GASOLINE BLENDSTOCK (RBOB) - NEW YORK MERCANTILE EXCHANGE</t>
        </is>
      </c>
      <c r="D896" t="n">
        <v>298388</v>
      </c>
      <c r="E896" t="n">
        <v>68423</v>
      </c>
      <c r="F896" t="n">
        <v>5464</v>
      </c>
      <c r="G896" t="n">
        <v>16877</v>
      </c>
      <c r="H896">
        <f>E896-F896</f>
        <v/>
      </c>
      <c r="I896">
        <f>(E896-F896)/D896</f>
        <v/>
      </c>
    </row>
    <row r="897">
      <c r="A897" s="3" t="n">
        <v>40659</v>
      </c>
      <c r="B897" t="inlineStr">
        <is>
          <t>111659</t>
        </is>
      </c>
      <c r="C897" t="inlineStr">
        <is>
          <t>GASOLINE BLENDSTOCK (RBOB) - NEW YORK MERCANTILE EXCHANGE</t>
        </is>
      </c>
      <c r="D897" t="n">
        <v>295262</v>
      </c>
      <c r="E897" t="n">
        <v>69970</v>
      </c>
      <c r="F897" t="n">
        <v>7546</v>
      </c>
      <c r="G897" t="n">
        <v>19975</v>
      </c>
      <c r="H897">
        <f>E897-F897</f>
        <v/>
      </c>
      <c r="I897">
        <f>(E897-F897)/D897</f>
        <v/>
      </c>
    </row>
    <row r="898">
      <c r="A898" s="3" t="n">
        <v>40666</v>
      </c>
      <c r="B898" t="inlineStr">
        <is>
          <t>111659</t>
        </is>
      </c>
      <c r="C898" t="inlineStr">
        <is>
          <t>GASOLINE BLENDSTOCK (RBOB) - NEW YORK MERCANTILE EXCHANGE</t>
        </is>
      </c>
      <c r="D898" t="n">
        <v>301213</v>
      </c>
      <c r="E898" t="n">
        <v>71544</v>
      </c>
      <c r="F898" t="n">
        <v>8678</v>
      </c>
      <c r="G898" t="n">
        <v>19286</v>
      </c>
      <c r="H898">
        <f>E898-F898</f>
        <v/>
      </c>
      <c r="I898">
        <f>(E898-F898)/D898</f>
        <v/>
      </c>
    </row>
    <row r="899">
      <c r="A899" s="3" t="n">
        <v>40673</v>
      </c>
      <c r="B899" t="inlineStr">
        <is>
          <t>111659</t>
        </is>
      </c>
      <c r="C899" t="inlineStr">
        <is>
          <t>GASOLINE BLENDSTOCK (RBOB) - NEW YORK MERCANTILE EXCHANGE</t>
        </is>
      </c>
      <c r="D899" t="n">
        <v>290808</v>
      </c>
      <c r="E899" t="n">
        <v>70786</v>
      </c>
      <c r="F899" t="n">
        <v>10148</v>
      </c>
      <c r="G899" t="n">
        <v>12549</v>
      </c>
      <c r="H899">
        <f>E899-F899</f>
        <v/>
      </c>
      <c r="I899">
        <f>(E899-F899)/D899</f>
        <v/>
      </c>
    </row>
    <row r="900">
      <c r="A900" s="3" t="n">
        <v>40680</v>
      </c>
      <c r="B900" t="inlineStr">
        <is>
          <t>111659</t>
        </is>
      </c>
      <c r="C900" t="inlineStr">
        <is>
          <t>GASOLINE BLENDSTOCK (RBOB) - NEW YORK MERCANTILE EXCHANGE</t>
        </is>
      </c>
      <c r="D900" t="n">
        <v>277617</v>
      </c>
      <c r="E900" t="n">
        <v>57168</v>
      </c>
      <c r="F900" t="n">
        <v>5388</v>
      </c>
      <c r="G900" t="n">
        <v>18156</v>
      </c>
      <c r="H900">
        <f>E900-F900</f>
        <v/>
      </c>
      <c r="I900">
        <f>(E900-F900)/D900</f>
        <v/>
      </c>
    </row>
    <row r="901">
      <c r="A901" s="3" t="n">
        <v>40687</v>
      </c>
      <c r="B901" t="inlineStr">
        <is>
          <t>111659</t>
        </is>
      </c>
      <c r="C901" t="inlineStr">
        <is>
          <t>GASOLINE BLENDSTOCK (RBOB) - NEW YORK MERCANTILE EXCHANGE</t>
        </is>
      </c>
      <c r="D901" t="n">
        <v>268867</v>
      </c>
      <c r="E901" t="n">
        <v>53341</v>
      </c>
      <c r="F901" t="n">
        <v>6971</v>
      </c>
      <c r="G901" t="n">
        <v>16989</v>
      </c>
      <c r="H901">
        <f>E901-F901</f>
        <v/>
      </c>
      <c r="I901">
        <f>(E901-F901)/D901</f>
        <v/>
      </c>
    </row>
    <row r="902">
      <c r="A902" s="3" t="n">
        <v>40694</v>
      </c>
      <c r="B902" t="inlineStr">
        <is>
          <t>111659</t>
        </is>
      </c>
      <c r="C902" t="inlineStr">
        <is>
          <t>GASOLINE BLENDSTOCK (RBOB) - NEW YORK MERCANTILE EXCHANGE</t>
        </is>
      </c>
      <c r="D902" t="n">
        <v>254108</v>
      </c>
      <c r="E902" t="n">
        <v>54148</v>
      </c>
      <c r="F902" t="n">
        <v>6390</v>
      </c>
      <c r="G902" t="n">
        <v>15575</v>
      </c>
      <c r="H902">
        <f>E902-F902</f>
        <v/>
      </c>
      <c r="I902">
        <f>(E902-F902)/D902</f>
        <v/>
      </c>
    </row>
    <row r="903">
      <c r="A903" s="3" t="n">
        <v>40701</v>
      </c>
      <c r="B903" t="inlineStr">
        <is>
          <t>111659</t>
        </is>
      </c>
      <c r="C903" t="inlineStr">
        <is>
          <t>GASOLINE BLENDSTOCK (RBOB) - NEW YORK MERCANTILE EXCHANGE</t>
        </is>
      </c>
      <c r="D903" t="n">
        <v>251327</v>
      </c>
      <c r="E903" t="n">
        <v>52048</v>
      </c>
      <c r="F903" t="n">
        <v>3450</v>
      </c>
      <c r="G903" t="n">
        <v>16282</v>
      </c>
      <c r="H903">
        <f>E903-F903</f>
        <v/>
      </c>
      <c r="I903">
        <f>(E903-F903)/D903</f>
        <v/>
      </c>
    </row>
    <row r="904">
      <c r="A904" s="3" t="n">
        <v>40708</v>
      </c>
      <c r="B904" t="inlineStr">
        <is>
          <t>111659</t>
        </is>
      </c>
      <c r="C904" t="inlineStr">
        <is>
          <t>GASOLINE BLENDSTOCK (RBOB) - NEW YORK MERCANTILE EXCHANGE</t>
        </is>
      </c>
      <c r="D904" t="n">
        <v>262930</v>
      </c>
      <c r="E904" t="n">
        <v>56437</v>
      </c>
      <c r="F904" t="n">
        <v>7248</v>
      </c>
      <c r="G904" t="n">
        <v>16619</v>
      </c>
      <c r="H904">
        <f>E904-F904</f>
        <v/>
      </c>
      <c r="I904">
        <f>(E904-F904)/D904</f>
        <v/>
      </c>
    </row>
    <row r="905">
      <c r="A905" s="3" t="n">
        <v>40715</v>
      </c>
      <c r="B905" t="inlineStr">
        <is>
          <t>111659</t>
        </is>
      </c>
      <c r="C905" t="inlineStr">
        <is>
          <t>GASOLINE BLENDSTOCK (RBOB) - NEW YORK MERCANTILE EXCHANGE</t>
        </is>
      </c>
      <c r="D905" t="n">
        <v>257509</v>
      </c>
      <c r="E905" t="n">
        <v>50473</v>
      </c>
      <c r="F905" t="n">
        <v>10187</v>
      </c>
      <c r="G905" t="n">
        <v>14285</v>
      </c>
      <c r="H905">
        <f>E905-F905</f>
        <v/>
      </c>
      <c r="I905">
        <f>(E905-F905)/D905</f>
        <v/>
      </c>
    </row>
    <row r="906">
      <c r="A906" s="3" t="n">
        <v>40722</v>
      </c>
      <c r="B906" t="inlineStr">
        <is>
          <t>111659</t>
        </is>
      </c>
      <c r="C906" t="inlineStr">
        <is>
          <t>GASOLINE BLENDSTOCK (RBOB) - NEW YORK MERCANTILE EXCHANGE</t>
        </is>
      </c>
      <c r="D906" t="n">
        <v>234667</v>
      </c>
      <c r="E906" t="n">
        <v>51326</v>
      </c>
      <c r="F906" t="n">
        <v>9217</v>
      </c>
      <c r="G906" t="n">
        <v>12733</v>
      </c>
      <c r="H906">
        <f>E906-F906</f>
        <v/>
      </c>
      <c r="I906">
        <f>(E906-F906)/D906</f>
        <v/>
      </c>
    </row>
    <row r="907">
      <c r="A907" s="3" t="n">
        <v>40729</v>
      </c>
      <c r="B907" t="inlineStr">
        <is>
          <t>111659</t>
        </is>
      </c>
      <c r="C907" t="inlineStr">
        <is>
          <t>GASOLINE BLENDSTOCK (RBOB) - NEW YORK MERCANTILE EXCHANGE</t>
        </is>
      </c>
      <c r="D907" t="n">
        <v>235190</v>
      </c>
      <c r="E907" t="n">
        <v>59995</v>
      </c>
      <c r="F907" t="n">
        <v>7195</v>
      </c>
      <c r="G907" t="n">
        <v>12088</v>
      </c>
      <c r="H907">
        <f>E907-F907</f>
        <v/>
      </c>
      <c r="I907">
        <f>(E907-F907)/D907</f>
        <v/>
      </c>
    </row>
    <row r="908">
      <c r="A908" s="3" t="n">
        <v>40736</v>
      </c>
      <c r="B908" t="inlineStr">
        <is>
          <t>111659</t>
        </is>
      </c>
      <c r="C908" t="inlineStr">
        <is>
          <t>GASOLINE BLENDSTOCK (RBOB) - NEW YORK MERCANTILE EXCHANGE</t>
        </is>
      </c>
      <c r="D908" t="n">
        <v>236172</v>
      </c>
      <c r="E908" t="n">
        <v>66337</v>
      </c>
      <c r="F908" t="n">
        <v>8833</v>
      </c>
      <c r="G908" t="n">
        <v>9716</v>
      </c>
      <c r="H908">
        <f>E908-F908</f>
        <v/>
      </c>
      <c r="I908">
        <f>(E908-F908)/D908</f>
        <v/>
      </c>
    </row>
    <row r="909">
      <c r="A909" s="3" t="n">
        <v>40743</v>
      </c>
      <c r="B909" t="inlineStr">
        <is>
          <t>111659</t>
        </is>
      </c>
      <c r="C909" t="inlineStr">
        <is>
          <t>GASOLINE BLENDSTOCK (RBOB) - NEW YORK MERCANTILE EXCHANGE</t>
        </is>
      </c>
      <c r="D909" t="n">
        <v>247299</v>
      </c>
      <c r="E909" t="n">
        <v>69652</v>
      </c>
      <c r="F909" t="n">
        <v>7761</v>
      </c>
      <c r="G909" t="n">
        <v>11431</v>
      </c>
      <c r="H909">
        <f>E909-F909</f>
        <v/>
      </c>
      <c r="I909">
        <f>(E909-F909)/D909</f>
        <v/>
      </c>
    </row>
    <row r="910">
      <c r="A910" s="3" t="n">
        <v>40750</v>
      </c>
      <c r="B910" t="inlineStr">
        <is>
          <t>111659</t>
        </is>
      </c>
      <c r="C910" t="inlineStr">
        <is>
          <t>GASOLINE BLENDSTOCK (RBOB) - NEW YORK MERCANTILE EXCHANGE</t>
        </is>
      </c>
      <c r="D910" t="n">
        <v>258380</v>
      </c>
      <c r="E910" t="n">
        <v>72091</v>
      </c>
      <c r="F910" t="n">
        <v>8791</v>
      </c>
      <c r="G910" t="n">
        <v>11888</v>
      </c>
      <c r="H910">
        <f>E910-F910</f>
        <v/>
      </c>
      <c r="I910">
        <f>(E910-F910)/D910</f>
        <v/>
      </c>
    </row>
    <row r="911">
      <c r="A911" s="3" t="n">
        <v>40757</v>
      </c>
      <c r="B911" t="inlineStr">
        <is>
          <t>111659</t>
        </is>
      </c>
      <c r="C911" t="inlineStr">
        <is>
          <t>GASOLINE BLENDSTOCK (RBOB) - NEW YORK MERCANTILE EXCHANGE</t>
        </is>
      </c>
      <c r="D911" t="n">
        <v>251600</v>
      </c>
      <c r="E911" t="n">
        <v>69254</v>
      </c>
      <c r="F911" t="n">
        <v>8674</v>
      </c>
      <c r="G911" t="n">
        <v>16764</v>
      </c>
      <c r="H911">
        <f>E911-F911</f>
        <v/>
      </c>
      <c r="I911">
        <f>(E911-F911)/D911</f>
        <v/>
      </c>
    </row>
    <row r="912">
      <c r="A912" s="3" t="n">
        <v>40764</v>
      </c>
      <c r="B912" t="inlineStr">
        <is>
          <t>111659</t>
        </is>
      </c>
      <c r="C912" t="inlineStr">
        <is>
          <t>GASOLINE BLENDSTOCK (RBOB) - NEW YORK MERCANTILE EXCHANGE</t>
        </is>
      </c>
      <c r="D912" t="n">
        <v>245779</v>
      </c>
      <c r="E912" t="n">
        <v>50762</v>
      </c>
      <c r="F912" t="n">
        <v>7008</v>
      </c>
      <c r="G912" t="n">
        <v>15466</v>
      </c>
      <c r="H912">
        <f>E912-F912</f>
        <v/>
      </c>
      <c r="I912">
        <f>(E912-F912)/D912</f>
        <v/>
      </c>
    </row>
    <row r="913">
      <c r="A913" s="3" t="n">
        <v>40771</v>
      </c>
      <c r="B913" t="inlineStr">
        <is>
          <t>111659</t>
        </is>
      </c>
      <c r="C913" t="inlineStr">
        <is>
          <t>GASOLINE BLENDSTOCK (RBOB) - NEW YORK MERCANTILE EXCHANGE</t>
        </is>
      </c>
      <c r="D913" t="n">
        <v>256851</v>
      </c>
      <c r="E913" t="n">
        <v>49015</v>
      </c>
      <c r="F913" t="n">
        <v>8496</v>
      </c>
      <c r="G913" t="n">
        <v>18195</v>
      </c>
      <c r="H913">
        <f>E913-F913</f>
        <v/>
      </c>
      <c r="I913">
        <f>(E913-F913)/D913</f>
        <v/>
      </c>
    </row>
    <row r="914">
      <c r="A914" s="3" t="n">
        <v>40778</v>
      </c>
      <c r="B914" t="inlineStr">
        <is>
          <t>111659</t>
        </is>
      </c>
      <c r="C914" t="inlineStr">
        <is>
          <t>GASOLINE BLENDSTOCK (RBOB) - NEW YORK MERCANTILE EXCHANGE</t>
        </is>
      </c>
      <c r="D914" t="n">
        <v>249769</v>
      </c>
      <c r="E914" t="n">
        <v>52571</v>
      </c>
      <c r="F914" t="n">
        <v>8162</v>
      </c>
      <c r="G914" t="n">
        <v>18035</v>
      </c>
      <c r="H914">
        <f>E914-F914</f>
        <v/>
      </c>
      <c r="I914">
        <f>(E914-F914)/D914</f>
        <v/>
      </c>
    </row>
    <row r="915">
      <c r="A915" s="3" t="n">
        <v>40785</v>
      </c>
      <c r="B915" t="inlineStr">
        <is>
          <t>111659</t>
        </is>
      </c>
      <c r="C915" t="inlineStr">
        <is>
          <t>GASOLINE BLENDSTOCK (RBOB) - NEW YORK MERCANTILE EXCHANGE</t>
        </is>
      </c>
      <c r="D915" t="n">
        <v>251546</v>
      </c>
      <c r="E915" t="n">
        <v>60972</v>
      </c>
      <c r="F915" t="n">
        <v>8852</v>
      </c>
      <c r="G915" t="n">
        <v>18829</v>
      </c>
      <c r="H915">
        <f>E915-F915</f>
        <v/>
      </c>
      <c r="I915">
        <f>(E915-F915)/D915</f>
        <v/>
      </c>
    </row>
    <row r="916">
      <c r="A916" s="3" t="n">
        <v>40792</v>
      </c>
      <c r="B916" t="inlineStr">
        <is>
          <t>111659</t>
        </is>
      </c>
      <c r="C916" t="inlineStr">
        <is>
          <t>GASOLINE BLENDSTOCK (RBOB) - NEW YORK MERCANTILE EXCHANGE</t>
        </is>
      </c>
      <c r="D916" t="n">
        <v>261739</v>
      </c>
      <c r="E916" t="n">
        <v>66648</v>
      </c>
      <c r="F916" t="n">
        <v>7868</v>
      </c>
      <c r="G916" t="n">
        <v>18882</v>
      </c>
      <c r="H916">
        <f>E916-F916</f>
        <v/>
      </c>
      <c r="I916">
        <f>(E916-F916)/D916</f>
        <v/>
      </c>
    </row>
    <row r="917">
      <c r="A917" s="3" t="n">
        <v>40799</v>
      </c>
      <c r="B917" t="inlineStr">
        <is>
          <t>111659</t>
        </is>
      </c>
      <c r="C917" t="inlineStr">
        <is>
          <t>GASOLINE BLENDSTOCK (RBOB) - NEW YORK MERCANTILE EXCHANGE</t>
        </is>
      </c>
      <c r="D917" t="n">
        <v>272622</v>
      </c>
      <c r="E917" t="n">
        <v>61740</v>
      </c>
      <c r="F917" t="n">
        <v>10521</v>
      </c>
      <c r="G917" t="n">
        <v>15790</v>
      </c>
      <c r="H917">
        <f>E917-F917</f>
        <v/>
      </c>
      <c r="I917">
        <f>(E917-F917)/D917</f>
        <v/>
      </c>
    </row>
    <row r="918">
      <c r="A918" s="3" t="n">
        <v>40806</v>
      </c>
      <c r="B918" t="inlineStr">
        <is>
          <t>111659</t>
        </is>
      </c>
      <c r="C918" t="inlineStr">
        <is>
          <t>GASOLINE BLENDSTOCK (RBOB) - NEW YORK MERCANTILE EXCHANGE</t>
        </is>
      </c>
      <c r="D918" t="n">
        <v>276096</v>
      </c>
      <c r="E918" t="n">
        <v>57121</v>
      </c>
      <c r="F918" t="n">
        <v>12233</v>
      </c>
      <c r="G918" t="n">
        <v>16743</v>
      </c>
      <c r="H918">
        <f>E918-F918</f>
        <v/>
      </c>
      <c r="I918">
        <f>(E918-F918)/D918</f>
        <v/>
      </c>
    </row>
    <row r="919">
      <c r="A919" s="3" t="n">
        <v>40813</v>
      </c>
      <c r="B919" t="inlineStr">
        <is>
          <t>111659</t>
        </is>
      </c>
      <c r="C919" t="inlineStr">
        <is>
          <t>GASOLINE BLENDSTOCK (RBOB) - NEW YORK MERCANTILE EXCHANGE</t>
        </is>
      </c>
      <c r="D919" t="n">
        <v>267532</v>
      </c>
      <c r="E919" t="n">
        <v>49699</v>
      </c>
      <c r="F919" t="n">
        <v>15704</v>
      </c>
      <c r="G919" t="n">
        <v>19953</v>
      </c>
      <c r="H919">
        <f>E919-F919</f>
        <v/>
      </c>
      <c r="I919">
        <f>(E919-F919)/D919</f>
        <v/>
      </c>
    </row>
    <row r="920">
      <c r="A920" s="3" t="n">
        <v>40820</v>
      </c>
      <c r="B920" t="inlineStr">
        <is>
          <t>111659</t>
        </is>
      </c>
      <c r="C920" t="inlineStr">
        <is>
          <t>GASOLINE BLENDSTOCK (RBOB) - NEW YORK MERCANTILE EXCHANGE</t>
        </is>
      </c>
      <c r="D920" t="n">
        <v>271347</v>
      </c>
      <c r="E920" t="n">
        <v>49708</v>
      </c>
      <c r="F920" t="n">
        <v>13469</v>
      </c>
      <c r="G920" t="n">
        <v>23123</v>
      </c>
      <c r="H920">
        <f>E920-F920</f>
        <v/>
      </c>
      <c r="I920">
        <f>(E920-F920)/D920</f>
        <v/>
      </c>
    </row>
    <row r="921">
      <c r="A921" s="3" t="n">
        <v>40827</v>
      </c>
      <c r="B921" t="inlineStr">
        <is>
          <t>111659</t>
        </is>
      </c>
      <c r="C921" t="inlineStr">
        <is>
          <t>GASOLINE BLENDSTOCK (RBOB) - NEW YORK MERCANTILE EXCHANGE</t>
        </is>
      </c>
      <c r="D921" t="n">
        <v>267303</v>
      </c>
      <c r="E921" t="n">
        <v>54877</v>
      </c>
      <c r="F921" t="n">
        <v>9985</v>
      </c>
      <c r="G921" t="n">
        <v>21853</v>
      </c>
      <c r="H921">
        <f>E921-F921</f>
        <v/>
      </c>
      <c r="I921">
        <f>(E921-F921)/D921</f>
        <v/>
      </c>
    </row>
    <row r="922">
      <c r="A922" s="3" t="n">
        <v>40834</v>
      </c>
      <c r="B922" t="inlineStr">
        <is>
          <t>111659</t>
        </is>
      </c>
      <c r="C922" t="inlineStr">
        <is>
          <t>GASOLINE BLENDSTOCK (RBOB) - NEW YORK MERCANTILE EXCHANGE</t>
        </is>
      </c>
      <c r="D922" t="n">
        <v>278350</v>
      </c>
      <c r="E922" t="n">
        <v>61475</v>
      </c>
      <c r="F922" t="n">
        <v>8803</v>
      </c>
      <c r="G922" t="n">
        <v>18438</v>
      </c>
      <c r="H922">
        <f>E922-F922</f>
        <v/>
      </c>
      <c r="I922">
        <f>(E922-F922)/D922</f>
        <v/>
      </c>
    </row>
    <row r="923">
      <c r="A923" s="3" t="n">
        <v>40841</v>
      </c>
      <c r="B923" t="inlineStr">
        <is>
          <t>111659</t>
        </is>
      </c>
      <c r="C923" t="inlineStr">
        <is>
          <t>GASOLINE BLENDSTOCK (RBOB) - NEW YORK MERCANTILE EXCHANGE</t>
        </is>
      </c>
      <c r="D923" t="n">
        <v>280564</v>
      </c>
      <c r="E923" t="n">
        <v>68879</v>
      </c>
      <c r="F923" t="n">
        <v>7553</v>
      </c>
      <c r="G923" t="n">
        <v>15811</v>
      </c>
      <c r="H923">
        <f>E923-F923</f>
        <v/>
      </c>
      <c r="I923">
        <f>(E923-F923)/D923</f>
        <v/>
      </c>
    </row>
    <row r="924">
      <c r="A924" s="3" t="n">
        <v>40848</v>
      </c>
      <c r="B924" t="inlineStr">
        <is>
          <t>111659</t>
        </is>
      </c>
      <c r="C924" t="inlineStr">
        <is>
          <t>GASOLINE BLENDSTOCK (RBOB) - NEW YORK MERCANTILE EXCHANGE</t>
        </is>
      </c>
      <c r="D924" t="n">
        <v>267417</v>
      </c>
      <c r="E924" t="n">
        <v>66002</v>
      </c>
      <c r="F924" t="n">
        <v>6202</v>
      </c>
      <c r="G924" t="n">
        <v>14161</v>
      </c>
      <c r="H924">
        <f>E924-F924</f>
        <v/>
      </c>
      <c r="I924">
        <f>(E924-F924)/D924</f>
        <v/>
      </c>
    </row>
    <row r="925">
      <c r="A925" s="3" t="n">
        <v>40855</v>
      </c>
      <c r="B925" t="inlineStr">
        <is>
          <t>111659</t>
        </is>
      </c>
      <c r="C925" t="inlineStr">
        <is>
          <t>GASOLINE BLENDSTOCK (RBOB) - NEW YORK MERCANTILE EXCHANGE</t>
        </is>
      </c>
      <c r="D925" t="n">
        <v>283486</v>
      </c>
      <c r="E925" t="n">
        <v>65732</v>
      </c>
      <c r="F925" t="n">
        <v>7723</v>
      </c>
      <c r="G925" t="n">
        <v>14081</v>
      </c>
      <c r="H925">
        <f>E925-F925</f>
        <v/>
      </c>
      <c r="I925">
        <f>(E925-F925)/D925</f>
        <v/>
      </c>
    </row>
    <row r="926">
      <c r="A926" s="3" t="n">
        <v>40862</v>
      </c>
      <c r="B926" t="inlineStr">
        <is>
          <t>111659</t>
        </is>
      </c>
      <c r="C926" t="inlineStr">
        <is>
          <t>GASOLINE BLENDSTOCK (RBOB) - NEW YORK MERCANTILE EXCHANGE</t>
        </is>
      </c>
      <c r="D926" t="n">
        <v>297549</v>
      </c>
      <c r="E926" t="n">
        <v>67718</v>
      </c>
      <c r="F926" t="n">
        <v>9075</v>
      </c>
      <c r="G926" t="n">
        <v>16649</v>
      </c>
      <c r="H926">
        <f>E926-F926</f>
        <v/>
      </c>
      <c r="I926">
        <f>(E926-F926)/D926</f>
        <v/>
      </c>
    </row>
    <row r="927">
      <c r="A927" s="3" t="n">
        <v>40869</v>
      </c>
      <c r="B927" t="inlineStr">
        <is>
          <t>111659</t>
        </is>
      </c>
      <c r="C927" t="inlineStr">
        <is>
          <t>GASOLINE BLENDSTOCK (RBOB) - NEW YORK MERCANTILE EXCHANGE</t>
        </is>
      </c>
      <c r="D927" t="n">
        <v>285769</v>
      </c>
      <c r="E927" t="n">
        <v>65844</v>
      </c>
      <c r="F927" t="n">
        <v>10896</v>
      </c>
      <c r="G927" t="n">
        <v>15900</v>
      </c>
      <c r="H927">
        <f>E927-F927</f>
        <v/>
      </c>
      <c r="I927">
        <f>(E927-F927)/D927</f>
        <v/>
      </c>
    </row>
    <row r="928">
      <c r="A928" s="3" t="n">
        <v>40876</v>
      </c>
      <c r="B928" t="inlineStr">
        <is>
          <t>111659</t>
        </is>
      </c>
      <c r="C928" t="inlineStr">
        <is>
          <t>GASOLINE BLENDSTOCK (RBOB) - NEW YORK MERCANTILE EXCHANGE</t>
        </is>
      </c>
      <c r="D928" t="n">
        <v>266266</v>
      </c>
      <c r="E928" t="n">
        <v>61745</v>
      </c>
      <c r="F928" t="n">
        <v>10517</v>
      </c>
      <c r="G928" t="n">
        <v>16883</v>
      </c>
      <c r="H928">
        <f>E928-F928</f>
        <v/>
      </c>
      <c r="I928">
        <f>(E928-F928)/D928</f>
        <v/>
      </c>
    </row>
    <row r="929">
      <c r="A929" s="3" t="n">
        <v>40883</v>
      </c>
      <c r="B929" t="inlineStr">
        <is>
          <t>111659</t>
        </is>
      </c>
      <c r="C929" t="inlineStr">
        <is>
          <t>GASOLINE BLENDSTOCK (RBOB) - NEW YORK MERCANTILE EXCHANGE</t>
        </is>
      </c>
      <c r="D929" t="n">
        <v>270399</v>
      </c>
      <c r="E929" t="n">
        <v>65221</v>
      </c>
      <c r="F929" t="n">
        <v>6496</v>
      </c>
      <c r="G929" t="n">
        <v>17827</v>
      </c>
      <c r="H929">
        <f>E929-F929</f>
        <v/>
      </c>
      <c r="I929">
        <f>(E929-F929)/D929</f>
        <v/>
      </c>
    </row>
    <row r="930">
      <c r="A930" s="3" t="n">
        <v>40890</v>
      </c>
      <c r="B930" t="inlineStr">
        <is>
          <t>111659</t>
        </is>
      </c>
      <c r="C930" t="inlineStr">
        <is>
          <t>GASOLINE BLENDSTOCK (RBOB) - NEW YORK MERCANTILE EXCHANGE</t>
        </is>
      </c>
      <c r="D930" t="n">
        <v>274100</v>
      </c>
      <c r="E930" t="n">
        <v>66116</v>
      </c>
      <c r="F930" t="n">
        <v>5585</v>
      </c>
      <c r="G930" t="n">
        <v>22532</v>
      </c>
      <c r="H930">
        <f>E930-F930</f>
        <v/>
      </c>
      <c r="I930">
        <f>(E930-F930)/D930</f>
        <v/>
      </c>
    </row>
    <row r="931">
      <c r="A931" s="3" t="n">
        <v>40897</v>
      </c>
      <c r="B931" t="inlineStr">
        <is>
          <t>111659</t>
        </is>
      </c>
      <c r="C931" t="inlineStr">
        <is>
          <t>GASOLINE BLENDSTOCK (RBOB) - NEW YORK MERCANTILE EXCHANGE</t>
        </is>
      </c>
      <c r="D931" t="n">
        <v>284648</v>
      </c>
      <c r="E931" t="n">
        <v>61960</v>
      </c>
      <c r="F931" t="n">
        <v>8249</v>
      </c>
      <c r="G931" t="n">
        <v>21522</v>
      </c>
      <c r="H931">
        <f>E931-F931</f>
        <v/>
      </c>
      <c r="I931">
        <f>(E931-F931)/D931</f>
        <v/>
      </c>
    </row>
    <row r="932">
      <c r="A932" s="3" t="n">
        <v>40904</v>
      </c>
      <c r="B932" t="inlineStr">
        <is>
          <t>111659</t>
        </is>
      </c>
      <c r="C932" t="inlineStr">
        <is>
          <t>GASOLINE BLENDSTOCK (RBOB) - NEW YORK MERCANTILE EXCHANGE</t>
        </is>
      </c>
      <c r="D932" t="n">
        <v>275110</v>
      </c>
      <c r="E932" t="n">
        <v>67152</v>
      </c>
      <c r="F932" t="n">
        <v>5917</v>
      </c>
      <c r="G932" t="n">
        <v>19435</v>
      </c>
      <c r="H932">
        <f>E932-F932</f>
        <v/>
      </c>
      <c r="I932">
        <f>(E932-F932)/D932</f>
        <v/>
      </c>
    </row>
    <row r="933">
      <c r="A933" s="3" t="n">
        <v>40911</v>
      </c>
      <c r="B933" t="inlineStr">
        <is>
          <t>111659</t>
        </is>
      </c>
      <c r="C933" t="inlineStr">
        <is>
          <t>GASOLINE BLENDSTOCK (RBOB) - NEW YORK MERCANTILE EXCHANGE</t>
        </is>
      </c>
      <c r="D933" t="n">
        <v>279479</v>
      </c>
      <c r="E933" t="n">
        <v>71939</v>
      </c>
      <c r="F933" t="n">
        <v>4532</v>
      </c>
      <c r="G933" t="n">
        <v>18785</v>
      </c>
      <c r="H933">
        <f>E933-F933</f>
        <v/>
      </c>
      <c r="I933">
        <f>(E933-F933)/D933</f>
        <v/>
      </c>
    </row>
    <row r="934">
      <c r="A934" s="3" t="n">
        <v>40918</v>
      </c>
      <c r="B934" t="inlineStr">
        <is>
          <t>111659</t>
        </is>
      </c>
      <c r="C934" t="inlineStr">
        <is>
          <t>GASOLINE BLENDSTOCK (RBOB) - NEW YORK MERCANTILE EXCHANGE</t>
        </is>
      </c>
      <c r="D934" t="n">
        <v>298932</v>
      </c>
      <c r="E934" t="n">
        <v>75303</v>
      </c>
      <c r="F934" t="n">
        <v>3909</v>
      </c>
      <c r="G934" t="n">
        <v>21834</v>
      </c>
      <c r="H934">
        <f>E934-F934</f>
        <v/>
      </c>
      <c r="I934">
        <f>(E934-F934)/D934</f>
        <v/>
      </c>
    </row>
    <row r="935">
      <c r="A935" s="3" t="n">
        <v>40925</v>
      </c>
      <c r="B935" t="inlineStr">
        <is>
          <t>111659</t>
        </is>
      </c>
      <c r="C935" t="inlineStr">
        <is>
          <t>GASOLINE BLENDSTOCK (RBOB) - NEW YORK MERCANTILE EXCHANGE</t>
        </is>
      </c>
      <c r="D935" t="n">
        <v>307526</v>
      </c>
      <c r="E935" t="n">
        <v>75939</v>
      </c>
      <c r="F935" t="n">
        <v>4523</v>
      </c>
      <c r="G935" t="n">
        <v>22945</v>
      </c>
      <c r="H935">
        <f>E935-F935</f>
        <v/>
      </c>
      <c r="I935">
        <f>(E935-F935)/D935</f>
        <v/>
      </c>
    </row>
    <row r="936">
      <c r="A936" s="3" t="n">
        <v>40932</v>
      </c>
      <c r="B936" t="inlineStr">
        <is>
          <t>111659</t>
        </is>
      </c>
      <c r="C936" t="inlineStr">
        <is>
          <t>GASOLINE BLENDSTOCK (RBOB) - NEW YORK MERCANTILE EXCHANGE</t>
        </is>
      </c>
      <c r="D936" t="n">
        <v>338176</v>
      </c>
      <c r="E936" t="n">
        <v>80838</v>
      </c>
      <c r="F936" t="n">
        <v>3486</v>
      </c>
      <c r="G936" t="n">
        <v>25837</v>
      </c>
      <c r="H936">
        <f>E936-F936</f>
        <v/>
      </c>
      <c r="I936">
        <f>(E936-F936)/D936</f>
        <v/>
      </c>
    </row>
    <row r="937">
      <c r="A937" s="3" t="n">
        <v>40939</v>
      </c>
      <c r="B937" t="inlineStr">
        <is>
          <t>111659</t>
        </is>
      </c>
      <c r="C937" t="inlineStr">
        <is>
          <t>GASOLINE BLENDSTOCK (RBOB) - NEW YORK MERCANTILE EXCHANGE</t>
        </is>
      </c>
      <c r="D937" t="n">
        <v>325384</v>
      </c>
      <c r="E937" t="n">
        <v>87543</v>
      </c>
      <c r="F937" t="n">
        <v>3336</v>
      </c>
      <c r="G937" t="n">
        <v>23244</v>
      </c>
      <c r="H937">
        <f>E937-F937</f>
        <v/>
      </c>
      <c r="I937">
        <f>(E937-F937)/D937</f>
        <v/>
      </c>
    </row>
    <row r="938">
      <c r="A938" s="3" t="n">
        <v>40946</v>
      </c>
      <c r="B938" t="inlineStr">
        <is>
          <t>111659</t>
        </is>
      </c>
      <c r="C938" t="inlineStr">
        <is>
          <t>GASOLINE BLENDSTOCK (RBOB) - NEW YORK MERCANTILE EXCHANGE</t>
        </is>
      </c>
      <c r="D938" t="n">
        <v>332356</v>
      </c>
      <c r="E938" t="n">
        <v>90508</v>
      </c>
      <c r="F938" t="n">
        <v>2738</v>
      </c>
      <c r="G938" t="n">
        <v>24053</v>
      </c>
      <c r="H938">
        <f>E938-F938</f>
        <v/>
      </c>
      <c r="I938">
        <f>(E938-F938)/D938</f>
        <v/>
      </c>
    </row>
    <row r="939">
      <c r="A939" s="3" t="n">
        <v>40953</v>
      </c>
      <c r="B939" t="inlineStr">
        <is>
          <t>111659</t>
        </is>
      </c>
      <c r="C939" t="inlineStr">
        <is>
          <t>GASOLINE BLENDSTOCK (RBOB) - NEW YORK MERCANTILE EXCHANGE</t>
        </is>
      </c>
      <c r="D939" t="n">
        <v>345899</v>
      </c>
      <c r="E939" t="n">
        <v>92372</v>
      </c>
      <c r="F939" t="n">
        <v>3797</v>
      </c>
      <c r="G939" t="n">
        <v>23112</v>
      </c>
      <c r="H939">
        <f>E939-F939</f>
        <v/>
      </c>
      <c r="I939">
        <f>(E939-F939)/D939</f>
        <v/>
      </c>
    </row>
    <row r="940">
      <c r="A940" s="3" t="n">
        <v>40960</v>
      </c>
      <c r="B940" t="inlineStr">
        <is>
          <t>111659</t>
        </is>
      </c>
      <c r="C940" t="inlineStr">
        <is>
          <t>GASOLINE BLENDSTOCK (RBOB) - NEW YORK MERCANTILE EXCHANGE</t>
        </is>
      </c>
      <c r="D940" t="n">
        <v>353783</v>
      </c>
      <c r="E940" t="n">
        <v>94937</v>
      </c>
      <c r="F940" t="n">
        <v>3297</v>
      </c>
      <c r="G940" t="n">
        <v>23504</v>
      </c>
      <c r="H940">
        <f>E940-F940</f>
        <v/>
      </c>
      <c r="I940">
        <f>(E940-F940)/D940</f>
        <v/>
      </c>
    </row>
    <row r="941">
      <c r="A941" s="3" t="n">
        <v>40967</v>
      </c>
      <c r="B941" t="inlineStr">
        <is>
          <t>111659</t>
        </is>
      </c>
      <c r="C941" t="inlineStr">
        <is>
          <t>GASOLINE BLENDSTOCK (RBOB) - NEW YORK MERCANTILE EXCHANGE</t>
        </is>
      </c>
      <c r="D941" t="n">
        <v>356553</v>
      </c>
      <c r="E941" t="n">
        <v>96096</v>
      </c>
      <c r="F941" t="n">
        <v>2901</v>
      </c>
      <c r="G941" t="n">
        <v>21188</v>
      </c>
      <c r="H941">
        <f>E941-F941</f>
        <v/>
      </c>
      <c r="I941">
        <f>(E941-F941)/D941</f>
        <v/>
      </c>
    </row>
    <row r="942">
      <c r="A942" s="3" t="n">
        <v>40974</v>
      </c>
      <c r="B942" t="inlineStr">
        <is>
          <t>111659</t>
        </is>
      </c>
      <c r="C942" t="inlineStr">
        <is>
          <t>GASOLINE BLENDSTOCK (RBOB) - NEW YORK MERCANTILE EXCHANGE</t>
        </is>
      </c>
      <c r="D942" t="n">
        <v>372660</v>
      </c>
      <c r="E942" t="n">
        <v>99997</v>
      </c>
      <c r="F942" t="n">
        <v>3985</v>
      </c>
      <c r="G942" t="n">
        <v>25528</v>
      </c>
      <c r="H942">
        <f>E942-F942</f>
        <v/>
      </c>
      <c r="I942">
        <f>(E942-F942)/D942</f>
        <v/>
      </c>
    </row>
    <row r="943">
      <c r="A943" s="3" t="n">
        <v>40981</v>
      </c>
      <c r="B943" t="inlineStr">
        <is>
          <t>111659</t>
        </is>
      </c>
      <c r="C943" t="inlineStr">
        <is>
          <t>GASOLINE BLENDSTOCK (RBOB) - NEW YORK MERCANTILE EXCHANGE</t>
        </is>
      </c>
      <c r="D943" t="n">
        <v>386636</v>
      </c>
      <c r="E943" t="n">
        <v>96950</v>
      </c>
      <c r="F943" t="n">
        <v>4281</v>
      </c>
      <c r="G943" t="n">
        <v>28672</v>
      </c>
      <c r="H943">
        <f>E943-F943</f>
        <v/>
      </c>
      <c r="I943">
        <f>(E943-F943)/D943</f>
        <v/>
      </c>
    </row>
    <row r="944">
      <c r="A944" s="3" t="n">
        <v>40988</v>
      </c>
      <c r="B944" t="inlineStr">
        <is>
          <t>111659</t>
        </is>
      </c>
      <c r="C944" t="inlineStr">
        <is>
          <t>GASOLINE BLENDSTOCK (RBOB) - NEW YORK MERCANTILE EXCHANGE</t>
        </is>
      </c>
      <c r="D944" t="n">
        <v>386886</v>
      </c>
      <c r="E944" t="n">
        <v>90087</v>
      </c>
      <c r="F944" t="n">
        <v>2816</v>
      </c>
      <c r="G944" t="n">
        <v>28658</v>
      </c>
      <c r="H944">
        <f>E944-F944</f>
        <v/>
      </c>
      <c r="I944">
        <f>(E944-F944)/D944</f>
        <v/>
      </c>
    </row>
    <row r="945">
      <c r="A945" s="3" t="n">
        <v>40995</v>
      </c>
      <c r="B945" t="inlineStr">
        <is>
          <t>111659</t>
        </is>
      </c>
      <c r="C945" t="inlineStr">
        <is>
          <t>GASOLINE BLENDSTOCK (RBOB) - NEW YORK MERCANTILE EXCHANGE</t>
        </is>
      </c>
      <c r="D945" t="n">
        <v>368825</v>
      </c>
      <c r="E945" t="n">
        <v>90195</v>
      </c>
      <c r="F945" t="n">
        <v>1062</v>
      </c>
      <c r="G945" t="n">
        <v>27481</v>
      </c>
      <c r="H945">
        <f>E945-F945</f>
        <v/>
      </c>
      <c r="I945">
        <f>(E945-F945)/D945</f>
        <v/>
      </c>
    </row>
    <row r="946">
      <c r="A946" s="3" t="n">
        <v>41002</v>
      </c>
      <c r="B946" t="inlineStr">
        <is>
          <t>111659</t>
        </is>
      </c>
      <c r="C946" t="inlineStr">
        <is>
          <t>GASOLINE BLENDSTOCK (RBOB) - NEW YORK MERCANTILE EXCHANGE</t>
        </is>
      </c>
      <c r="D946" t="n">
        <v>345747</v>
      </c>
      <c r="E946" t="n">
        <v>97580</v>
      </c>
      <c r="F946" t="n">
        <v>2812</v>
      </c>
      <c r="G946" t="n">
        <v>26129</v>
      </c>
      <c r="H946">
        <f>E946-F946</f>
        <v/>
      </c>
      <c r="I946">
        <f>(E946-F946)/D946</f>
        <v/>
      </c>
    </row>
    <row r="947">
      <c r="A947" s="3" t="n">
        <v>41009</v>
      </c>
      <c r="B947" t="inlineStr">
        <is>
          <t>111659</t>
        </is>
      </c>
      <c r="C947" t="inlineStr">
        <is>
          <t>GASOLINE BLENDSTOCK (RBOB) - NEW YORK MERCANTILE EXCHANGE</t>
        </is>
      </c>
      <c r="D947" t="n">
        <v>350711</v>
      </c>
      <c r="E947" t="n">
        <v>90892</v>
      </c>
      <c r="F947" t="n">
        <v>2203</v>
      </c>
      <c r="G947" t="n">
        <v>28770</v>
      </c>
      <c r="H947">
        <f>E947-F947</f>
        <v/>
      </c>
      <c r="I947">
        <f>(E947-F947)/D947</f>
        <v/>
      </c>
    </row>
    <row r="948">
      <c r="A948" s="3" t="n">
        <v>41016</v>
      </c>
      <c r="B948" t="inlineStr">
        <is>
          <t>111659</t>
        </is>
      </c>
      <c r="C948" t="inlineStr">
        <is>
          <t>GASOLINE BLENDSTOCK (RBOB) - NEW YORK MERCANTILE EXCHANGE</t>
        </is>
      </c>
      <c r="D948" t="n">
        <v>367926</v>
      </c>
      <c r="E948" t="n">
        <v>89591</v>
      </c>
      <c r="F948" t="n">
        <v>1545</v>
      </c>
      <c r="G948" t="n">
        <v>31302</v>
      </c>
      <c r="H948">
        <f>E948-F948</f>
        <v/>
      </c>
      <c r="I948">
        <f>(E948-F948)/D948</f>
        <v/>
      </c>
    </row>
    <row r="949">
      <c r="A949" s="3" t="n">
        <v>41023</v>
      </c>
      <c r="B949" t="inlineStr">
        <is>
          <t>111659</t>
        </is>
      </c>
      <c r="C949" t="inlineStr">
        <is>
          <t>GASOLINE BLENDSTOCK (RBOB) - NEW YORK MERCANTILE EXCHANGE</t>
        </is>
      </c>
      <c r="D949" t="n">
        <v>345907</v>
      </c>
      <c r="E949" t="n">
        <v>83834</v>
      </c>
      <c r="F949" t="n">
        <v>2240</v>
      </c>
      <c r="G949" t="n">
        <v>24301</v>
      </c>
      <c r="H949">
        <f>E949-F949</f>
        <v/>
      </c>
      <c r="I949">
        <f>(E949-F949)/D949</f>
        <v/>
      </c>
    </row>
    <row r="950">
      <c r="A950" s="3" t="n">
        <v>41030</v>
      </c>
      <c r="B950" t="inlineStr">
        <is>
          <t>111659</t>
        </is>
      </c>
      <c r="C950" t="inlineStr">
        <is>
          <t>GASOLINE BLENDSTOCK (RBOB) - NEW YORK MERCANTILE EXCHANGE</t>
        </is>
      </c>
      <c r="D950" t="n">
        <v>302610</v>
      </c>
      <c r="E950" t="n">
        <v>85406</v>
      </c>
      <c r="F950" t="n">
        <v>2793</v>
      </c>
      <c r="G950" t="n">
        <v>18842</v>
      </c>
      <c r="H950">
        <f>E950-F950</f>
        <v/>
      </c>
      <c r="I950">
        <f>(E950-F950)/D950</f>
        <v/>
      </c>
    </row>
    <row r="951">
      <c r="A951" s="3" t="n">
        <v>41037</v>
      </c>
      <c r="B951" t="inlineStr">
        <is>
          <t>111659</t>
        </is>
      </c>
      <c r="C951" t="inlineStr">
        <is>
          <t>GASOLINE BLENDSTOCK (RBOB) - NEW YORK MERCANTILE EXCHANGE</t>
        </is>
      </c>
      <c r="D951" t="n">
        <v>313370</v>
      </c>
      <c r="E951" t="n">
        <v>79674</v>
      </c>
      <c r="F951" t="n">
        <v>5907</v>
      </c>
      <c r="G951" t="n">
        <v>20533</v>
      </c>
      <c r="H951">
        <f>E951-F951</f>
        <v/>
      </c>
      <c r="I951">
        <f>(E951-F951)/D951</f>
        <v/>
      </c>
    </row>
    <row r="952">
      <c r="A952" s="3" t="n">
        <v>41044</v>
      </c>
      <c r="B952" t="inlineStr">
        <is>
          <t>111659</t>
        </is>
      </c>
      <c r="C952" t="inlineStr">
        <is>
          <t>GASOLINE BLENDSTOCK (RBOB) - NEW YORK MERCANTILE EXCHANGE</t>
        </is>
      </c>
      <c r="D952" t="n">
        <v>315202</v>
      </c>
      <c r="E952" t="n">
        <v>75512</v>
      </c>
      <c r="F952" t="n">
        <v>5606</v>
      </c>
      <c r="G952" t="n">
        <v>19139</v>
      </c>
      <c r="H952">
        <f>E952-F952</f>
        <v/>
      </c>
      <c r="I952">
        <f>(E952-F952)/D952</f>
        <v/>
      </c>
    </row>
    <row r="953">
      <c r="A953" s="3" t="n">
        <v>41051</v>
      </c>
      <c r="B953" t="inlineStr">
        <is>
          <t>111659</t>
        </is>
      </c>
      <c r="C953" t="inlineStr">
        <is>
          <t>GASOLINE BLENDSTOCK (RBOB) - NEW YORK MERCANTILE EXCHANGE</t>
        </is>
      </c>
      <c r="D953" t="n">
        <v>306279</v>
      </c>
      <c r="E953" t="n">
        <v>77041</v>
      </c>
      <c r="F953" t="n">
        <v>5768</v>
      </c>
      <c r="G953" t="n">
        <v>18779</v>
      </c>
      <c r="H953">
        <f>E953-F953</f>
        <v/>
      </c>
      <c r="I953">
        <f>(E953-F953)/D953</f>
        <v/>
      </c>
    </row>
    <row r="954">
      <c r="A954" s="3" t="n">
        <v>41058</v>
      </c>
      <c r="B954" t="inlineStr">
        <is>
          <t>111659</t>
        </is>
      </c>
      <c r="C954" t="inlineStr">
        <is>
          <t>GASOLINE BLENDSTOCK (RBOB) - NEW YORK MERCANTILE EXCHANGE</t>
        </is>
      </c>
      <c r="D954" t="n">
        <v>289469</v>
      </c>
      <c r="E954" t="n">
        <v>75039</v>
      </c>
      <c r="F954" t="n">
        <v>5171</v>
      </c>
      <c r="G954" t="n">
        <v>12990</v>
      </c>
      <c r="H954">
        <f>E954-F954</f>
        <v/>
      </c>
      <c r="I954">
        <f>(E954-F954)/D954</f>
        <v/>
      </c>
    </row>
    <row r="955">
      <c r="A955" s="3" t="n">
        <v>41065</v>
      </c>
      <c r="B955" t="inlineStr">
        <is>
          <t>111659</t>
        </is>
      </c>
      <c r="C955" t="inlineStr">
        <is>
          <t>GASOLINE BLENDSTOCK (RBOB) - NEW YORK MERCANTILE EXCHANGE</t>
        </is>
      </c>
      <c r="D955" t="n">
        <v>292481</v>
      </c>
      <c r="E955" t="n">
        <v>68648</v>
      </c>
      <c r="F955" t="n">
        <v>5372</v>
      </c>
      <c r="G955" t="n">
        <v>23872</v>
      </c>
      <c r="H955">
        <f>E955-F955</f>
        <v/>
      </c>
      <c r="I955">
        <f>(E955-F955)/D955</f>
        <v/>
      </c>
    </row>
    <row r="956">
      <c r="A956" s="3" t="n">
        <v>41072</v>
      </c>
      <c r="B956" t="inlineStr">
        <is>
          <t>111659</t>
        </is>
      </c>
      <c r="C956" t="inlineStr">
        <is>
          <t>GASOLINE BLENDSTOCK (RBOB) - NEW YORK MERCANTILE EXCHANGE</t>
        </is>
      </c>
      <c r="D956" t="n">
        <v>299171</v>
      </c>
      <c r="E956" t="n">
        <v>61500</v>
      </c>
      <c r="F956" t="n">
        <v>6369</v>
      </c>
      <c r="G956" t="n">
        <v>21001</v>
      </c>
      <c r="H956">
        <f>E956-F956</f>
        <v/>
      </c>
      <c r="I956">
        <f>(E956-F956)/D956</f>
        <v/>
      </c>
    </row>
    <row r="957">
      <c r="A957" s="3" t="n">
        <v>41079</v>
      </c>
      <c r="B957" t="inlineStr">
        <is>
          <t>111659</t>
        </is>
      </c>
      <c r="C957" t="inlineStr">
        <is>
          <t>GASOLINE BLENDSTOCK (RBOB) - NEW YORK MERCANTILE EXCHANGE</t>
        </is>
      </c>
      <c r="D957" t="n">
        <v>306205</v>
      </c>
      <c r="E957" t="n">
        <v>63227</v>
      </c>
      <c r="F957" t="n">
        <v>6134</v>
      </c>
      <c r="G957" t="n">
        <v>22823</v>
      </c>
      <c r="H957">
        <f>E957-F957</f>
        <v/>
      </c>
      <c r="I957">
        <f>(E957-F957)/D957</f>
        <v/>
      </c>
    </row>
    <row r="958">
      <c r="A958" s="3" t="n">
        <v>41086</v>
      </c>
      <c r="B958" t="inlineStr">
        <is>
          <t>111659</t>
        </is>
      </c>
      <c r="C958" t="inlineStr">
        <is>
          <t>GASOLINE BLENDSTOCK (RBOB) - NEW YORK MERCANTILE EXCHANGE</t>
        </is>
      </c>
      <c r="D958" t="n">
        <v>281729</v>
      </c>
      <c r="E958" t="n">
        <v>64075</v>
      </c>
      <c r="F958" t="n">
        <v>11737</v>
      </c>
      <c r="G958" t="n">
        <v>19144</v>
      </c>
      <c r="H958">
        <f>E958-F958</f>
        <v/>
      </c>
      <c r="I958">
        <f>(E958-F958)/D958</f>
        <v/>
      </c>
    </row>
    <row r="959">
      <c r="A959" s="3" t="n">
        <v>41093</v>
      </c>
      <c r="B959" t="inlineStr">
        <is>
          <t>111659</t>
        </is>
      </c>
      <c r="C959" t="inlineStr">
        <is>
          <t>GASOLINE BLENDSTOCK (RBOB) - NEW YORK MERCANTILE EXCHANGE</t>
        </is>
      </c>
      <c r="D959" t="n">
        <v>253521</v>
      </c>
      <c r="E959" t="n">
        <v>62640</v>
      </c>
      <c r="F959" t="n">
        <v>10699</v>
      </c>
      <c r="G959" t="n">
        <v>17005</v>
      </c>
      <c r="H959">
        <f>E959-F959</f>
        <v/>
      </c>
      <c r="I959">
        <f>(E959-F959)/D959</f>
        <v/>
      </c>
    </row>
    <row r="960">
      <c r="A960" s="3" t="n">
        <v>41100</v>
      </c>
      <c r="B960" t="inlineStr">
        <is>
          <t>111659</t>
        </is>
      </c>
      <c r="C960" t="inlineStr">
        <is>
          <t>GASOLINE BLENDSTOCK (RBOB) - NEW YORK MERCANTILE EXCHANGE</t>
        </is>
      </c>
      <c r="D960" t="n">
        <v>253574</v>
      </c>
      <c r="E960" t="n">
        <v>61226</v>
      </c>
      <c r="F960" t="n">
        <v>8430</v>
      </c>
      <c r="G960" t="n">
        <v>15747</v>
      </c>
      <c r="H960">
        <f>E960-F960</f>
        <v/>
      </c>
      <c r="I960">
        <f>(E960-F960)/D960</f>
        <v/>
      </c>
    </row>
    <row r="961">
      <c r="A961" s="3" t="n">
        <v>41107</v>
      </c>
      <c r="B961" t="inlineStr">
        <is>
          <t>111659</t>
        </is>
      </c>
      <c r="C961" t="inlineStr">
        <is>
          <t>GASOLINE BLENDSTOCK (RBOB) - NEW YORK MERCANTILE EXCHANGE</t>
        </is>
      </c>
      <c r="D961" t="n">
        <v>259169</v>
      </c>
      <c r="E961" t="n">
        <v>58233</v>
      </c>
      <c r="F961" t="n">
        <v>10391</v>
      </c>
      <c r="G961" t="n">
        <v>16655</v>
      </c>
      <c r="H961">
        <f>E961-F961</f>
        <v/>
      </c>
      <c r="I961">
        <f>(E961-F961)/D961</f>
        <v/>
      </c>
    </row>
    <row r="962">
      <c r="A962" s="3" t="n">
        <v>41114</v>
      </c>
      <c r="B962" t="inlineStr">
        <is>
          <t>111659</t>
        </is>
      </c>
      <c r="C962" t="inlineStr">
        <is>
          <t>GASOLINE BLENDSTOCK (RBOB) - NEW YORK MERCANTILE EXCHANGE</t>
        </is>
      </c>
      <c r="D962" t="n">
        <v>267443</v>
      </c>
      <c r="E962" t="n">
        <v>63467</v>
      </c>
      <c r="F962" t="n">
        <v>3941</v>
      </c>
      <c r="G962" t="n">
        <v>16925</v>
      </c>
      <c r="H962">
        <f>E962-F962</f>
        <v/>
      </c>
      <c r="I962">
        <f>(E962-F962)/D962</f>
        <v/>
      </c>
    </row>
    <row r="963">
      <c r="A963" s="3" t="n">
        <v>41121</v>
      </c>
      <c r="B963" t="inlineStr">
        <is>
          <t>111659</t>
        </is>
      </c>
      <c r="C963" t="inlineStr">
        <is>
          <t>GASOLINE BLENDSTOCK (RBOB) - NEW YORK MERCANTILE EXCHANGE</t>
        </is>
      </c>
      <c r="D963" t="n">
        <v>245820</v>
      </c>
      <c r="E963" t="n">
        <v>61215</v>
      </c>
      <c r="F963" t="n">
        <v>7224</v>
      </c>
      <c r="G963" t="n">
        <v>16661</v>
      </c>
      <c r="H963">
        <f>E963-F963</f>
        <v/>
      </c>
      <c r="I963">
        <f>(E963-F963)/D963</f>
        <v/>
      </c>
    </row>
    <row r="964">
      <c r="A964" s="3" t="n">
        <v>41128</v>
      </c>
      <c r="B964" t="inlineStr">
        <is>
          <t>111659</t>
        </is>
      </c>
      <c r="C964" t="inlineStr">
        <is>
          <t>GASOLINE BLENDSTOCK (RBOB) - NEW YORK MERCANTILE EXCHANGE</t>
        </is>
      </c>
      <c r="D964" t="n">
        <v>259957</v>
      </c>
      <c r="E964" t="n">
        <v>67965</v>
      </c>
      <c r="F964" t="n">
        <v>6204</v>
      </c>
      <c r="G964" t="n">
        <v>19150</v>
      </c>
      <c r="H964">
        <f>E964-F964</f>
        <v/>
      </c>
      <c r="I964">
        <f>(E964-F964)/D964</f>
        <v/>
      </c>
    </row>
    <row r="965">
      <c r="A965" s="3" t="n">
        <v>41135</v>
      </c>
      <c r="B965" t="inlineStr">
        <is>
          <t>111659</t>
        </is>
      </c>
      <c r="C965" t="inlineStr">
        <is>
          <t>GASOLINE BLENDSTOCK (RBOB) - NEW YORK MERCANTILE EXCHANGE</t>
        </is>
      </c>
      <c r="D965" t="n">
        <v>268486</v>
      </c>
      <c r="E965" t="n">
        <v>72058</v>
      </c>
      <c r="F965" t="n">
        <v>5881</v>
      </c>
      <c r="G965" t="n">
        <v>17618</v>
      </c>
      <c r="H965">
        <f>E965-F965</f>
        <v/>
      </c>
      <c r="I965">
        <f>(E965-F965)/D965</f>
        <v/>
      </c>
    </row>
    <row r="966">
      <c r="A966" s="3" t="n">
        <v>41142</v>
      </c>
      <c r="B966" t="inlineStr">
        <is>
          <t>111659</t>
        </is>
      </c>
      <c r="C966" t="inlineStr">
        <is>
          <t>GASOLINE BLENDSTOCK (RBOB) - NEW YORK MERCANTILE EXCHANGE</t>
        </is>
      </c>
      <c r="D966" t="n">
        <v>290723</v>
      </c>
      <c r="E966" t="n">
        <v>74604</v>
      </c>
      <c r="F966" t="n">
        <v>8002</v>
      </c>
      <c r="G966" t="n">
        <v>18085</v>
      </c>
      <c r="H966">
        <f>E966-F966</f>
        <v/>
      </c>
      <c r="I966">
        <f>(E966-F966)/D966</f>
        <v/>
      </c>
    </row>
    <row r="967">
      <c r="A967" s="3" t="n">
        <v>41149</v>
      </c>
      <c r="B967" t="inlineStr">
        <is>
          <t>111659</t>
        </is>
      </c>
      <c r="C967" t="inlineStr">
        <is>
          <t>GASOLINE BLENDSTOCK (RBOB) - NEW YORK MERCANTILE EXCHANGE</t>
        </is>
      </c>
      <c r="D967" t="n">
        <v>275197</v>
      </c>
      <c r="E967" t="n">
        <v>80973</v>
      </c>
      <c r="F967" t="n">
        <v>9058</v>
      </c>
      <c r="G967" t="n">
        <v>16311</v>
      </c>
      <c r="H967">
        <f>E967-F967</f>
        <v/>
      </c>
      <c r="I967">
        <f>(E967-F967)/D967</f>
        <v/>
      </c>
    </row>
    <row r="968">
      <c r="A968" s="3" t="n">
        <v>41156</v>
      </c>
      <c r="B968" t="inlineStr">
        <is>
          <t>111659</t>
        </is>
      </c>
      <c r="C968" t="inlineStr">
        <is>
          <t>GASOLINE BLENDSTOCK (RBOB) - NEW YORK MERCANTILE EXCHANGE</t>
        </is>
      </c>
      <c r="D968" t="n">
        <v>284399</v>
      </c>
      <c r="E968" t="n">
        <v>82973</v>
      </c>
      <c r="F968" t="n">
        <v>9713</v>
      </c>
      <c r="G968" t="n">
        <v>20976</v>
      </c>
      <c r="H968">
        <f>E968-F968</f>
        <v/>
      </c>
      <c r="I968">
        <f>(E968-F968)/D968</f>
        <v/>
      </c>
    </row>
    <row r="969">
      <c r="A969" s="3" t="n">
        <v>41163</v>
      </c>
      <c r="B969" t="inlineStr">
        <is>
          <t>111659</t>
        </is>
      </c>
      <c r="C969" t="inlineStr">
        <is>
          <t>GASOLINE BLENDSTOCK (RBOB) - NEW YORK MERCANTILE EXCHANGE</t>
        </is>
      </c>
      <c r="D969" t="n">
        <v>292397</v>
      </c>
      <c r="E969" t="n">
        <v>87068</v>
      </c>
      <c r="F969" t="n">
        <v>12227</v>
      </c>
      <c r="G969" t="n">
        <v>22304</v>
      </c>
      <c r="H969">
        <f>E969-F969</f>
        <v/>
      </c>
      <c r="I969">
        <f>(E969-F969)/D969</f>
        <v/>
      </c>
    </row>
    <row r="970">
      <c r="A970" s="3" t="n">
        <v>41170</v>
      </c>
      <c r="B970" t="inlineStr">
        <is>
          <t>111659</t>
        </is>
      </c>
      <c r="C970" t="inlineStr">
        <is>
          <t>GASOLINE BLENDSTOCK (RBOB) - NEW YORK MERCANTILE EXCHANGE</t>
        </is>
      </c>
      <c r="D970" t="n">
        <v>291787</v>
      </c>
      <c r="E970" t="n">
        <v>87180</v>
      </c>
      <c r="F970" t="n">
        <v>10271</v>
      </c>
      <c r="G970" t="n">
        <v>23793</v>
      </c>
      <c r="H970">
        <f>E970-F970</f>
        <v/>
      </c>
      <c r="I970">
        <f>(E970-F970)/D970</f>
        <v/>
      </c>
    </row>
    <row r="971">
      <c r="A971" s="3" t="n">
        <v>41177</v>
      </c>
      <c r="B971" t="inlineStr">
        <is>
          <t>111659</t>
        </is>
      </c>
      <c r="C971" t="inlineStr">
        <is>
          <t>GASOLINE BLENDSTOCK (RBOB) - NEW YORK MERCANTILE EXCHANGE</t>
        </is>
      </c>
      <c r="D971" t="n">
        <v>291114</v>
      </c>
      <c r="E971" t="n">
        <v>88150</v>
      </c>
      <c r="F971" t="n">
        <v>7830</v>
      </c>
      <c r="G971" t="n">
        <v>21008</v>
      </c>
      <c r="H971">
        <f>E971-F971</f>
        <v/>
      </c>
      <c r="I971">
        <f>(E971-F971)/D971</f>
        <v/>
      </c>
    </row>
    <row r="972">
      <c r="A972" s="3" t="n">
        <v>41184</v>
      </c>
      <c r="B972" t="inlineStr">
        <is>
          <t>111659</t>
        </is>
      </c>
      <c r="C972" t="inlineStr">
        <is>
          <t>GASOLINE BLENDSTOCK (RBOB) - NEW YORK MERCANTILE EXCHANGE</t>
        </is>
      </c>
      <c r="D972" t="n">
        <v>277184</v>
      </c>
      <c r="E972" t="n">
        <v>89807</v>
      </c>
      <c r="F972" t="n">
        <v>6414</v>
      </c>
      <c r="G972" t="n">
        <v>24067</v>
      </c>
      <c r="H972">
        <f>E972-F972</f>
        <v/>
      </c>
      <c r="I972">
        <f>(E972-F972)/D972</f>
        <v/>
      </c>
    </row>
    <row r="973">
      <c r="A973" s="3" t="n">
        <v>41191</v>
      </c>
      <c r="B973" t="inlineStr">
        <is>
          <t>111659</t>
        </is>
      </c>
      <c r="C973" t="inlineStr">
        <is>
          <t>GASOLINE BLENDSTOCK (RBOB) - NEW YORK MERCANTILE EXCHANGE</t>
        </is>
      </c>
      <c r="D973" t="n">
        <v>277817</v>
      </c>
      <c r="E973" t="n">
        <v>87338</v>
      </c>
      <c r="F973" t="n">
        <v>5783</v>
      </c>
      <c r="G973" t="n">
        <v>21994</v>
      </c>
      <c r="H973">
        <f>E973-F973</f>
        <v/>
      </c>
      <c r="I973">
        <f>(E973-F973)/D973</f>
        <v/>
      </c>
    </row>
    <row r="974">
      <c r="A974" s="3" t="n">
        <v>41198</v>
      </c>
      <c r="B974" t="inlineStr">
        <is>
          <t>111659</t>
        </is>
      </c>
      <c r="C974" t="inlineStr">
        <is>
          <t>GASOLINE BLENDSTOCK (RBOB) - NEW YORK MERCANTILE EXCHANGE</t>
        </is>
      </c>
      <c r="D974" t="n">
        <v>285478</v>
      </c>
      <c r="E974" t="n">
        <v>87675</v>
      </c>
      <c r="F974" t="n">
        <v>5713</v>
      </c>
      <c r="G974" t="n">
        <v>23354</v>
      </c>
      <c r="H974">
        <f>E974-F974</f>
        <v/>
      </c>
      <c r="I974">
        <f>(E974-F974)/D974</f>
        <v/>
      </c>
    </row>
    <row r="975">
      <c r="A975" s="3" t="n">
        <v>41205</v>
      </c>
      <c r="B975" t="inlineStr">
        <is>
          <t>111659</t>
        </is>
      </c>
      <c r="C975" t="inlineStr">
        <is>
          <t>GASOLINE BLENDSTOCK (RBOB) - NEW YORK MERCANTILE EXCHANGE</t>
        </is>
      </c>
      <c r="D975" t="n">
        <v>280927</v>
      </c>
      <c r="E975" t="n">
        <v>82259</v>
      </c>
      <c r="F975" t="n">
        <v>6805</v>
      </c>
      <c r="G975" t="n">
        <v>19801</v>
      </c>
      <c r="H975">
        <f>E975-F975</f>
        <v/>
      </c>
      <c r="I975">
        <f>(E975-F975)/D975</f>
        <v/>
      </c>
    </row>
    <row r="976">
      <c r="A976" s="3" t="n">
        <v>41212</v>
      </c>
      <c r="B976" t="inlineStr">
        <is>
          <t>111659</t>
        </is>
      </c>
      <c r="C976" t="inlineStr">
        <is>
          <t>GASOLINE BLENDSTOCK (RBOB) - NEW YORK MERCANTILE EXCHANGE</t>
        </is>
      </c>
      <c r="D976" t="n">
        <v>274420</v>
      </c>
      <c r="E976" t="n">
        <v>80055</v>
      </c>
      <c r="F976" t="n">
        <v>8195</v>
      </c>
      <c r="G976" t="n">
        <v>15314</v>
      </c>
      <c r="H976">
        <f>E976-F976</f>
        <v/>
      </c>
      <c r="I976">
        <f>(E976-F976)/D976</f>
        <v/>
      </c>
    </row>
    <row r="977">
      <c r="A977" s="3" t="n">
        <v>41219</v>
      </c>
      <c r="B977" t="inlineStr">
        <is>
          <t>111659</t>
        </is>
      </c>
      <c r="C977" t="inlineStr">
        <is>
          <t>GASOLINE BLENDSTOCK (RBOB) - NEW YORK MERCANTILE EXCHANGE</t>
        </is>
      </c>
      <c r="D977" t="n">
        <v>265501</v>
      </c>
      <c r="E977" t="n">
        <v>75962</v>
      </c>
      <c r="F977" t="n">
        <v>7788</v>
      </c>
      <c r="G977" t="n">
        <v>18431</v>
      </c>
      <c r="H977">
        <f>E977-F977</f>
        <v/>
      </c>
      <c r="I977">
        <f>(E977-F977)/D977</f>
        <v/>
      </c>
    </row>
    <row r="978">
      <c r="A978" s="3" t="n">
        <v>41226</v>
      </c>
      <c r="B978" t="inlineStr">
        <is>
          <t>111659</t>
        </is>
      </c>
      <c r="C978" t="inlineStr">
        <is>
          <t>GASOLINE BLENDSTOCK (RBOB) - NEW YORK MERCANTILE EXCHANGE</t>
        </is>
      </c>
      <c r="D978" t="n">
        <v>279433</v>
      </c>
      <c r="E978" t="n">
        <v>72433</v>
      </c>
      <c r="F978" t="n">
        <v>8125</v>
      </c>
      <c r="G978" t="n">
        <v>18628</v>
      </c>
      <c r="H978">
        <f>E978-F978</f>
        <v/>
      </c>
      <c r="I978">
        <f>(E978-F978)/D978</f>
        <v/>
      </c>
    </row>
    <row r="979">
      <c r="A979" s="3" t="n">
        <v>41233</v>
      </c>
      <c r="B979" t="inlineStr">
        <is>
          <t>111659</t>
        </is>
      </c>
      <c r="C979" t="inlineStr">
        <is>
          <t>GASOLINE BLENDSTOCK (RBOB) - NEW YORK MERCANTILE EXCHANGE</t>
        </is>
      </c>
      <c r="D979" t="n">
        <v>286980</v>
      </c>
      <c r="E979" t="n">
        <v>78576</v>
      </c>
      <c r="F979" t="n">
        <v>6783</v>
      </c>
      <c r="G979" t="n">
        <v>22672</v>
      </c>
      <c r="H979">
        <f>E979-F979</f>
        <v/>
      </c>
      <c r="I979">
        <f>(E979-F979)/D979</f>
        <v/>
      </c>
    </row>
    <row r="980">
      <c r="A980" s="3" t="n">
        <v>41240</v>
      </c>
      <c r="B980" t="inlineStr">
        <is>
          <t>111659</t>
        </is>
      </c>
      <c r="C980" t="inlineStr">
        <is>
          <t>GASOLINE BLENDSTOCK (RBOB) - NEW YORK MERCANTILE EXCHANGE</t>
        </is>
      </c>
      <c r="D980" t="n">
        <v>277063</v>
      </c>
      <c r="E980" t="n">
        <v>85273</v>
      </c>
      <c r="F980" t="n">
        <v>6350</v>
      </c>
      <c r="G980" t="n">
        <v>20763</v>
      </c>
      <c r="H980">
        <f>E980-F980</f>
        <v/>
      </c>
      <c r="I980">
        <f>(E980-F980)/D980</f>
        <v/>
      </c>
    </row>
    <row r="981">
      <c r="A981" s="3" t="n">
        <v>41247</v>
      </c>
      <c r="B981" t="inlineStr">
        <is>
          <t>111659</t>
        </is>
      </c>
      <c r="C981" t="inlineStr">
        <is>
          <t>GASOLINE BLENDSTOCK (RBOB) - NEW YORK MERCANTILE EXCHANGE</t>
        </is>
      </c>
      <c r="D981" t="n">
        <v>273735</v>
      </c>
      <c r="E981" t="n">
        <v>87218</v>
      </c>
      <c r="F981" t="n">
        <v>7969</v>
      </c>
      <c r="G981" t="n">
        <v>22018</v>
      </c>
      <c r="H981">
        <f>E981-F981</f>
        <v/>
      </c>
      <c r="I981">
        <f>(E981-F981)/D981</f>
        <v/>
      </c>
    </row>
    <row r="982">
      <c r="A982" s="3" t="n">
        <v>41254</v>
      </c>
      <c r="B982" t="inlineStr">
        <is>
          <t>111659</t>
        </is>
      </c>
      <c r="C982" t="inlineStr">
        <is>
          <t>GASOLINE BLENDSTOCK (RBOB) - NEW YORK MERCANTILE EXCHANGE</t>
        </is>
      </c>
      <c r="D982" t="n">
        <v>274276</v>
      </c>
      <c r="E982" t="n">
        <v>73746</v>
      </c>
      <c r="F982" t="n">
        <v>10106</v>
      </c>
      <c r="G982" t="n">
        <v>24921</v>
      </c>
      <c r="H982">
        <f>E982-F982</f>
        <v/>
      </c>
      <c r="I982">
        <f>(E982-F982)/D982</f>
        <v/>
      </c>
    </row>
    <row r="983">
      <c r="A983" s="3" t="n">
        <v>41261</v>
      </c>
      <c r="B983" t="inlineStr">
        <is>
          <t>111659</t>
        </is>
      </c>
      <c r="C983" t="inlineStr">
        <is>
          <t>GASOLINE BLENDSTOCK (RBOB) - NEW YORK MERCANTILE EXCHANGE</t>
        </is>
      </c>
      <c r="D983" t="n">
        <v>288588</v>
      </c>
      <c r="E983" t="n">
        <v>67708</v>
      </c>
      <c r="F983" t="n">
        <v>9024</v>
      </c>
      <c r="G983" t="n">
        <v>23185</v>
      </c>
      <c r="H983">
        <f>E983-F983</f>
        <v/>
      </c>
      <c r="I983">
        <f>(E983-F983)/D983</f>
        <v/>
      </c>
    </row>
    <row r="984">
      <c r="A984" s="3" t="n">
        <v>41267</v>
      </c>
      <c r="B984" t="inlineStr">
        <is>
          <t>111659</t>
        </is>
      </c>
      <c r="C984" t="inlineStr">
        <is>
          <t>GASOLINE BLENDSTOCK (RBOB) - NEW YORK MERCANTILE EXCHANGE</t>
        </is>
      </c>
      <c r="D984" t="n">
        <v>293239</v>
      </c>
      <c r="E984" t="n">
        <v>73315</v>
      </c>
      <c r="F984" t="n">
        <v>8900</v>
      </c>
      <c r="G984" t="n">
        <v>27938</v>
      </c>
      <c r="H984">
        <f>E984-F984</f>
        <v/>
      </c>
      <c r="I984">
        <f>(E984-F984)/D984</f>
        <v/>
      </c>
    </row>
    <row r="985">
      <c r="A985" s="3" t="n">
        <v>41274</v>
      </c>
      <c r="B985" t="inlineStr">
        <is>
          <t>111659</t>
        </is>
      </c>
      <c r="C985" t="inlineStr">
        <is>
          <t>GASOLINE BLENDSTOCK (RBOB) - NEW YORK MERCANTILE EXCHANGE</t>
        </is>
      </c>
      <c r="D985" t="n">
        <v>281699</v>
      </c>
      <c r="E985" t="n">
        <v>76210</v>
      </c>
      <c r="F985" t="n">
        <v>9002</v>
      </c>
      <c r="G985" t="n">
        <v>26368</v>
      </c>
      <c r="H985">
        <f>E985-F985</f>
        <v/>
      </c>
      <c r="I985">
        <f>(E985-F985)/D985</f>
        <v/>
      </c>
    </row>
    <row r="986">
      <c r="A986" s="3" t="n">
        <v>41282</v>
      </c>
      <c r="B986" t="inlineStr">
        <is>
          <t>111659</t>
        </is>
      </c>
      <c r="C986" t="inlineStr">
        <is>
          <t>GASOLINE BLENDSTOCK (RBOB) - NEW YORK MERCANTILE EXCHANGE</t>
        </is>
      </c>
      <c r="D986" t="n">
        <v>298760</v>
      </c>
      <c r="E986" t="n">
        <v>83744</v>
      </c>
      <c r="F986" t="n">
        <v>8499</v>
      </c>
      <c r="G986" t="n">
        <v>26628</v>
      </c>
      <c r="H986">
        <f>E986-F986</f>
        <v/>
      </c>
      <c r="I986">
        <f>(E986-F986)/D986</f>
        <v/>
      </c>
    </row>
    <row r="987">
      <c r="A987" s="3" t="n">
        <v>41289</v>
      </c>
      <c r="B987" t="inlineStr">
        <is>
          <t>111659</t>
        </is>
      </c>
      <c r="C987" t="inlineStr">
        <is>
          <t>GASOLINE BLENDSTOCK (RBOB) - NEW YORK MERCANTILE EXCHANGE</t>
        </is>
      </c>
      <c r="D987" t="n">
        <v>321408</v>
      </c>
      <c r="E987" t="n">
        <v>82782</v>
      </c>
      <c r="F987" t="n">
        <v>9598</v>
      </c>
      <c r="G987" t="n">
        <v>24191</v>
      </c>
      <c r="H987">
        <f>E987-F987</f>
        <v/>
      </c>
      <c r="I987">
        <f>(E987-F987)/D987</f>
        <v/>
      </c>
    </row>
    <row r="988">
      <c r="A988" s="3" t="n">
        <v>41296</v>
      </c>
      <c r="B988" t="inlineStr">
        <is>
          <t>111659</t>
        </is>
      </c>
      <c r="C988" t="inlineStr">
        <is>
          <t>GASOLINE BLENDSTOCK (RBOB) - NEW YORK MERCANTILE EXCHANGE</t>
        </is>
      </c>
      <c r="D988" t="n">
        <v>323839</v>
      </c>
      <c r="E988" t="n">
        <v>86292</v>
      </c>
      <c r="F988" t="n">
        <v>9829</v>
      </c>
      <c r="G988" t="n">
        <v>25790</v>
      </c>
      <c r="H988">
        <f>E988-F988</f>
        <v/>
      </c>
      <c r="I988">
        <f>(E988-F988)/D988</f>
        <v/>
      </c>
    </row>
    <row r="989">
      <c r="A989" s="3" t="n">
        <v>41303</v>
      </c>
      <c r="B989" t="inlineStr">
        <is>
          <t>111659</t>
        </is>
      </c>
      <c r="C989" t="inlineStr">
        <is>
          <t>GASOLINE BLENDSTOCK (RBOB) - NEW YORK MERCANTILE EXCHANGE</t>
        </is>
      </c>
      <c r="D989" t="n">
        <v>319335</v>
      </c>
      <c r="E989" t="n">
        <v>93586</v>
      </c>
      <c r="F989" t="n">
        <v>9615</v>
      </c>
      <c r="G989" t="n">
        <v>21429</v>
      </c>
      <c r="H989">
        <f>E989-F989</f>
        <v/>
      </c>
      <c r="I989">
        <f>(E989-F989)/D989</f>
        <v/>
      </c>
    </row>
    <row r="990">
      <c r="A990" s="3" t="n">
        <v>41310</v>
      </c>
      <c r="B990" t="inlineStr">
        <is>
          <t>111659</t>
        </is>
      </c>
      <c r="C990" t="inlineStr">
        <is>
          <t>GASOLINE BLENDSTOCK (RBOB) - NEW YORK MERCANTILE EXCHANGE</t>
        </is>
      </c>
      <c r="D990" t="n">
        <v>319552</v>
      </c>
      <c r="E990" t="n">
        <v>98243</v>
      </c>
      <c r="F990" t="n">
        <v>8848</v>
      </c>
      <c r="G990" t="n">
        <v>18743</v>
      </c>
      <c r="H990">
        <f>E990-F990</f>
        <v/>
      </c>
      <c r="I990">
        <f>(E990-F990)/D990</f>
        <v/>
      </c>
    </row>
    <row r="991">
      <c r="A991" s="3" t="n">
        <v>41317</v>
      </c>
      <c r="B991" t="inlineStr">
        <is>
          <t>111659</t>
        </is>
      </c>
      <c r="C991" t="inlineStr">
        <is>
          <t>GASOLINE BLENDSTOCK (RBOB) - NEW YORK MERCANTILE EXCHANGE</t>
        </is>
      </c>
      <c r="D991" t="n">
        <v>323601</v>
      </c>
      <c r="E991" t="n">
        <v>101925</v>
      </c>
      <c r="F991" t="n">
        <v>11786</v>
      </c>
      <c r="G991" t="n">
        <v>18595</v>
      </c>
      <c r="H991">
        <f>E991-F991</f>
        <v/>
      </c>
      <c r="I991">
        <f>(E991-F991)/D991</f>
        <v/>
      </c>
    </row>
    <row r="992">
      <c r="A992" s="3" t="n">
        <v>41324</v>
      </c>
      <c r="B992" t="inlineStr">
        <is>
          <t>111659</t>
        </is>
      </c>
      <c r="C992" t="inlineStr">
        <is>
          <t>GASOLINE BLENDSTOCK (RBOB) - NEW YORK MERCANTILE EXCHANGE</t>
        </is>
      </c>
      <c r="D992" t="n">
        <v>337391</v>
      </c>
      <c r="E992" t="n">
        <v>102189</v>
      </c>
      <c r="F992" t="n">
        <v>11570</v>
      </c>
      <c r="G992" t="n">
        <v>21212</v>
      </c>
      <c r="H992">
        <f>E992-F992</f>
        <v/>
      </c>
      <c r="I992">
        <f>(E992-F992)/D992</f>
        <v/>
      </c>
    </row>
    <row r="993">
      <c r="A993" s="3" t="n">
        <v>41331</v>
      </c>
      <c r="B993" t="inlineStr">
        <is>
          <t>111659</t>
        </is>
      </c>
      <c r="C993" t="inlineStr">
        <is>
          <t>GASOLINE BLENDSTOCK (RBOB) - NEW YORK MERCANTILE EXCHANGE</t>
        </is>
      </c>
      <c r="D993" t="n">
        <v>331805</v>
      </c>
      <c r="E993" t="n">
        <v>99402</v>
      </c>
      <c r="F993" t="n">
        <v>11479</v>
      </c>
      <c r="G993" t="n">
        <v>19604</v>
      </c>
      <c r="H993">
        <f>E993-F993</f>
        <v/>
      </c>
      <c r="I993">
        <f>(E993-F993)/D993</f>
        <v/>
      </c>
    </row>
    <row r="994">
      <c r="A994" s="3" t="n">
        <v>41338</v>
      </c>
      <c r="B994" t="inlineStr">
        <is>
          <t>111659</t>
        </is>
      </c>
      <c r="C994" t="inlineStr">
        <is>
          <t>GASOLINE BLENDSTOCK (RBOB) - NEW YORK MERCANTILE EXCHANGE</t>
        </is>
      </c>
      <c r="D994" t="n">
        <v>317253</v>
      </c>
      <c r="E994" t="n">
        <v>91453</v>
      </c>
      <c r="F994" t="n">
        <v>9429</v>
      </c>
      <c r="G994" t="n">
        <v>21835</v>
      </c>
      <c r="H994">
        <f>E994-F994</f>
        <v/>
      </c>
      <c r="I994">
        <f>(E994-F994)/D994</f>
        <v/>
      </c>
    </row>
    <row r="995">
      <c r="A995" s="3" t="n">
        <v>41345</v>
      </c>
      <c r="B995" t="inlineStr">
        <is>
          <t>111659</t>
        </is>
      </c>
      <c r="C995" t="inlineStr">
        <is>
          <t>GASOLINE BLENDSTOCK (RBOB) - NEW YORK MERCANTILE EXCHANGE</t>
        </is>
      </c>
      <c r="D995" t="n">
        <v>317407</v>
      </c>
      <c r="E995" t="n">
        <v>85619</v>
      </c>
      <c r="F995" t="n">
        <v>9189</v>
      </c>
      <c r="G995" t="n">
        <v>20949</v>
      </c>
      <c r="H995">
        <f>E995-F995</f>
        <v/>
      </c>
      <c r="I995">
        <f>(E995-F995)/D995</f>
        <v/>
      </c>
    </row>
    <row r="996">
      <c r="A996" s="3" t="n">
        <v>41352</v>
      </c>
      <c r="B996" t="inlineStr">
        <is>
          <t>111659</t>
        </is>
      </c>
      <c r="C996" t="inlineStr">
        <is>
          <t>GASOLINE BLENDSTOCK (RBOB) - NEW YORK MERCANTILE EXCHANGE</t>
        </is>
      </c>
      <c r="D996" t="n">
        <v>318589</v>
      </c>
      <c r="E996" t="n">
        <v>84374</v>
      </c>
      <c r="F996" t="n">
        <v>6873</v>
      </c>
      <c r="G996" t="n">
        <v>23637</v>
      </c>
      <c r="H996">
        <f>E996-F996</f>
        <v/>
      </c>
      <c r="I996">
        <f>(E996-F996)/D996</f>
        <v/>
      </c>
    </row>
    <row r="997">
      <c r="A997" s="3" t="n">
        <v>41359</v>
      </c>
      <c r="B997" t="inlineStr">
        <is>
          <t>111659</t>
        </is>
      </c>
      <c r="C997" t="inlineStr">
        <is>
          <t>GASOLINE BLENDSTOCK (RBOB) - NEW YORK MERCANTILE EXCHANGE</t>
        </is>
      </c>
      <c r="D997" t="n">
        <v>324581</v>
      </c>
      <c r="E997" t="n">
        <v>87878</v>
      </c>
      <c r="F997" t="n">
        <v>8086</v>
      </c>
      <c r="G997" t="n">
        <v>22938</v>
      </c>
      <c r="H997">
        <f>E997-F997</f>
        <v/>
      </c>
      <c r="I997">
        <f>(E997-F997)/D997</f>
        <v/>
      </c>
    </row>
    <row r="998">
      <c r="A998" s="3" t="n">
        <v>41366</v>
      </c>
      <c r="B998" t="inlineStr">
        <is>
          <t>111659</t>
        </is>
      </c>
      <c r="C998" t="inlineStr">
        <is>
          <t>GASOLINE BLENDSTOCK (RBOB) - NEW YORK MERCANTILE EXCHANGE</t>
        </is>
      </c>
      <c r="D998" t="n">
        <v>311184</v>
      </c>
      <c r="E998" t="n">
        <v>85734</v>
      </c>
      <c r="F998" t="n">
        <v>8706</v>
      </c>
      <c r="G998" t="n">
        <v>23527</v>
      </c>
      <c r="H998">
        <f>E998-F998</f>
        <v/>
      </c>
      <c r="I998">
        <f>(E998-F998)/D998</f>
        <v/>
      </c>
    </row>
    <row r="999">
      <c r="A999" s="3" t="n">
        <v>41373</v>
      </c>
      <c r="B999" t="inlineStr">
        <is>
          <t>111659</t>
        </is>
      </c>
      <c r="C999" t="inlineStr">
        <is>
          <t>GASOLINE BLENDSTOCK (RBOB) - NEW YORK MERCANTILE EXCHANGE</t>
        </is>
      </c>
      <c r="D999" t="n">
        <v>314960</v>
      </c>
      <c r="E999" t="n">
        <v>74642</v>
      </c>
      <c r="F999" t="n">
        <v>10982</v>
      </c>
      <c r="G999" t="n">
        <v>34619</v>
      </c>
      <c r="H999">
        <f>E999-F999</f>
        <v/>
      </c>
      <c r="I999">
        <f>(E999-F999)/D999</f>
        <v/>
      </c>
    </row>
    <row r="1000">
      <c r="A1000" s="3" t="n">
        <v>41380</v>
      </c>
      <c r="B1000" t="inlineStr">
        <is>
          <t>111659</t>
        </is>
      </c>
      <c r="C1000" t="inlineStr">
        <is>
          <t>GASOLINE BLENDSTOCK (RBOB) - NEW YORK MERCANTILE EXCHANGE</t>
        </is>
      </c>
      <c r="D1000" t="n">
        <v>314790</v>
      </c>
      <c r="E1000" t="n">
        <v>65078</v>
      </c>
      <c r="F1000" t="n">
        <v>11603</v>
      </c>
      <c r="G1000" t="n">
        <v>32388</v>
      </c>
      <c r="H1000">
        <f>E1000-F1000</f>
        <v/>
      </c>
      <c r="I1000">
        <f>(E1000-F1000)/D1000</f>
        <v/>
      </c>
    </row>
    <row r="1001">
      <c r="A1001" s="3" t="n">
        <v>41387</v>
      </c>
      <c r="B1001" t="inlineStr">
        <is>
          <t>111659</t>
        </is>
      </c>
      <c r="C1001" t="inlineStr">
        <is>
          <t>GASOLINE BLENDSTOCK (RBOB) - NEW YORK MERCANTILE EXCHANGE</t>
        </is>
      </c>
      <c r="D1001" t="n">
        <v>289924</v>
      </c>
      <c r="E1001" t="n">
        <v>53111</v>
      </c>
      <c r="F1001" t="n">
        <v>13179</v>
      </c>
      <c r="G1001" t="n">
        <v>32131</v>
      </c>
      <c r="H1001">
        <f>E1001-F1001</f>
        <v/>
      </c>
      <c r="I1001">
        <f>(E1001-F1001)/D1001</f>
        <v/>
      </c>
    </row>
    <row r="1002">
      <c r="A1002" s="3" t="n">
        <v>41394</v>
      </c>
      <c r="B1002" t="inlineStr">
        <is>
          <t>111659</t>
        </is>
      </c>
      <c r="C1002" t="inlineStr">
        <is>
          <t>GASOLINE BLENDSTOCK (RBOB) - NEW YORK MERCANTILE EXCHANGE</t>
        </is>
      </c>
      <c r="D1002" t="n">
        <v>271279</v>
      </c>
      <c r="E1002" t="n">
        <v>51863</v>
      </c>
      <c r="F1002" t="n">
        <v>14895</v>
      </c>
      <c r="G1002" t="n">
        <v>29859</v>
      </c>
      <c r="H1002">
        <f>E1002-F1002</f>
        <v/>
      </c>
      <c r="I1002">
        <f>(E1002-F1002)/D1002</f>
        <v/>
      </c>
    </row>
    <row r="1003">
      <c r="A1003" s="3" t="n">
        <v>41401</v>
      </c>
      <c r="B1003" t="inlineStr">
        <is>
          <t>111659</t>
        </is>
      </c>
      <c r="C1003" t="inlineStr">
        <is>
          <t>GASOLINE BLENDSTOCK (RBOB) - NEW YORK MERCANTILE EXCHANGE</t>
        </is>
      </c>
      <c r="D1003" t="n">
        <v>281991</v>
      </c>
      <c r="E1003" t="n">
        <v>50939</v>
      </c>
      <c r="F1003" t="n">
        <v>17542</v>
      </c>
      <c r="G1003" t="n">
        <v>30611</v>
      </c>
      <c r="H1003">
        <f>E1003-F1003</f>
        <v/>
      </c>
      <c r="I1003">
        <f>(E1003-F1003)/D1003</f>
        <v/>
      </c>
    </row>
    <row r="1004">
      <c r="A1004" s="3" t="n">
        <v>41408</v>
      </c>
      <c r="B1004" t="inlineStr">
        <is>
          <t>111659</t>
        </is>
      </c>
      <c r="C1004" t="inlineStr">
        <is>
          <t>GASOLINE BLENDSTOCK (RBOB) - NEW YORK MERCANTILE EXCHANGE</t>
        </is>
      </c>
      <c r="D1004" t="n">
        <v>289626</v>
      </c>
      <c r="E1004" t="n">
        <v>52087</v>
      </c>
      <c r="F1004" t="n">
        <v>18809</v>
      </c>
      <c r="G1004" t="n">
        <v>29514</v>
      </c>
      <c r="H1004">
        <f>E1004-F1004</f>
        <v/>
      </c>
      <c r="I1004">
        <f>(E1004-F1004)/D1004</f>
        <v/>
      </c>
    </row>
    <row r="1005">
      <c r="A1005" s="3" t="n">
        <v>41415</v>
      </c>
      <c r="B1005" t="inlineStr">
        <is>
          <t>111659</t>
        </is>
      </c>
      <c r="C1005" t="inlineStr">
        <is>
          <t>GASOLINE BLENDSTOCK (RBOB) - NEW YORK MERCANTILE EXCHANGE</t>
        </is>
      </c>
      <c r="D1005" t="n">
        <v>288229</v>
      </c>
      <c r="E1005" t="n">
        <v>56408</v>
      </c>
      <c r="F1005" t="n">
        <v>22262</v>
      </c>
      <c r="G1005" t="n">
        <v>28324</v>
      </c>
      <c r="H1005">
        <f>E1005-F1005</f>
        <v/>
      </c>
      <c r="I1005">
        <f>(E1005-F1005)/D1005</f>
        <v/>
      </c>
    </row>
    <row r="1006">
      <c r="A1006" s="3" t="n">
        <v>41422</v>
      </c>
      <c r="B1006" t="inlineStr">
        <is>
          <t>111659</t>
        </is>
      </c>
      <c r="C1006" t="inlineStr">
        <is>
          <t>GASOLINE BLENDSTOCK (RBOB) - NEW YORK MERCANTILE EXCHANGE</t>
        </is>
      </c>
      <c r="D1006" t="n">
        <v>276802</v>
      </c>
      <c r="E1006" t="n">
        <v>54260</v>
      </c>
      <c r="F1006" t="n">
        <v>24211</v>
      </c>
      <c r="G1006" t="n">
        <v>25743</v>
      </c>
      <c r="H1006">
        <f>E1006-F1006</f>
        <v/>
      </c>
      <c r="I1006">
        <f>(E1006-F1006)/D1006</f>
        <v/>
      </c>
    </row>
    <row r="1007">
      <c r="A1007" s="3" t="n">
        <v>41429</v>
      </c>
      <c r="B1007" t="inlineStr">
        <is>
          <t>111659</t>
        </is>
      </c>
      <c r="C1007" t="inlineStr">
        <is>
          <t>GASOLINE BLENDSTOCK (RBOB) - NEW YORK MERCANTILE EXCHANGE</t>
        </is>
      </c>
      <c r="D1007" t="n">
        <v>261064</v>
      </c>
      <c r="E1007" t="n">
        <v>46849</v>
      </c>
      <c r="F1007" t="n">
        <v>16385</v>
      </c>
      <c r="G1007" t="n">
        <v>28096</v>
      </c>
      <c r="H1007">
        <f>E1007-F1007</f>
        <v/>
      </c>
      <c r="I1007">
        <f>(E1007-F1007)/D1007</f>
        <v/>
      </c>
    </row>
    <row r="1008">
      <c r="A1008" s="3" t="n">
        <v>41436</v>
      </c>
      <c r="B1008" t="inlineStr">
        <is>
          <t>111659</t>
        </is>
      </c>
      <c r="C1008" t="inlineStr">
        <is>
          <t>GASOLINE BLENDSTOCK (RBOB) - NEW YORK MERCANTILE EXCHANGE</t>
        </is>
      </c>
      <c r="D1008" t="n">
        <v>281707</v>
      </c>
      <c r="E1008" t="n">
        <v>50060</v>
      </c>
      <c r="F1008" t="n">
        <v>16708</v>
      </c>
      <c r="G1008" t="n">
        <v>30703</v>
      </c>
      <c r="H1008">
        <f>E1008-F1008</f>
        <v/>
      </c>
      <c r="I1008">
        <f>(E1008-F1008)/D1008</f>
        <v/>
      </c>
    </row>
    <row r="1009">
      <c r="A1009" s="3" t="n">
        <v>41443</v>
      </c>
      <c r="B1009" t="inlineStr">
        <is>
          <t>111659</t>
        </is>
      </c>
      <c r="C1009" t="inlineStr">
        <is>
          <t>GASOLINE BLENDSTOCK (RBOB) - NEW YORK MERCANTILE EXCHANGE</t>
        </is>
      </c>
      <c r="D1009" t="n">
        <v>290039</v>
      </c>
      <c r="E1009" t="n">
        <v>56489</v>
      </c>
      <c r="F1009" t="n">
        <v>17108</v>
      </c>
      <c r="G1009" t="n">
        <v>32450</v>
      </c>
      <c r="H1009">
        <f>E1009-F1009</f>
        <v/>
      </c>
      <c r="I1009">
        <f>(E1009-F1009)/D1009</f>
        <v/>
      </c>
    </row>
    <row r="1010">
      <c r="A1010" s="3" t="n">
        <v>41450</v>
      </c>
      <c r="B1010" t="inlineStr">
        <is>
          <t>111659</t>
        </is>
      </c>
      <c r="C1010" t="inlineStr">
        <is>
          <t>GASOLINE BLENDSTOCK (RBOB) - NEW YORK MERCANTILE EXCHANGE</t>
        </is>
      </c>
      <c r="D1010" t="n">
        <v>272068</v>
      </c>
      <c r="E1010" t="n">
        <v>43523</v>
      </c>
      <c r="F1010" t="n">
        <v>20404</v>
      </c>
      <c r="G1010" t="n">
        <v>29732</v>
      </c>
      <c r="H1010">
        <f>E1010-F1010</f>
        <v/>
      </c>
      <c r="I1010">
        <f>(E1010-F1010)/D1010</f>
        <v/>
      </c>
    </row>
    <row r="1011">
      <c r="A1011" s="3" t="n">
        <v>41457</v>
      </c>
      <c r="B1011" t="inlineStr">
        <is>
          <t>111659</t>
        </is>
      </c>
      <c r="C1011" t="inlineStr">
        <is>
          <t>GASOLINE BLENDSTOCK (RBOB) - NEW YORK MERCANTILE EXCHANGE</t>
        </is>
      </c>
      <c r="D1011" t="n">
        <v>257364</v>
      </c>
      <c r="E1011" t="n">
        <v>44655</v>
      </c>
      <c r="F1011" t="n">
        <v>21999</v>
      </c>
      <c r="G1011" t="n">
        <v>27020</v>
      </c>
      <c r="H1011">
        <f>E1011-F1011</f>
        <v/>
      </c>
      <c r="I1011">
        <f>(E1011-F1011)/D1011</f>
        <v/>
      </c>
    </row>
    <row r="1012">
      <c r="A1012" s="3" t="n">
        <v>41464</v>
      </c>
      <c r="B1012" t="inlineStr">
        <is>
          <t>111659</t>
        </is>
      </c>
      <c r="C1012" t="inlineStr">
        <is>
          <t>GASOLINE BLENDSTOCK (RBOB) - NEW YORK MERCANTILE EXCHANGE</t>
        </is>
      </c>
      <c r="D1012" t="n">
        <v>263849</v>
      </c>
      <c r="E1012" t="n">
        <v>51035</v>
      </c>
      <c r="F1012" t="n">
        <v>19287</v>
      </c>
      <c r="G1012" t="n">
        <v>28289</v>
      </c>
      <c r="H1012">
        <f>E1012-F1012</f>
        <v/>
      </c>
      <c r="I1012">
        <f>(E1012-F1012)/D1012</f>
        <v/>
      </c>
    </row>
    <row r="1013">
      <c r="A1013" s="3" t="n">
        <v>41471</v>
      </c>
      <c r="B1013" t="inlineStr">
        <is>
          <t>111659</t>
        </is>
      </c>
      <c r="C1013" t="inlineStr">
        <is>
          <t>GASOLINE BLENDSTOCK (RBOB) - NEW YORK MERCANTILE EXCHANGE</t>
        </is>
      </c>
      <c r="D1013" t="n">
        <v>273256</v>
      </c>
      <c r="E1013" t="n">
        <v>63839</v>
      </c>
      <c r="F1013" t="n">
        <v>12765</v>
      </c>
      <c r="G1013" t="n">
        <v>26415</v>
      </c>
      <c r="H1013">
        <f>E1013-F1013</f>
        <v/>
      </c>
      <c r="I1013">
        <f>(E1013-F1013)/D1013</f>
        <v/>
      </c>
    </row>
    <row r="1014">
      <c r="A1014" s="3" t="n">
        <v>41478</v>
      </c>
      <c r="B1014" t="inlineStr">
        <is>
          <t>111659</t>
        </is>
      </c>
      <c r="C1014" t="inlineStr">
        <is>
          <t>GASOLINE BLENDSTOCK (RBOB) - NEW YORK MERCANTILE EXCHANGE</t>
        </is>
      </c>
      <c r="D1014" t="n">
        <v>284383</v>
      </c>
      <c r="E1014" t="n">
        <v>80201</v>
      </c>
      <c r="F1014" t="n">
        <v>14009</v>
      </c>
      <c r="G1014" t="n">
        <v>19441</v>
      </c>
      <c r="H1014">
        <f>E1014-F1014</f>
        <v/>
      </c>
      <c r="I1014">
        <f>(E1014-F1014)/D1014</f>
        <v/>
      </c>
    </row>
    <row r="1015">
      <c r="A1015" s="3" t="n">
        <v>41485</v>
      </c>
      <c r="B1015" t="inlineStr">
        <is>
          <t>111659</t>
        </is>
      </c>
      <c r="C1015" t="inlineStr">
        <is>
          <t>GASOLINE BLENDSTOCK (RBOB) - NEW YORK MERCANTILE EXCHANGE</t>
        </is>
      </c>
      <c r="D1015" t="n">
        <v>268411</v>
      </c>
      <c r="E1015" t="n">
        <v>85511</v>
      </c>
      <c r="F1015" t="n">
        <v>13945</v>
      </c>
      <c r="G1015" t="n">
        <v>17942</v>
      </c>
      <c r="H1015">
        <f>E1015-F1015</f>
        <v/>
      </c>
      <c r="I1015">
        <f>(E1015-F1015)/D1015</f>
        <v/>
      </c>
    </row>
    <row r="1016">
      <c r="A1016" s="3" t="n">
        <v>41492</v>
      </c>
      <c r="B1016" t="inlineStr">
        <is>
          <t>111659</t>
        </is>
      </c>
      <c r="C1016" t="inlineStr">
        <is>
          <t>GASOLINE BLENDSTOCK (RBOB) - NEW YORK MERCANTILE EXCHANGE</t>
        </is>
      </c>
      <c r="D1016" t="n">
        <v>266552</v>
      </c>
      <c r="E1016" t="n">
        <v>80379</v>
      </c>
      <c r="F1016" t="n">
        <v>10304</v>
      </c>
      <c r="G1016" t="n">
        <v>19396</v>
      </c>
      <c r="H1016">
        <f>E1016-F1016</f>
        <v/>
      </c>
      <c r="I1016">
        <f>(E1016-F1016)/D1016</f>
        <v/>
      </c>
    </row>
    <row r="1017">
      <c r="A1017" s="3" t="n">
        <v>41499</v>
      </c>
      <c r="B1017" t="inlineStr">
        <is>
          <t>111659</t>
        </is>
      </c>
      <c r="C1017" t="inlineStr">
        <is>
          <t>GASOLINE BLENDSTOCK (RBOB) - NEW YORK MERCANTILE EXCHANGE</t>
        </is>
      </c>
      <c r="D1017" t="n">
        <v>267878</v>
      </c>
      <c r="E1017" t="n">
        <v>68645</v>
      </c>
      <c r="F1017" t="n">
        <v>10341</v>
      </c>
      <c r="G1017" t="n">
        <v>18339</v>
      </c>
      <c r="H1017">
        <f>E1017-F1017</f>
        <v/>
      </c>
      <c r="I1017">
        <f>(E1017-F1017)/D1017</f>
        <v/>
      </c>
    </row>
    <row r="1018">
      <c r="A1018" s="3" t="n">
        <v>41506</v>
      </c>
      <c r="B1018" t="inlineStr">
        <is>
          <t>111659</t>
        </is>
      </c>
      <c r="C1018" t="inlineStr">
        <is>
          <t>GASOLINE BLENDSTOCK (RBOB) - NEW YORK MERCANTILE EXCHANGE</t>
        </is>
      </c>
      <c r="D1018" t="n">
        <v>275017</v>
      </c>
      <c r="E1018" t="n">
        <v>69638</v>
      </c>
      <c r="F1018" t="n">
        <v>9858</v>
      </c>
      <c r="G1018" t="n">
        <v>15796</v>
      </c>
      <c r="H1018">
        <f>E1018-F1018</f>
        <v/>
      </c>
      <c r="I1018">
        <f>(E1018-F1018)/D1018</f>
        <v/>
      </c>
    </row>
    <row r="1019">
      <c r="A1019" s="3" t="n">
        <v>41513</v>
      </c>
      <c r="B1019" t="inlineStr">
        <is>
          <t>111659</t>
        </is>
      </c>
      <c r="C1019" t="inlineStr">
        <is>
          <t>GASOLINE BLENDSTOCK (RBOB) - NEW YORK MERCANTILE EXCHANGE</t>
        </is>
      </c>
      <c r="D1019" t="n">
        <v>277289</v>
      </c>
      <c r="E1019" t="n">
        <v>71274</v>
      </c>
      <c r="F1019" t="n">
        <v>8483</v>
      </c>
      <c r="G1019" t="n">
        <v>16353</v>
      </c>
      <c r="H1019">
        <f>E1019-F1019</f>
        <v/>
      </c>
      <c r="I1019">
        <f>(E1019-F1019)/D1019</f>
        <v/>
      </c>
    </row>
    <row r="1020">
      <c r="A1020" s="3" t="n">
        <v>41520</v>
      </c>
      <c r="B1020" t="inlineStr">
        <is>
          <t>111659</t>
        </is>
      </c>
      <c r="C1020" t="inlineStr">
        <is>
          <t>GASOLINE BLENDSTOCK (RBOB) - NEW YORK MERCANTILE EXCHANGE</t>
        </is>
      </c>
      <c r="D1020" t="n">
        <v>279219</v>
      </c>
      <c r="E1020" t="n">
        <v>75568</v>
      </c>
      <c r="F1020" t="n">
        <v>8370</v>
      </c>
      <c r="G1020" t="n">
        <v>15853</v>
      </c>
      <c r="H1020">
        <f>E1020-F1020</f>
        <v/>
      </c>
      <c r="I1020">
        <f>(E1020-F1020)/D1020</f>
        <v/>
      </c>
    </row>
    <row r="1021">
      <c r="A1021" s="3" t="n">
        <v>41527</v>
      </c>
      <c r="B1021" t="inlineStr">
        <is>
          <t>111659</t>
        </is>
      </c>
      <c r="C1021" t="inlineStr">
        <is>
          <t>GASOLINE BLENDSTOCK (RBOB) - NEW YORK MERCANTILE EXCHANGE</t>
        </is>
      </c>
      <c r="D1021" t="n">
        <v>277893</v>
      </c>
      <c r="E1021" t="n">
        <v>70466</v>
      </c>
      <c r="F1021" t="n">
        <v>10158</v>
      </c>
      <c r="G1021" t="n">
        <v>17555</v>
      </c>
      <c r="H1021">
        <f>E1021-F1021</f>
        <v/>
      </c>
      <c r="I1021">
        <f>(E1021-F1021)/D1021</f>
        <v/>
      </c>
    </row>
    <row r="1022">
      <c r="A1022" s="3" t="n">
        <v>41534</v>
      </c>
      <c r="B1022" t="inlineStr">
        <is>
          <t>111659</t>
        </is>
      </c>
      <c r="C1022" t="inlineStr">
        <is>
          <t>GASOLINE BLENDSTOCK (RBOB) - NEW YORK MERCANTILE EXCHANGE</t>
        </is>
      </c>
      <c r="D1022" t="n">
        <v>266843</v>
      </c>
      <c r="E1022" t="n">
        <v>57105</v>
      </c>
      <c r="F1022" t="n">
        <v>9834</v>
      </c>
      <c r="G1022" t="n">
        <v>17353</v>
      </c>
      <c r="H1022">
        <f>E1022-F1022</f>
        <v/>
      </c>
      <c r="I1022">
        <f>(E1022-F1022)/D1022</f>
        <v/>
      </c>
    </row>
    <row r="1023">
      <c r="A1023" s="3" t="n">
        <v>41541</v>
      </c>
      <c r="B1023" t="inlineStr">
        <is>
          <t>111659</t>
        </is>
      </c>
      <c r="C1023" t="inlineStr">
        <is>
          <t>GASOLINE BLENDSTOCK (RBOB) - NEW YORK MERCANTILE EXCHANGE</t>
        </is>
      </c>
      <c r="D1023" t="n">
        <v>244510</v>
      </c>
      <c r="E1023" t="n">
        <v>49414</v>
      </c>
      <c r="F1023" t="n">
        <v>7870</v>
      </c>
      <c r="G1023" t="n">
        <v>12542</v>
      </c>
      <c r="H1023">
        <f>E1023-F1023</f>
        <v/>
      </c>
      <c r="I1023">
        <f>(E1023-F1023)/D1023</f>
        <v/>
      </c>
    </row>
    <row r="1024">
      <c r="A1024" s="3" t="n">
        <v>41548</v>
      </c>
      <c r="B1024" t="inlineStr">
        <is>
          <t>111659</t>
        </is>
      </c>
      <c r="C1024" t="inlineStr">
        <is>
          <t>GASOLINE BLENDSTOCK (RBOB) - NEW YORK MERCANTILE EXCHANGE</t>
        </is>
      </c>
      <c r="D1024" t="n">
        <v>234955</v>
      </c>
      <c r="E1024" t="n">
        <v>44470</v>
      </c>
      <c r="F1024" t="n">
        <v>9159</v>
      </c>
      <c r="G1024" t="n">
        <v>11901</v>
      </c>
      <c r="H1024">
        <f>E1024-F1024</f>
        <v/>
      </c>
      <c r="I1024">
        <f>(E1024-F1024)/D1024</f>
        <v/>
      </c>
    </row>
    <row r="1025">
      <c r="A1025" s="3" t="n">
        <v>41555</v>
      </c>
      <c r="B1025" t="inlineStr">
        <is>
          <t>111659</t>
        </is>
      </c>
      <c r="C1025" t="inlineStr">
        <is>
          <t>GASOLINE BLENDSTOCK (RBOB) - NEW YORK MERCANTILE EXCHANGE</t>
        </is>
      </c>
      <c r="D1025" t="n">
        <v>230737</v>
      </c>
      <c r="E1025" t="n">
        <v>45193</v>
      </c>
      <c r="F1025" t="n">
        <v>8697</v>
      </c>
      <c r="G1025" t="n">
        <v>13238</v>
      </c>
      <c r="H1025">
        <f>E1025-F1025</f>
        <v/>
      </c>
      <c r="I1025">
        <f>(E1025-F1025)/D1025</f>
        <v/>
      </c>
    </row>
    <row r="1026">
      <c r="A1026" s="3" t="n">
        <v>41562</v>
      </c>
      <c r="B1026" t="inlineStr">
        <is>
          <t>111659</t>
        </is>
      </c>
      <c r="C1026" t="inlineStr">
        <is>
          <t>GASOLINE BLENDSTOCK (RBOB) - NEW YORK MERCANTILE EXCHANGE</t>
        </is>
      </c>
      <c r="D1026" t="n">
        <v>240717</v>
      </c>
      <c r="E1026" t="n">
        <v>41374</v>
      </c>
      <c r="F1026" t="n">
        <v>10380</v>
      </c>
      <c r="G1026" t="n">
        <v>14976</v>
      </c>
      <c r="H1026">
        <f>E1026-F1026</f>
        <v/>
      </c>
      <c r="I1026">
        <f>(E1026-F1026)/D1026</f>
        <v/>
      </c>
    </row>
    <row r="1027">
      <c r="A1027" s="3" t="n">
        <v>41569</v>
      </c>
      <c r="B1027" t="inlineStr">
        <is>
          <t>111659</t>
        </is>
      </c>
      <c r="C1027" t="inlineStr">
        <is>
          <t>GASOLINE BLENDSTOCK (RBOB) - NEW YORK MERCANTILE EXCHANGE</t>
        </is>
      </c>
      <c r="D1027" t="n">
        <v>232115</v>
      </c>
      <c r="E1027" t="n">
        <v>41241</v>
      </c>
      <c r="F1027" t="n">
        <v>10754</v>
      </c>
      <c r="G1027" t="n">
        <v>13407</v>
      </c>
      <c r="H1027">
        <f>E1027-F1027</f>
        <v/>
      </c>
      <c r="I1027">
        <f>(E1027-F1027)/D1027</f>
        <v/>
      </c>
    </row>
    <row r="1028">
      <c r="A1028" s="3" t="n">
        <v>41576</v>
      </c>
      <c r="B1028" t="inlineStr">
        <is>
          <t>111659</t>
        </is>
      </c>
      <c r="C1028" t="inlineStr">
        <is>
          <t>GASOLINE BLENDSTOCK (RBOB) - NEW YORK MERCANTILE EXCHANGE</t>
        </is>
      </c>
      <c r="D1028" t="n">
        <v>224628</v>
      </c>
      <c r="E1028" t="n">
        <v>43243</v>
      </c>
      <c r="F1028" t="n">
        <v>10063</v>
      </c>
      <c r="G1028" t="n">
        <v>11305</v>
      </c>
      <c r="H1028">
        <f>E1028-F1028</f>
        <v/>
      </c>
      <c r="I1028">
        <f>(E1028-F1028)/D1028</f>
        <v/>
      </c>
    </row>
    <row r="1029">
      <c r="A1029" s="3" t="n">
        <v>41583</v>
      </c>
      <c r="B1029" t="inlineStr">
        <is>
          <t>111659</t>
        </is>
      </c>
      <c r="C1029" t="inlineStr">
        <is>
          <t>GASOLINE BLENDSTOCK (RBOB) - NEW YORK MERCANTILE EXCHANGE</t>
        </is>
      </c>
      <c r="D1029" t="n">
        <v>237107</v>
      </c>
      <c r="E1029" t="n">
        <v>45057</v>
      </c>
      <c r="F1029" t="n">
        <v>15621</v>
      </c>
      <c r="G1029" t="n">
        <v>18413</v>
      </c>
      <c r="H1029">
        <f>E1029-F1029</f>
        <v/>
      </c>
      <c r="I1029">
        <f>(E1029-F1029)/D1029</f>
        <v/>
      </c>
    </row>
    <row r="1030">
      <c r="A1030" s="3" t="n">
        <v>41590</v>
      </c>
      <c r="B1030" t="inlineStr">
        <is>
          <t>111659</t>
        </is>
      </c>
      <c r="C1030" t="inlineStr">
        <is>
          <t>GASOLINE BLENDSTOCK (RBOB) - NEW YORK MERCANTILE EXCHANGE</t>
        </is>
      </c>
      <c r="D1030" t="n">
        <v>242746</v>
      </c>
      <c r="E1030" t="n">
        <v>43868</v>
      </c>
      <c r="F1030" t="n">
        <v>13023</v>
      </c>
      <c r="G1030" t="n">
        <v>20227</v>
      </c>
      <c r="H1030">
        <f>E1030-F1030</f>
        <v/>
      </c>
      <c r="I1030">
        <f>(E1030-F1030)/D1030</f>
        <v/>
      </c>
    </row>
    <row r="1031">
      <c r="A1031" s="3" t="n">
        <v>41597</v>
      </c>
      <c r="B1031" t="inlineStr">
        <is>
          <t>111659</t>
        </is>
      </c>
      <c r="C1031" t="inlineStr">
        <is>
          <t>GASOLINE BLENDSTOCK (RBOB) - NEW YORK MERCANTILE EXCHANGE</t>
        </is>
      </c>
      <c r="D1031" t="n">
        <v>253820</v>
      </c>
      <c r="E1031" t="n">
        <v>46181</v>
      </c>
      <c r="F1031" t="n">
        <v>9770</v>
      </c>
      <c r="G1031" t="n">
        <v>20859</v>
      </c>
      <c r="H1031">
        <f>E1031-F1031</f>
        <v/>
      </c>
      <c r="I1031">
        <f>(E1031-F1031)/D1031</f>
        <v/>
      </c>
    </row>
    <row r="1032">
      <c r="A1032" s="3" t="n">
        <v>41604</v>
      </c>
      <c r="B1032" t="inlineStr">
        <is>
          <t>111659</t>
        </is>
      </c>
      <c r="C1032" t="inlineStr">
        <is>
          <t>GASOLINE BLENDSTOCK (RBOB) - NEW YORK MERCANTILE EXCHANGE</t>
        </is>
      </c>
      <c r="D1032" t="n">
        <v>237029</v>
      </c>
      <c r="E1032" t="n">
        <v>48756</v>
      </c>
      <c r="F1032" t="n">
        <v>6465</v>
      </c>
      <c r="G1032" t="n">
        <v>19966</v>
      </c>
      <c r="H1032">
        <f>E1032-F1032</f>
        <v/>
      </c>
      <c r="I1032">
        <f>(E1032-F1032)/D1032</f>
        <v/>
      </c>
    </row>
    <row r="1033">
      <c r="A1033" s="3" t="n">
        <v>41611</v>
      </c>
      <c r="B1033" t="inlineStr">
        <is>
          <t>111659</t>
        </is>
      </c>
      <c r="C1033" t="inlineStr">
        <is>
          <t>GASOLINE BLENDSTOCK (RBOB) - NEW YORK MERCANTILE EXCHANGE</t>
        </is>
      </c>
      <c r="D1033" t="n">
        <v>228764</v>
      </c>
      <c r="E1033" t="n">
        <v>52591</v>
      </c>
      <c r="F1033" t="n">
        <v>7046</v>
      </c>
      <c r="G1033" t="n">
        <v>18864</v>
      </c>
      <c r="H1033">
        <f>E1033-F1033</f>
        <v/>
      </c>
      <c r="I1033">
        <f>(E1033-F1033)/D1033</f>
        <v/>
      </c>
    </row>
    <row r="1034">
      <c r="A1034" s="3" t="n">
        <v>41618</v>
      </c>
      <c r="B1034" t="inlineStr">
        <is>
          <t>111659</t>
        </is>
      </c>
      <c r="C1034" t="inlineStr">
        <is>
          <t>GASOLINE BLENDSTOCK (RBOB) - NEW YORK MERCANTILE EXCHANGE</t>
        </is>
      </c>
      <c r="D1034" t="n">
        <v>248698</v>
      </c>
      <c r="E1034" t="n">
        <v>53266</v>
      </c>
      <c r="F1034" t="n">
        <v>7559</v>
      </c>
      <c r="G1034" t="n">
        <v>19864</v>
      </c>
      <c r="H1034">
        <f>E1034-F1034</f>
        <v/>
      </c>
      <c r="I1034">
        <f>(E1034-F1034)/D1034</f>
        <v/>
      </c>
    </row>
    <row r="1035">
      <c r="A1035" s="3" t="n">
        <v>41625</v>
      </c>
      <c r="B1035" t="inlineStr">
        <is>
          <t>111659</t>
        </is>
      </c>
      <c r="C1035" t="inlineStr">
        <is>
          <t>GASOLINE BLENDSTOCK (RBOB) - NEW YORK MERCANTILE EXCHANGE</t>
        </is>
      </c>
      <c r="D1035" t="n">
        <v>251110</v>
      </c>
      <c r="E1035" t="n">
        <v>49964</v>
      </c>
      <c r="F1035" t="n">
        <v>7760</v>
      </c>
      <c r="G1035" t="n">
        <v>18230</v>
      </c>
      <c r="H1035">
        <f>E1035-F1035</f>
        <v/>
      </c>
      <c r="I1035">
        <f>(E1035-F1035)/D1035</f>
        <v/>
      </c>
    </row>
    <row r="1036">
      <c r="A1036" s="3" t="n">
        <v>41632</v>
      </c>
      <c r="B1036" t="inlineStr">
        <is>
          <t>111659</t>
        </is>
      </c>
      <c r="C1036" t="inlineStr">
        <is>
          <t>GASOLINE BLENDSTOCK (RBOB) - NEW YORK MERCANTILE EXCHANGE</t>
        </is>
      </c>
      <c r="D1036" t="n">
        <v>254637</v>
      </c>
      <c r="E1036" t="n">
        <v>55490</v>
      </c>
      <c r="F1036" t="n">
        <v>7223</v>
      </c>
      <c r="G1036" t="n">
        <v>21104</v>
      </c>
      <c r="H1036">
        <f>E1036-F1036</f>
        <v/>
      </c>
      <c r="I1036">
        <f>(E1036-F1036)/D1036</f>
        <v/>
      </c>
    </row>
    <row r="1037">
      <c r="A1037" s="3" t="n">
        <v>41639</v>
      </c>
      <c r="B1037" t="inlineStr">
        <is>
          <t>111659</t>
        </is>
      </c>
      <c r="C1037" t="inlineStr">
        <is>
          <t>GASOLINE BLENDSTOCK (RBOB) - NEW YORK MERCANTILE EXCHANGE</t>
        </is>
      </c>
      <c r="D1037" t="n">
        <v>239225</v>
      </c>
      <c r="E1037" t="n">
        <v>61238</v>
      </c>
      <c r="F1037" t="n">
        <v>7008</v>
      </c>
      <c r="G1037" t="n">
        <v>18609</v>
      </c>
      <c r="H1037">
        <f>E1037-F1037</f>
        <v/>
      </c>
      <c r="I1037">
        <f>(E1037-F1037)/D1037</f>
        <v/>
      </c>
    </row>
    <row r="1038">
      <c r="A1038" s="3" t="n">
        <v>41646</v>
      </c>
      <c r="B1038" t="inlineStr">
        <is>
          <t>111659</t>
        </is>
      </c>
      <c r="C1038" t="inlineStr">
        <is>
          <t>GASOLINE BLENDSTOCK (RBOB) - NEW YORK MERCANTILE EXCHANGE</t>
        </is>
      </c>
      <c r="D1038" t="n">
        <v>235745</v>
      </c>
      <c r="E1038" t="n">
        <v>54543</v>
      </c>
      <c r="F1038" t="n">
        <v>6726</v>
      </c>
      <c r="G1038" t="n">
        <v>19168</v>
      </c>
      <c r="H1038">
        <f>E1038-F1038</f>
        <v/>
      </c>
      <c r="I1038">
        <f>(E1038-F1038)/D1038</f>
        <v/>
      </c>
    </row>
    <row r="1039">
      <c r="A1039" s="3" t="n">
        <v>41653</v>
      </c>
      <c r="B1039" t="inlineStr">
        <is>
          <t>111659</t>
        </is>
      </c>
      <c r="C1039" t="inlineStr">
        <is>
          <t>GASOLINE BLENDSTOCK (RBOB) - NEW YORK MERCANTILE EXCHANGE</t>
        </is>
      </c>
      <c r="D1039" t="n">
        <v>251840</v>
      </c>
      <c r="E1039" t="n">
        <v>51815</v>
      </c>
      <c r="F1039" t="n">
        <v>13993</v>
      </c>
      <c r="G1039" t="n">
        <v>19112</v>
      </c>
      <c r="H1039">
        <f>E1039-F1039</f>
        <v/>
      </c>
      <c r="I1039">
        <f>(E1039-F1039)/D1039</f>
        <v/>
      </c>
    </row>
    <row r="1040">
      <c r="A1040" s="3" t="n">
        <v>41660</v>
      </c>
      <c r="B1040" t="inlineStr">
        <is>
          <t>111659</t>
        </is>
      </c>
      <c r="C1040" t="inlineStr">
        <is>
          <t>GASOLINE BLENDSTOCK (RBOB) - NEW YORK MERCANTILE EXCHANGE</t>
        </is>
      </c>
      <c r="D1040" t="n">
        <v>264020</v>
      </c>
      <c r="E1040" t="n">
        <v>52089</v>
      </c>
      <c r="F1040" t="n">
        <v>20478</v>
      </c>
      <c r="G1040" t="n">
        <v>18196</v>
      </c>
      <c r="H1040">
        <f>E1040-F1040</f>
        <v/>
      </c>
      <c r="I1040">
        <f>(E1040-F1040)/D1040</f>
        <v/>
      </c>
    </row>
    <row r="1041">
      <c r="A1041" s="3" t="n">
        <v>41667</v>
      </c>
      <c r="B1041" t="inlineStr">
        <is>
          <t>111659</t>
        </is>
      </c>
      <c r="C1041" t="inlineStr">
        <is>
          <t>GASOLINE BLENDSTOCK (RBOB) - NEW YORK MERCANTILE EXCHANGE</t>
        </is>
      </c>
      <c r="D1041" t="n">
        <v>266011</v>
      </c>
      <c r="E1041" t="n">
        <v>50638</v>
      </c>
      <c r="F1041" t="n">
        <v>23874</v>
      </c>
      <c r="G1041" t="n">
        <v>19617</v>
      </c>
      <c r="H1041">
        <f>E1041-F1041</f>
        <v/>
      </c>
      <c r="I1041">
        <f>(E1041-F1041)/D1041</f>
        <v/>
      </c>
    </row>
    <row r="1042">
      <c r="A1042" s="3" t="n">
        <v>41674</v>
      </c>
      <c r="B1042" t="inlineStr">
        <is>
          <t>111659</t>
        </is>
      </c>
      <c r="C1042" t="inlineStr">
        <is>
          <t>GASOLINE BLENDSTOCK (RBOB) - NEW YORK MERCANTILE EXCHANGE</t>
        </is>
      </c>
      <c r="D1042" t="n">
        <v>263297</v>
      </c>
      <c r="E1042" t="n">
        <v>51616</v>
      </c>
      <c r="F1042" t="n">
        <v>25895</v>
      </c>
      <c r="G1042" t="n">
        <v>21295</v>
      </c>
      <c r="H1042">
        <f>E1042-F1042</f>
        <v/>
      </c>
      <c r="I1042">
        <f>(E1042-F1042)/D1042</f>
        <v/>
      </c>
    </row>
    <row r="1043">
      <c r="A1043" s="3" t="n">
        <v>41681</v>
      </c>
      <c r="B1043" t="inlineStr">
        <is>
          <t>111659</t>
        </is>
      </c>
      <c r="C1043" t="inlineStr">
        <is>
          <t>GASOLINE BLENDSTOCK (RBOB) - NEW YORK MERCANTILE EXCHANGE</t>
        </is>
      </c>
      <c r="D1043" t="n">
        <v>277354</v>
      </c>
      <c r="E1043" t="n">
        <v>51133</v>
      </c>
      <c r="F1043" t="n">
        <v>25753</v>
      </c>
      <c r="G1043" t="n">
        <v>22399</v>
      </c>
      <c r="H1043">
        <f>E1043-F1043</f>
        <v/>
      </c>
      <c r="I1043">
        <f>(E1043-F1043)/D1043</f>
        <v/>
      </c>
    </row>
    <row r="1044">
      <c r="A1044" s="3" t="n">
        <v>41688</v>
      </c>
      <c r="B1044" t="inlineStr">
        <is>
          <t>111659</t>
        </is>
      </c>
      <c r="C1044" t="inlineStr">
        <is>
          <t>GASOLINE BLENDSTOCK (RBOB) - NEW YORK MERCANTILE EXCHANGE</t>
        </is>
      </c>
      <c r="D1044" t="n">
        <v>278668</v>
      </c>
      <c r="E1044" t="n">
        <v>59662</v>
      </c>
      <c r="F1044" t="n">
        <v>19026</v>
      </c>
      <c r="G1044" t="n">
        <v>20755</v>
      </c>
      <c r="H1044">
        <f>E1044-F1044</f>
        <v/>
      </c>
      <c r="I1044">
        <f>(E1044-F1044)/D1044</f>
        <v/>
      </c>
    </row>
    <row r="1045">
      <c r="A1045" s="3" t="n">
        <v>41695</v>
      </c>
      <c r="B1045" t="inlineStr">
        <is>
          <t>111659</t>
        </is>
      </c>
      <c r="C1045" t="inlineStr">
        <is>
          <t>GASOLINE BLENDSTOCK (RBOB) - NEW YORK MERCANTILE EXCHANGE</t>
        </is>
      </c>
      <c r="D1045" t="n">
        <v>272861</v>
      </c>
      <c r="E1045" t="n">
        <v>70200</v>
      </c>
      <c r="F1045" t="n">
        <v>14744</v>
      </c>
      <c r="G1045" t="n">
        <v>18310</v>
      </c>
      <c r="H1045">
        <f>E1045-F1045</f>
        <v/>
      </c>
      <c r="I1045">
        <f>(E1045-F1045)/D1045</f>
        <v/>
      </c>
    </row>
    <row r="1046">
      <c r="A1046" s="3" t="n">
        <v>41702</v>
      </c>
      <c r="B1046" t="inlineStr">
        <is>
          <t>111659</t>
        </is>
      </c>
      <c r="C1046" t="inlineStr">
        <is>
          <t>GASOLINE BLENDSTOCK (RBOB) - NEW YORK MERCANTILE EXCHANGE</t>
        </is>
      </c>
      <c r="D1046" t="n">
        <v>271215</v>
      </c>
      <c r="E1046" t="n">
        <v>74224</v>
      </c>
      <c r="F1046" t="n">
        <v>14938</v>
      </c>
      <c r="G1046" t="n">
        <v>18779</v>
      </c>
      <c r="H1046">
        <f>E1046-F1046</f>
        <v/>
      </c>
      <c r="I1046">
        <f>(E1046-F1046)/D1046</f>
        <v/>
      </c>
    </row>
    <row r="1047">
      <c r="A1047" s="3" t="n">
        <v>41709</v>
      </c>
      <c r="B1047" t="inlineStr">
        <is>
          <t>111659</t>
        </is>
      </c>
      <c r="C1047" t="inlineStr">
        <is>
          <t>GASOLINE BLENDSTOCK (RBOB) - NEW YORK MERCANTILE EXCHANGE</t>
        </is>
      </c>
      <c r="D1047" t="n">
        <v>282457</v>
      </c>
      <c r="E1047" t="n">
        <v>75454</v>
      </c>
      <c r="F1047" t="n">
        <v>17369</v>
      </c>
      <c r="G1047" t="n">
        <v>21622</v>
      </c>
      <c r="H1047">
        <f>E1047-F1047</f>
        <v/>
      </c>
      <c r="I1047">
        <f>(E1047-F1047)/D1047</f>
        <v/>
      </c>
    </row>
    <row r="1048">
      <c r="A1048" s="3" t="n">
        <v>41716</v>
      </c>
      <c r="B1048" t="inlineStr">
        <is>
          <t>111659</t>
        </is>
      </c>
      <c r="C1048" t="inlineStr">
        <is>
          <t>GASOLINE BLENDSTOCK (RBOB) - NEW YORK MERCANTILE EXCHANGE</t>
        </is>
      </c>
      <c r="D1048" t="n">
        <v>283149</v>
      </c>
      <c r="E1048" t="n">
        <v>75144</v>
      </c>
      <c r="F1048" t="n">
        <v>18761</v>
      </c>
      <c r="G1048" t="n">
        <v>18686</v>
      </c>
      <c r="H1048">
        <f>E1048-F1048</f>
        <v/>
      </c>
      <c r="I1048">
        <f>(E1048-F1048)/D1048</f>
        <v/>
      </c>
    </row>
    <row r="1049">
      <c r="A1049" s="3" t="n">
        <v>41723</v>
      </c>
      <c r="B1049" t="inlineStr">
        <is>
          <t>111659</t>
        </is>
      </c>
      <c r="C1049" t="inlineStr">
        <is>
          <t>GASOLINE BLENDSTOCK (RBOB) - NEW YORK MERCANTILE EXCHANGE</t>
        </is>
      </c>
      <c r="D1049" t="n">
        <v>290955</v>
      </c>
      <c r="E1049" t="n">
        <v>74489</v>
      </c>
      <c r="F1049" t="n">
        <v>19845</v>
      </c>
      <c r="G1049" t="n">
        <v>20047</v>
      </c>
      <c r="H1049">
        <f>E1049-F1049</f>
        <v/>
      </c>
      <c r="I1049">
        <f>(E1049-F1049)/D1049</f>
        <v/>
      </c>
    </row>
    <row r="1050">
      <c r="A1050" s="3" t="n">
        <v>41730</v>
      </c>
      <c r="B1050" t="inlineStr">
        <is>
          <t>111659</t>
        </is>
      </c>
      <c r="C1050" t="inlineStr">
        <is>
          <t>GASOLINE BLENDSTOCK (RBOB) - NEW YORK MERCANTILE EXCHANGE</t>
        </is>
      </c>
      <c r="D1050" t="n">
        <v>279715</v>
      </c>
      <c r="E1050" t="n">
        <v>74465</v>
      </c>
      <c r="F1050" t="n">
        <v>15325</v>
      </c>
      <c r="G1050" t="n">
        <v>17903</v>
      </c>
      <c r="H1050">
        <f>E1050-F1050</f>
        <v/>
      </c>
      <c r="I1050">
        <f>(E1050-F1050)/D1050</f>
        <v/>
      </c>
    </row>
    <row r="1051">
      <c r="A1051" s="3" t="n">
        <v>41737</v>
      </c>
      <c r="B1051" t="inlineStr">
        <is>
          <t>111659</t>
        </is>
      </c>
      <c r="C1051" t="inlineStr">
        <is>
          <t>GASOLINE BLENDSTOCK (RBOB) - NEW YORK MERCANTILE EXCHANGE</t>
        </is>
      </c>
      <c r="D1051" t="n">
        <v>296295</v>
      </c>
      <c r="E1051" t="n">
        <v>71777</v>
      </c>
      <c r="F1051" t="n">
        <v>15008</v>
      </c>
      <c r="G1051" t="n">
        <v>24956</v>
      </c>
      <c r="H1051">
        <f>E1051-F1051</f>
        <v/>
      </c>
      <c r="I1051">
        <f>(E1051-F1051)/D1051</f>
        <v/>
      </c>
    </row>
    <row r="1052">
      <c r="A1052" s="3" t="n">
        <v>41744</v>
      </c>
      <c r="B1052" t="inlineStr">
        <is>
          <t>111659</t>
        </is>
      </c>
      <c r="C1052" t="inlineStr">
        <is>
          <t>GASOLINE BLENDSTOCK (RBOB) - NEW YORK MERCANTILE EXCHANGE</t>
        </is>
      </c>
      <c r="D1052" t="n">
        <v>318738</v>
      </c>
      <c r="E1052" t="n">
        <v>86053</v>
      </c>
      <c r="F1052" t="n">
        <v>13546</v>
      </c>
      <c r="G1052" t="n">
        <v>29826</v>
      </c>
      <c r="H1052">
        <f>E1052-F1052</f>
        <v/>
      </c>
      <c r="I1052">
        <f>(E1052-F1052)/D1052</f>
        <v/>
      </c>
    </row>
    <row r="1053">
      <c r="A1053" s="3" t="n">
        <v>41751</v>
      </c>
      <c r="B1053" t="inlineStr">
        <is>
          <t>111659</t>
        </is>
      </c>
      <c r="C1053" t="inlineStr">
        <is>
          <t>GASOLINE BLENDSTOCK (RBOB) - NEW YORK MERCANTILE EXCHANGE</t>
        </is>
      </c>
      <c r="D1053" t="n">
        <v>322947</v>
      </c>
      <c r="E1053" t="n">
        <v>91054</v>
      </c>
      <c r="F1053" t="n">
        <v>15818</v>
      </c>
      <c r="G1053" t="n">
        <v>25758</v>
      </c>
      <c r="H1053">
        <f>E1053-F1053</f>
        <v/>
      </c>
      <c r="I1053">
        <f>(E1053-F1053)/D1053</f>
        <v/>
      </c>
    </row>
    <row r="1054">
      <c r="A1054" s="3" t="n">
        <v>41758</v>
      </c>
      <c r="B1054" t="inlineStr">
        <is>
          <t>111659</t>
        </is>
      </c>
      <c r="C1054" t="inlineStr">
        <is>
          <t>GASOLINE BLENDSTOCK (RBOB) - NEW YORK MERCANTILE EXCHANGE</t>
        </is>
      </c>
      <c r="D1054" t="n">
        <v>318603</v>
      </c>
      <c r="E1054" t="n">
        <v>100034</v>
      </c>
      <c r="F1054" t="n">
        <v>18189</v>
      </c>
      <c r="G1054" t="n">
        <v>25617</v>
      </c>
      <c r="H1054">
        <f>E1054-F1054</f>
        <v/>
      </c>
      <c r="I1054">
        <f>(E1054-F1054)/D1054</f>
        <v/>
      </c>
    </row>
    <row r="1055">
      <c r="A1055" s="3" t="n">
        <v>41765</v>
      </c>
      <c r="B1055" t="inlineStr">
        <is>
          <t>111659</t>
        </is>
      </c>
      <c r="C1055" t="inlineStr">
        <is>
          <t>GASOLINE BLENDSTOCK (RBOB) - NEW YORK MERCANTILE EXCHANGE</t>
        </is>
      </c>
      <c r="D1055" t="n">
        <v>320225</v>
      </c>
      <c r="E1055" t="n">
        <v>89359</v>
      </c>
      <c r="F1055" t="n">
        <v>19464</v>
      </c>
      <c r="G1055" t="n">
        <v>29723</v>
      </c>
      <c r="H1055">
        <f>E1055-F1055</f>
        <v/>
      </c>
      <c r="I1055">
        <f>(E1055-F1055)/D1055</f>
        <v/>
      </c>
    </row>
    <row r="1056">
      <c r="A1056" s="3" t="n">
        <v>41772</v>
      </c>
      <c r="B1056" t="inlineStr">
        <is>
          <t>111659</t>
        </is>
      </c>
      <c r="C1056" t="inlineStr">
        <is>
          <t>GASOLINE BLENDSTOCK (RBOB) - NEW YORK MERCANTILE EXCHANGE</t>
        </is>
      </c>
      <c r="D1056" t="n">
        <v>339683</v>
      </c>
      <c r="E1056" t="n">
        <v>78647</v>
      </c>
      <c r="F1056" t="n">
        <v>18875</v>
      </c>
      <c r="G1056" t="n">
        <v>40263</v>
      </c>
      <c r="H1056">
        <f>E1056-F1056</f>
        <v/>
      </c>
      <c r="I1056">
        <f>(E1056-F1056)/D1056</f>
        <v/>
      </c>
    </row>
    <row r="1057">
      <c r="A1057" s="3" t="n">
        <v>41779</v>
      </c>
      <c r="B1057" t="inlineStr">
        <is>
          <t>111659</t>
        </is>
      </c>
      <c r="C1057" t="inlineStr">
        <is>
          <t>GASOLINE BLENDSTOCK (RBOB) - NEW YORK MERCANTILE EXCHANGE</t>
        </is>
      </c>
      <c r="D1057" t="n">
        <v>346174</v>
      </c>
      <c r="E1057" t="n">
        <v>77742</v>
      </c>
      <c r="F1057" t="n">
        <v>19962</v>
      </c>
      <c r="G1057" t="n">
        <v>44412</v>
      </c>
      <c r="H1057">
        <f>E1057-F1057</f>
        <v/>
      </c>
      <c r="I1057">
        <f>(E1057-F1057)/D1057</f>
        <v/>
      </c>
    </row>
    <row r="1058">
      <c r="A1058" s="3" t="n">
        <v>41786</v>
      </c>
      <c r="B1058" t="inlineStr">
        <is>
          <t>111659</t>
        </is>
      </c>
      <c r="C1058" t="inlineStr">
        <is>
          <t>GASOLINE BLENDSTOCK (RBOB) - NEW YORK MERCANTILE EXCHANGE</t>
        </is>
      </c>
      <c r="D1058" t="n">
        <v>329229</v>
      </c>
      <c r="E1058" t="n">
        <v>81995</v>
      </c>
      <c r="F1058" t="n">
        <v>21940</v>
      </c>
      <c r="G1058" t="n">
        <v>42251</v>
      </c>
      <c r="H1058">
        <f>E1058-F1058</f>
        <v/>
      </c>
      <c r="I1058">
        <f>(E1058-F1058)/D1058</f>
        <v/>
      </c>
    </row>
    <row r="1059">
      <c r="A1059" s="3" t="n">
        <v>41793</v>
      </c>
      <c r="B1059" t="inlineStr">
        <is>
          <t>111659</t>
        </is>
      </c>
      <c r="C1059" t="inlineStr">
        <is>
          <t>GASOLINE BLENDSTOCK (RBOB) - NEW YORK MERCANTILE EXCHANGE</t>
        </is>
      </c>
      <c r="D1059" t="n">
        <v>306878</v>
      </c>
      <c r="E1059" t="n">
        <v>83614</v>
      </c>
      <c r="F1059" t="n">
        <v>23497</v>
      </c>
      <c r="G1059" t="n">
        <v>35466</v>
      </c>
      <c r="H1059">
        <f>E1059-F1059</f>
        <v/>
      </c>
      <c r="I1059">
        <f>(E1059-F1059)/D1059</f>
        <v/>
      </c>
    </row>
    <row r="1060">
      <c r="A1060" s="3" t="n">
        <v>41800</v>
      </c>
      <c r="B1060" t="inlineStr">
        <is>
          <t>111659</t>
        </is>
      </c>
      <c r="C1060" t="inlineStr">
        <is>
          <t>GASOLINE BLENDSTOCK (RBOB) - NEW YORK MERCANTILE EXCHANGE</t>
        </is>
      </c>
      <c r="D1060" t="n">
        <v>308251</v>
      </c>
      <c r="E1060" t="n">
        <v>82690</v>
      </c>
      <c r="F1060" t="n">
        <v>25527</v>
      </c>
      <c r="G1060" t="n">
        <v>35531</v>
      </c>
      <c r="H1060">
        <f>E1060-F1060</f>
        <v/>
      </c>
      <c r="I1060">
        <f>(E1060-F1060)/D1060</f>
        <v/>
      </c>
    </row>
    <row r="1061">
      <c r="A1061" s="3" t="n">
        <v>41807</v>
      </c>
      <c r="B1061" t="inlineStr">
        <is>
          <t>111659</t>
        </is>
      </c>
      <c r="C1061" t="inlineStr">
        <is>
          <t>GASOLINE BLENDSTOCK (RBOB) - NEW YORK MERCANTILE EXCHANGE</t>
        </is>
      </c>
      <c r="D1061" t="n">
        <v>315485</v>
      </c>
      <c r="E1061" t="n">
        <v>84386</v>
      </c>
      <c r="F1061" t="n">
        <v>22512</v>
      </c>
      <c r="G1061" t="n">
        <v>35404</v>
      </c>
      <c r="H1061">
        <f>E1061-F1061</f>
        <v/>
      </c>
      <c r="I1061">
        <f>(E1061-F1061)/D1061</f>
        <v/>
      </c>
    </row>
    <row r="1062">
      <c r="A1062" s="3" t="n">
        <v>41814</v>
      </c>
      <c r="B1062" t="inlineStr">
        <is>
          <t>111659</t>
        </is>
      </c>
      <c r="C1062" t="inlineStr">
        <is>
          <t>GASOLINE BLENDSTOCK (RBOB) - NEW YORK MERCANTILE EXCHANGE</t>
        </is>
      </c>
      <c r="D1062" t="n">
        <v>328257</v>
      </c>
      <c r="E1062" t="n">
        <v>89199</v>
      </c>
      <c r="F1062" t="n">
        <v>22559</v>
      </c>
      <c r="G1062" t="n">
        <v>32867</v>
      </c>
      <c r="H1062">
        <f>E1062-F1062</f>
        <v/>
      </c>
      <c r="I1062">
        <f>(E1062-F1062)/D1062</f>
        <v/>
      </c>
    </row>
    <row r="1063">
      <c r="A1063" s="3" t="n">
        <v>41821</v>
      </c>
      <c r="B1063" t="inlineStr">
        <is>
          <t>111659</t>
        </is>
      </c>
      <c r="C1063" t="inlineStr">
        <is>
          <t>GASOLINE BLENDSTOCK (RBOB) - NEW YORK MERCANTILE EXCHANGE</t>
        </is>
      </c>
      <c r="D1063" t="n">
        <v>322690</v>
      </c>
      <c r="E1063" t="n">
        <v>91895</v>
      </c>
      <c r="F1063" t="n">
        <v>24822</v>
      </c>
      <c r="G1063" t="n">
        <v>26112</v>
      </c>
      <c r="H1063">
        <f>E1063-F1063</f>
        <v/>
      </c>
      <c r="I1063">
        <f>(E1063-F1063)/D1063</f>
        <v/>
      </c>
    </row>
    <row r="1064">
      <c r="A1064" s="3" t="n">
        <v>41828</v>
      </c>
      <c r="B1064" t="inlineStr">
        <is>
          <t>111659</t>
        </is>
      </c>
      <c r="C1064" t="inlineStr">
        <is>
          <t>GASOLINE BLENDSTOCK (RBOB) - NEW YORK MERCANTILE EXCHANGE</t>
        </is>
      </c>
      <c r="D1064" t="n">
        <v>335708</v>
      </c>
      <c r="E1064" t="n">
        <v>91350</v>
      </c>
      <c r="F1064" t="n">
        <v>26043</v>
      </c>
      <c r="G1064" t="n">
        <v>31719</v>
      </c>
      <c r="H1064">
        <f>E1064-F1064</f>
        <v/>
      </c>
      <c r="I1064">
        <f>(E1064-F1064)/D1064</f>
        <v/>
      </c>
    </row>
    <row r="1065">
      <c r="A1065" s="3" t="n">
        <v>41835</v>
      </c>
      <c r="B1065" t="inlineStr">
        <is>
          <t>111659</t>
        </is>
      </c>
      <c r="C1065" t="inlineStr">
        <is>
          <t>GASOLINE BLENDSTOCK (RBOB) - NEW YORK MERCANTILE EXCHANGE</t>
        </is>
      </c>
      <c r="D1065" t="n">
        <v>318613</v>
      </c>
      <c r="E1065" t="n">
        <v>72852</v>
      </c>
      <c r="F1065" t="n">
        <v>28877</v>
      </c>
      <c r="G1065" t="n">
        <v>28264</v>
      </c>
      <c r="H1065">
        <f>E1065-F1065</f>
        <v/>
      </c>
      <c r="I1065">
        <f>(E1065-F1065)/D1065</f>
        <v/>
      </c>
    </row>
    <row r="1066">
      <c r="A1066" s="3" t="n">
        <v>41842</v>
      </c>
      <c r="B1066" t="inlineStr">
        <is>
          <t>111659</t>
        </is>
      </c>
      <c r="C1066" t="inlineStr">
        <is>
          <t>GASOLINE BLENDSTOCK (RBOB) - NEW YORK MERCANTILE EXCHANGE</t>
        </is>
      </c>
      <c r="D1066" t="n">
        <v>296711</v>
      </c>
      <c r="E1066" t="n">
        <v>65034</v>
      </c>
      <c r="F1066" t="n">
        <v>30533</v>
      </c>
      <c r="G1066" t="n">
        <v>23572</v>
      </c>
      <c r="H1066">
        <f>E1066-F1066</f>
        <v/>
      </c>
      <c r="I1066">
        <f>(E1066-F1066)/D1066</f>
        <v/>
      </c>
    </row>
    <row r="1067">
      <c r="A1067" s="3" t="n">
        <v>41849</v>
      </c>
      <c r="B1067" t="inlineStr">
        <is>
          <t>111659</t>
        </is>
      </c>
      <c r="C1067" t="inlineStr">
        <is>
          <t>GASOLINE BLENDSTOCK (RBOB) - NEW YORK MERCANTILE EXCHANGE</t>
        </is>
      </c>
      <c r="D1067" t="n">
        <v>277990</v>
      </c>
      <c r="E1067" t="n">
        <v>60682</v>
      </c>
      <c r="F1067" t="n">
        <v>29673</v>
      </c>
      <c r="G1067" t="n">
        <v>19954</v>
      </c>
      <c r="H1067">
        <f>E1067-F1067</f>
        <v/>
      </c>
      <c r="I1067">
        <f>(E1067-F1067)/D1067</f>
        <v/>
      </c>
    </row>
    <row r="1068">
      <c r="A1068" s="3" t="n">
        <v>41856</v>
      </c>
      <c r="B1068" t="inlineStr">
        <is>
          <t>111659</t>
        </is>
      </c>
      <c r="C1068" t="inlineStr">
        <is>
          <t>GASOLINE BLENDSTOCK (RBOB) - NEW YORK MERCANTILE EXCHANGE</t>
        </is>
      </c>
      <c r="D1068" t="n">
        <v>274427</v>
      </c>
      <c r="E1068" t="n">
        <v>59198</v>
      </c>
      <c r="F1068" t="n">
        <v>29493</v>
      </c>
      <c r="G1068" t="n">
        <v>16083</v>
      </c>
      <c r="H1068">
        <f>E1068-F1068</f>
        <v/>
      </c>
      <c r="I1068">
        <f>(E1068-F1068)/D1068</f>
        <v/>
      </c>
    </row>
    <row r="1069">
      <c r="A1069" s="3" t="n">
        <v>41863</v>
      </c>
      <c r="B1069" t="inlineStr">
        <is>
          <t>111659</t>
        </is>
      </c>
      <c r="C1069" t="inlineStr">
        <is>
          <t>GASOLINE BLENDSTOCK (RBOB) - NEW YORK MERCANTILE EXCHANGE</t>
        </is>
      </c>
      <c r="D1069" t="n">
        <v>279979</v>
      </c>
      <c r="E1069" t="n">
        <v>61486</v>
      </c>
      <c r="F1069" t="n">
        <v>28011</v>
      </c>
      <c r="G1069" t="n">
        <v>15594</v>
      </c>
      <c r="H1069">
        <f>E1069-F1069</f>
        <v/>
      </c>
      <c r="I1069">
        <f>(E1069-F1069)/D1069</f>
        <v/>
      </c>
    </row>
    <row r="1070">
      <c r="A1070" s="3" t="n">
        <v>41870</v>
      </c>
      <c r="B1070" t="inlineStr">
        <is>
          <t>111659</t>
        </is>
      </c>
      <c r="C1070" t="inlineStr">
        <is>
          <t>GASOLINE BLENDSTOCK (RBOB) - NEW YORK MERCANTILE EXCHANGE</t>
        </is>
      </c>
      <c r="D1070" t="n">
        <v>283137</v>
      </c>
      <c r="E1070" t="n">
        <v>56440</v>
      </c>
      <c r="F1070" t="n">
        <v>27619</v>
      </c>
      <c r="G1070" t="n">
        <v>16274</v>
      </c>
      <c r="H1070">
        <f>E1070-F1070</f>
        <v/>
      </c>
      <c r="I1070">
        <f>(E1070-F1070)/D1070</f>
        <v/>
      </c>
    </row>
    <row r="1071">
      <c r="A1071" s="3" t="n">
        <v>41877</v>
      </c>
      <c r="B1071" t="inlineStr">
        <is>
          <t>111659</t>
        </is>
      </c>
      <c r="C1071" t="inlineStr">
        <is>
          <t>GASOLINE BLENDSTOCK (RBOB) - NEW YORK MERCANTILE EXCHANGE</t>
        </is>
      </c>
      <c r="D1071" t="n">
        <v>268156</v>
      </c>
      <c r="E1071" t="n">
        <v>52153</v>
      </c>
      <c r="F1071" t="n">
        <v>32627</v>
      </c>
      <c r="G1071" t="n">
        <v>17966</v>
      </c>
      <c r="H1071">
        <f>E1071-F1071</f>
        <v/>
      </c>
      <c r="I1071">
        <f>(E1071-F1071)/D1071</f>
        <v/>
      </c>
    </row>
    <row r="1072">
      <c r="A1072" s="3" t="n">
        <v>41884</v>
      </c>
      <c r="B1072" t="inlineStr">
        <is>
          <t>111659</t>
        </is>
      </c>
      <c r="C1072" t="inlineStr">
        <is>
          <t>GASOLINE BLENDSTOCK (RBOB) - NEW YORK MERCANTILE EXCHANGE</t>
        </is>
      </c>
      <c r="D1072" t="n">
        <v>259193</v>
      </c>
      <c r="E1072" t="n">
        <v>52156</v>
      </c>
      <c r="F1072" t="n">
        <v>34168</v>
      </c>
      <c r="G1072" t="n">
        <v>14374</v>
      </c>
      <c r="H1072">
        <f>E1072-F1072</f>
        <v/>
      </c>
      <c r="I1072">
        <f>(E1072-F1072)/D1072</f>
        <v/>
      </c>
    </row>
    <row r="1073">
      <c r="A1073" s="3" t="n">
        <v>41891</v>
      </c>
      <c r="B1073" t="inlineStr">
        <is>
          <t>111659</t>
        </is>
      </c>
      <c r="C1073" t="inlineStr">
        <is>
          <t>GASOLINE BLENDSTOCK (RBOB) - NEW YORK MERCANTILE EXCHANGE</t>
        </is>
      </c>
      <c r="D1073" t="n">
        <v>279379</v>
      </c>
      <c r="E1073" t="n">
        <v>49979</v>
      </c>
      <c r="F1073" t="n">
        <v>32841</v>
      </c>
      <c r="G1073" t="n">
        <v>18765</v>
      </c>
      <c r="H1073">
        <f>E1073-F1073</f>
        <v/>
      </c>
      <c r="I1073">
        <f>(E1073-F1073)/D1073</f>
        <v/>
      </c>
    </row>
    <row r="1074">
      <c r="A1074" s="3" t="n">
        <v>41898</v>
      </c>
      <c r="B1074" t="inlineStr">
        <is>
          <t>111659</t>
        </is>
      </c>
      <c r="C1074" t="inlineStr">
        <is>
          <t>GASOLINE BLENDSTOCK (RBOB) - NEW YORK MERCANTILE EXCHANGE</t>
        </is>
      </c>
      <c r="D1074" t="n">
        <v>294528</v>
      </c>
      <c r="E1074" t="n">
        <v>46958</v>
      </c>
      <c r="F1074" t="n">
        <v>38779</v>
      </c>
      <c r="G1074" t="n">
        <v>21550</v>
      </c>
      <c r="H1074">
        <f>E1074-F1074</f>
        <v/>
      </c>
      <c r="I1074">
        <f>(E1074-F1074)/D1074</f>
        <v/>
      </c>
    </row>
    <row r="1075">
      <c r="A1075" s="3" t="n">
        <v>41905</v>
      </c>
      <c r="B1075" t="inlineStr">
        <is>
          <t>111659</t>
        </is>
      </c>
      <c r="C1075" t="inlineStr">
        <is>
          <t>GASOLINE BLENDSTOCK (RBOB) - NEW YORK MERCANTILE EXCHANGE</t>
        </is>
      </c>
      <c r="D1075" t="n">
        <v>291477</v>
      </c>
      <c r="E1075" t="n">
        <v>49960</v>
      </c>
      <c r="F1075" t="n">
        <v>37984</v>
      </c>
      <c r="G1075" t="n">
        <v>22224</v>
      </c>
      <c r="H1075">
        <f>E1075-F1075</f>
        <v/>
      </c>
      <c r="I1075">
        <f>(E1075-F1075)/D1075</f>
        <v/>
      </c>
    </row>
    <row r="1076">
      <c r="A1076" s="3" t="n">
        <v>41912</v>
      </c>
      <c r="B1076" t="inlineStr">
        <is>
          <t>111659</t>
        </is>
      </c>
      <c r="C1076" t="inlineStr">
        <is>
          <t>GASOLINE BLENDSTOCK (RBOB) - NEW YORK MERCANTILE EXCHANGE</t>
        </is>
      </c>
      <c r="D1076" t="n">
        <v>285698</v>
      </c>
      <c r="E1076" t="n">
        <v>52256</v>
      </c>
      <c r="F1076" t="n">
        <v>42016</v>
      </c>
      <c r="G1076" t="n">
        <v>21758</v>
      </c>
      <c r="H1076">
        <f>E1076-F1076</f>
        <v/>
      </c>
      <c r="I1076">
        <f>(E1076-F1076)/D1076</f>
        <v/>
      </c>
    </row>
    <row r="1077">
      <c r="A1077" s="3" t="n">
        <v>41919</v>
      </c>
      <c r="B1077" t="inlineStr">
        <is>
          <t>111659</t>
        </is>
      </c>
      <c r="C1077" t="inlineStr">
        <is>
          <t>GASOLINE BLENDSTOCK (RBOB) - NEW YORK MERCANTILE EXCHANGE</t>
        </is>
      </c>
      <c r="D1077" t="n">
        <v>291126</v>
      </c>
      <c r="E1077" t="n">
        <v>56948</v>
      </c>
      <c r="F1077" t="n">
        <v>36499</v>
      </c>
      <c r="G1077" t="n">
        <v>22887</v>
      </c>
      <c r="H1077">
        <f>E1077-F1077</f>
        <v/>
      </c>
      <c r="I1077">
        <f>(E1077-F1077)/D1077</f>
        <v/>
      </c>
    </row>
    <row r="1078">
      <c r="A1078" s="3" t="n">
        <v>41926</v>
      </c>
      <c r="B1078" t="inlineStr">
        <is>
          <t>111659</t>
        </is>
      </c>
      <c r="C1078" t="inlineStr">
        <is>
          <t>GASOLINE BLENDSTOCK (RBOB) - NEW YORK MERCANTILE EXCHANGE</t>
        </is>
      </c>
      <c r="D1078" t="n">
        <v>313593</v>
      </c>
      <c r="E1078" t="n">
        <v>62149</v>
      </c>
      <c r="F1078" t="n">
        <v>37956</v>
      </c>
      <c r="G1078" t="n">
        <v>22296</v>
      </c>
      <c r="H1078">
        <f>E1078-F1078</f>
        <v/>
      </c>
      <c r="I1078">
        <f>(E1078-F1078)/D1078</f>
        <v/>
      </c>
    </row>
    <row r="1079">
      <c r="A1079" s="3" t="n">
        <v>41933</v>
      </c>
      <c r="B1079" t="inlineStr">
        <is>
          <t>111659</t>
        </is>
      </c>
      <c r="C1079" t="inlineStr">
        <is>
          <t>GASOLINE BLENDSTOCK (RBOB) - NEW YORK MERCANTILE EXCHANGE</t>
        </is>
      </c>
      <c r="D1079" t="n">
        <v>324155</v>
      </c>
      <c r="E1079" t="n">
        <v>67414</v>
      </c>
      <c r="F1079" t="n">
        <v>36261</v>
      </c>
      <c r="G1079" t="n">
        <v>21822</v>
      </c>
      <c r="H1079">
        <f>E1079-F1079</f>
        <v/>
      </c>
      <c r="I1079">
        <f>(E1079-F1079)/D1079</f>
        <v/>
      </c>
    </row>
    <row r="1080">
      <c r="A1080" s="3" t="n">
        <v>41940</v>
      </c>
      <c r="B1080" t="inlineStr">
        <is>
          <t>111659</t>
        </is>
      </c>
      <c r="C1080" t="inlineStr">
        <is>
          <t>GASOLINE BLENDSTOCK (RBOB) - NEW YORK MERCANTILE EXCHANGE</t>
        </is>
      </c>
      <c r="D1080" t="n">
        <v>321111</v>
      </c>
      <c r="E1080" t="n">
        <v>68273</v>
      </c>
      <c r="F1080" t="n">
        <v>37098</v>
      </c>
      <c r="G1080" t="n">
        <v>24347</v>
      </c>
      <c r="H1080">
        <f>E1080-F1080</f>
        <v/>
      </c>
      <c r="I1080">
        <f>(E1080-F1080)/D1080</f>
        <v/>
      </c>
    </row>
    <row r="1081">
      <c r="A1081" s="3" t="n">
        <v>41947</v>
      </c>
      <c r="B1081" t="inlineStr">
        <is>
          <t>111659</t>
        </is>
      </c>
      <c r="C1081" t="inlineStr">
        <is>
          <t>GASOLINE BLENDSTOCK (RBOB) - NEW YORK MERCANTILE EXCHANGE</t>
        </is>
      </c>
      <c r="D1081" t="n">
        <v>324880</v>
      </c>
      <c r="E1081" t="n">
        <v>67841</v>
      </c>
      <c r="F1081" t="n">
        <v>36789</v>
      </c>
      <c r="G1081" t="n">
        <v>31571</v>
      </c>
      <c r="H1081">
        <f>E1081-F1081</f>
        <v/>
      </c>
      <c r="I1081">
        <f>(E1081-F1081)/D1081</f>
        <v/>
      </c>
    </row>
    <row r="1082">
      <c r="A1082" s="3" t="n">
        <v>41954</v>
      </c>
      <c r="B1082" t="inlineStr">
        <is>
          <t>111659</t>
        </is>
      </c>
      <c r="C1082" t="inlineStr">
        <is>
          <t>GASOLINE BLENDSTOCK (RBOB) - NEW YORK MERCANTILE EXCHANGE</t>
        </is>
      </c>
      <c r="D1082" t="n">
        <v>335420</v>
      </c>
      <c r="E1082" t="n">
        <v>66690</v>
      </c>
      <c r="F1082" t="n">
        <v>34404</v>
      </c>
      <c r="G1082" t="n">
        <v>29466</v>
      </c>
      <c r="H1082">
        <f>E1082-F1082</f>
        <v/>
      </c>
      <c r="I1082">
        <f>(E1082-F1082)/D1082</f>
        <v/>
      </c>
    </row>
    <row r="1083">
      <c r="A1083" s="3" t="n">
        <v>41961</v>
      </c>
      <c r="B1083" t="inlineStr">
        <is>
          <t>111659</t>
        </is>
      </c>
      <c r="C1083" t="inlineStr">
        <is>
          <t>GASOLINE BLENDSTOCK (RBOB) - NEW YORK MERCANTILE EXCHANGE</t>
        </is>
      </c>
      <c r="D1083" t="n">
        <v>351788</v>
      </c>
      <c r="E1083" t="n">
        <v>68528</v>
      </c>
      <c r="F1083" t="n">
        <v>29237</v>
      </c>
      <c r="G1083" t="n">
        <v>29898</v>
      </c>
      <c r="H1083">
        <f>E1083-F1083</f>
        <v/>
      </c>
      <c r="I1083">
        <f>(E1083-F1083)/D1083</f>
        <v/>
      </c>
    </row>
    <row r="1084">
      <c r="A1084" s="3" t="n">
        <v>41968</v>
      </c>
      <c r="B1084" t="inlineStr">
        <is>
          <t>111659</t>
        </is>
      </c>
      <c r="C1084" t="inlineStr">
        <is>
          <t>GASOLINE BLENDSTOCK (RBOB) - NEW YORK MERCANTILE EXCHANGE</t>
        </is>
      </c>
      <c r="D1084" t="n">
        <v>320414</v>
      </c>
      <c r="E1084" t="n">
        <v>64061</v>
      </c>
      <c r="F1084" t="n">
        <v>24965</v>
      </c>
      <c r="G1084" t="n">
        <v>31413</v>
      </c>
      <c r="H1084">
        <f>E1084-F1084</f>
        <v/>
      </c>
      <c r="I1084">
        <f>(E1084-F1084)/D1084</f>
        <v/>
      </c>
    </row>
    <row r="1085">
      <c r="A1085" s="3" t="n">
        <v>41975</v>
      </c>
      <c r="B1085" t="inlineStr">
        <is>
          <t>111659</t>
        </is>
      </c>
      <c r="C1085" t="inlineStr">
        <is>
          <t>GASOLINE BLENDSTOCK (RBOB) - NEW YORK MERCANTILE EXCHANGE</t>
        </is>
      </c>
      <c r="D1085" t="n">
        <v>325747</v>
      </c>
      <c r="E1085" t="n">
        <v>62201</v>
      </c>
      <c r="F1085" t="n">
        <v>19783</v>
      </c>
      <c r="G1085" t="n">
        <v>37174</v>
      </c>
      <c r="H1085">
        <f>E1085-F1085</f>
        <v/>
      </c>
      <c r="I1085">
        <f>(E1085-F1085)/D1085</f>
        <v/>
      </c>
    </row>
    <row r="1086">
      <c r="A1086" s="3" t="n">
        <v>41982</v>
      </c>
      <c r="B1086" t="inlineStr">
        <is>
          <t>111659</t>
        </is>
      </c>
      <c r="C1086" t="inlineStr">
        <is>
          <t>GASOLINE BLENDSTOCK (RBOB) - NEW YORK MERCANTILE EXCHANGE</t>
        </is>
      </c>
      <c r="D1086" t="n">
        <v>348871</v>
      </c>
      <c r="E1086" t="n">
        <v>66323</v>
      </c>
      <c r="F1086" t="n">
        <v>17740</v>
      </c>
      <c r="G1086" t="n">
        <v>42249</v>
      </c>
      <c r="H1086">
        <f>E1086-F1086</f>
        <v/>
      </c>
      <c r="I1086">
        <f>(E1086-F1086)/D1086</f>
        <v/>
      </c>
    </row>
    <row r="1087">
      <c r="A1087" s="3" t="n">
        <v>41989</v>
      </c>
      <c r="B1087" t="inlineStr">
        <is>
          <t>111659</t>
        </is>
      </c>
      <c r="C1087" t="inlineStr">
        <is>
          <t>GASOLINE BLENDSTOCK (RBOB) - NEW YORK MERCANTILE EXCHANGE</t>
        </is>
      </c>
      <c r="D1087" t="n">
        <v>367893</v>
      </c>
      <c r="E1087" t="n">
        <v>70224</v>
      </c>
      <c r="F1087" t="n">
        <v>20088</v>
      </c>
      <c r="G1087" t="n">
        <v>46501</v>
      </c>
      <c r="H1087">
        <f>E1087-F1087</f>
        <v/>
      </c>
      <c r="I1087">
        <f>(E1087-F1087)/D1087</f>
        <v/>
      </c>
    </row>
    <row r="1088">
      <c r="A1088" s="3" t="n">
        <v>41996</v>
      </c>
      <c r="B1088" t="inlineStr">
        <is>
          <t>111659</t>
        </is>
      </c>
      <c r="C1088" t="inlineStr">
        <is>
          <t>GASOLINE BLENDSTOCK (RBOB) - NEW YORK MERCANTILE EXCHANGE</t>
        </is>
      </c>
      <c r="D1088" t="n">
        <v>360455</v>
      </c>
      <c r="E1088" t="n">
        <v>70382</v>
      </c>
      <c r="F1088" t="n">
        <v>20741</v>
      </c>
      <c r="G1088" t="n">
        <v>44469</v>
      </c>
      <c r="H1088">
        <f>E1088-F1088</f>
        <v/>
      </c>
      <c r="I1088">
        <f>(E1088-F1088)/D1088</f>
        <v/>
      </c>
    </row>
    <row r="1089">
      <c r="A1089" s="3" t="n">
        <v>42003</v>
      </c>
      <c r="B1089" t="inlineStr">
        <is>
          <t>111659</t>
        </is>
      </c>
      <c r="C1089" t="inlineStr">
        <is>
          <t>GASOLINE BLENDSTOCK (RBOB) - NEW YORK MERCANTILE EXCHANGE</t>
        </is>
      </c>
      <c r="D1089" t="n">
        <v>333093</v>
      </c>
      <c r="E1089" t="n">
        <v>66466</v>
      </c>
      <c r="F1089" t="n">
        <v>20689</v>
      </c>
      <c r="G1089" t="n">
        <v>37085</v>
      </c>
      <c r="H1089">
        <f>E1089-F1089</f>
        <v/>
      </c>
      <c r="I1089">
        <f>(E1089-F1089)/D1089</f>
        <v/>
      </c>
    </row>
    <row r="1090">
      <c r="A1090" s="3" t="n">
        <v>42010</v>
      </c>
      <c r="B1090" t="inlineStr">
        <is>
          <t>111659</t>
        </is>
      </c>
      <c r="C1090" t="inlineStr">
        <is>
          <t>GASOLINE BLENDSTOCK (RBOB) - NEW YORK MERCANTILE EXCHANGE</t>
        </is>
      </c>
      <c r="D1090" t="n">
        <v>334036</v>
      </c>
      <c r="E1090" t="n">
        <v>70360</v>
      </c>
      <c r="F1090" t="n">
        <v>24497</v>
      </c>
      <c r="G1090" t="n">
        <v>36835</v>
      </c>
      <c r="H1090">
        <f>E1090-F1090</f>
        <v/>
      </c>
      <c r="I1090">
        <f>(E1090-F1090)/D1090</f>
        <v/>
      </c>
    </row>
    <row r="1091">
      <c r="A1091" s="3" t="n">
        <v>42017</v>
      </c>
      <c r="B1091" t="inlineStr">
        <is>
          <t>111659</t>
        </is>
      </c>
      <c r="C1091" t="inlineStr">
        <is>
          <t>GASOLINE BLENDSTOCK (RBOB) - NEW YORK MERCANTILE EXCHANGE</t>
        </is>
      </c>
      <c r="D1091" t="n">
        <v>377019</v>
      </c>
      <c r="E1091" t="n">
        <v>74745</v>
      </c>
      <c r="F1091" t="n">
        <v>34915</v>
      </c>
      <c r="G1091" t="n">
        <v>42214</v>
      </c>
      <c r="H1091">
        <f>E1091-F1091</f>
        <v/>
      </c>
      <c r="I1091">
        <f>(E1091-F1091)/D1091</f>
        <v/>
      </c>
    </row>
    <row r="1092">
      <c r="A1092" s="3" t="n">
        <v>42024</v>
      </c>
      <c r="B1092" t="inlineStr">
        <is>
          <t>111659</t>
        </is>
      </c>
      <c r="C1092" t="inlineStr">
        <is>
          <t>GASOLINE BLENDSTOCK (RBOB) - NEW YORK MERCANTILE EXCHANGE</t>
        </is>
      </c>
      <c r="D1092" t="n">
        <v>381786</v>
      </c>
      <c r="E1092" t="n">
        <v>77984</v>
      </c>
      <c r="F1092" t="n">
        <v>35825</v>
      </c>
      <c r="G1092" t="n">
        <v>41860</v>
      </c>
      <c r="H1092">
        <f>E1092-F1092</f>
        <v/>
      </c>
      <c r="I1092">
        <f>(E1092-F1092)/D1092</f>
        <v/>
      </c>
    </row>
    <row r="1093">
      <c r="A1093" s="3" t="n">
        <v>42031</v>
      </c>
      <c r="B1093" t="inlineStr">
        <is>
          <t>111659</t>
        </is>
      </c>
      <c r="C1093" t="inlineStr">
        <is>
          <t>GASOLINE BLENDSTOCK (RBOB) - NEW YORK MERCANTILE EXCHANGE</t>
        </is>
      </c>
      <c r="D1093" t="n">
        <v>376283</v>
      </c>
      <c r="E1093" t="n">
        <v>85829</v>
      </c>
      <c r="F1093" t="n">
        <v>30060</v>
      </c>
      <c r="G1093" t="n">
        <v>40143</v>
      </c>
      <c r="H1093">
        <f>E1093-F1093</f>
        <v/>
      </c>
      <c r="I1093">
        <f>(E1093-F1093)/D1093</f>
        <v/>
      </c>
    </row>
    <row r="1094">
      <c r="A1094" s="3" t="n">
        <v>42038</v>
      </c>
      <c r="B1094" t="inlineStr">
        <is>
          <t>111659</t>
        </is>
      </c>
      <c r="C1094" t="inlineStr">
        <is>
          <t>GASOLINE BLENDSTOCK (RBOB) - NEW YORK MERCANTILE EXCHANGE</t>
        </is>
      </c>
      <c r="D1094" t="n">
        <v>377406</v>
      </c>
      <c r="E1094" t="n">
        <v>88742</v>
      </c>
      <c r="F1094" t="n">
        <v>32821</v>
      </c>
      <c r="G1094" t="n">
        <v>37201</v>
      </c>
      <c r="H1094">
        <f>E1094-F1094</f>
        <v/>
      </c>
      <c r="I1094">
        <f>(E1094-F1094)/D1094</f>
        <v/>
      </c>
    </row>
    <row r="1095">
      <c r="A1095" s="3" t="n">
        <v>42045</v>
      </c>
      <c r="B1095" t="inlineStr">
        <is>
          <t>111659</t>
        </is>
      </c>
      <c r="C1095" t="inlineStr">
        <is>
          <t>GASOLINE BLENDSTOCK (RBOB) - NEW YORK MERCANTILE EXCHANGE</t>
        </is>
      </c>
      <c r="D1095" t="n">
        <v>372959</v>
      </c>
      <c r="E1095" t="n">
        <v>91343</v>
      </c>
      <c r="F1095" t="n">
        <v>33892</v>
      </c>
      <c r="G1095" t="n">
        <v>36620</v>
      </c>
      <c r="H1095">
        <f>E1095-F1095</f>
        <v/>
      </c>
      <c r="I1095">
        <f>(E1095-F1095)/D1095</f>
        <v/>
      </c>
    </row>
    <row r="1096">
      <c r="A1096" s="3" t="n">
        <v>42052</v>
      </c>
      <c r="B1096" t="inlineStr">
        <is>
          <t>111659</t>
        </is>
      </c>
      <c r="C1096" t="inlineStr">
        <is>
          <t>GASOLINE BLENDSTOCK (RBOB) - NEW YORK MERCANTILE EXCHANGE</t>
        </is>
      </c>
      <c r="D1096" t="n">
        <v>358267</v>
      </c>
      <c r="E1096" t="n">
        <v>82723</v>
      </c>
      <c r="F1096" t="n">
        <v>35052</v>
      </c>
      <c r="G1096" t="n">
        <v>31498</v>
      </c>
      <c r="H1096">
        <f>E1096-F1096</f>
        <v/>
      </c>
      <c r="I1096">
        <f>(E1096-F1096)/D1096</f>
        <v/>
      </c>
    </row>
    <row r="1097">
      <c r="A1097" s="3" t="n">
        <v>42059</v>
      </c>
      <c r="B1097" t="inlineStr">
        <is>
          <t>111659</t>
        </is>
      </c>
      <c r="C1097" t="inlineStr">
        <is>
          <t>GASOLINE BLENDSTOCK (RBOB) - NEW YORK MERCANTILE EXCHANGE</t>
        </is>
      </c>
      <c r="D1097" t="n">
        <v>347643</v>
      </c>
      <c r="E1097" t="n">
        <v>80068</v>
      </c>
      <c r="F1097" t="n">
        <v>37918</v>
      </c>
      <c r="G1097" t="n">
        <v>26352</v>
      </c>
      <c r="H1097">
        <f>E1097-F1097</f>
        <v/>
      </c>
      <c r="I1097">
        <f>(E1097-F1097)/D1097</f>
        <v/>
      </c>
    </row>
    <row r="1098">
      <c r="A1098" s="3" t="n">
        <v>42066</v>
      </c>
      <c r="B1098" t="inlineStr">
        <is>
          <t>111659</t>
        </is>
      </c>
      <c r="C1098" t="inlineStr">
        <is>
          <t>GASOLINE BLENDSTOCK (RBOB) - NEW YORK MERCANTILE EXCHANGE</t>
        </is>
      </c>
      <c r="D1098" t="n">
        <v>352478</v>
      </c>
      <c r="E1098" t="n">
        <v>76157</v>
      </c>
      <c r="F1098" t="n">
        <v>32969</v>
      </c>
      <c r="G1098" t="n">
        <v>29631</v>
      </c>
      <c r="H1098">
        <f>E1098-F1098</f>
        <v/>
      </c>
      <c r="I1098">
        <f>(E1098-F1098)/D1098</f>
        <v/>
      </c>
    </row>
    <row r="1099">
      <c r="A1099" s="3" t="n">
        <v>42073</v>
      </c>
      <c r="B1099" t="inlineStr">
        <is>
          <t>111659</t>
        </is>
      </c>
      <c r="C1099" t="inlineStr">
        <is>
          <t>GASOLINE BLENDSTOCK (RBOB) - NEW YORK MERCANTILE EXCHANGE</t>
        </is>
      </c>
      <c r="D1099" t="n">
        <v>367556</v>
      </c>
      <c r="E1099" t="n">
        <v>74326</v>
      </c>
      <c r="F1099" t="n">
        <v>38290</v>
      </c>
      <c r="G1099" t="n">
        <v>37753</v>
      </c>
      <c r="H1099">
        <f>E1099-F1099</f>
        <v/>
      </c>
      <c r="I1099">
        <f>(E1099-F1099)/D1099</f>
        <v/>
      </c>
    </row>
    <row r="1100">
      <c r="A1100" s="3" t="n">
        <v>42080</v>
      </c>
      <c r="B1100" t="inlineStr">
        <is>
          <t>111659</t>
        </is>
      </c>
      <c r="C1100" t="inlineStr">
        <is>
          <t>GASOLINE BLENDSTOCK (RBOB) - NEW YORK MERCANTILE EXCHANGE</t>
        </is>
      </c>
      <c r="D1100" t="n">
        <v>369149</v>
      </c>
      <c r="E1100" t="n">
        <v>69422</v>
      </c>
      <c r="F1100" t="n">
        <v>37707</v>
      </c>
      <c r="G1100" t="n">
        <v>35328</v>
      </c>
      <c r="H1100">
        <f>E1100-F1100</f>
        <v/>
      </c>
      <c r="I1100">
        <f>(E1100-F1100)/D1100</f>
        <v/>
      </c>
    </row>
    <row r="1101">
      <c r="A1101" s="3" t="n">
        <v>42087</v>
      </c>
      <c r="B1101" t="inlineStr">
        <is>
          <t>111659</t>
        </is>
      </c>
      <c r="C1101" t="inlineStr">
        <is>
          <t>GASOLINE BLENDSTOCK (RBOB) - NEW YORK MERCANTILE EXCHANGE</t>
        </is>
      </c>
      <c r="D1101" t="n">
        <v>377166</v>
      </c>
      <c r="E1101" t="n">
        <v>68711</v>
      </c>
      <c r="F1101" t="n">
        <v>40371</v>
      </c>
      <c r="G1101" t="n">
        <v>37145</v>
      </c>
      <c r="H1101">
        <f>E1101-F1101</f>
        <v/>
      </c>
      <c r="I1101">
        <f>(E1101-F1101)/D1101</f>
        <v/>
      </c>
    </row>
    <row r="1102">
      <c r="A1102" s="3" t="n">
        <v>42094</v>
      </c>
      <c r="B1102" t="inlineStr">
        <is>
          <t>111659</t>
        </is>
      </c>
      <c r="C1102" t="inlineStr">
        <is>
          <t>GASOLINE BLENDSTOCK (RBOB) - NEW YORK MERCANTILE EXCHANGE</t>
        </is>
      </c>
      <c r="D1102" t="n">
        <v>389410</v>
      </c>
      <c r="E1102" t="n">
        <v>66410</v>
      </c>
      <c r="F1102" t="n">
        <v>42155</v>
      </c>
      <c r="G1102" t="n">
        <v>37317</v>
      </c>
      <c r="H1102">
        <f>E1102-F1102</f>
        <v/>
      </c>
      <c r="I1102">
        <f>(E1102-F1102)/D1102</f>
        <v/>
      </c>
    </row>
    <row r="1103">
      <c r="A1103" s="3" t="n">
        <v>42101</v>
      </c>
      <c r="B1103" t="inlineStr">
        <is>
          <t>111659</t>
        </is>
      </c>
      <c r="C1103" t="inlineStr">
        <is>
          <t>GASOLINE BLENDSTOCK (RBOB) - NEW YORK MERCANTILE EXCHANGE</t>
        </is>
      </c>
      <c r="D1103" t="n">
        <v>381195</v>
      </c>
      <c r="E1103" t="n">
        <v>66232</v>
      </c>
      <c r="F1103" t="n">
        <v>40690</v>
      </c>
      <c r="G1103" t="n">
        <v>38469</v>
      </c>
      <c r="H1103">
        <f>E1103-F1103</f>
        <v/>
      </c>
      <c r="I1103">
        <f>(E1103-F1103)/D1103</f>
        <v/>
      </c>
    </row>
    <row r="1104">
      <c r="A1104" s="3" t="n">
        <v>42108</v>
      </c>
      <c r="B1104" t="inlineStr">
        <is>
          <t>111659</t>
        </is>
      </c>
      <c r="C1104" t="inlineStr">
        <is>
          <t>GASOLINE BLENDSTOCK (RBOB) - NEW YORK MERCANTILE EXCHANGE</t>
        </is>
      </c>
      <c r="D1104" t="n">
        <v>385868</v>
      </c>
      <c r="E1104" t="n">
        <v>61317</v>
      </c>
      <c r="F1104" t="n">
        <v>44770</v>
      </c>
      <c r="G1104" t="n">
        <v>39836</v>
      </c>
      <c r="H1104">
        <f>E1104-F1104</f>
        <v/>
      </c>
      <c r="I1104">
        <f>(E1104-F1104)/D1104</f>
        <v/>
      </c>
    </row>
    <row r="1105">
      <c r="A1105" s="3" t="n">
        <v>42115</v>
      </c>
      <c r="B1105" t="inlineStr">
        <is>
          <t>111659</t>
        </is>
      </c>
      <c r="C1105" t="inlineStr">
        <is>
          <t>GASOLINE BLENDSTOCK (RBOB) - NEW YORK MERCANTILE EXCHANGE</t>
        </is>
      </c>
      <c r="D1105" t="n">
        <v>378444</v>
      </c>
      <c r="E1105" t="n">
        <v>64319</v>
      </c>
      <c r="F1105" t="n">
        <v>40153</v>
      </c>
      <c r="G1105" t="n">
        <v>31319</v>
      </c>
      <c r="H1105">
        <f>E1105-F1105</f>
        <v/>
      </c>
      <c r="I1105">
        <f>(E1105-F1105)/D1105</f>
        <v/>
      </c>
    </row>
    <row r="1106">
      <c r="A1106" s="3" t="n">
        <v>42122</v>
      </c>
      <c r="B1106" t="inlineStr">
        <is>
          <t>111659</t>
        </is>
      </c>
      <c r="C1106" t="inlineStr">
        <is>
          <t>GASOLINE BLENDSTOCK (RBOB) - NEW YORK MERCANTILE EXCHANGE</t>
        </is>
      </c>
      <c r="D1106" t="n">
        <v>383472</v>
      </c>
      <c r="E1106" t="n">
        <v>64563</v>
      </c>
      <c r="F1106" t="n">
        <v>38041</v>
      </c>
      <c r="G1106" t="n">
        <v>35506</v>
      </c>
      <c r="H1106">
        <f>E1106-F1106</f>
        <v/>
      </c>
      <c r="I1106">
        <f>(E1106-F1106)/D1106</f>
        <v/>
      </c>
    </row>
    <row r="1107">
      <c r="A1107" s="3" t="n">
        <v>42129</v>
      </c>
      <c r="B1107" t="inlineStr">
        <is>
          <t>111659</t>
        </is>
      </c>
      <c r="C1107" t="inlineStr">
        <is>
          <t>GASOLINE BLENDSTOCK (RBOB) - NEW YORK MERCANTILE EXCHANGE</t>
        </is>
      </c>
      <c r="D1107" t="n">
        <v>387231</v>
      </c>
      <c r="E1107" t="n">
        <v>63898</v>
      </c>
      <c r="F1107" t="n">
        <v>38023</v>
      </c>
      <c r="G1107" t="n">
        <v>37658</v>
      </c>
      <c r="H1107">
        <f>E1107-F1107</f>
        <v/>
      </c>
      <c r="I1107">
        <f>(E1107-F1107)/D1107</f>
        <v/>
      </c>
    </row>
    <row r="1108">
      <c r="A1108" s="3" t="n">
        <v>42136</v>
      </c>
      <c r="B1108" t="inlineStr">
        <is>
          <t>111659</t>
        </is>
      </c>
      <c r="C1108" t="inlineStr">
        <is>
          <t>GASOLINE BLENDSTOCK (RBOB) - NEW YORK MERCANTILE EXCHANGE</t>
        </is>
      </c>
      <c r="D1108" t="n">
        <v>392482</v>
      </c>
      <c r="E1108" t="n">
        <v>64894</v>
      </c>
      <c r="F1108" t="n">
        <v>39921</v>
      </c>
      <c r="G1108" t="n">
        <v>32959</v>
      </c>
      <c r="H1108">
        <f>E1108-F1108</f>
        <v/>
      </c>
      <c r="I1108">
        <f>(E1108-F1108)/D1108</f>
        <v/>
      </c>
    </row>
    <row r="1109">
      <c r="A1109" s="3" t="n">
        <v>42143</v>
      </c>
      <c r="B1109" t="inlineStr">
        <is>
          <t>111659</t>
        </is>
      </c>
      <c r="C1109" t="inlineStr">
        <is>
          <t>GASOLINE BLENDSTOCK (RBOB) - NEW YORK MERCANTILE EXCHANGE</t>
        </is>
      </c>
      <c r="D1109" t="n">
        <v>390332</v>
      </c>
      <c r="E1109" t="n">
        <v>65241</v>
      </c>
      <c r="F1109" t="n">
        <v>40464</v>
      </c>
      <c r="G1109" t="n">
        <v>33259</v>
      </c>
      <c r="H1109">
        <f>E1109-F1109</f>
        <v/>
      </c>
      <c r="I1109">
        <f>(E1109-F1109)/D1109</f>
        <v/>
      </c>
    </row>
    <row r="1110">
      <c r="A1110" s="3" t="n">
        <v>42150</v>
      </c>
      <c r="B1110" t="inlineStr">
        <is>
          <t>111659</t>
        </is>
      </c>
      <c r="C1110" t="inlineStr">
        <is>
          <t>GASOLINE BLENDSTOCK (RBOB) - NEW YORK MERCANTILE EXCHANGE</t>
        </is>
      </c>
      <c r="D1110" t="n">
        <v>373339</v>
      </c>
      <c r="E1110" t="n">
        <v>65188</v>
      </c>
      <c r="F1110" t="n">
        <v>42038</v>
      </c>
      <c r="G1110" t="n">
        <v>29430</v>
      </c>
      <c r="H1110">
        <f>E1110-F1110</f>
        <v/>
      </c>
      <c r="I1110">
        <f>(E1110-F1110)/D1110</f>
        <v/>
      </c>
    </row>
    <row r="1111">
      <c r="A1111" s="3" t="n">
        <v>42157</v>
      </c>
      <c r="B1111" t="inlineStr">
        <is>
          <t>111659</t>
        </is>
      </c>
      <c r="C1111" t="inlineStr">
        <is>
          <t>GASOLINE BLENDSTOCK (RBOB) - NEW YORK MERCANTILE EXCHANGE</t>
        </is>
      </c>
      <c r="D1111" t="n">
        <v>356325</v>
      </c>
      <c r="E1111" t="n">
        <v>66928</v>
      </c>
      <c r="F1111" t="n">
        <v>39909</v>
      </c>
      <c r="G1111" t="n">
        <v>30901</v>
      </c>
      <c r="H1111">
        <f>E1111-F1111</f>
        <v/>
      </c>
      <c r="I1111">
        <f>(E1111-F1111)/D1111</f>
        <v/>
      </c>
    </row>
    <row r="1112">
      <c r="A1112" s="3" t="n">
        <v>42164</v>
      </c>
      <c r="B1112" t="inlineStr">
        <is>
          <t>111659</t>
        </is>
      </c>
      <c r="C1112" t="inlineStr">
        <is>
          <t>GASOLINE BLENDSTOCK (RBOB) - NEW YORK MERCANTILE EXCHANGE</t>
        </is>
      </c>
      <c r="D1112" t="n">
        <v>353457</v>
      </c>
      <c r="E1112" t="n">
        <v>59808</v>
      </c>
      <c r="F1112" t="n">
        <v>40363</v>
      </c>
      <c r="G1112" t="n">
        <v>31339</v>
      </c>
      <c r="H1112">
        <f>E1112-F1112</f>
        <v/>
      </c>
      <c r="I1112">
        <f>(E1112-F1112)/D1112</f>
        <v/>
      </c>
    </row>
    <row r="1113">
      <c r="A1113" s="3" t="n">
        <v>42171</v>
      </c>
      <c r="B1113" t="inlineStr">
        <is>
          <t>111659</t>
        </is>
      </c>
      <c r="C1113" t="inlineStr">
        <is>
          <t>GASOLINE BLENDSTOCK (RBOB)  - NEW YORK MERCANTILE EXCHANGE</t>
        </is>
      </c>
      <c r="D1113" t="n">
        <v>377954</v>
      </c>
      <c r="E1113" t="n">
        <v>68327</v>
      </c>
      <c r="F1113" t="n">
        <v>41093</v>
      </c>
      <c r="G1113" t="n">
        <v>28646</v>
      </c>
      <c r="H1113">
        <f>E1113-F1113</f>
        <v/>
      </c>
      <c r="I1113">
        <f>(E1113-F1113)/D1113</f>
        <v/>
      </c>
    </row>
    <row r="1114">
      <c r="A1114" s="3" t="n">
        <v>42178</v>
      </c>
      <c r="B1114" t="inlineStr">
        <is>
          <t>111659</t>
        </is>
      </c>
      <c r="C1114" t="inlineStr">
        <is>
          <t>GASOLINE BLENDSTOCK (RBOB)  - NEW YORK MERCANTILE EXCHANGE</t>
        </is>
      </c>
      <c r="D1114" t="n">
        <v>398399</v>
      </c>
      <c r="E1114" t="n">
        <v>63493</v>
      </c>
      <c r="F1114" t="n">
        <v>43812</v>
      </c>
      <c r="G1114" t="n">
        <v>30693</v>
      </c>
      <c r="H1114">
        <f>E1114-F1114</f>
        <v/>
      </c>
      <c r="I1114">
        <f>(E1114-F1114)/D1114</f>
        <v/>
      </c>
    </row>
    <row r="1115">
      <c r="A1115" s="3" t="n">
        <v>42185</v>
      </c>
      <c r="B1115" t="inlineStr">
        <is>
          <t>111659</t>
        </is>
      </c>
      <c r="C1115" t="inlineStr">
        <is>
          <t>GASOLINE BLENDSTOCK (RBOB)  - NEW YORK MERCANTILE EXCHANGE</t>
        </is>
      </c>
      <c r="D1115" t="n">
        <v>376905</v>
      </c>
      <c r="E1115" t="n">
        <v>63983</v>
      </c>
      <c r="F1115" t="n">
        <v>47183</v>
      </c>
      <c r="G1115" t="n">
        <v>24960</v>
      </c>
      <c r="H1115">
        <f>E1115-F1115</f>
        <v/>
      </c>
      <c r="I1115">
        <f>(E1115-F1115)/D1115</f>
        <v/>
      </c>
    </row>
    <row r="1116">
      <c r="A1116" s="3" t="n">
        <v>42192</v>
      </c>
      <c r="B1116" t="inlineStr">
        <is>
          <t>111659</t>
        </is>
      </c>
      <c r="C1116" t="inlineStr">
        <is>
          <t>GASOLINE BLENDSTOCK (RBOB)  - NEW YORK MERCANTILE EXCHANGE</t>
        </is>
      </c>
      <c r="D1116" t="n">
        <v>370869</v>
      </c>
      <c r="E1116" t="n">
        <v>57918</v>
      </c>
      <c r="F1116" t="n">
        <v>50449</v>
      </c>
      <c r="G1116" t="n">
        <v>29859</v>
      </c>
      <c r="H1116">
        <f>E1116-F1116</f>
        <v/>
      </c>
      <c r="I1116">
        <f>(E1116-F1116)/D1116</f>
        <v/>
      </c>
    </row>
    <row r="1117">
      <c r="A1117" s="3" t="n">
        <v>42199</v>
      </c>
      <c r="B1117" t="inlineStr">
        <is>
          <t>111659</t>
        </is>
      </c>
      <c r="C1117" t="inlineStr">
        <is>
          <t>GASOLINE BLENDSTOCK (RBOB)  - NEW YORK MERCANTILE EXCHANGE</t>
        </is>
      </c>
      <c r="D1117" t="n">
        <v>368541</v>
      </c>
      <c r="E1117" t="n">
        <v>59636</v>
      </c>
      <c r="F1117" t="n">
        <v>47504</v>
      </c>
      <c r="G1117" t="n">
        <v>29689</v>
      </c>
      <c r="H1117">
        <f>E1117-F1117</f>
        <v/>
      </c>
      <c r="I1117">
        <f>(E1117-F1117)/D1117</f>
        <v/>
      </c>
    </row>
    <row r="1118">
      <c r="A1118" s="3" t="n">
        <v>42206</v>
      </c>
      <c r="B1118" t="inlineStr">
        <is>
          <t>111659</t>
        </is>
      </c>
      <c r="C1118" t="inlineStr">
        <is>
          <t>GASOLINE BLENDSTOCK (RBOB)  - NEW YORK MERCANTILE EXCHANGE</t>
        </is>
      </c>
      <c r="D1118" t="n">
        <v>368418</v>
      </c>
      <c r="E1118" t="n">
        <v>67658</v>
      </c>
      <c r="F1118" t="n">
        <v>51130</v>
      </c>
      <c r="G1118" t="n">
        <v>25981</v>
      </c>
      <c r="H1118">
        <f>E1118-F1118</f>
        <v/>
      </c>
      <c r="I1118">
        <f>(E1118-F1118)/D1118</f>
        <v/>
      </c>
    </row>
    <row r="1119">
      <c r="A1119" s="3" t="n">
        <v>42213</v>
      </c>
      <c r="B1119" t="inlineStr">
        <is>
          <t>111659</t>
        </is>
      </c>
      <c r="C1119" t="inlineStr">
        <is>
          <t>GASOLINE BLENDSTOCK (RBOB)  - NEW YORK MERCANTILE EXCHANGE</t>
        </is>
      </c>
      <c r="D1119" t="n">
        <v>358257</v>
      </c>
      <c r="E1119" t="n">
        <v>63508</v>
      </c>
      <c r="F1119" t="n">
        <v>49595</v>
      </c>
      <c r="G1119" t="n">
        <v>28308</v>
      </c>
      <c r="H1119">
        <f>E1119-F1119</f>
        <v/>
      </c>
      <c r="I1119">
        <f>(E1119-F1119)/D1119</f>
        <v/>
      </c>
    </row>
    <row r="1120">
      <c r="A1120" s="3" t="n">
        <v>42220</v>
      </c>
      <c r="B1120" t="inlineStr">
        <is>
          <t>111659</t>
        </is>
      </c>
      <c r="C1120" t="inlineStr">
        <is>
          <t>GASOLINE BLENDSTOCK (RBOB)  - NEW YORK MERCANTILE EXCHANGE</t>
        </is>
      </c>
      <c r="D1120" t="n">
        <v>362721</v>
      </c>
      <c r="E1120" t="n">
        <v>66125</v>
      </c>
      <c r="F1120" t="n">
        <v>50828</v>
      </c>
      <c r="G1120" t="n">
        <v>29128</v>
      </c>
      <c r="H1120">
        <f>E1120-F1120</f>
        <v/>
      </c>
      <c r="I1120">
        <f>(E1120-F1120)/D1120</f>
        <v/>
      </c>
    </row>
    <row r="1121">
      <c r="A1121" s="3" t="n">
        <v>42227</v>
      </c>
      <c r="B1121" t="inlineStr">
        <is>
          <t>111659</t>
        </is>
      </c>
      <c r="C1121" t="inlineStr">
        <is>
          <t>GASOLINE BLENDSTOCK (RBOB)  - NEW YORK MERCANTILE EXCHANGE</t>
        </is>
      </c>
      <c r="D1121" t="n">
        <v>388019</v>
      </c>
      <c r="E1121" t="n">
        <v>65576</v>
      </c>
      <c r="F1121" t="n">
        <v>51272</v>
      </c>
      <c r="G1121" t="n">
        <v>31769</v>
      </c>
      <c r="H1121">
        <f>E1121-F1121</f>
        <v/>
      </c>
      <c r="I1121">
        <f>(E1121-F1121)/D1121</f>
        <v/>
      </c>
    </row>
    <row r="1122">
      <c r="A1122" s="3" t="n">
        <v>42234</v>
      </c>
      <c r="B1122" t="inlineStr">
        <is>
          <t>111659</t>
        </is>
      </c>
      <c r="C1122" t="inlineStr">
        <is>
          <t>GASOLINE BLENDSTOCK (RBOB)  - NEW YORK MERCANTILE EXCHANGE</t>
        </is>
      </c>
      <c r="D1122" t="n">
        <v>386449</v>
      </c>
      <c r="E1122" t="n">
        <v>65058</v>
      </c>
      <c r="F1122" t="n">
        <v>49446</v>
      </c>
      <c r="G1122" t="n">
        <v>29659</v>
      </c>
      <c r="H1122">
        <f>E1122-F1122</f>
        <v/>
      </c>
      <c r="I1122">
        <f>(E1122-F1122)/D1122</f>
        <v/>
      </c>
    </row>
    <row r="1123">
      <c r="A1123" s="3" t="n">
        <v>42241</v>
      </c>
      <c r="B1123" t="inlineStr">
        <is>
          <t>111659</t>
        </is>
      </c>
      <c r="C1123" t="inlineStr">
        <is>
          <t>GASOLINE BLENDSTOCK (RBOB)  - NEW YORK MERCANTILE EXCHANGE</t>
        </is>
      </c>
      <c r="D1123" t="n">
        <v>393363</v>
      </c>
      <c r="E1123" t="n">
        <v>69285</v>
      </c>
      <c r="F1123" t="n">
        <v>47371</v>
      </c>
      <c r="G1123" t="n">
        <v>28305</v>
      </c>
      <c r="H1123">
        <f>E1123-F1123</f>
        <v/>
      </c>
      <c r="I1123">
        <f>(E1123-F1123)/D1123</f>
        <v/>
      </c>
    </row>
    <row r="1124">
      <c r="A1124" s="3" t="n">
        <v>42248</v>
      </c>
      <c r="B1124" t="inlineStr">
        <is>
          <t>111659</t>
        </is>
      </c>
      <c r="C1124" t="inlineStr">
        <is>
          <t>GASOLINE BLENDSTOCK (RBOB)  - NEW YORK MERCANTILE EXCHANGE</t>
        </is>
      </c>
      <c r="D1124" t="n">
        <v>359742</v>
      </c>
      <c r="E1124" t="n">
        <v>53831</v>
      </c>
      <c r="F1124" t="n">
        <v>37299</v>
      </c>
      <c r="G1124" t="n">
        <v>27339</v>
      </c>
      <c r="H1124">
        <f>E1124-F1124</f>
        <v/>
      </c>
      <c r="I1124">
        <f>(E1124-F1124)/D1124</f>
        <v/>
      </c>
    </row>
    <row r="1125">
      <c r="A1125" s="3" t="n">
        <v>42255</v>
      </c>
      <c r="B1125" t="inlineStr">
        <is>
          <t>111659</t>
        </is>
      </c>
      <c r="C1125" t="inlineStr">
        <is>
          <t>GASOLINE BLENDSTOCK (RBOB)  - NEW YORK MERCANTILE EXCHANGE</t>
        </is>
      </c>
      <c r="D1125" t="n">
        <v>356469</v>
      </c>
      <c r="E1125" t="n">
        <v>52088</v>
      </c>
      <c r="F1125" t="n">
        <v>35940</v>
      </c>
      <c r="G1125" t="n">
        <v>25760</v>
      </c>
      <c r="H1125">
        <f>E1125-F1125</f>
        <v/>
      </c>
      <c r="I1125">
        <f>(E1125-F1125)/D1125</f>
        <v/>
      </c>
    </row>
    <row r="1126">
      <c r="A1126" s="3" t="n">
        <v>42262</v>
      </c>
      <c r="B1126" t="inlineStr">
        <is>
          <t>111659</t>
        </is>
      </c>
      <c r="C1126" t="inlineStr">
        <is>
          <t>GASOLINE BLENDSTOCK (RBOB)  - NEW YORK MERCANTILE EXCHANGE</t>
        </is>
      </c>
      <c r="D1126" t="n">
        <v>369097</v>
      </c>
      <c r="E1126" t="n">
        <v>52785</v>
      </c>
      <c r="F1126" t="n">
        <v>36123</v>
      </c>
      <c r="G1126" t="n">
        <v>27644</v>
      </c>
      <c r="H1126">
        <f>E1126-F1126</f>
        <v/>
      </c>
      <c r="I1126">
        <f>(E1126-F1126)/D1126</f>
        <v/>
      </c>
    </row>
    <row r="1127">
      <c r="A1127" s="3" t="n">
        <v>42269</v>
      </c>
      <c r="B1127" t="inlineStr">
        <is>
          <t>111659</t>
        </is>
      </c>
      <c r="C1127" t="inlineStr">
        <is>
          <t>GASOLINE BLENDSTOCK (RBOB)  - NEW YORK MERCANTILE EXCHANGE</t>
        </is>
      </c>
      <c r="D1127" t="n">
        <v>386762</v>
      </c>
      <c r="E1127" t="n">
        <v>57337</v>
      </c>
      <c r="F1127" t="n">
        <v>40610</v>
      </c>
      <c r="G1127" t="n">
        <v>33740</v>
      </c>
      <c r="H1127">
        <f>E1127-F1127</f>
        <v/>
      </c>
      <c r="I1127">
        <f>(E1127-F1127)/D1127</f>
        <v/>
      </c>
    </row>
    <row r="1128">
      <c r="A1128" s="3" t="n">
        <v>42276</v>
      </c>
      <c r="B1128" t="inlineStr">
        <is>
          <t>111659</t>
        </is>
      </c>
      <c r="C1128" t="inlineStr">
        <is>
          <t>GASOLINE BLENDSTOCK (RBOB)  - NEW YORK MERCANTILE EXCHANGE</t>
        </is>
      </c>
      <c r="D1128" t="n">
        <v>371738</v>
      </c>
      <c r="E1128" t="n">
        <v>56439</v>
      </c>
      <c r="F1128" t="n">
        <v>38679</v>
      </c>
      <c r="G1128" t="n">
        <v>31444</v>
      </c>
      <c r="H1128">
        <f>E1128-F1128</f>
        <v/>
      </c>
      <c r="I1128">
        <f>(E1128-F1128)/D1128</f>
        <v/>
      </c>
    </row>
    <row r="1129">
      <c r="A1129" s="3" t="n">
        <v>42283</v>
      </c>
      <c r="B1129" t="inlineStr">
        <is>
          <t>111659</t>
        </is>
      </c>
      <c r="C1129" t="inlineStr">
        <is>
          <t>GASOLINE BLENDSTOCK (RBOB)  - NEW YORK MERCANTILE EXCHANGE</t>
        </is>
      </c>
      <c r="D1129" t="n">
        <v>357665</v>
      </c>
      <c r="E1129" t="n">
        <v>57687</v>
      </c>
      <c r="F1129" t="n">
        <v>33397</v>
      </c>
      <c r="G1129" t="n">
        <v>33841</v>
      </c>
      <c r="H1129">
        <f>E1129-F1129</f>
        <v/>
      </c>
      <c r="I1129">
        <f>(E1129-F1129)/D1129</f>
        <v/>
      </c>
    </row>
    <row r="1130">
      <c r="A1130" s="3" t="n">
        <v>42290</v>
      </c>
      <c r="B1130" t="inlineStr">
        <is>
          <t>111659</t>
        </is>
      </c>
      <c r="C1130" t="inlineStr">
        <is>
          <t>GASOLINE BLENDSTOCK (RBOB)  - NEW YORK MERCANTILE EXCHANGE</t>
        </is>
      </c>
      <c r="D1130" t="n">
        <v>352867</v>
      </c>
      <c r="E1130" t="n">
        <v>54898</v>
      </c>
      <c r="F1130" t="n">
        <v>37272</v>
      </c>
      <c r="G1130" t="n">
        <v>29996</v>
      </c>
      <c r="H1130">
        <f>E1130-F1130</f>
        <v/>
      </c>
      <c r="I1130">
        <f>(E1130-F1130)/D1130</f>
        <v/>
      </c>
    </row>
    <row r="1131">
      <c r="A1131" s="3" t="n">
        <v>42297</v>
      </c>
      <c r="B1131" t="inlineStr">
        <is>
          <t>111659</t>
        </is>
      </c>
      <c r="C1131" t="inlineStr">
        <is>
          <t>GASOLINE BLENDSTOCK (RBOB)  - NEW YORK MERCANTILE EXCHANGE</t>
        </is>
      </c>
      <c r="D1131" t="n">
        <v>348105</v>
      </c>
      <c r="E1131" t="n">
        <v>55511</v>
      </c>
      <c r="F1131" t="n">
        <v>42051</v>
      </c>
      <c r="G1131" t="n">
        <v>27168</v>
      </c>
      <c r="H1131">
        <f>E1131-F1131</f>
        <v/>
      </c>
      <c r="I1131">
        <f>(E1131-F1131)/D1131</f>
        <v/>
      </c>
    </row>
    <row r="1132">
      <c r="A1132" s="3" t="n">
        <v>42304</v>
      </c>
      <c r="B1132" t="inlineStr">
        <is>
          <t>111659</t>
        </is>
      </c>
      <c r="C1132" t="inlineStr">
        <is>
          <t>GASOLINE BLENDSTOCK (RBOB)  - NEW YORK MERCANTILE EXCHANGE</t>
        </is>
      </c>
      <c r="D1132" t="n">
        <v>336292</v>
      </c>
      <c r="E1132" t="n">
        <v>55091</v>
      </c>
      <c r="F1132" t="n">
        <v>42741</v>
      </c>
      <c r="G1132" t="n">
        <v>27815</v>
      </c>
      <c r="H1132">
        <f>E1132-F1132</f>
        <v/>
      </c>
      <c r="I1132">
        <f>(E1132-F1132)/D1132</f>
        <v/>
      </c>
    </row>
    <row r="1133">
      <c r="A1133" s="3" t="n">
        <v>42311</v>
      </c>
      <c r="B1133" t="inlineStr">
        <is>
          <t>111659</t>
        </is>
      </c>
      <c r="C1133" t="inlineStr">
        <is>
          <t>GASOLINE BLENDSTOCK (RBOB)  - NEW YORK MERCANTILE EXCHANGE</t>
        </is>
      </c>
      <c r="D1133" t="n">
        <v>342437</v>
      </c>
      <c r="E1133" t="n">
        <v>58947</v>
      </c>
      <c r="F1133" t="n">
        <v>40594</v>
      </c>
      <c r="G1133" t="n">
        <v>30901</v>
      </c>
      <c r="H1133">
        <f>E1133-F1133</f>
        <v/>
      </c>
      <c r="I1133">
        <f>(E1133-F1133)/D1133</f>
        <v/>
      </c>
    </row>
    <row r="1134">
      <c r="A1134" s="3" t="n">
        <v>42318</v>
      </c>
      <c r="B1134" t="inlineStr">
        <is>
          <t>111659</t>
        </is>
      </c>
      <c r="C1134" t="inlineStr">
        <is>
          <t>GASOLINE BLENDSTOCK (RBOB)  - NEW YORK MERCANTILE EXCHANGE</t>
        </is>
      </c>
      <c r="D1134" t="n">
        <v>357096</v>
      </c>
      <c r="E1134" t="n">
        <v>55844</v>
      </c>
      <c r="F1134" t="n">
        <v>40145</v>
      </c>
      <c r="G1134" t="n">
        <v>34969</v>
      </c>
      <c r="H1134">
        <f>E1134-F1134</f>
        <v/>
      </c>
      <c r="I1134">
        <f>(E1134-F1134)/D1134</f>
        <v/>
      </c>
    </row>
    <row r="1135">
      <c r="A1135" s="3" t="n">
        <v>42325</v>
      </c>
      <c r="B1135" t="inlineStr">
        <is>
          <t>111659</t>
        </is>
      </c>
      <c r="C1135" t="inlineStr">
        <is>
          <t>GASOLINE BLENDSTOCK (RBOB)  - NEW YORK MERCANTILE EXCHANGE</t>
        </is>
      </c>
      <c r="D1135" t="n">
        <v>365460</v>
      </c>
      <c r="E1135" t="n">
        <v>50576</v>
      </c>
      <c r="F1135" t="n">
        <v>51804</v>
      </c>
      <c r="G1135" t="n">
        <v>36781</v>
      </c>
      <c r="H1135">
        <f>E1135-F1135</f>
        <v/>
      </c>
      <c r="I1135">
        <f>(E1135-F1135)/D1135</f>
        <v/>
      </c>
    </row>
    <row r="1136">
      <c r="A1136" s="3" t="n">
        <v>42332</v>
      </c>
      <c r="B1136" t="inlineStr">
        <is>
          <t>111659</t>
        </is>
      </c>
      <c r="C1136" t="inlineStr">
        <is>
          <t>GASOLINE BLENDSTOCK (RBOB)  - NEW YORK MERCANTILE EXCHANGE</t>
        </is>
      </c>
      <c r="D1136" t="n">
        <v>370401</v>
      </c>
      <c r="E1136" t="n">
        <v>59613</v>
      </c>
      <c r="F1136" t="n">
        <v>44486</v>
      </c>
      <c r="G1136" t="n">
        <v>38197</v>
      </c>
      <c r="H1136">
        <f>E1136-F1136</f>
        <v/>
      </c>
      <c r="I1136">
        <f>(E1136-F1136)/D1136</f>
        <v/>
      </c>
    </row>
    <row r="1137">
      <c r="A1137" s="3" t="n">
        <v>42339</v>
      </c>
      <c r="B1137" t="inlineStr">
        <is>
          <t>111659</t>
        </is>
      </c>
      <c r="C1137" t="inlineStr">
        <is>
          <t>GASOLINE BLENDSTOCK (RBOB)  - NEW YORK MERCANTILE EXCHANGE</t>
        </is>
      </c>
      <c r="D1137" t="n">
        <v>363376</v>
      </c>
      <c r="E1137" t="n">
        <v>60835</v>
      </c>
      <c r="F1137" t="n">
        <v>35782</v>
      </c>
      <c r="G1137" t="n">
        <v>43346</v>
      </c>
      <c r="H1137">
        <f>E1137-F1137</f>
        <v/>
      </c>
      <c r="I1137">
        <f>(E1137-F1137)/D1137</f>
        <v/>
      </c>
    </row>
    <row r="1138">
      <c r="A1138" s="3" t="n">
        <v>42346</v>
      </c>
      <c r="B1138" t="inlineStr">
        <is>
          <t>111659</t>
        </is>
      </c>
      <c r="C1138" t="inlineStr">
        <is>
          <t>GASOLINE BLENDSTOCK (RBOB)  - NEW YORK MERCANTILE EXCHANGE</t>
        </is>
      </c>
      <c r="D1138" t="n">
        <v>365916</v>
      </c>
      <c r="E1138" t="n">
        <v>55826</v>
      </c>
      <c r="F1138" t="n">
        <v>39246</v>
      </c>
      <c r="G1138" t="n">
        <v>43486</v>
      </c>
      <c r="H1138">
        <f>E1138-F1138</f>
        <v/>
      </c>
      <c r="I1138">
        <f>(E1138-F1138)/D1138</f>
        <v/>
      </c>
    </row>
    <row r="1139">
      <c r="A1139" s="3" t="n">
        <v>42353</v>
      </c>
      <c r="B1139" t="inlineStr">
        <is>
          <t>111659</t>
        </is>
      </c>
      <c r="C1139" t="inlineStr">
        <is>
          <t>GASOLINE BLENDSTOCK (RBOB)  - NEW YORK MERCANTILE EXCHANGE</t>
        </is>
      </c>
      <c r="D1139" t="n">
        <v>373538</v>
      </c>
      <c r="E1139" t="n">
        <v>58784</v>
      </c>
      <c r="F1139" t="n">
        <v>35370</v>
      </c>
      <c r="G1139" t="n">
        <v>40299</v>
      </c>
      <c r="H1139">
        <f>E1139-F1139</f>
        <v/>
      </c>
      <c r="I1139">
        <f>(E1139-F1139)/D1139</f>
        <v/>
      </c>
    </row>
    <row r="1140">
      <c r="A1140" s="3" t="n">
        <v>42360</v>
      </c>
      <c r="B1140" t="inlineStr">
        <is>
          <t>111659</t>
        </is>
      </c>
      <c r="C1140" t="inlineStr">
        <is>
          <t>GASOLINE BLENDSTOCK (RBOB)  - NEW YORK MERCANTILE EXCHANGE</t>
        </is>
      </c>
      <c r="D1140" t="n">
        <v>366845</v>
      </c>
      <c r="E1140" t="n">
        <v>58890</v>
      </c>
      <c r="F1140" t="n">
        <v>37550</v>
      </c>
      <c r="G1140" t="n">
        <v>44414</v>
      </c>
      <c r="H1140">
        <f>E1140-F1140</f>
        <v/>
      </c>
      <c r="I1140">
        <f>(E1140-F1140)/D1140</f>
        <v/>
      </c>
    </row>
    <row r="1141">
      <c r="A1141" s="3" t="n">
        <v>42367</v>
      </c>
      <c r="B1141" t="inlineStr">
        <is>
          <t>111659</t>
        </is>
      </c>
      <c r="C1141" t="inlineStr">
        <is>
          <t>GASOLINE BLENDSTOCK (RBOB)  - NEW YORK MERCANTILE EXCHANGE</t>
        </is>
      </c>
      <c r="D1141" t="n">
        <v>360852</v>
      </c>
      <c r="E1141" t="n">
        <v>65513</v>
      </c>
      <c r="F1141" t="n">
        <v>37202</v>
      </c>
      <c r="G1141" t="n">
        <v>43876</v>
      </c>
      <c r="H1141">
        <f>E1141-F1141</f>
        <v/>
      </c>
      <c r="I1141">
        <f>(E1141-F1141)/D1141</f>
        <v/>
      </c>
    </row>
    <row r="1142">
      <c r="A1142" s="3" t="n">
        <v>42374</v>
      </c>
      <c r="B1142" t="inlineStr">
        <is>
          <t>111659</t>
        </is>
      </c>
      <c r="C1142" t="inlineStr">
        <is>
          <t>GASOLINE BLENDSTOCK (RBOB)  - NEW YORK MERCANTILE EXCHANGE</t>
        </is>
      </c>
      <c r="D1142" t="n">
        <v>361434</v>
      </c>
      <c r="E1142" t="n">
        <v>64871</v>
      </c>
      <c r="F1142" t="n">
        <v>37816</v>
      </c>
      <c r="G1142" t="n">
        <v>42524</v>
      </c>
      <c r="H1142">
        <f>E1142-F1142</f>
        <v/>
      </c>
      <c r="I1142">
        <f>(E1142-F1142)/D1142</f>
        <v/>
      </c>
    </row>
    <row r="1143">
      <c r="A1143" s="3" t="n">
        <v>42381</v>
      </c>
      <c r="B1143" t="inlineStr">
        <is>
          <t>111659</t>
        </is>
      </c>
      <c r="C1143" t="inlineStr">
        <is>
          <t>GASOLINE BLENDSTOCK (RBOB)  - NEW YORK MERCANTILE EXCHANGE</t>
        </is>
      </c>
      <c r="D1143" t="n">
        <v>372584</v>
      </c>
      <c r="E1143" t="n">
        <v>58714</v>
      </c>
      <c r="F1143" t="n">
        <v>41742</v>
      </c>
      <c r="G1143" t="n">
        <v>42334</v>
      </c>
      <c r="H1143">
        <f>E1143-F1143</f>
        <v/>
      </c>
      <c r="I1143">
        <f>(E1143-F1143)/D1143</f>
        <v/>
      </c>
    </row>
    <row r="1144">
      <c r="A1144" s="3" t="n">
        <v>42388</v>
      </c>
      <c r="B1144" t="inlineStr">
        <is>
          <t>111659</t>
        </is>
      </c>
      <c r="C1144" t="inlineStr">
        <is>
          <t>GASOLINE BLENDSTOCK (RBOB)  - NEW YORK MERCANTILE EXCHANGE</t>
        </is>
      </c>
      <c r="D1144" t="n">
        <v>386002</v>
      </c>
      <c r="E1144" t="n">
        <v>62708</v>
      </c>
      <c r="F1144" t="n">
        <v>42727</v>
      </c>
      <c r="G1144" t="n">
        <v>41749</v>
      </c>
      <c r="H1144">
        <f>E1144-F1144</f>
        <v/>
      </c>
      <c r="I1144">
        <f>(E1144-F1144)/D1144</f>
        <v/>
      </c>
    </row>
    <row r="1145">
      <c r="A1145" s="3" t="n">
        <v>42395</v>
      </c>
      <c r="B1145" t="inlineStr">
        <is>
          <t>111659</t>
        </is>
      </c>
      <c r="C1145" t="inlineStr">
        <is>
          <t>GASOLINE BLENDSTOCK (RBOB)  - NEW YORK MERCANTILE EXCHANGE</t>
        </is>
      </c>
      <c r="D1145" t="n">
        <v>391915</v>
      </c>
      <c r="E1145" t="n">
        <v>57094</v>
      </c>
      <c r="F1145" t="n">
        <v>39896</v>
      </c>
      <c r="G1145" t="n">
        <v>42371</v>
      </c>
      <c r="H1145">
        <f>E1145-F1145</f>
        <v/>
      </c>
      <c r="I1145">
        <f>(E1145-F1145)/D1145</f>
        <v/>
      </c>
    </row>
    <row r="1146">
      <c r="A1146" s="3" t="n">
        <v>42402</v>
      </c>
      <c r="B1146" t="inlineStr">
        <is>
          <t>111659</t>
        </is>
      </c>
      <c r="C1146" t="inlineStr">
        <is>
          <t>GASOLINE BLENDSTOCK (RBOB)  - NEW YORK MERCANTILE EXCHANGE</t>
        </is>
      </c>
      <c r="D1146" t="n">
        <v>398909</v>
      </c>
      <c r="E1146" t="n">
        <v>54011</v>
      </c>
      <c r="F1146" t="n">
        <v>39853</v>
      </c>
      <c r="G1146" t="n">
        <v>43879</v>
      </c>
      <c r="H1146">
        <f>E1146-F1146</f>
        <v/>
      </c>
      <c r="I1146">
        <f>(E1146-F1146)/D1146</f>
        <v/>
      </c>
    </row>
    <row r="1147">
      <c r="A1147" s="3" t="n">
        <v>42409</v>
      </c>
      <c r="B1147" t="inlineStr">
        <is>
          <t>111659</t>
        </is>
      </c>
      <c r="C1147" t="inlineStr">
        <is>
          <t>GASOLINE BLENDSTOCK (RBOB)  - NEW YORK MERCANTILE EXCHANGE</t>
        </is>
      </c>
      <c r="D1147" t="n">
        <v>408652</v>
      </c>
      <c r="E1147" t="n">
        <v>55032</v>
      </c>
      <c r="F1147" t="n">
        <v>40898</v>
      </c>
      <c r="G1147" t="n">
        <v>42984</v>
      </c>
      <c r="H1147">
        <f>E1147-F1147</f>
        <v/>
      </c>
      <c r="I1147">
        <f>(E1147-F1147)/D1147</f>
        <v/>
      </c>
    </row>
    <row r="1148">
      <c r="A1148" s="3" t="n">
        <v>42416</v>
      </c>
      <c r="B1148" t="inlineStr">
        <is>
          <t>111659</t>
        </is>
      </c>
      <c r="C1148" t="inlineStr">
        <is>
          <t>GASOLINE BLENDSTOCK (RBOB)  - NEW YORK MERCANTILE EXCHANGE</t>
        </is>
      </c>
      <c r="D1148" t="n">
        <v>407706</v>
      </c>
      <c r="E1148" t="n">
        <v>55460</v>
      </c>
      <c r="F1148" t="n">
        <v>31469</v>
      </c>
      <c r="G1148" t="n">
        <v>44008</v>
      </c>
      <c r="H1148">
        <f>E1148-F1148</f>
        <v/>
      </c>
      <c r="I1148">
        <f>(E1148-F1148)/D1148</f>
        <v/>
      </c>
    </row>
    <row r="1149">
      <c r="A1149" s="3" t="n">
        <v>42423</v>
      </c>
      <c r="B1149" t="inlineStr">
        <is>
          <t>111659</t>
        </is>
      </c>
      <c r="C1149" t="inlineStr">
        <is>
          <t>GASOLINE BLENDSTOCK (RBOB)  - NEW YORK MERCANTILE EXCHANGE</t>
        </is>
      </c>
      <c r="D1149" t="n">
        <v>411271</v>
      </c>
      <c r="E1149" t="n">
        <v>53184</v>
      </c>
      <c r="F1149" t="n">
        <v>32827</v>
      </c>
      <c r="G1149" t="n">
        <v>40940</v>
      </c>
      <c r="H1149">
        <f>E1149-F1149</f>
        <v/>
      </c>
      <c r="I1149">
        <f>(E1149-F1149)/D1149</f>
        <v/>
      </c>
    </row>
    <row r="1150">
      <c r="A1150" s="3" t="n">
        <v>42430</v>
      </c>
      <c r="B1150" t="inlineStr">
        <is>
          <t>111659</t>
        </is>
      </c>
      <c r="C1150" t="inlineStr">
        <is>
          <t>GASOLINE BLENDSTOCK (RBOB)  - NEW YORK MERCANTILE EXCHANGE</t>
        </is>
      </c>
      <c r="D1150" t="n">
        <v>409709</v>
      </c>
      <c r="E1150" t="n">
        <v>54244</v>
      </c>
      <c r="F1150" t="n">
        <v>28392</v>
      </c>
      <c r="G1150" t="n">
        <v>41944</v>
      </c>
      <c r="H1150">
        <f>E1150-F1150</f>
        <v/>
      </c>
      <c r="I1150">
        <f>(E1150-F1150)/D1150</f>
        <v/>
      </c>
    </row>
    <row r="1151">
      <c r="A1151" s="3" t="n">
        <v>42437</v>
      </c>
      <c r="B1151" t="inlineStr">
        <is>
          <t>111659</t>
        </is>
      </c>
      <c r="C1151" t="inlineStr">
        <is>
          <t>GASOLINE BLENDSTOCK (RBOB)  - NEW YORK MERCANTILE EXCHANGE</t>
        </is>
      </c>
      <c r="D1151" t="n">
        <v>425992</v>
      </c>
      <c r="E1151" t="n">
        <v>54413</v>
      </c>
      <c r="F1151" t="n">
        <v>25130</v>
      </c>
      <c r="G1151" t="n">
        <v>45332</v>
      </c>
      <c r="H1151">
        <f>E1151-F1151</f>
        <v/>
      </c>
      <c r="I1151">
        <f>(E1151-F1151)/D1151</f>
        <v/>
      </c>
    </row>
    <row r="1152">
      <c r="A1152" s="3" t="n">
        <v>42444</v>
      </c>
      <c r="B1152" t="inlineStr">
        <is>
          <t>111659</t>
        </is>
      </c>
      <c r="C1152" t="inlineStr">
        <is>
          <t>GASOLINE BLENDSTOCK (RBOB)  - NEW YORK MERCANTILE EXCHANGE</t>
        </is>
      </c>
      <c r="D1152" t="n">
        <v>428499</v>
      </c>
      <c r="E1152" t="n">
        <v>55358</v>
      </c>
      <c r="F1152" t="n">
        <v>21569</v>
      </c>
      <c r="G1152" t="n">
        <v>45894</v>
      </c>
      <c r="H1152">
        <f>E1152-F1152</f>
        <v/>
      </c>
      <c r="I1152">
        <f>(E1152-F1152)/D1152</f>
        <v/>
      </c>
    </row>
    <row r="1153">
      <c r="A1153" s="3" t="n">
        <v>42451</v>
      </c>
      <c r="B1153" t="inlineStr">
        <is>
          <t>111659</t>
        </is>
      </c>
      <c r="C1153" t="inlineStr">
        <is>
          <t>GASOLINE BLENDSTOCK (RBOB)  - NEW YORK MERCANTILE EXCHANGE</t>
        </is>
      </c>
      <c r="D1153" t="n">
        <v>430809</v>
      </c>
      <c r="E1153" t="n">
        <v>54933</v>
      </c>
      <c r="F1153" t="n">
        <v>25665</v>
      </c>
      <c r="G1153" t="n">
        <v>40189</v>
      </c>
      <c r="H1153">
        <f>E1153-F1153</f>
        <v/>
      </c>
      <c r="I1153">
        <f>(E1153-F1153)/D1153</f>
        <v/>
      </c>
    </row>
    <row r="1154">
      <c r="A1154" s="3" t="n">
        <v>42458</v>
      </c>
      <c r="B1154" t="inlineStr">
        <is>
          <t>111659</t>
        </is>
      </c>
      <c r="C1154" t="inlineStr">
        <is>
          <t>GASOLINE BLENDSTOCK (RBOB)  - NEW YORK MERCANTILE EXCHANGE</t>
        </is>
      </c>
      <c r="D1154" t="n">
        <v>411428</v>
      </c>
      <c r="E1154" t="n">
        <v>54984</v>
      </c>
      <c r="F1154" t="n">
        <v>22451</v>
      </c>
      <c r="G1154" t="n">
        <v>41468</v>
      </c>
      <c r="H1154">
        <f>E1154-F1154</f>
        <v/>
      </c>
      <c r="I1154">
        <f>(E1154-F1154)/D1154</f>
        <v/>
      </c>
    </row>
    <row r="1155">
      <c r="A1155" s="3" t="n">
        <v>42465</v>
      </c>
      <c r="B1155" t="inlineStr">
        <is>
          <t>111659</t>
        </is>
      </c>
      <c r="C1155" t="inlineStr">
        <is>
          <t>GASOLINE BLENDSTOCK (RBOB)  - NEW YORK MERCANTILE EXCHANGE</t>
        </is>
      </c>
      <c r="D1155" t="n">
        <v>396480</v>
      </c>
      <c r="E1155" t="n">
        <v>47197</v>
      </c>
      <c r="F1155" t="n">
        <v>24835</v>
      </c>
      <c r="G1155" t="n">
        <v>42665</v>
      </c>
      <c r="H1155">
        <f>E1155-F1155</f>
        <v/>
      </c>
      <c r="I1155">
        <f>(E1155-F1155)/D1155</f>
        <v/>
      </c>
    </row>
    <row r="1156">
      <c r="A1156" s="3" t="n">
        <v>42472</v>
      </c>
      <c r="B1156" t="inlineStr">
        <is>
          <t>111659</t>
        </is>
      </c>
      <c r="C1156" t="inlineStr">
        <is>
          <t>GASOLINE BLENDSTOCK (RBOB)  - NEW YORK MERCANTILE EXCHANGE</t>
        </is>
      </c>
      <c r="D1156" t="n">
        <v>393564</v>
      </c>
      <c r="E1156" t="n">
        <v>45752</v>
      </c>
      <c r="F1156" t="n">
        <v>24592</v>
      </c>
      <c r="G1156" t="n">
        <v>43090</v>
      </c>
      <c r="H1156">
        <f>E1156-F1156</f>
        <v/>
      </c>
      <c r="I1156">
        <f>(E1156-F1156)/D1156</f>
        <v/>
      </c>
    </row>
    <row r="1157">
      <c r="A1157" s="3" t="n">
        <v>42479</v>
      </c>
      <c r="B1157" t="inlineStr">
        <is>
          <t>111659</t>
        </is>
      </c>
      <c r="C1157" t="inlineStr">
        <is>
          <t>GASOLINE BLENDSTOCK (RBOB)  - NEW YORK MERCANTILE EXCHANGE</t>
        </is>
      </c>
      <c r="D1157" t="n">
        <v>391171</v>
      </c>
      <c r="E1157" t="n">
        <v>48545</v>
      </c>
      <c r="F1157" t="n">
        <v>24730</v>
      </c>
      <c r="G1157" t="n">
        <v>40624</v>
      </c>
      <c r="H1157">
        <f>E1157-F1157</f>
        <v/>
      </c>
      <c r="I1157">
        <f>(E1157-F1157)/D1157</f>
        <v/>
      </c>
    </row>
    <row r="1158">
      <c r="A1158" s="3" t="n">
        <v>42486</v>
      </c>
      <c r="B1158" t="inlineStr">
        <is>
          <t>111659</t>
        </is>
      </c>
      <c r="C1158" t="inlineStr">
        <is>
          <t>GASOLINE BLENDSTOCK (RBOB)  - NEW YORK MERCANTILE EXCHANGE</t>
        </is>
      </c>
      <c r="D1158" t="n">
        <v>392081</v>
      </c>
      <c r="E1158" t="n">
        <v>48938</v>
      </c>
      <c r="F1158" t="n">
        <v>22844</v>
      </c>
      <c r="G1158" t="n">
        <v>37839</v>
      </c>
      <c r="H1158">
        <f>E1158-F1158</f>
        <v/>
      </c>
      <c r="I1158">
        <f>(E1158-F1158)/D1158</f>
        <v/>
      </c>
    </row>
    <row r="1159">
      <c r="A1159" s="3" t="n">
        <v>42493</v>
      </c>
      <c r="B1159" t="inlineStr">
        <is>
          <t>111659</t>
        </is>
      </c>
      <c r="C1159" t="inlineStr">
        <is>
          <t>GASOLINE BLENDSTOCK (RBOB)  - NEW YORK MERCANTILE EXCHANGE</t>
        </is>
      </c>
      <c r="D1159" t="n">
        <v>394714</v>
      </c>
      <c r="E1159" t="n">
        <v>48825</v>
      </c>
      <c r="F1159" t="n">
        <v>25130</v>
      </c>
      <c r="G1159" t="n">
        <v>39457</v>
      </c>
      <c r="H1159">
        <f>E1159-F1159</f>
        <v/>
      </c>
      <c r="I1159">
        <f>(E1159-F1159)/D1159</f>
        <v/>
      </c>
    </row>
    <row r="1160">
      <c r="A1160" s="3" t="n">
        <v>42500</v>
      </c>
      <c r="B1160" t="inlineStr">
        <is>
          <t>111659</t>
        </is>
      </c>
      <c r="C1160" t="inlineStr">
        <is>
          <t>GASOLINE BLENDSTOCK (RBOB)  - NEW YORK MERCANTILE EXCHANGE</t>
        </is>
      </c>
      <c r="D1160" t="n">
        <v>399790</v>
      </c>
      <c r="E1160" t="n">
        <v>45070</v>
      </c>
      <c r="F1160" t="n">
        <v>29422</v>
      </c>
      <c r="G1160" t="n">
        <v>39563</v>
      </c>
      <c r="H1160">
        <f>E1160-F1160</f>
        <v/>
      </c>
      <c r="I1160">
        <f>(E1160-F1160)/D1160</f>
        <v/>
      </c>
    </row>
    <row r="1161">
      <c r="A1161" s="3" t="n">
        <v>42507</v>
      </c>
      <c r="B1161" t="inlineStr">
        <is>
          <t>111659</t>
        </is>
      </c>
      <c r="C1161" t="inlineStr">
        <is>
          <t>GASOLINE BLENDSTOCK (RBOB)  - NEW YORK MERCANTILE EXCHANGE</t>
        </is>
      </c>
      <c r="D1161" t="n">
        <v>416771</v>
      </c>
      <c r="E1161" t="n">
        <v>49119</v>
      </c>
      <c r="F1161" t="n">
        <v>24527</v>
      </c>
      <c r="G1161" t="n">
        <v>39965</v>
      </c>
      <c r="H1161">
        <f>E1161-F1161</f>
        <v/>
      </c>
      <c r="I1161">
        <f>(E1161-F1161)/D1161</f>
        <v/>
      </c>
    </row>
    <row r="1162">
      <c r="A1162" s="3" t="n">
        <v>42514</v>
      </c>
      <c r="B1162" t="inlineStr">
        <is>
          <t>111659</t>
        </is>
      </c>
      <c r="C1162" t="inlineStr">
        <is>
          <t>GASOLINE BLENDSTOCK (RBOB)  - NEW YORK MERCANTILE EXCHANGE</t>
        </is>
      </c>
      <c r="D1162" t="n">
        <v>413553</v>
      </c>
      <c r="E1162" t="n">
        <v>47206</v>
      </c>
      <c r="F1162" t="n">
        <v>25227</v>
      </c>
      <c r="G1162" t="n">
        <v>36387</v>
      </c>
      <c r="H1162">
        <f>E1162-F1162</f>
        <v/>
      </c>
      <c r="I1162">
        <f>(E1162-F1162)/D1162</f>
        <v/>
      </c>
    </row>
    <row r="1163">
      <c r="A1163" s="3" t="n">
        <v>42521</v>
      </c>
      <c r="B1163" t="inlineStr">
        <is>
          <t>111659</t>
        </is>
      </c>
      <c r="C1163" t="inlineStr">
        <is>
          <t>GASOLINE BLENDSTOCK (RBOB)  - NEW YORK MERCANTILE EXCHANGE</t>
        </is>
      </c>
      <c r="D1163" t="n">
        <v>390772</v>
      </c>
      <c r="E1163" t="n">
        <v>42742</v>
      </c>
      <c r="F1163" t="n">
        <v>26039</v>
      </c>
      <c r="G1163" t="n">
        <v>33352</v>
      </c>
      <c r="H1163">
        <f>E1163-F1163</f>
        <v/>
      </c>
      <c r="I1163">
        <f>(E1163-F1163)/D1163</f>
        <v/>
      </c>
    </row>
    <row r="1164">
      <c r="A1164" s="3" t="n">
        <v>42528</v>
      </c>
      <c r="B1164" t="inlineStr">
        <is>
          <t>111659</t>
        </is>
      </c>
      <c r="C1164" t="inlineStr">
        <is>
          <t>GASOLINE BLENDSTOCK (RBOB)  - NEW YORK MERCANTILE EXCHANGE</t>
        </is>
      </c>
      <c r="D1164" t="n">
        <v>395749</v>
      </c>
      <c r="E1164" t="n">
        <v>39593</v>
      </c>
      <c r="F1164" t="n">
        <v>26381</v>
      </c>
      <c r="G1164" t="n">
        <v>36592</v>
      </c>
      <c r="H1164">
        <f>E1164-F1164</f>
        <v/>
      </c>
      <c r="I1164">
        <f>(E1164-F1164)/D1164</f>
        <v/>
      </c>
    </row>
    <row r="1165">
      <c r="A1165" s="3" t="n">
        <v>42535</v>
      </c>
      <c r="B1165" t="inlineStr">
        <is>
          <t>111659</t>
        </is>
      </c>
      <c r="C1165" t="inlineStr">
        <is>
          <t>GASOLINE BLENDSTOCK (RBOB)  - NEW YORK MERCANTILE EXCHANGE</t>
        </is>
      </c>
      <c r="D1165" t="n">
        <v>400160</v>
      </c>
      <c r="E1165" t="n">
        <v>36424</v>
      </c>
      <c r="F1165" t="n">
        <v>31774</v>
      </c>
      <c r="G1165" t="n">
        <v>34113</v>
      </c>
      <c r="H1165">
        <f>E1165-F1165</f>
        <v/>
      </c>
      <c r="I1165">
        <f>(E1165-F1165)/D1165</f>
        <v/>
      </c>
    </row>
    <row r="1166">
      <c r="A1166" s="3" t="n">
        <v>42542</v>
      </c>
      <c r="B1166" t="inlineStr">
        <is>
          <t>111659</t>
        </is>
      </c>
      <c r="C1166" t="inlineStr">
        <is>
          <t>GASOLINE BLENDSTOCK (RBOB)  - NEW YORK MERCANTILE EXCHANGE</t>
        </is>
      </c>
      <c r="D1166" t="n">
        <v>401947</v>
      </c>
      <c r="E1166" t="n">
        <v>35560</v>
      </c>
      <c r="F1166" t="n">
        <v>27492</v>
      </c>
      <c r="G1166" t="n">
        <v>35302</v>
      </c>
      <c r="H1166">
        <f>E1166-F1166</f>
        <v/>
      </c>
      <c r="I1166">
        <f>(E1166-F1166)/D1166</f>
        <v/>
      </c>
    </row>
    <row r="1167">
      <c r="A1167" s="3" t="n">
        <v>42549</v>
      </c>
      <c r="B1167" t="inlineStr">
        <is>
          <t>111659</t>
        </is>
      </c>
      <c r="C1167" t="inlineStr">
        <is>
          <t>GASOLINE BLENDSTOCK (RBOB)  - NEW YORK MERCANTILE EXCHANGE</t>
        </is>
      </c>
      <c r="D1167" t="n">
        <v>395846</v>
      </c>
      <c r="E1167" t="n">
        <v>36692</v>
      </c>
      <c r="F1167" t="n">
        <v>27891</v>
      </c>
      <c r="G1167" t="n">
        <v>34151</v>
      </c>
      <c r="H1167">
        <f>E1167-F1167</f>
        <v/>
      </c>
      <c r="I1167">
        <f>(E1167-F1167)/D1167</f>
        <v/>
      </c>
    </row>
    <row r="1168">
      <c r="A1168" s="3" t="n">
        <v>42556</v>
      </c>
      <c r="B1168" t="inlineStr">
        <is>
          <t>111659</t>
        </is>
      </c>
      <c r="C1168" t="inlineStr">
        <is>
          <t>GASOLINE BLENDSTOCK (RBOB)  - NEW YORK MERCANTILE EXCHANGE</t>
        </is>
      </c>
      <c r="D1168" t="n">
        <v>377609</v>
      </c>
      <c r="E1168" t="n">
        <v>37311</v>
      </c>
      <c r="F1168" t="n">
        <v>34899</v>
      </c>
      <c r="G1168" t="n">
        <v>31976</v>
      </c>
      <c r="H1168">
        <f>E1168-F1168</f>
        <v/>
      </c>
      <c r="I1168">
        <f>(E1168-F1168)/D1168</f>
        <v/>
      </c>
    </row>
    <row r="1169">
      <c r="A1169" s="3" t="n">
        <v>42563</v>
      </c>
      <c r="B1169" t="inlineStr">
        <is>
          <t>111659</t>
        </is>
      </c>
      <c r="C1169" t="inlineStr">
        <is>
          <t>GASOLINE BLENDSTOCK (RBOB)  - NEW YORK MERCANTILE EXCHANGE</t>
        </is>
      </c>
      <c r="D1169" t="n">
        <v>377836</v>
      </c>
      <c r="E1169" t="n">
        <v>34531</v>
      </c>
      <c r="F1169" t="n">
        <v>32382</v>
      </c>
      <c r="G1169" t="n">
        <v>36272</v>
      </c>
      <c r="H1169">
        <f>E1169-F1169</f>
        <v/>
      </c>
      <c r="I1169">
        <f>(E1169-F1169)/D1169</f>
        <v/>
      </c>
    </row>
    <row r="1170">
      <c r="A1170" s="3" t="n">
        <v>42570</v>
      </c>
      <c r="B1170" t="inlineStr">
        <is>
          <t>111659</t>
        </is>
      </c>
      <c r="C1170" t="inlineStr">
        <is>
          <t>GASOLINE BLENDSTOCK (RBOB)  - NEW YORK MERCANTILE EXCHANGE</t>
        </is>
      </c>
      <c r="D1170" t="n">
        <v>399811</v>
      </c>
      <c r="E1170" t="n">
        <v>33728</v>
      </c>
      <c r="F1170" t="n">
        <v>31960</v>
      </c>
      <c r="G1170" t="n">
        <v>42419</v>
      </c>
      <c r="H1170">
        <f>E1170-F1170</f>
        <v/>
      </c>
      <c r="I1170">
        <f>(E1170-F1170)/D1170</f>
        <v/>
      </c>
    </row>
    <row r="1171">
      <c r="A1171" s="3" t="n">
        <v>42577</v>
      </c>
      <c r="B1171" t="inlineStr">
        <is>
          <t>111659</t>
        </is>
      </c>
      <c r="C1171" t="inlineStr">
        <is>
          <t>GASOLINE BLENDSTOCK (RBOB)  - NEW YORK MERCANTILE EXCHANGE</t>
        </is>
      </c>
      <c r="D1171" t="n">
        <v>395114</v>
      </c>
      <c r="E1171" t="n">
        <v>33364</v>
      </c>
      <c r="F1171" t="n">
        <v>38130</v>
      </c>
      <c r="G1171" t="n">
        <v>39937</v>
      </c>
      <c r="H1171">
        <f>E1171-F1171</f>
        <v/>
      </c>
      <c r="I1171">
        <f>(E1171-F1171)/D1171</f>
        <v/>
      </c>
    </row>
    <row r="1172">
      <c r="A1172" s="3" t="n">
        <v>42584</v>
      </c>
      <c r="B1172" t="inlineStr">
        <is>
          <t>111659</t>
        </is>
      </c>
      <c r="C1172" t="inlineStr">
        <is>
          <t>GASOLINE BLENDSTOCK (RBOB)  - NEW YORK MERCANTILE EXCHANGE</t>
        </is>
      </c>
      <c r="D1172" t="n">
        <v>391069</v>
      </c>
      <c r="E1172" t="n">
        <v>38248</v>
      </c>
      <c r="F1172" t="n">
        <v>42212</v>
      </c>
      <c r="G1172" t="n">
        <v>43230</v>
      </c>
      <c r="H1172">
        <f>E1172-F1172</f>
        <v/>
      </c>
      <c r="I1172">
        <f>(E1172-F1172)/D1172</f>
        <v/>
      </c>
    </row>
    <row r="1173">
      <c r="A1173" s="3" t="n">
        <v>42591</v>
      </c>
      <c r="B1173" t="inlineStr">
        <is>
          <t>111659</t>
        </is>
      </c>
      <c r="C1173" t="inlineStr">
        <is>
          <t>GASOLINE BLENDSTOCK (RBOB)  - NEW YORK MERCANTILE EXCHANGE</t>
        </is>
      </c>
      <c r="D1173" t="n">
        <v>410050</v>
      </c>
      <c r="E1173" t="n">
        <v>39662</v>
      </c>
      <c r="F1173" t="n">
        <v>40594</v>
      </c>
      <c r="G1173" t="n">
        <v>45988</v>
      </c>
      <c r="H1173">
        <f>E1173-F1173</f>
        <v/>
      </c>
      <c r="I1173">
        <f>(E1173-F1173)/D1173</f>
        <v/>
      </c>
    </row>
    <row r="1174">
      <c r="A1174" s="3" t="n">
        <v>42598</v>
      </c>
      <c r="B1174" t="inlineStr">
        <is>
          <t>111659</t>
        </is>
      </c>
      <c r="C1174" t="inlineStr">
        <is>
          <t>GASOLINE BLENDSTOCK (RBOB)  - NEW YORK MERCANTILE EXCHANGE</t>
        </is>
      </c>
      <c r="D1174" t="n">
        <v>418232</v>
      </c>
      <c r="E1174" t="n">
        <v>39202</v>
      </c>
      <c r="F1174" t="n">
        <v>40675</v>
      </c>
      <c r="G1174" t="n">
        <v>40527</v>
      </c>
      <c r="H1174">
        <f>E1174-F1174</f>
        <v/>
      </c>
      <c r="I1174">
        <f>(E1174-F1174)/D1174</f>
        <v/>
      </c>
    </row>
    <row r="1175">
      <c r="A1175" s="3" t="n">
        <v>42605</v>
      </c>
      <c r="B1175" t="inlineStr">
        <is>
          <t>111659</t>
        </is>
      </c>
      <c r="C1175" t="inlineStr">
        <is>
          <t>GASOLINE BLENDSTOCK (RBOB)  - NEW YORK MERCANTILE EXCHANGE</t>
        </is>
      </c>
      <c r="D1175" t="n">
        <v>414390</v>
      </c>
      <c r="E1175" t="n">
        <v>44915</v>
      </c>
      <c r="F1175" t="n">
        <v>29265</v>
      </c>
      <c r="G1175" t="n">
        <v>41470</v>
      </c>
      <c r="H1175">
        <f>E1175-F1175</f>
        <v/>
      </c>
      <c r="I1175">
        <f>(E1175-F1175)/D1175</f>
        <v/>
      </c>
    </row>
    <row r="1176">
      <c r="A1176" s="3" t="n">
        <v>42612</v>
      </c>
      <c r="B1176" t="inlineStr">
        <is>
          <t>111659</t>
        </is>
      </c>
      <c r="C1176" t="inlineStr">
        <is>
          <t>GASOLINE BLENDSTOCK (RBOB)  - NEW YORK MERCANTILE EXCHANGE</t>
        </is>
      </c>
      <c r="D1176" t="n">
        <v>387814</v>
      </c>
      <c r="E1176" t="n">
        <v>46044</v>
      </c>
      <c r="F1176" t="n">
        <v>29227</v>
      </c>
      <c r="G1176" t="n">
        <v>35390</v>
      </c>
      <c r="H1176">
        <f>E1176-F1176</f>
        <v/>
      </c>
      <c r="I1176">
        <f>(E1176-F1176)/D1176</f>
        <v/>
      </c>
    </row>
    <row r="1177">
      <c r="A1177" s="3" t="n">
        <v>42619</v>
      </c>
      <c r="B1177" t="inlineStr">
        <is>
          <t>111659</t>
        </is>
      </c>
      <c r="C1177" t="inlineStr">
        <is>
          <t>GASOLINE BLENDSTOCK (RBOB)  - NEW YORK MERCANTILE EXCHANGE</t>
        </is>
      </c>
      <c r="D1177" t="n">
        <v>401094</v>
      </c>
      <c r="E1177" t="n">
        <v>46174</v>
      </c>
      <c r="F1177" t="n">
        <v>34639</v>
      </c>
      <c r="G1177" t="n">
        <v>37920</v>
      </c>
      <c r="H1177">
        <f>E1177-F1177</f>
        <v/>
      </c>
      <c r="I1177">
        <f>(E1177-F1177)/D1177</f>
        <v/>
      </c>
    </row>
    <row r="1178">
      <c r="A1178" s="3" t="n">
        <v>42626</v>
      </c>
      <c r="B1178" t="inlineStr">
        <is>
          <t>111659</t>
        </is>
      </c>
      <c r="C1178" t="inlineStr">
        <is>
          <t>GASOLINE BLENDSTOCK (RBOB)  - NEW YORK MERCANTILE EXCHANGE</t>
        </is>
      </c>
      <c r="D1178" t="n">
        <v>391889</v>
      </c>
      <c r="E1178" t="n">
        <v>47107</v>
      </c>
      <c r="F1178" t="n">
        <v>26474</v>
      </c>
      <c r="G1178" t="n">
        <v>43944</v>
      </c>
      <c r="H1178">
        <f>E1178-F1178</f>
        <v/>
      </c>
      <c r="I1178">
        <f>(E1178-F1178)/D1178</f>
        <v/>
      </c>
    </row>
    <row r="1179">
      <c r="A1179" s="3" t="n">
        <v>42633</v>
      </c>
      <c r="B1179" t="inlineStr">
        <is>
          <t>111659</t>
        </is>
      </c>
      <c r="C1179" t="inlineStr">
        <is>
          <t>GASOLINE BLENDSTOCK (RBOB)  - NEW YORK MERCANTILE EXCHANGE</t>
        </is>
      </c>
      <c r="D1179" t="n">
        <v>401306</v>
      </c>
      <c r="E1179" t="n">
        <v>51457</v>
      </c>
      <c r="F1179" t="n">
        <v>29963</v>
      </c>
      <c r="G1179" t="n">
        <v>48888</v>
      </c>
      <c r="H1179">
        <f>E1179-F1179</f>
        <v/>
      </c>
      <c r="I1179">
        <f>(E1179-F1179)/D1179</f>
        <v/>
      </c>
    </row>
    <row r="1180">
      <c r="A1180" s="3" t="n">
        <v>42640</v>
      </c>
      <c r="B1180" t="inlineStr">
        <is>
          <t>111659</t>
        </is>
      </c>
      <c r="C1180" t="inlineStr">
        <is>
          <t>GASOLINE BLENDSTOCK (RBOB)  - NEW YORK MERCANTILE EXCHANGE</t>
        </is>
      </c>
      <c r="D1180" t="n">
        <v>385664</v>
      </c>
      <c r="E1180" t="n">
        <v>50951</v>
      </c>
      <c r="F1180" t="n">
        <v>27989</v>
      </c>
      <c r="G1180" t="n">
        <v>45188</v>
      </c>
      <c r="H1180">
        <f>E1180-F1180</f>
        <v/>
      </c>
      <c r="I1180">
        <f>(E1180-F1180)/D1180</f>
        <v/>
      </c>
    </row>
    <row r="1181">
      <c r="A1181" s="3" t="n">
        <v>42647</v>
      </c>
      <c r="B1181" t="inlineStr">
        <is>
          <t>111659</t>
        </is>
      </c>
      <c r="C1181" t="inlineStr">
        <is>
          <t>GASOLINE BLENDSTOCK (RBOB)  - NEW YORK MERCANTILE EXCHANGE</t>
        </is>
      </c>
      <c r="D1181" t="n">
        <v>383062</v>
      </c>
      <c r="E1181" t="n">
        <v>61545</v>
      </c>
      <c r="F1181" t="n">
        <v>30728</v>
      </c>
      <c r="G1181" t="n">
        <v>45628</v>
      </c>
      <c r="H1181">
        <f>E1181-F1181</f>
        <v/>
      </c>
      <c r="I1181">
        <f>(E1181-F1181)/D1181</f>
        <v/>
      </c>
    </row>
    <row r="1182">
      <c r="A1182" s="3" t="n">
        <v>42654</v>
      </c>
      <c r="B1182" t="inlineStr">
        <is>
          <t>111659</t>
        </is>
      </c>
      <c r="C1182" t="inlineStr">
        <is>
          <t>GASOLINE BLENDSTOCK (RBOB)  - NEW YORK MERCANTILE EXCHANGE</t>
        </is>
      </c>
      <c r="D1182" t="n">
        <v>404734</v>
      </c>
      <c r="E1182" t="n">
        <v>65583</v>
      </c>
      <c r="F1182" t="n">
        <v>28951</v>
      </c>
      <c r="G1182" t="n">
        <v>44188</v>
      </c>
      <c r="H1182">
        <f>E1182-F1182</f>
        <v/>
      </c>
      <c r="I1182">
        <f>(E1182-F1182)/D1182</f>
        <v/>
      </c>
    </row>
    <row r="1183">
      <c r="A1183" s="3" t="n">
        <v>42661</v>
      </c>
      <c r="B1183" t="inlineStr">
        <is>
          <t>111659</t>
        </is>
      </c>
      <c r="C1183" t="inlineStr">
        <is>
          <t>GASOLINE BLENDSTOCK (RBOB)  - NEW YORK MERCANTILE EXCHANGE</t>
        </is>
      </c>
      <c r="D1183" t="n">
        <v>421064</v>
      </c>
      <c r="E1183" t="n">
        <v>71687</v>
      </c>
      <c r="F1183" t="n">
        <v>31724</v>
      </c>
      <c r="G1183" t="n">
        <v>43992</v>
      </c>
      <c r="H1183">
        <f>E1183-F1183</f>
        <v/>
      </c>
      <c r="I1183">
        <f>(E1183-F1183)/D1183</f>
        <v/>
      </c>
    </row>
    <row r="1184">
      <c r="A1184" s="3" t="n">
        <v>42668</v>
      </c>
      <c r="B1184" t="inlineStr">
        <is>
          <t>111659</t>
        </is>
      </c>
      <c r="C1184" t="inlineStr">
        <is>
          <t>GASOLINE BLENDSTOCK (RBOB)  - NEW YORK MERCANTILE EXCHANGE</t>
        </is>
      </c>
      <c r="D1184" t="n">
        <v>422262</v>
      </c>
      <c r="E1184" t="n">
        <v>72207</v>
      </c>
      <c r="F1184" t="n">
        <v>31590</v>
      </c>
      <c r="G1184" t="n">
        <v>43035</v>
      </c>
      <c r="H1184">
        <f>E1184-F1184</f>
        <v/>
      </c>
      <c r="I1184">
        <f>(E1184-F1184)/D1184</f>
        <v/>
      </c>
    </row>
    <row r="1185">
      <c r="A1185" s="3" t="n">
        <v>42675</v>
      </c>
      <c r="B1185" t="inlineStr">
        <is>
          <t>111659</t>
        </is>
      </c>
      <c r="C1185" t="inlineStr">
        <is>
          <t>GASOLINE BLENDSTOCK (RBOB)  - NEW YORK MERCANTILE EXCHANGE</t>
        </is>
      </c>
      <c r="D1185" t="n">
        <v>383766</v>
      </c>
      <c r="E1185" t="n">
        <v>72151</v>
      </c>
      <c r="F1185" t="n">
        <v>30210</v>
      </c>
      <c r="G1185" t="n">
        <v>37749</v>
      </c>
      <c r="H1185">
        <f>E1185-F1185</f>
        <v/>
      </c>
      <c r="I1185">
        <f>(E1185-F1185)/D1185</f>
        <v/>
      </c>
    </row>
    <row r="1186">
      <c r="A1186" s="3" t="n">
        <v>42682</v>
      </c>
      <c r="B1186" t="inlineStr">
        <is>
          <t>111659</t>
        </is>
      </c>
      <c r="C1186" t="inlineStr">
        <is>
          <t>GASOLINE BLENDSTOCK (RBOB)  - NEW YORK MERCANTILE EXCHANGE</t>
        </is>
      </c>
      <c r="D1186" t="n">
        <v>383879</v>
      </c>
      <c r="E1186" t="n">
        <v>69883</v>
      </c>
      <c r="F1186" t="n">
        <v>30232</v>
      </c>
      <c r="G1186" t="n">
        <v>35986</v>
      </c>
      <c r="H1186">
        <f>E1186-F1186</f>
        <v/>
      </c>
      <c r="I1186">
        <f>(E1186-F1186)/D1186</f>
        <v/>
      </c>
    </row>
    <row r="1187">
      <c r="A1187" s="3" t="n">
        <v>42689</v>
      </c>
      <c r="B1187" t="inlineStr">
        <is>
          <t>111659</t>
        </is>
      </c>
      <c r="C1187" t="inlineStr">
        <is>
          <t>GASOLINE BLENDSTOCK (RBOB)  - NEW YORK MERCANTILE EXCHANGE</t>
        </is>
      </c>
      <c r="D1187" t="n">
        <v>376840</v>
      </c>
      <c r="E1187" t="n">
        <v>53407</v>
      </c>
      <c r="F1187" t="n">
        <v>27768</v>
      </c>
      <c r="G1187" t="n">
        <v>39445</v>
      </c>
      <c r="H1187">
        <f>E1187-F1187</f>
        <v/>
      </c>
      <c r="I1187">
        <f>(E1187-F1187)/D1187</f>
        <v/>
      </c>
    </row>
    <row r="1188">
      <c r="A1188" s="3" t="n">
        <v>42696</v>
      </c>
      <c r="B1188" t="inlineStr">
        <is>
          <t>111659</t>
        </is>
      </c>
      <c r="C1188" t="inlineStr">
        <is>
          <t>GASOLINE BLENDSTOCK (RBOB)  - NEW YORK MERCANTILE EXCHANGE</t>
        </is>
      </c>
      <c r="D1188" t="n">
        <v>385454</v>
      </c>
      <c r="E1188" t="n">
        <v>48878</v>
      </c>
      <c r="F1188" t="n">
        <v>32074</v>
      </c>
      <c r="G1188" t="n">
        <v>41308</v>
      </c>
      <c r="H1188">
        <f>E1188-F1188</f>
        <v/>
      </c>
      <c r="I1188">
        <f>(E1188-F1188)/D1188</f>
        <v/>
      </c>
    </row>
    <row r="1189">
      <c r="A1189" s="3" t="n">
        <v>42703</v>
      </c>
      <c r="B1189" t="inlineStr">
        <is>
          <t>111659</t>
        </is>
      </c>
      <c r="C1189" t="inlineStr">
        <is>
          <t>GASOLINE BLENDSTOCK (RBOB)  - NEW YORK MERCANTILE EXCHANGE</t>
        </is>
      </c>
      <c r="D1189" t="n">
        <v>365464</v>
      </c>
      <c r="E1189" t="n">
        <v>51229</v>
      </c>
      <c r="F1189" t="n">
        <v>29204</v>
      </c>
      <c r="G1189" t="n">
        <v>36854</v>
      </c>
      <c r="H1189">
        <f>E1189-F1189</f>
        <v/>
      </c>
      <c r="I1189">
        <f>(E1189-F1189)/D1189</f>
        <v/>
      </c>
    </row>
    <row r="1190">
      <c r="A1190" s="3" t="n">
        <v>42710</v>
      </c>
      <c r="B1190" t="inlineStr">
        <is>
          <t>111659</t>
        </is>
      </c>
      <c r="C1190" t="inlineStr">
        <is>
          <t>GASOLINE BLENDSTOCK (RBOB)  - NEW YORK MERCANTILE EXCHANGE</t>
        </is>
      </c>
      <c r="D1190" t="n">
        <v>387760</v>
      </c>
      <c r="E1190" t="n">
        <v>58961</v>
      </c>
      <c r="F1190" t="n">
        <v>18589</v>
      </c>
      <c r="G1190" t="n">
        <v>36764</v>
      </c>
      <c r="H1190">
        <f>E1190-F1190</f>
        <v/>
      </c>
      <c r="I1190">
        <f>(E1190-F1190)/D1190</f>
        <v/>
      </c>
    </row>
    <row r="1191">
      <c r="A1191" s="3" t="n">
        <v>42717</v>
      </c>
      <c r="B1191" t="inlineStr">
        <is>
          <t>111659</t>
        </is>
      </c>
      <c r="C1191" t="inlineStr">
        <is>
          <t>GASOLINE BLENDSTOCK (RBOB)  - NEW YORK MERCANTILE EXCHANGE</t>
        </is>
      </c>
      <c r="D1191" t="n">
        <v>385099</v>
      </c>
      <c r="E1191" t="n">
        <v>55679</v>
      </c>
      <c r="F1191" t="n">
        <v>17302</v>
      </c>
      <c r="G1191" t="n">
        <v>39069</v>
      </c>
      <c r="H1191">
        <f>E1191-F1191</f>
        <v/>
      </c>
      <c r="I1191">
        <f>(E1191-F1191)/D1191</f>
        <v/>
      </c>
    </row>
    <row r="1192">
      <c r="A1192" s="3" t="n">
        <v>42724</v>
      </c>
      <c r="B1192" t="inlineStr">
        <is>
          <t>111659</t>
        </is>
      </c>
      <c r="C1192" t="inlineStr">
        <is>
          <t>GASOLINE BLENDSTOCK (RBOB)  - NEW YORK MERCANTILE EXCHANGE</t>
        </is>
      </c>
      <c r="D1192" t="n">
        <v>392699</v>
      </c>
      <c r="E1192" t="n">
        <v>59662</v>
      </c>
      <c r="F1192" t="n">
        <v>17243</v>
      </c>
      <c r="G1192" t="n">
        <v>37745</v>
      </c>
      <c r="H1192">
        <f>E1192-F1192</f>
        <v/>
      </c>
      <c r="I1192">
        <f>(E1192-F1192)/D1192</f>
        <v/>
      </c>
    </row>
    <row r="1193">
      <c r="A1193" s="3" t="n">
        <v>42731</v>
      </c>
      <c r="B1193" t="inlineStr">
        <is>
          <t>111659</t>
        </is>
      </c>
      <c r="C1193" t="inlineStr">
        <is>
          <t>GASOLINE BLENDSTOCK (RBOB)  - NEW YORK MERCANTILE EXCHANGE</t>
        </is>
      </c>
      <c r="D1193" t="n">
        <v>403774</v>
      </c>
      <c r="E1193" t="n">
        <v>68562</v>
      </c>
      <c r="F1193" t="n">
        <v>18316</v>
      </c>
      <c r="G1193" t="n">
        <v>36986</v>
      </c>
      <c r="H1193">
        <f>E1193-F1193</f>
        <v/>
      </c>
      <c r="I1193">
        <f>(E1193-F1193)/D1193</f>
        <v/>
      </c>
    </row>
    <row r="1194">
      <c r="A1194" s="3" t="n">
        <v>44565</v>
      </c>
      <c r="B1194" t="inlineStr">
        <is>
          <t>111659</t>
        </is>
      </c>
      <c r="C1194" t="inlineStr">
        <is>
          <t>GASOLINE BLENDSTOCK (RBOB)  - NEW YORK MERCANTILE EXCHANGE</t>
        </is>
      </c>
      <c r="D1194" t="n">
        <v>312263</v>
      </c>
      <c r="E1194" t="n">
        <v>80862</v>
      </c>
      <c r="F1194" t="n">
        <v>6202</v>
      </c>
      <c r="G1194" t="n">
        <v>25502</v>
      </c>
      <c r="H1194">
        <f>E1194-F1194</f>
        <v/>
      </c>
      <c r="I1194">
        <f>(E1194-F1194)/D1194</f>
        <v/>
      </c>
    </row>
    <row r="1195">
      <c r="A1195" s="3" t="n">
        <v>44572</v>
      </c>
      <c r="B1195" t="inlineStr">
        <is>
          <t>111659</t>
        </is>
      </c>
      <c r="C1195" t="inlineStr">
        <is>
          <t>GASOLINE BLENDSTOCK (RBOB)  - NEW YORK MERCANTILE EXCHANGE</t>
        </is>
      </c>
      <c r="D1195" t="n">
        <v>339238</v>
      </c>
      <c r="E1195" t="n">
        <v>81162</v>
      </c>
      <c r="F1195" t="n">
        <v>7833</v>
      </c>
      <c r="G1195" t="n">
        <v>28353</v>
      </c>
      <c r="H1195">
        <f>E1195-F1195</f>
        <v/>
      </c>
      <c r="I1195">
        <f>(E1195-F1195)/D1195</f>
        <v/>
      </c>
    </row>
    <row r="1196">
      <c r="A1196" s="3" t="n">
        <v>44579</v>
      </c>
      <c r="B1196" t="inlineStr">
        <is>
          <t>111659</t>
        </is>
      </c>
      <c r="C1196" t="inlineStr">
        <is>
          <t>GASOLINE BLENDSTOCK (RBOB)  - NEW YORK MERCANTILE EXCHANGE</t>
        </is>
      </c>
      <c r="D1196" t="n">
        <v>365565</v>
      </c>
      <c r="E1196" t="n">
        <v>84603</v>
      </c>
      <c r="F1196" t="n">
        <v>8336</v>
      </c>
      <c r="G1196" t="n">
        <v>32156</v>
      </c>
      <c r="H1196">
        <f>E1196-F1196</f>
        <v/>
      </c>
      <c r="I1196">
        <f>(E1196-F1196)/D1196</f>
        <v/>
      </c>
    </row>
    <row r="1197">
      <c r="A1197" s="3" t="n">
        <v>44586</v>
      </c>
      <c r="B1197" t="inlineStr">
        <is>
          <t>111659</t>
        </is>
      </c>
      <c r="C1197" t="inlineStr">
        <is>
          <t>GASOLINE BLENDSTOCK (RBOB)  - NEW YORK MERCANTILE EXCHANGE</t>
        </is>
      </c>
      <c r="D1197" t="n">
        <v>364212</v>
      </c>
      <c r="E1197" t="n">
        <v>83561</v>
      </c>
      <c r="F1197" t="n">
        <v>8118</v>
      </c>
      <c r="G1197" t="n">
        <v>30623</v>
      </c>
      <c r="H1197">
        <f>E1197-F1197</f>
        <v/>
      </c>
      <c r="I1197">
        <f>(E1197-F1197)/D1197</f>
        <v/>
      </c>
    </row>
    <row r="1198">
      <c r="A1198" s="3" t="n">
        <v>44593</v>
      </c>
      <c r="B1198" t="inlineStr">
        <is>
          <t>111659</t>
        </is>
      </c>
      <c r="C1198" t="inlineStr">
        <is>
          <t>GASOLINE BLENDSTOCK (RBOB)  - NEW YORK MERCANTILE EXCHANGE</t>
        </is>
      </c>
      <c r="D1198" t="n">
        <v>367470</v>
      </c>
      <c r="E1198" t="n">
        <v>86656</v>
      </c>
      <c r="F1198" t="n">
        <v>5956</v>
      </c>
      <c r="G1198" t="n">
        <v>35334</v>
      </c>
      <c r="H1198">
        <f>E1198-F1198</f>
        <v/>
      </c>
      <c r="I1198">
        <f>(E1198-F1198)/D1198</f>
        <v/>
      </c>
    </row>
    <row r="1199">
      <c r="A1199" s="3" t="n">
        <v>44600</v>
      </c>
      <c r="B1199" t="inlineStr">
        <is>
          <t>111659</t>
        </is>
      </c>
      <c r="C1199" t="inlineStr">
        <is>
          <t>GASOLINE RBOB - NEW YORK MERCANTILE EXCHANGE</t>
        </is>
      </c>
      <c r="D1199" t="n">
        <v>386753</v>
      </c>
      <c r="E1199" t="n">
        <v>86686</v>
      </c>
      <c r="F1199" t="n">
        <v>6379</v>
      </c>
      <c r="G1199" t="n">
        <v>36314</v>
      </c>
      <c r="H1199">
        <f>E1199-F1199</f>
        <v/>
      </c>
      <c r="I1199">
        <f>(E1199-F1199)/D1199</f>
        <v/>
      </c>
    </row>
    <row r="1200">
      <c r="A1200" s="3" t="n">
        <v>44607</v>
      </c>
      <c r="B1200" t="inlineStr">
        <is>
          <t>111659</t>
        </is>
      </c>
      <c r="C1200" t="inlineStr">
        <is>
          <t>GASOLINE RBOB - NEW YORK MERCANTILE EXCHANGE</t>
        </is>
      </c>
      <c r="D1200" t="n">
        <v>402214</v>
      </c>
      <c r="E1200" t="n">
        <v>87935</v>
      </c>
      <c r="F1200" t="n">
        <v>6723</v>
      </c>
      <c r="G1200" t="n">
        <v>36040</v>
      </c>
      <c r="H1200">
        <f>E1200-F1200</f>
        <v/>
      </c>
      <c r="I1200">
        <f>(E1200-F1200)/D1200</f>
        <v/>
      </c>
    </row>
    <row r="1201">
      <c r="A1201" s="3" t="n">
        <v>44614</v>
      </c>
      <c r="B1201" t="inlineStr">
        <is>
          <t>111659</t>
        </is>
      </c>
      <c r="C1201" t="inlineStr">
        <is>
          <t>GASOLINE RBOB - NEW YORK MERCANTILE EXCHANGE</t>
        </is>
      </c>
      <c r="D1201" t="n">
        <v>389407</v>
      </c>
      <c r="E1201" t="n">
        <v>86366</v>
      </c>
      <c r="F1201" t="n">
        <v>5302</v>
      </c>
      <c r="G1201" t="n">
        <v>35925</v>
      </c>
      <c r="H1201">
        <f>E1201-F1201</f>
        <v/>
      </c>
      <c r="I1201">
        <f>(E1201-F1201)/D1201</f>
        <v/>
      </c>
    </row>
    <row r="1202">
      <c r="A1202" s="3" t="n">
        <v>44621</v>
      </c>
      <c r="B1202" t="inlineStr">
        <is>
          <t>111659</t>
        </is>
      </c>
      <c r="C1202" t="inlineStr">
        <is>
          <t>GASOLINE RBOB - NEW YORK MERCANTILE EXCHANGE</t>
        </is>
      </c>
      <c r="D1202" t="n">
        <v>362097</v>
      </c>
      <c r="E1202" t="n">
        <v>77375</v>
      </c>
      <c r="F1202" t="n">
        <v>3158</v>
      </c>
      <c r="G1202" t="n">
        <v>35924</v>
      </c>
      <c r="H1202">
        <f>E1202-F1202</f>
        <v/>
      </c>
      <c r="I1202">
        <f>(E1202-F1202)/D1202</f>
        <v/>
      </c>
    </row>
    <row r="1203">
      <c r="A1203" s="3" t="n">
        <v>44628</v>
      </c>
      <c r="B1203" t="inlineStr">
        <is>
          <t>111659</t>
        </is>
      </c>
      <c r="C1203" t="inlineStr">
        <is>
          <t>GASOLINE RBOB - NEW YORK MERCANTILE EXCHANGE</t>
        </is>
      </c>
      <c r="D1203" t="n">
        <v>311223</v>
      </c>
      <c r="E1203" t="n">
        <v>64705</v>
      </c>
      <c r="F1203" t="n">
        <v>3154</v>
      </c>
      <c r="G1203" t="n">
        <v>27966</v>
      </c>
      <c r="H1203">
        <f>E1203-F1203</f>
        <v/>
      </c>
      <c r="I1203">
        <f>(E1203-F1203)/D1203</f>
        <v/>
      </c>
    </row>
    <row r="1204">
      <c r="A1204" s="3" t="n">
        <v>44635</v>
      </c>
      <c r="B1204" t="inlineStr">
        <is>
          <t>111659</t>
        </is>
      </c>
      <c r="C1204" t="inlineStr">
        <is>
          <t>GASOLINE RBOB - NEW YORK MERCANTILE EXCHANGE</t>
        </is>
      </c>
      <c r="D1204" t="n">
        <v>288066</v>
      </c>
      <c r="E1204" t="n">
        <v>59284</v>
      </c>
      <c r="F1204" t="n">
        <v>4166</v>
      </c>
      <c r="G1204" t="n">
        <v>19912</v>
      </c>
      <c r="H1204">
        <f>E1204-F1204</f>
        <v/>
      </c>
      <c r="I1204">
        <f>(E1204-F1204)/D1204</f>
        <v/>
      </c>
    </row>
    <row r="1205">
      <c r="A1205" s="3" t="n">
        <v>44642</v>
      </c>
      <c r="B1205" t="inlineStr">
        <is>
          <t>111659</t>
        </is>
      </c>
      <c r="C1205" t="inlineStr">
        <is>
          <t>GASOLINE RBOB - NEW YORK MERCANTILE EXCHANGE</t>
        </is>
      </c>
      <c r="D1205" t="n">
        <v>284565</v>
      </c>
      <c r="E1205" t="n">
        <v>61155</v>
      </c>
      <c r="F1205" t="n">
        <v>2782</v>
      </c>
      <c r="G1205" t="n">
        <v>15745</v>
      </c>
      <c r="H1205">
        <f>E1205-F1205</f>
        <v/>
      </c>
      <c r="I1205">
        <f>(E1205-F1205)/D1205</f>
        <v/>
      </c>
    </row>
    <row r="1206">
      <c r="A1206" s="3" t="n">
        <v>44649</v>
      </c>
      <c r="B1206" t="inlineStr">
        <is>
          <t>111659</t>
        </is>
      </c>
      <c r="C1206" t="inlineStr">
        <is>
          <t>GASOLINE RBOB - NEW YORK MERCANTILE EXCHANGE</t>
        </is>
      </c>
      <c r="D1206" t="n">
        <v>285225</v>
      </c>
      <c r="E1206" t="n">
        <v>57971</v>
      </c>
      <c r="F1206" t="n">
        <v>2945</v>
      </c>
      <c r="G1206" t="n">
        <v>14358</v>
      </c>
      <c r="H1206">
        <f>E1206-F1206</f>
        <v/>
      </c>
      <c r="I1206">
        <f>(E1206-F1206)/D1206</f>
        <v/>
      </c>
    </row>
    <row r="1207">
      <c r="A1207" s="3" t="n">
        <v>44656</v>
      </c>
      <c r="B1207" t="inlineStr">
        <is>
          <t>111659</t>
        </is>
      </c>
      <c r="C1207" t="inlineStr">
        <is>
          <t>GASOLINE RBOB - NEW YORK MERCANTILE EXCHANGE</t>
        </is>
      </c>
      <c r="D1207" t="n">
        <v>292778</v>
      </c>
      <c r="E1207" t="n">
        <v>57645</v>
      </c>
      <c r="F1207" t="n">
        <v>4122</v>
      </c>
      <c r="G1207" t="n">
        <v>18339</v>
      </c>
      <c r="H1207">
        <f>E1207-F1207</f>
        <v/>
      </c>
      <c r="I1207">
        <f>(E1207-F1207)/D1207</f>
        <v/>
      </c>
    </row>
    <row r="1208">
      <c r="A1208" s="3" t="n">
        <v>44663</v>
      </c>
      <c r="B1208" t="inlineStr">
        <is>
          <t>111659</t>
        </is>
      </c>
      <c r="C1208" t="inlineStr">
        <is>
          <t>GASOLINE RBOB - NEW YORK MERCANTILE EXCHANGE</t>
        </is>
      </c>
      <c r="D1208" t="n">
        <v>294357</v>
      </c>
      <c r="E1208" t="n">
        <v>59978</v>
      </c>
      <c r="F1208" t="n">
        <v>2966</v>
      </c>
      <c r="G1208" t="n">
        <v>18442</v>
      </c>
      <c r="H1208">
        <f>E1208-F1208</f>
        <v/>
      </c>
      <c r="I1208">
        <f>(E1208-F1208)/D1208</f>
        <v/>
      </c>
    </row>
    <row r="1209">
      <c r="A1209" s="3" t="n">
        <v>44670</v>
      </c>
      <c r="B1209" t="inlineStr">
        <is>
          <t>111659</t>
        </is>
      </c>
      <c r="C1209" t="inlineStr">
        <is>
          <t>GASOLINE RBOB - NEW YORK MERCANTILE EXCHANGE</t>
        </is>
      </c>
      <c r="D1209" t="n">
        <v>299544</v>
      </c>
      <c r="E1209" t="n">
        <v>64214</v>
      </c>
      <c r="F1209" t="n">
        <v>4341</v>
      </c>
      <c r="G1209" t="n">
        <v>21042</v>
      </c>
      <c r="H1209">
        <f>E1209-F1209</f>
        <v/>
      </c>
      <c r="I1209">
        <f>(E1209-F1209)/D1209</f>
        <v/>
      </c>
    </row>
    <row r="1210">
      <c r="A1210" s="3" t="n">
        <v>44677</v>
      </c>
      <c r="B1210" t="inlineStr">
        <is>
          <t>111659</t>
        </is>
      </c>
      <c r="C1210" t="inlineStr">
        <is>
          <t>GASOLINE RBOB - NEW YORK MERCANTILE EXCHANGE</t>
        </is>
      </c>
      <c r="D1210" t="n">
        <v>302854</v>
      </c>
      <c r="E1210" t="n">
        <v>61619</v>
      </c>
      <c r="F1210" t="n">
        <v>4191</v>
      </c>
      <c r="G1210" t="n">
        <v>22187</v>
      </c>
      <c r="H1210">
        <f>E1210-F1210</f>
        <v/>
      </c>
      <c r="I1210">
        <f>(E1210-F1210)/D1210</f>
        <v/>
      </c>
    </row>
    <row r="1211">
      <c r="A1211" s="3" t="n">
        <v>44684</v>
      </c>
      <c r="B1211" t="inlineStr">
        <is>
          <t>111659</t>
        </is>
      </c>
      <c r="C1211" t="inlineStr">
        <is>
          <t>GASOLINE RBOB - NEW YORK MERCANTILE EXCHANGE</t>
        </is>
      </c>
      <c r="D1211" t="n">
        <v>309304</v>
      </c>
      <c r="E1211" t="n">
        <v>63439</v>
      </c>
      <c r="F1211" t="n">
        <v>2447</v>
      </c>
      <c r="G1211" t="n">
        <v>23802</v>
      </c>
      <c r="H1211">
        <f>E1211-F1211</f>
        <v/>
      </c>
      <c r="I1211">
        <f>(E1211-F1211)/D1211</f>
        <v/>
      </c>
    </row>
    <row r="1212">
      <c r="A1212" s="3" t="n">
        <v>44691</v>
      </c>
      <c r="B1212" t="inlineStr">
        <is>
          <t>111659</t>
        </is>
      </c>
      <c r="C1212" t="inlineStr">
        <is>
          <t>GASOLINE RBOB - NEW YORK MERCANTILE EXCHANGE</t>
        </is>
      </c>
      <c r="D1212" t="n">
        <v>300055</v>
      </c>
      <c r="E1212" t="n">
        <v>59826</v>
      </c>
      <c r="F1212" t="n">
        <v>3324</v>
      </c>
      <c r="G1212" t="n">
        <v>27308</v>
      </c>
      <c r="H1212">
        <f>E1212-F1212</f>
        <v/>
      </c>
      <c r="I1212">
        <f>(E1212-F1212)/D1212</f>
        <v/>
      </c>
    </row>
    <row r="1213">
      <c r="A1213" s="3" t="n">
        <v>44698</v>
      </c>
      <c r="B1213" t="inlineStr">
        <is>
          <t>111659</t>
        </is>
      </c>
      <c r="C1213" t="inlineStr">
        <is>
          <t>GASOLINE RBOB - NEW YORK MERCANTILE EXCHANGE</t>
        </is>
      </c>
      <c r="D1213" t="n">
        <v>307661</v>
      </c>
      <c r="E1213" t="n">
        <v>63022</v>
      </c>
      <c r="F1213" t="n">
        <v>2343</v>
      </c>
      <c r="G1213" t="n">
        <v>23095</v>
      </c>
      <c r="H1213">
        <f>E1213-F1213</f>
        <v/>
      </c>
      <c r="I1213">
        <f>(E1213-F1213)/D1213</f>
        <v/>
      </c>
    </row>
    <row r="1214">
      <c r="A1214" s="3" t="n">
        <v>44705</v>
      </c>
      <c r="B1214" t="inlineStr">
        <is>
          <t>111659</t>
        </is>
      </c>
      <c r="C1214" t="inlineStr">
        <is>
          <t>GASOLINE RBOB - NEW YORK MERCANTILE EXCHANGE</t>
        </is>
      </c>
      <c r="D1214" t="n">
        <v>310478</v>
      </c>
      <c r="E1214" t="n">
        <v>59270</v>
      </c>
      <c r="F1214" t="n">
        <v>3007</v>
      </c>
      <c r="G1214" t="n">
        <v>20016</v>
      </c>
      <c r="H1214">
        <f>E1214-F1214</f>
        <v/>
      </c>
      <c r="I1214">
        <f>(E1214-F1214)/D1214</f>
        <v/>
      </c>
    </row>
    <row r="1215">
      <c r="A1215" s="3" t="n">
        <v>44712</v>
      </c>
      <c r="B1215" t="inlineStr">
        <is>
          <t>111659</t>
        </is>
      </c>
      <c r="C1215" t="inlineStr">
        <is>
          <t>GASOLINE RBOB - NEW YORK MERCANTILE EXCHANGE</t>
        </is>
      </c>
      <c r="D1215" t="n">
        <v>307627</v>
      </c>
      <c r="E1215" t="n">
        <v>62763</v>
      </c>
      <c r="F1215" t="n">
        <v>3189</v>
      </c>
      <c r="G1215" t="n">
        <v>20634</v>
      </c>
      <c r="H1215">
        <f>E1215-F1215</f>
        <v/>
      </c>
      <c r="I1215">
        <f>(E1215-F1215)/D1215</f>
        <v/>
      </c>
    </row>
    <row r="1216">
      <c r="A1216" s="3" t="n">
        <v>44719</v>
      </c>
      <c r="B1216" t="inlineStr">
        <is>
          <t>111659</t>
        </is>
      </c>
      <c r="C1216" t="inlineStr">
        <is>
          <t>GASOLINE RBOB - NEW YORK MERCANTILE EXCHANGE</t>
        </is>
      </c>
      <c r="D1216" t="n">
        <v>308245</v>
      </c>
      <c r="E1216" t="n">
        <v>61298</v>
      </c>
      <c r="F1216" t="n">
        <v>2551</v>
      </c>
      <c r="G1216" t="n">
        <v>26629</v>
      </c>
      <c r="H1216">
        <f>E1216-F1216</f>
        <v/>
      </c>
      <c r="I1216">
        <f>(E1216-F1216)/D1216</f>
        <v/>
      </c>
    </row>
    <row r="1217">
      <c r="A1217" s="3" t="n">
        <v>44726</v>
      </c>
      <c r="B1217" t="inlineStr">
        <is>
          <t>111659</t>
        </is>
      </c>
      <c r="C1217" t="inlineStr">
        <is>
          <t>GASOLINE RBOB - NEW YORK MERCANTILE EXCHANGE</t>
        </is>
      </c>
      <c r="D1217" t="n">
        <v>308890</v>
      </c>
      <c r="E1217" t="n">
        <v>62552</v>
      </c>
      <c r="F1217" t="n">
        <v>3211</v>
      </c>
      <c r="G1217" t="n">
        <v>24121</v>
      </c>
      <c r="H1217">
        <f>E1217-F1217</f>
        <v/>
      </c>
      <c r="I1217">
        <f>(E1217-F1217)/D1217</f>
        <v/>
      </c>
    </row>
    <row r="1218">
      <c r="A1218" s="3" t="n">
        <v>44733</v>
      </c>
      <c r="B1218" t="inlineStr">
        <is>
          <t>111659</t>
        </is>
      </c>
      <c r="C1218" t="inlineStr">
        <is>
          <t>GASOLINE RBOB - NEW YORK MERCANTILE EXCHANGE</t>
        </is>
      </c>
      <c r="D1218" t="n">
        <v>299853</v>
      </c>
      <c r="E1218" t="n">
        <v>61156</v>
      </c>
      <c r="F1218" t="n">
        <v>4963</v>
      </c>
      <c r="G1218" t="n">
        <v>20436</v>
      </c>
      <c r="H1218">
        <f>E1218-F1218</f>
        <v/>
      </c>
      <c r="I1218">
        <f>(E1218-F1218)/D1218</f>
        <v/>
      </c>
    </row>
    <row r="1219">
      <c r="A1219" s="3" t="n">
        <v>44740</v>
      </c>
      <c r="B1219" t="inlineStr">
        <is>
          <t>111659</t>
        </is>
      </c>
      <c r="C1219" t="inlineStr">
        <is>
          <t>GASOLINE RBOB - NEW YORK MERCANTILE EXCHANGE</t>
        </is>
      </c>
      <c r="D1219" t="n">
        <v>288532</v>
      </c>
      <c r="E1219" t="n">
        <v>61979</v>
      </c>
      <c r="F1219" t="n">
        <v>8372</v>
      </c>
      <c r="G1219" t="n">
        <v>19820</v>
      </c>
      <c r="H1219">
        <f>E1219-F1219</f>
        <v/>
      </c>
      <c r="I1219">
        <f>(E1219-F1219)/D1219</f>
        <v/>
      </c>
    </row>
    <row r="1220">
      <c r="A1220" s="3" t="n">
        <v>44747</v>
      </c>
      <c r="B1220" t="inlineStr">
        <is>
          <t>111659</t>
        </is>
      </c>
      <c r="C1220" t="inlineStr">
        <is>
          <t>GASOLINE RBOB - NEW YORK MERCANTILE EXCHANGE</t>
        </is>
      </c>
      <c r="D1220" t="n">
        <v>270987</v>
      </c>
      <c r="E1220" t="n">
        <v>58323</v>
      </c>
      <c r="F1220" t="n">
        <v>12686</v>
      </c>
      <c r="G1220" t="n">
        <v>22910</v>
      </c>
      <c r="H1220">
        <f>E1220-F1220</f>
        <v/>
      </c>
      <c r="I1220">
        <f>(E1220-F1220)/D1220</f>
        <v/>
      </c>
    </row>
    <row r="1221">
      <c r="A1221" s="3" t="n">
        <v>44754</v>
      </c>
      <c r="B1221" t="inlineStr">
        <is>
          <t>111659</t>
        </is>
      </c>
      <c r="C1221" t="inlineStr">
        <is>
          <t>GASOLINE RBOB - NEW YORK MERCANTILE EXCHANGE</t>
        </is>
      </c>
      <c r="D1221" t="n">
        <v>277880</v>
      </c>
      <c r="E1221" t="n">
        <v>53528</v>
      </c>
      <c r="F1221" t="n">
        <v>6627</v>
      </c>
      <c r="G1221" t="n">
        <v>22616</v>
      </c>
      <c r="H1221">
        <f>E1221-F1221</f>
        <v/>
      </c>
      <c r="I1221">
        <f>(E1221-F1221)/D1221</f>
        <v/>
      </c>
    </row>
    <row r="1222">
      <c r="A1222" s="3" t="n">
        <v>44761</v>
      </c>
      <c r="B1222" t="inlineStr">
        <is>
          <t>111659</t>
        </is>
      </c>
      <c r="C1222" t="inlineStr">
        <is>
          <t>GASOLINE RBOB - NEW YORK MERCANTILE EXCHANGE</t>
        </is>
      </c>
      <c r="D1222" t="n">
        <v>270046</v>
      </c>
      <c r="E1222" t="n">
        <v>55437</v>
      </c>
      <c r="F1222" t="n">
        <v>6645</v>
      </c>
      <c r="G1222" t="n">
        <v>23563</v>
      </c>
      <c r="H1222">
        <f>E1222-F1222</f>
        <v/>
      </c>
      <c r="I1222">
        <f>(E1222-F1222)/D1222</f>
        <v/>
      </c>
    </row>
    <row r="1223">
      <c r="A1223" s="3" t="n">
        <v>44768</v>
      </c>
      <c r="B1223" t="inlineStr">
        <is>
          <t>111659</t>
        </is>
      </c>
      <c r="C1223" t="inlineStr">
        <is>
          <t>GASOLINE RBOB - NEW YORK MERCANTILE EXCHANGE</t>
        </is>
      </c>
      <c r="D1223" t="n">
        <v>255506</v>
      </c>
      <c r="E1223" t="n">
        <v>55860</v>
      </c>
      <c r="F1223" t="n">
        <v>6043</v>
      </c>
      <c r="G1223" t="n">
        <v>19332</v>
      </c>
      <c r="H1223">
        <f>E1223-F1223</f>
        <v/>
      </c>
      <c r="I1223">
        <f>(E1223-F1223)/D1223</f>
        <v/>
      </c>
    </row>
    <row r="1224">
      <c r="A1224" s="3" t="n">
        <v>44775</v>
      </c>
      <c r="B1224" t="inlineStr">
        <is>
          <t>111659</t>
        </is>
      </c>
      <c r="C1224" t="inlineStr">
        <is>
          <t>GASOLINE RBOB - NEW YORK MERCANTILE EXCHANGE</t>
        </is>
      </c>
      <c r="D1224" t="n">
        <v>253520</v>
      </c>
      <c r="E1224" t="n">
        <v>60216</v>
      </c>
      <c r="F1224" t="n">
        <v>4440</v>
      </c>
      <c r="G1224" t="n">
        <v>21270</v>
      </c>
      <c r="H1224">
        <f>E1224-F1224</f>
        <v/>
      </c>
      <c r="I1224">
        <f>(E1224-F1224)/D1224</f>
        <v/>
      </c>
    </row>
    <row r="1225">
      <c r="A1225" s="3" t="n">
        <v>44782</v>
      </c>
      <c r="B1225" t="inlineStr">
        <is>
          <t>111659</t>
        </is>
      </c>
      <c r="C1225" t="inlineStr">
        <is>
          <t>GASOLINE RBOB - NEW YORK MERCANTILE EXCHANGE</t>
        </is>
      </c>
      <c r="D1225" t="n">
        <v>250399</v>
      </c>
      <c r="E1225" t="n">
        <v>57314</v>
      </c>
      <c r="F1225" t="n">
        <v>4624</v>
      </c>
      <c r="G1225" t="n">
        <v>22367</v>
      </c>
      <c r="H1225">
        <f>E1225-F1225</f>
        <v/>
      </c>
      <c r="I1225">
        <f>(E1225-F1225)/D1225</f>
        <v/>
      </c>
    </row>
    <row r="1226">
      <c r="A1226" s="3" t="n">
        <v>44789</v>
      </c>
      <c r="B1226" t="inlineStr">
        <is>
          <t>111659</t>
        </is>
      </c>
      <c r="C1226" t="inlineStr">
        <is>
          <t>GASOLINE RBOB - NEW YORK MERCANTILE EXCHANGE</t>
        </is>
      </c>
      <c r="D1226" t="n">
        <v>259784</v>
      </c>
      <c r="E1226" t="n">
        <v>65315</v>
      </c>
      <c r="F1226" t="n">
        <v>4774</v>
      </c>
      <c r="G1226" t="n">
        <v>21080</v>
      </c>
      <c r="H1226">
        <f>E1226-F1226</f>
        <v/>
      </c>
      <c r="I1226">
        <f>(E1226-F1226)/D1226</f>
        <v/>
      </c>
    </row>
    <row r="1227">
      <c r="A1227" s="3" t="n">
        <v>44796</v>
      </c>
      <c r="B1227" t="inlineStr">
        <is>
          <t>111659</t>
        </is>
      </c>
      <c r="C1227" t="inlineStr">
        <is>
          <t>GASOLINE RBOB - NEW YORK MERCANTILE EXCHANGE</t>
        </is>
      </c>
      <c r="D1227" t="n">
        <v>265738</v>
      </c>
      <c r="E1227" t="n">
        <v>70626</v>
      </c>
      <c r="F1227" t="n">
        <v>4592</v>
      </c>
      <c r="G1227" t="n">
        <v>20904</v>
      </c>
      <c r="H1227">
        <f>E1227-F1227</f>
        <v/>
      </c>
      <c r="I1227">
        <f>(E1227-F1227)/D1227</f>
        <v/>
      </c>
    </row>
    <row r="1228">
      <c r="A1228" s="3" t="n">
        <v>44803</v>
      </c>
      <c r="B1228" t="inlineStr">
        <is>
          <t>111659</t>
        </is>
      </c>
      <c r="C1228" t="inlineStr">
        <is>
          <t>GASOLINE RBOB - NEW YORK MERCANTILE EXCHANGE</t>
        </is>
      </c>
      <c r="D1228" t="n">
        <v>253215</v>
      </c>
      <c r="E1228" t="n">
        <v>64525</v>
      </c>
      <c r="F1228" t="n">
        <v>6107</v>
      </c>
      <c r="G1228" t="n">
        <v>20039</v>
      </c>
      <c r="H1228">
        <f>E1228-F1228</f>
        <v/>
      </c>
      <c r="I1228">
        <f>(E1228-F1228)/D1228</f>
        <v/>
      </c>
    </row>
    <row r="1229">
      <c r="A1229" s="3" t="n">
        <v>44810</v>
      </c>
      <c r="B1229" t="inlineStr">
        <is>
          <t>111659</t>
        </is>
      </c>
      <c r="C1229" t="inlineStr">
        <is>
          <t>GASOLINE RBOB - NEW YORK MERCANTILE EXCHANGE</t>
        </is>
      </c>
      <c r="D1229" t="n">
        <v>244409</v>
      </c>
      <c r="E1229" t="n">
        <v>62777</v>
      </c>
      <c r="F1229" t="n">
        <v>7237</v>
      </c>
      <c r="G1229" t="n">
        <v>16998</v>
      </c>
      <c r="H1229">
        <f>E1229-F1229</f>
        <v/>
      </c>
      <c r="I1229">
        <f>(E1229-F1229)/D1229</f>
        <v/>
      </c>
    </row>
    <row r="1230">
      <c r="A1230" s="3" t="n">
        <v>44817</v>
      </c>
      <c r="B1230" t="inlineStr">
        <is>
          <t>111659</t>
        </is>
      </c>
      <c r="C1230" t="inlineStr">
        <is>
          <t>GASOLINE RBOB - NEW YORK MERCANTILE EXCHANGE</t>
        </is>
      </c>
      <c r="D1230" t="n">
        <v>249853</v>
      </c>
      <c r="E1230" t="n">
        <v>58756</v>
      </c>
      <c r="F1230" t="n">
        <v>8394</v>
      </c>
      <c r="G1230" t="n">
        <v>19517</v>
      </c>
      <c r="H1230">
        <f>E1230-F1230</f>
        <v/>
      </c>
      <c r="I1230">
        <f>(E1230-F1230)/D1230</f>
        <v/>
      </c>
    </row>
    <row r="1231">
      <c r="A1231" s="3" t="n">
        <v>44824</v>
      </c>
      <c r="B1231" t="inlineStr">
        <is>
          <t>111659</t>
        </is>
      </c>
      <c r="C1231" t="inlineStr">
        <is>
          <t>GASOLINE RBOB - NEW YORK MERCANTILE EXCHANGE</t>
        </is>
      </c>
      <c r="D1231" t="n">
        <v>255774</v>
      </c>
      <c r="E1231" t="n">
        <v>59922</v>
      </c>
      <c r="F1231" t="n">
        <v>7971</v>
      </c>
      <c r="G1231" t="n">
        <v>17861</v>
      </c>
      <c r="H1231">
        <f>E1231-F1231</f>
        <v/>
      </c>
      <c r="I1231">
        <f>(E1231-F1231)/D1231</f>
        <v/>
      </c>
    </row>
    <row r="1232">
      <c r="A1232" s="3" t="n">
        <v>44831</v>
      </c>
      <c r="B1232" t="inlineStr">
        <is>
          <t>111659</t>
        </is>
      </c>
      <c r="C1232" t="inlineStr">
        <is>
          <t>GASOLINE RBOB - NEW YORK MERCANTILE EXCHANGE</t>
        </is>
      </c>
      <c r="D1232" t="n">
        <v>239345</v>
      </c>
      <c r="E1232" t="n">
        <v>62200</v>
      </c>
      <c r="F1232" t="n">
        <v>10286</v>
      </c>
      <c r="G1232" t="n">
        <v>16850</v>
      </c>
      <c r="H1232">
        <f>E1232-F1232</f>
        <v/>
      </c>
      <c r="I1232">
        <f>(E1232-F1232)/D1232</f>
        <v/>
      </c>
    </row>
    <row r="1233">
      <c r="A1233" s="3" t="n">
        <v>44838</v>
      </c>
      <c r="B1233" t="inlineStr">
        <is>
          <t>111659</t>
        </is>
      </c>
      <c r="C1233" t="inlineStr">
        <is>
          <t>GASOLINE RBOB - NEW YORK MERCANTILE EXCHANGE</t>
        </is>
      </c>
      <c r="D1233" t="n">
        <v>242669</v>
      </c>
      <c r="E1233" t="n">
        <v>62330</v>
      </c>
      <c r="F1233" t="n">
        <v>6702</v>
      </c>
      <c r="G1233" t="n">
        <v>19836</v>
      </c>
      <c r="H1233">
        <f>E1233-F1233</f>
        <v/>
      </c>
      <c r="I1233">
        <f>(E1233-F1233)/D1233</f>
        <v/>
      </c>
    </row>
    <row r="1234">
      <c r="A1234" s="3" t="n">
        <v>44845</v>
      </c>
      <c r="B1234" t="inlineStr">
        <is>
          <t>111659</t>
        </is>
      </c>
      <c r="C1234" t="inlineStr">
        <is>
          <t>GASOLINE RBOB - NEW YORK MERCANTILE EXCHANGE</t>
        </is>
      </c>
      <c r="D1234" t="n">
        <v>257547</v>
      </c>
      <c r="E1234" t="n">
        <v>57324</v>
      </c>
      <c r="F1234" t="n">
        <v>4539</v>
      </c>
      <c r="G1234" t="n">
        <v>16374</v>
      </c>
      <c r="H1234">
        <f>E1234-F1234</f>
        <v/>
      </c>
      <c r="I1234">
        <f>(E1234-F1234)/D1234</f>
        <v/>
      </c>
    </row>
    <row r="1235">
      <c r="A1235" s="3" t="n">
        <v>44852</v>
      </c>
      <c r="B1235" t="inlineStr">
        <is>
          <t>111659</t>
        </is>
      </c>
      <c r="C1235" t="inlineStr">
        <is>
          <t>GASOLINE RBOB - NEW YORK MERCANTILE EXCHANGE</t>
        </is>
      </c>
      <c r="D1235" t="n">
        <v>253889</v>
      </c>
      <c r="E1235" t="n">
        <v>54963</v>
      </c>
      <c r="F1235" t="n">
        <v>4933</v>
      </c>
      <c r="G1235" t="n">
        <v>15884</v>
      </c>
      <c r="H1235">
        <f>E1235-F1235</f>
        <v/>
      </c>
      <c r="I1235">
        <f>(E1235-F1235)/D1235</f>
        <v/>
      </c>
    </row>
    <row r="1236">
      <c r="A1236" s="3" t="n">
        <v>44859</v>
      </c>
      <c r="B1236" t="inlineStr">
        <is>
          <t>111659</t>
        </is>
      </c>
      <c r="C1236" t="inlineStr">
        <is>
          <t>GASOLINE RBOB - NEW YORK MERCANTILE EXCHANGE</t>
        </is>
      </c>
      <c r="D1236" t="n">
        <v>235617</v>
      </c>
      <c r="E1236" t="n">
        <v>59875</v>
      </c>
      <c r="F1236" t="n">
        <v>4226</v>
      </c>
      <c r="G1236" t="n">
        <v>15179</v>
      </c>
      <c r="H1236">
        <f>E1236-F1236</f>
        <v/>
      </c>
      <c r="I1236">
        <f>(E1236-F1236)/D1236</f>
        <v/>
      </c>
    </row>
    <row r="1237">
      <c r="A1237" s="3" t="n">
        <v>44866</v>
      </c>
      <c r="B1237" t="inlineStr">
        <is>
          <t>111659</t>
        </is>
      </c>
      <c r="C1237" t="inlineStr">
        <is>
          <t>GASOLINE RBOB - NEW YORK MERCANTILE EXCHANGE</t>
        </is>
      </c>
      <c r="D1237" t="n">
        <v>234108</v>
      </c>
      <c r="E1237" t="n">
        <v>58432</v>
      </c>
      <c r="F1237" t="n">
        <v>5187</v>
      </c>
      <c r="G1237" t="n">
        <v>17375</v>
      </c>
      <c r="H1237">
        <f>E1237-F1237</f>
        <v/>
      </c>
      <c r="I1237">
        <f>(E1237-F1237)/D1237</f>
        <v/>
      </c>
    </row>
    <row r="1238">
      <c r="A1238" s="3" t="n">
        <v>44873</v>
      </c>
      <c r="B1238" t="inlineStr">
        <is>
          <t>111659</t>
        </is>
      </c>
      <c r="C1238" t="inlineStr">
        <is>
          <t>GASOLINE RBOB - NEW YORK MERCANTILE EXCHANGE</t>
        </is>
      </c>
      <c r="D1238" t="n">
        <v>247679</v>
      </c>
      <c r="E1238" t="n">
        <v>64886</v>
      </c>
      <c r="F1238" t="n">
        <v>4297</v>
      </c>
      <c r="G1238" t="n">
        <v>17885</v>
      </c>
      <c r="H1238">
        <f>E1238-F1238</f>
        <v/>
      </c>
      <c r="I1238">
        <f>(E1238-F1238)/D1238</f>
        <v/>
      </c>
    </row>
    <row r="1239">
      <c r="A1239" s="3" t="n">
        <v>44880</v>
      </c>
      <c r="B1239" t="inlineStr">
        <is>
          <t>111659</t>
        </is>
      </c>
      <c r="C1239" t="inlineStr">
        <is>
          <t>GASOLINE RBOB - NEW YORK MERCANTILE EXCHANGE</t>
        </is>
      </c>
      <c r="D1239" t="n">
        <v>263890</v>
      </c>
      <c r="E1239" t="n">
        <v>60962</v>
      </c>
      <c r="F1239" t="n">
        <v>4365</v>
      </c>
      <c r="G1239" t="n">
        <v>19976</v>
      </c>
      <c r="H1239">
        <f>E1239-F1239</f>
        <v/>
      </c>
      <c r="I1239">
        <f>(E1239-F1239)/D1239</f>
        <v/>
      </c>
    </row>
    <row r="1240">
      <c r="A1240" s="3" t="n">
        <v>44887</v>
      </c>
      <c r="B1240" t="inlineStr">
        <is>
          <t>111659</t>
        </is>
      </c>
      <c r="C1240" t="inlineStr">
        <is>
          <t>GASOLINE RBOB - NEW YORK MERCANTILE EXCHANGE</t>
        </is>
      </c>
      <c r="D1240" t="n">
        <v>262966</v>
      </c>
      <c r="E1240" t="n">
        <v>64272</v>
      </c>
      <c r="F1240" t="n">
        <v>4542</v>
      </c>
      <c r="G1240" t="n">
        <v>18379</v>
      </c>
      <c r="H1240">
        <f>E1240-F1240</f>
        <v/>
      </c>
      <c r="I1240">
        <f>(E1240-F1240)/D1240</f>
        <v/>
      </c>
    </row>
    <row r="1241">
      <c r="A1241" s="3" t="n">
        <v>44894</v>
      </c>
      <c r="B1241" t="inlineStr">
        <is>
          <t>111659</t>
        </is>
      </c>
      <c r="C1241" t="inlineStr">
        <is>
          <t>GASOLINE RBOB - NEW YORK MERCANTILE EXCHANGE</t>
        </is>
      </c>
      <c r="D1241" t="n">
        <v>244676</v>
      </c>
      <c r="E1241" t="n">
        <v>62873</v>
      </c>
      <c r="F1241" t="n">
        <v>5714</v>
      </c>
      <c r="G1241" t="n">
        <v>17933</v>
      </c>
      <c r="H1241">
        <f>E1241-F1241</f>
        <v/>
      </c>
      <c r="I1241">
        <f>(E1241-F1241)/D1241</f>
        <v/>
      </c>
    </row>
    <row r="1242">
      <c r="A1242" s="3" t="n">
        <v>44901</v>
      </c>
      <c r="B1242" t="inlineStr">
        <is>
          <t>111659</t>
        </is>
      </c>
      <c r="C1242" t="inlineStr">
        <is>
          <t>GASOLINE RBOB - NEW YORK MERCANTILE EXCHANGE</t>
        </is>
      </c>
      <c r="D1242" t="n">
        <v>255669</v>
      </c>
      <c r="E1242" t="n">
        <v>57535</v>
      </c>
      <c r="F1242" t="n">
        <v>4891</v>
      </c>
      <c r="G1242" t="n">
        <v>25121</v>
      </c>
      <c r="H1242">
        <f>E1242-F1242</f>
        <v/>
      </c>
      <c r="I1242">
        <f>(E1242-F1242)/D1242</f>
        <v/>
      </c>
    </row>
    <row r="1243">
      <c r="A1243" s="3" t="n">
        <v>44908</v>
      </c>
      <c r="B1243" t="inlineStr">
        <is>
          <t>111659</t>
        </is>
      </c>
      <c r="C1243" t="inlineStr">
        <is>
          <t>GASOLINE RBOB - NEW YORK MERCANTILE EXCHANGE</t>
        </is>
      </c>
      <c r="D1243" t="n">
        <v>262771</v>
      </c>
      <c r="E1243" t="n">
        <v>53600</v>
      </c>
      <c r="F1243" t="n">
        <v>6088</v>
      </c>
      <c r="G1243" t="n">
        <v>26759</v>
      </c>
      <c r="H1243">
        <f>E1243-F1243</f>
        <v/>
      </c>
      <c r="I1243">
        <f>(E1243-F1243)/D1243</f>
        <v/>
      </c>
    </row>
    <row r="1244">
      <c r="A1244" s="3" t="n">
        <v>44915</v>
      </c>
      <c r="B1244" t="inlineStr">
        <is>
          <t>111659</t>
        </is>
      </c>
      <c r="C1244" t="inlineStr">
        <is>
          <t>GASOLINE RBOB - NEW YORK MERCANTILE EXCHANGE</t>
        </is>
      </c>
      <c r="D1244" t="n">
        <v>259864</v>
      </c>
      <c r="E1244" t="n">
        <v>55867</v>
      </c>
      <c r="F1244" t="n">
        <v>5611</v>
      </c>
      <c r="G1244" t="n">
        <v>24915</v>
      </c>
      <c r="H1244">
        <f>E1244-F1244</f>
        <v/>
      </c>
      <c r="I1244">
        <f>(E1244-F1244)/D1244</f>
        <v/>
      </c>
    </row>
    <row r="1245">
      <c r="A1245" s="3" t="n">
        <v>44922</v>
      </c>
      <c r="B1245" t="inlineStr">
        <is>
          <t>111659</t>
        </is>
      </c>
      <c r="C1245" t="inlineStr">
        <is>
          <t>GASOLINE RBOB - NEW YORK MERCANTILE EXCHANGE</t>
        </is>
      </c>
      <c r="D1245" t="n">
        <v>247396</v>
      </c>
      <c r="E1245" t="n">
        <v>54103</v>
      </c>
      <c r="F1245" t="n">
        <v>3204</v>
      </c>
      <c r="G1245" t="n">
        <v>24462</v>
      </c>
      <c r="H1245">
        <f>E1245-F1245</f>
        <v/>
      </c>
      <c r="I1245">
        <f>(E1245-F1245)/D1245</f>
        <v/>
      </c>
    </row>
    <row r="1246">
      <c r="A1246" s="3" t="n">
        <v>46028</v>
      </c>
      <c r="B1246" t="inlineStr">
        <is>
          <t>111659</t>
        </is>
      </c>
      <c r="C1246" t="inlineStr">
        <is>
          <t>GASOLINE RBOB - NEW YORK MERCANTILE EXCHANGE</t>
        </is>
      </c>
      <c r="D1246" t="n">
        <v>420878</v>
      </c>
      <c r="E1246" t="n">
        <v>77345</v>
      </c>
      <c r="F1246" t="n">
        <v>28280</v>
      </c>
      <c r="G1246" t="n">
        <v>63556</v>
      </c>
      <c r="H1246">
        <f>E1246-F1246</f>
        <v/>
      </c>
      <c r="I1246">
        <f>(E1246-F1246)/D1246</f>
        <v/>
      </c>
    </row>
    <row r="1247">
      <c r="A1247" s="3" t="n">
        <v>46035</v>
      </c>
      <c r="B1247" t="inlineStr">
        <is>
          <t>111659</t>
        </is>
      </c>
      <c r="C1247" t="inlineStr">
        <is>
          <t>GASOLINE RBOB - NEW YORK MERCANTILE EXCHANGE</t>
        </is>
      </c>
      <c r="D1247" t="n">
        <v>450217</v>
      </c>
      <c r="E1247" t="n">
        <v>81942</v>
      </c>
      <c r="F1247" t="n">
        <v>24562</v>
      </c>
      <c r="G1247" t="n">
        <v>66787</v>
      </c>
      <c r="H1247">
        <f>E1247-F1247</f>
        <v/>
      </c>
      <c r="I1247">
        <f>(E1247-F1247)/D1247</f>
        <v/>
      </c>
    </row>
    <row r="1248">
      <c r="A1248" s="3" t="n">
        <v>46042</v>
      </c>
      <c r="B1248" t="inlineStr">
        <is>
          <t>111659</t>
        </is>
      </c>
      <c r="C1248" t="inlineStr">
        <is>
          <t>GASOLINE RBOB - NEW YORK MERCANTILE EXCHANGE</t>
        </is>
      </c>
      <c r="D1248" t="n">
        <v>456118</v>
      </c>
      <c r="E1248" t="n">
        <v>84622</v>
      </c>
      <c r="F1248" t="n">
        <v>23628</v>
      </c>
      <c r="G1248" t="n">
        <v>67150</v>
      </c>
      <c r="H1248">
        <f>E1248-F1248</f>
        <v/>
      </c>
      <c r="I1248">
        <f>(E1248-F1248)/D1248</f>
        <v/>
      </c>
    </row>
    <row r="1249">
      <c r="A1249" s="3" t="n">
        <v>46049</v>
      </c>
      <c r="B1249" t="inlineStr">
        <is>
          <t>111659</t>
        </is>
      </c>
      <c r="C1249" t="inlineStr">
        <is>
          <t>GASOLINE RBOB - NEW YORK MERCANTILE EXCHANGE</t>
        </is>
      </c>
      <c r="D1249" t="n">
        <v>464345</v>
      </c>
      <c r="E1249" t="n">
        <v>91426</v>
      </c>
      <c r="F1249" t="n">
        <v>26219</v>
      </c>
      <c r="G1249" t="n">
        <v>63931</v>
      </c>
      <c r="H1249">
        <f>E1249-F1249</f>
        <v/>
      </c>
      <c r="I1249">
        <f>(E1249-F1249)/D1249</f>
        <v/>
      </c>
    </row>
    <row r="1250">
      <c r="A1250" s="3" t="n">
        <v>46056</v>
      </c>
      <c r="B1250" t="inlineStr">
        <is>
          <t>111659</t>
        </is>
      </c>
      <c r="C1250" t="inlineStr">
        <is>
          <t>GASOLINE RBOB - NEW YORK MERCANTILE EXCHANGE</t>
        </is>
      </c>
      <c r="D1250" t="n">
        <v>469165</v>
      </c>
      <c r="E1250" t="n">
        <v>92829</v>
      </c>
      <c r="F1250" t="n">
        <v>25098</v>
      </c>
      <c r="G1250" t="n">
        <v>67528</v>
      </c>
      <c r="H1250">
        <f>E1250-F1250</f>
        <v/>
      </c>
      <c r="I1250">
        <f>(E1250-F1250)/D1250</f>
        <v/>
      </c>
    </row>
    <row r="1251">
      <c r="A1251" s="3" t="n">
        <v>46063</v>
      </c>
      <c r="B1251" t="inlineStr">
        <is>
          <t>111659</t>
        </is>
      </c>
      <c r="C1251" t="inlineStr">
        <is>
          <t>GASOLINE RBOB - NEW YORK MERCANTILE EXCHANGE</t>
        </is>
      </c>
      <c r="D1251" t="n">
        <v>463056</v>
      </c>
      <c r="E1251" t="n">
        <v>94517</v>
      </c>
      <c r="F1251" t="n">
        <v>14776</v>
      </c>
      <c r="G1251" t="n">
        <v>59816</v>
      </c>
      <c r="H1251">
        <f>E1251-F1251</f>
        <v/>
      </c>
      <c r="I1251">
        <f>(E1251-F1251)/D1251</f>
        <v/>
      </c>
    </row>
    <row r="1252">
      <c r="A1252" s="3" t="n">
        <v>46070</v>
      </c>
      <c r="B1252" t="inlineStr">
        <is>
          <t>111659</t>
        </is>
      </c>
      <c r="C1252" t="inlineStr">
        <is>
          <t>GASOLINE RBOB - NEW YORK MERCANTILE EXCHANGE</t>
        </is>
      </c>
      <c r="D1252" t="n">
        <v>464672</v>
      </c>
      <c r="E1252" t="n">
        <v>91519</v>
      </c>
      <c r="F1252" t="n">
        <v>13735</v>
      </c>
      <c r="G1252" t="n">
        <v>63092</v>
      </c>
      <c r="H1252">
        <f>E1252-F1252</f>
        <v/>
      </c>
      <c r="I1252">
        <f>(E1252-F1252)/D1252</f>
        <v/>
      </c>
    </row>
    <row r="1253">
      <c r="A1253" s="3" t="n">
        <v>46077</v>
      </c>
      <c r="B1253" t="inlineStr">
        <is>
          <t>111659</t>
        </is>
      </c>
      <c r="C1253" t="inlineStr">
        <is>
          <t>GASOLINE RBOB - NEW YORK MERCANTILE EXCHANGE</t>
        </is>
      </c>
      <c r="D1253" t="n">
        <v>467301</v>
      </c>
      <c r="E1253" t="n">
        <v>97365</v>
      </c>
      <c r="F1253" t="n">
        <v>8545</v>
      </c>
      <c r="G1253" t="n">
        <v>61602</v>
      </c>
      <c r="H1253">
        <f>E1253-F1253</f>
        <v/>
      </c>
      <c r="I1253">
        <f>(E1253-F1253)/D1253</f>
        <v/>
      </c>
    </row>
    <row r="1254">
      <c r="A1254" s="3" t="n">
        <v>46084</v>
      </c>
      <c r="B1254" t="inlineStr">
        <is>
          <t>111659</t>
        </is>
      </c>
      <c r="C1254" t="inlineStr">
        <is>
          <t>GASOLINE RBOB - NEW YORK MERCANTILE EXCHANGE</t>
        </is>
      </c>
      <c r="D1254" t="n">
        <v>413790</v>
      </c>
      <c r="E1254" t="n">
        <v>91889</v>
      </c>
      <c r="F1254" t="n">
        <v>6604</v>
      </c>
      <c r="G1254" t="n">
        <v>61773</v>
      </c>
      <c r="H1254">
        <f>E1254-F1254</f>
        <v/>
      </c>
      <c r="I1254">
        <f>(E1254-F1254)/D1254</f>
        <v/>
      </c>
    </row>
    <row r="1255">
      <c r="A1255" s="3" t="n">
        <v>46091</v>
      </c>
      <c r="B1255" t="inlineStr">
        <is>
          <t>111659</t>
        </is>
      </c>
      <c r="C1255" t="inlineStr">
        <is>
          <t>GASOLINE RBOB - NEW YORK MERCANTILE EXCHANGE</t>
        </is>
      </c>
      <c r="D1255" t="n">
        <v>391278</v>
      </c>
      <c r="E1255" t="n">
        <v>81677</v>
      </c>
      <c r="F1255" t="n">
        <v>5579</v>
      </c>
      <c r="G1255" t="n">
        <v>33897</v>
      </c>
      <c r="H1255">
        <f>E1255-F1255</f>
        <v/>
      </c>
      <c r="I1255">
        <f>(E1255-F1255)/D1255</f>
        <v/>
      </c>
    </row>
    <row r="1256">
      <c r="A1256" s="3" t="n">
        <v>46098</v>
      </c>
      <c r="B1256" t="inlineStr">
        <is>
          <t>111659</t>
        </is>
      </c>
      <c r="C1256" t="inlineStr">
        <is>
          <t>GASOLINE RBOB - NEW YORK MERCANTILE EXCHANGE</t>
        </is>
      </c>
      <c r="D1256" t="n">
        <v>380579</v>
      </c>
      <c r="E1256" t="n">
        <v>83262</v>
      </c>
      <c r="F1256" t="n">
        <v>4739</v>
      </c>
      <c r="G1256" t="n">
        <v>29711</v>
      </c>
      <c r="H1256">
        <f>E1256-F1256</f>
        <v/>
      </c>
      <c r="I1256">
        <f>(E1256-F1256)/D1256</f>
        <v/>
      </c>
    </row>
    <row r="1257">
      <c r="A1257" s="3" t="n">
        <v>46105</v>
      </c>
      <c r="B1257" t="inlineStr">
        <is>
          <t>111659</t>
        </is>
      </c>
      <c r="C1257" t="inlineStr">
        <is>
          <t>GASOLINE RBOB - NEW YORK MERCANTILE EXCHANGE</t>
        </is>
      </c>
      <c r="D1257" t="n">
        <v>355100</v>
      </c>
      <c r="E1257" t="n">
        <v>76447</v>
      </c>
      <c r="F1257" t="n">
        <v>5195</v>
      </c>
      <c r="G1257" t="n">
        <v>26750</v>
      </c>
      <c r="H1257">
        <f>E1257-F1257</f>
        <v/>
      </c>
      <c r="I1257">
        <f>(E1257-F1257)/D1257</f>
        <v/>
      </c>
    </row>
    <row r="1258">
      <c r="A1258" s="3" t="n">
        <v>46112</v>
      </c>
      <c r="B1258" t="inlineStr">
        <is>
          <t>111659</t>
        </is>
      </c>
      <c r="C1258" t="inlineStr">
        <is>
          <t>GASOLINE RBOB - NEW YORK MERCANTILE EXCHANGE</t>
        </is>
      </c>
      <c r="D1258" t="n">
        <v>328518</v>
      </c>
      <c r="E1258" t="n">
        <v>68734</v>
      </c>
      <c r="F1258" t="n">
        <v>5251</v>
      </c>
      <c r="G1258" t="n">
        <v>21694</v>
      </c>
      <c r="H1258">
        <f>E1258-F1258</f>
        <v/>
      </c>
      <c r="I1258">
        <f>(E1258-F1258)/D1258</f>
        <v/>
      </c>
    </row>
    <row r="1259">
      <c r="A1259" s="3" t="n">
        <v>46119</v>
      </c>
      <c r="B1259" t="inlineStr">
        <is>
          <t>111659</t>
        </is>
      </c>
      <c r="C1259" t="inlineStr">
        <is>
          <t>GASOLINE RBOB - NEW YORK MERCANTILE EXCHANGE</t>
        </is>
      </c>
      <c r="D1259" t="n">
        <v>320497</v>
      </c>
      <c r="E1259" t="n">
        <v>63811</v>
      </c>
      <c r="F1259" t="n">
        <v>4634</v>
      </c>
      <c r="G1259" t="n">
        <v>23259</v>
      </c>
      <c r="H1259">
        <f>E1259-F1259</f>
        <v/>
      </c>
      <c r="I1259">
        <f>(E1259-F1259)/D1259</f>
        <v/>
      </c>
    </row>
    <row r="1260">
      <c r="A1260" s="3" t="n">
        <v>46126</v>
      </c>
      <c r="B1260" t="inlineStr">
        <is>
          <t>111659</t>
        </is>
      </c>
      <c r="C1260" t="inlineStr">
        <is>
          <t>GASOLINE RBOB - NEW YORK MERCANTILE EXCHANGE</t>
        </is>
      </c>
      <c r="D1260" t="n">
        <v>337375</v>
      </c>
      <c r="E1260" t="n">
        <v>63457</v>
      </c>
      <c r="F1260" t="n">
        <v>7006</v>
      </c>
      <c r="G1260" t="n">
        <v>25062</v>
      </c>
      <c r="H1260">
        <f>E1260-F1260</f>
        <v/>
      </c>
      <c r="I1260">
        <f>(E1260-F1260)/D1260</f>
        <v/>
      </c>
    </row>
    <row r="1261">
      <c r="A1261" s="3" t="n">
        <v>46133</v>
      </c>
      <c r="B1261" t="inlineStr">
        <is>
          <t>111659</t>
        </is>
      </c>
      <c r="C1261" t="inlineStr">
        <is>
          <t>GASOLINE RBOB - NEW YORK MERCANTILE EXCHANGE</t>
        </is>
      </c>
      <c r="D1261" t="n">
        <v>330039</v>
      </c>
      <c r="E1261" t="n">
        <v>65515</v>
      </c>
      <c r="F1261" t="n">
        <v>7388</v>
      </c>
      <c r="G1261" t="n">
        <v>22962</v>
      </c>
      <c r="H1261">
        <f>E1261-F1261</f>
        <v/>
      </c>
      <c r="I1261">
        <f>(E1261-F1261)/D1261</f>
        <v/>
      </c>
    </row>
    <row r="1262">
      <c r="A1262" s="3" t="n">
        <v>46140</v>
      </c>
      <c r="B1262" t="inlineStr">
        <is>
          <t>111659</t>
        </is>
      </c>
      <c r="C1262" t="inlineStr">
        <is>
          <t>GASOLINE RBOB - NEW YORK MERCANTILE EXCHANGE</t>
        </is>
      </c>
      <c r="D1262" t="n">
        <v>313234</v>
      </c>
      <c r="E1262" t="n">
        <v>68803</v>
      </c>
      <c r="F1262" t="n">
        <v>7003</v>
      </c>
      <c r="G1262" t="n">
        <v>23857</v>
      </c>
      <c r="H1262">
        <f>E1262-F1262</f>
        <v/>
      </c>
      <c r="I1262">
        <f>(E1262-F1262)/D1262</f>
        <v/>
      </c>
    </row>
    <row r="1263">
      <c r="A1263" s="3" t="n">
        <v>46147</v>
      </c>
      <c r="B1263" t="inlineStr">
        <is>
          <t>111659</t>
        </is>
      </c>
      <c r="C1263" t="inlineStr">
        <is>
          <t>GASOLINE RBOB - NEW YORK MERCANTILE EXCHANGE</t>
        </is>
      </c>
      <c r="D1263" t="n">
        <v>312115</v>
      </c>
      <c r="E1263" t="n">
        <v>72002</v>
      </c>
      <c r="F1263" t="n">
        <v>6299</v>
      </c>
      <c r="G1263" t="n">
        <v>25305</v>
      </c>
      <c r="H1263">
        <f>E1263-F1263</f>
        <v/>
      </c>
      <c r="I1263">
        <f>(E1263-F1263)/D1263</f>
        <v/>
      </c>
    </row>
    <row r="1264">
      <c r="A1264" s="3" t="n">
        <v>46154</v>
      </c>
      <c r="B1264" t="inlineStr">
        <is>
          <t>111659</t>
        </is>
      </c>
      <c r="C1264" t="inlineStr">
        <is>
          <t>GASOLINE RBOB - NEW YORK MERCANTILE EXCHANGE</t>
        </is>
      </c>
      <c r="D1264" t="n">
        <v>327707</v>
      </c>
      <c r="E1264" t="n">
        <v>68169</v>
      </c>
      <c r="F1264" t="n">
        <v>5234</v>
      </c>
      <c r="G1264" t="n">
        <v>28210</v>
      </c>
      <c r="H1264">
        <f>E1264-F1264</f>
        <v/>
      </c>
      <c r="I1264">
        <f>(E1264-F1264)/D1264</f>
        <v/>
      </c>
    </row>
    <row r="1265">
      <c r="A1265" s="3" t="n">
        <v>46161</v>
      </c>
      <c r="B1265" t="inlineStr">
        <is>
          <t>111659</t>
        </is>
      </c>
      <c r="C1265" t="inlineStr">
        <is>
          <t>GASOLINE RBOB - NEW YORK MERCANTILE EXCHANGE</t>
        </is>
      </c>
      <c r="D1265" t="n">
        <v>319846</v>
      </c>
      <c r="E1265" t="n">
        <v>67933</v>
      </c>
      <c r="F1265" t="n">
        <v>6259</v>
      </c>
      <c r="G1265" t="n">
        <v>28495</v>
      </c>
      <c r="H1265">
        <f>E1265-F1265</f>
        <v/>
      </c>
      <c r="I1265">
        <f>(E1265-F1265)/D1265</f>
        <v/>
      </c>
    </row>
    <row r="1266">
      <c r="A1266" s="3" t="n">
        <v>46168</v>
      </c>
      <c r="B1266" t="inlineStr">
        <is>
          <t>111659</t>
        </is>
      </c>
      <c r="C1266" t="inlineStr">
        <is>
          <t>GASOLINE RBOB - NEW YORK MERCANTILE EXCHANGE</t>
        </is>
      </c>
      <c r="D1266" t="n">
        <v>300935</v>
      </c>
      <c r="E1266" t="n">
        <v>71673</v>
      </c>
      <c r="F1266" t="n">
        <v>4611</v>
      </c>
      <c r="G1266" t="n">
        <v>21861</v>
      </c>
      <c r="H1266">
        <f>E1266-F1266</f>
        <v/>
      </c>
      <c r="I1266">
        <f>(E1266-F1266)/D1266</f>
        <v/>
      </c>
    </row>
    <row r="1267">
      <c r="A1267" s="3" t="n">
        <v>46175</v>
      </c>
      <c r="B1267" t="inlineStr">
        <is>
          <t>111659</t>
        </is>
      </c>
      <c r="C1267" t="inlineStr">
        <is>
          <t>GASOLINE RBOB - NEW YORK MERCANTILE EXCHANGE</t>
        </is>
      </c>
      <c r="D1267" t="n">
        <v>302492</v>
      </c>
      <c r="E1267" t="n">
        <v>72765</v>
      </c>
      <c r="F1267" t="n">
        <v>4992</v>
      </c>
      <c r="G1267" t="n">
        <v>26113</v>
      </c>
      <c r="H1267">
        <f>E1267-F1267</f>
        <v/>
      </c>
      <c r="I1267">
        <f>(E1267-F1267)/D1267</f>
        <v/>
      </c>
    </row>
    <row r="1268">
      <c r="A1268" s="3" t="n">
        <v>46182</v>
      </c>
      <c r="B1268" t="inlineStr">
        <is>
          <t>111659</t>
        </is>
      </c>
      <c r="C1268" t="inlineStr">
        <is>
          <t>GASOLINE RBOB - NEW YORK MERCANTILE EXCHANGE</t>
        </is>
      </c>
      <c r="D1268" t="n">
        <v>314521</v>
      </c>
      <c r="E1268" t="n">
        <v>70760</v>
      </c>
      <c r="F1268" t="n">
        <v>6635</v>
      </c>
      <c r="G1268" t="n">
        <v>29211</v>
      </c>
      <c r="H1268">
        <f>E1268-F1268</f>
        <v/>
      </c>
      <c r="I1268">
        <f>(E1268-F1268)/D1268</f>
        <v/>
      </c>
    </row>
    <row r="1269">
      <c r="A1269" s="3" t="n">
        <v>46189</v>
      </c>
      <c r="B1269" t="inlineStr">
        <is>
          <t>111659</t>
        </is>
      </c>
      <c r="C1269" t="inlineStr">
        <is>
          <t>GASOLINE RBOB - NEW YORK MERCANTILE EXCHANGE</t>
        </is>
      </c>
      <c r="D1269" t="n">
        <v>310469</v>
      </c>
      <c r="E1269" t="n">
        <v>76364</v>
      </c>
      <c r="F1269" t="n">
        <v>8944</v>
      </c>
      <c r="G1269" t="n">
        <v>30086</v>
      </c>
      <c r="H1269">
        <f>E1269-F1269</f>
        <v/>
      </c>
      <c r="I1269">
        <f>(E1269-F1269)/D1269</f>
        <v/>
      </c>
    </row>
    <row r="1270">
      <c r="A1270" s="3" t="n">
        <v>46196</v>
      </c>
      <c r="B1270" t="inlineStr">
        <is>
          <t>111659</t>
        </is>
      </c>
      <c r="C1270" t="inlineStr">
        <is>
          <t>GASOLINE RBOB - NEW YORK MERCANTILE EXCHANGE</t>
        </is>
      </c>
      <c r="D1270" t="n">
        <v>316160</v>
      </c>
      <c r="E1270" t="n">
        <v>82306</v>
      </c>
      <c r="F1270" t="n">
        <v>11211</v>
      </c>
      <c r="G1270" t="n">
        <v>31086</v>
      </c>
      <c r="H1270">
        <f>E1270-F1270</f>
        <v/>
      </c>
      <c r="I1270">
        <f>(E1270-F1270)/D1270</f>
        <v/>
      </c>
    </row>
    <row r="1271">
      <c r="A1271" s="3" t="n">
        <v>46203</v>
      </c>
      <c r="B1271" t="inlineStr">
        <is>
          <t>111659</t>
        </is>
      </c>
      <c r="C1271" t="inlineStr">
        <is>
          <t>GASOLINE RBOB - NEW YORK MERCANTILE EXCHANGE</t>
        </is>
      </c>
      <c r="D1271" t="n">
        <v>302285</v>
      </c>
      <c r="E1271" t="n">
        <v>82710</v>
      </c>
      <c r="F1271" t="n">
        <v>10786</v>
      </c>
      <c r="G1271" t="n">
        <v>23404</v>
      </c>
      <c r="H1271">
        <f>E1271-F1271</f>
        <v/>
      </c>
      <c r="I1271">
        <f>(E1271-F1271)/D1271</f>
        <v/>
      </c>
    </row>
    <row r="1272">
      <c r="A1272" s="3" t="n">
        <v>46210</v>
      </c>
      <c r="B1272" t="inlineStr">
        <is>
          <t>111659</t>
        </is>
      </c>
      <c r="C1272" t="inlineStr">
        <is>
          <t>GASOLINE RBOB - NEW YORK MERCANTILE EXCHANGE</t>
        </is>
      </c>
      <c r="D1272" t="n">
        <v>316181</v>
      </c>
      <c r="E1272" t="n">
        <v>86313</v>
      </c>
      <c r="F1272" t="n">
        <v>15064</v>
      </c>
      <c r="G1272" t="n">
        <v>29346</v>
      </c>
      <c r="H1272">
        <f>E1272-F1272</f>
        <v/>
      </c>
      <c r="I1272">
        <f>(E1272-F1272)/D1272</f>
        <v/>
      </c>
    </row>
    <row r="1273">
      <c r="A1273" s="3" t="n">
        <v>46217</v>
      </c>
      <c r="B1273" t="inlineStr">
        <is>
          <t>111659</t>
        </is>
      </c>
      <c r="C1273" t="inlineStr">
        <is>
          <t>GASOLINE RBOB - NEW YORK MERCANTILE EXCHANGE</t>
        </is>
      </c>
      <c r="D1273" t="n">
        <v>324652</v>
      </c>
      <c r="E1273" t="n">
        <v>82375</v>
      </c>
      <c r="F1273" t="n">
        <v>13650</v>
      </c>
      <c r="G1273" t="n">
        <v>31875</v>
      </c>
      <c r="H1273">
        <f>E1273-F1273</f>
        <v/>
      </c>
      <c r="I1273">
        <f>(E1273-F1273)/D1273</f>
        <v/>
      </c>
    </row>
    <row r="1274">
      <c r="A1274" s="3" t="n">
        <v>46224</v>
      </c>
      <c r="B1274" t="inlineStr">
        <is>
          <t>111659</t>
        </is>
      </c>
      <c r="C1274" t="inlineStr">
        <is>
          <t>GASOLINE RBOB - NEW YORK MERCANTILE EXCHANGE</t>
        </is>
      </c>
      <c r="D1274" t="n">
        <v>330490</v>
      </c>
      <c r="E1274" t="n">
        <v>88601</v>
      </c>
      <c r="F1274" t="n">
        <v>14894</v>
      </c>
      <c r="G1274" t="n">
        <v>36975</v>
      </c>
      <c r="H1274">
        <f>E1274-F1274</f>
        <v/>
      </c>
      <c r="I1274">
        <f>(E1274-F1274)/D1274</f>
        <v/>
      </c>
    </row>
    <row r="1275">
      <c r="A1275" s="3" t="n">
        <v>46231</v>
      </c>
      <c r="B1275" t="inlineStr">
        <is>
          <t>111659</t>
        </is>
      </c>
      <c r="C1275" t="inlineStr">
        <is>
          <t>GASOLINE RBOB - NEW YORK MERCANTILE EXCHANGE</t>
        </is>
      </c>
      <c r="D1275" t="n">
        <v>321258</v>
      </c>
      <c r="E1275" t="n">
        <v>86809</v>
      </c>
      <c r="F1275" t="n">
        <v>12932</v>
      </c>
      <c r="G1275" t="n">
        <v>38006</v>
      </c>
      <c r="H1275">
        <f>E1275-F1275</f>
        <v/>
      </c>
      <c r="I1275">
        <f>(E1275-F1275)/D1275</f>
        <v/>
      </c>
    </row>
    <row r="1276">
      <c r="A1276" s="3" t="n">
        <v>46238</v>
      </c>
      <c r="B1276" t="inlineStr">
        <is>
          <t>111659</t>
        </is>
      </c>
      <c r="C1276" t="inlineStr">
        <is>
          <t>GASOLINE RBOB - NEW YORK MERCANTILE EXCHANGE</t>
        </is>
      </c>
      <c r="D1276" t="n">
        <v>304431</v>
      </c>
      <c r="E1276" t="n">
        <v>82582</v>
      </c>
      <c r="F1276" t="n">
        <v>12697</v>
      </c>
      <c r="G1276" t="n">
        <v>36973</v>
      </c>
      <c r="H1276">
        <f>E1276-F1276</f>
        <v/>
      </c>
      <c r="I1276">
        <f>(E1276-F1276)/D1276</f>
        <v/>
      </c>
    </row>
    <row r="1277">
      <c r="A1277" s="3" t="n">
        <v>46245</v>
      </c>
      <c r="B1277" t="inlineStr">
        <is>
          <t>111659</t>
        </is>
      </c>
      <c r="C1277" t="inlineStr">
        <is>
          <t>GASOLINE RBOB - NEW YORK MERCANTILE EXCHANGE</t>
        </is>
      </c>
      <c r="D1277" t="n">
        <v>325194</v>
      </c>
      <c r="E1277" t="n">
        <v>82232</v>
      </c>
      <c r="F1277" t="n">
        <v>12381</v>
      </c>
      <c r="G1277" t="n">
        <v>44609</v>
      </c>
      <c r="H1277">
        <f>E1277-F1277</f>
        <v/>
      </c>
      <c r="I1277">
        <f>(E1277-F1277)/D1277</f>
        <v/>
      </c>
    </row>
    <row r="1278">
      <c r="A1278" s="3" t="n">
        <v>46252</v>
      </c>
      <c r="B1278" t="inlineStr">
        <is>
          <t>111659</t>
        </is>
      </c>
      <c r="C1278" t="inlineStr">
        <is>
          <t>GASOLINE RBOB - NEW YORK MERCANTILE EXCHANGE</t>
        </is>
      </c>
      <c r="D1278" t="n">
        <v>335534</v>
      </c>
      <c r="E1278" t="n">
        <v>86610</v>
      </c>
      <c r="F1278" t="n">
        <v>12529</v>
      </c>
      <c r="G1278" t="n">
        <v>40114</v>
      </c>
      <c r="H1278">
        <f>E1278-F1278</f>
        <v/>
      </c>
      <c r="I1278">
        <f>(E1278-F1278)/D1278</f>
        <v/>
      </c>
    </row>
    <row r="1279">
      <c r="A1279" s="3" t="n">
        <v>46259</v>
      </c>
      <c r="B1279" t="inlineStr">
        <is>
          <t>111659</t>
        </is>
      </c>
      <c r="C1279" t="inlineStr">
        <is>
          <t>GASOLINE RBOB - NEW YORK MERCANTILE EXCHANGE</t>
        </is>
      </c>
      <c r="D1279" t="n">
        <v>346134</v>
      </c>
      <c r="E1279" t="n">
        <v>92717</v>
      </c>
      <c r="F1279" t="n">
        <v>13065</v>
      </c>
      <c r="G1279" t="n">
        <v>36606</v>
      </c>
      <c r="H1279">
        <f>E1279-F1279</f>
        <v/>
      </c>
      <c r="I1279">
        <f>(E1279-F1279)/D1279</f>
        <v/>
      </c>
    </row>
    <row r="1280">
      <c r="A1280" s="3" t="n">
        <v>46266</v>
      </c>
      <c r="B1280" t="inlineStr">
        <is>
          <t>111659</t>
        </is>
      </c>
      <c r="C1280" t="inlineStr">
        <is>
          <t>GASOLINE RBOB - NEW YORK MERCANTILE EXCHANGE</t>
        </is>
      </c>
      <c r="D1280" t="n">
        <v>353876</v>
      </c>
      <c r="E1280" t="n">
        <v>103442</v>
      </c>
      <c r="F1280" t="n">
        <v>14227</v>
      </c>
      <c r="G1280" t="n">
        <v>34429</v>
      </c>
      <c r="H1280">
        <f>E1280-F1280</f>
        <v/>
      </c>
      <c r="I1280">
        <f>(E1280-F1280)/D1280</f>
        <v/>
      </c>
    </row>
    <row r="1281">
      <c r="A1281" s="3" t="n">
        <v>46273</v>
      </c>
      <c r="B1281" t="inlineStr">
        <is>
          <t>111659</t>
        </is>
      </c>
      <c r="C1281" t="inlineStr">
        <is>
          <t>GASOLINE RBOB - NEW YORK MERCANTILE EXCHANGE</t>
        </is>
      </c>
      <c r="D1281" t="n">
        <v>365028</v>
      </c>
      <c r="E1281" t="n">
        <v>106371</v>
      </c>
      <c r="F1281" t="n">
        <v>13523</v>
      </c>
      <c r="G1281" t="n">
        <v>35635</v>
      </c>
      <c r="H1281">
        <f>E1281-F1281</f>
        <v/>
      </c>
      <c r="I1281">
        <f>(E1281-F1281)/D1281</f>
        <v/>
      </c>
    </row>
    <row r="1282">
      <c r="A1282" s="3" t="n">
        <v>46280</v>
      </c>
      <c r="B1282" t="inlineStr">
        <is>
          <t>111659</t>
        </is>
      </c>
      <c r="C1282" t="inlineStr">
        <is>
          <t>GASOLINE RBOB - NEW YORK MERCANTILE EXCHANGE</t>
        </is>
      </c>
      <c r="D1282" t="n">
        <v>358003</v>
      </c>
      <c r="E1282" t="n">
        <v>95916</v>
      </c>
      <c r="F1282" t="n">
        <v>12745</v>
      </c>
      <c r="G1282" t="n">
        <v>37477</v>
      </c>
      <c r="H1282">
        <f>E1282-F1282</f>
        <v/>
      </c>
      <c r="I1282">
        <f>(E1282-F1282)/D1282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26" customWidth="1" min="4" max="4"/>
    <col width="80" customWidth="1" min="5" max="5"/>
    <col width="70" customWidth="1" min="6" max="6"/>
  </cols>
  <sheetData>
    <row r="1" ht="60" customHeight="1">
      <c r="A1" s="1" t="inlineStr">
        <is>
          <t>Date</t>
        </is>
      </c>
      <c r="B1" s="1" t="inlineStr">
        <is>
          <t>Body</t>
        </is>
      </c>
      <c r="C1" s="1" t="inlineStr">
        <is>
          <t>Matter</t>
        </is>
      </c>
      <c r="D1" s="1" t="inlineStr">
        <is>
          <t>Type (finding vs statement)</t>
        </is>
      </c>
      <c r="E1" s="1" t="inlineStr">
        <is>
          <t>What the record says</t>
        </is>
      </c>
      <c r="F1" s="1" t="inlineStr">
        <is>
          <t>Source URL</t>
        </is>
      </c>
    </row>
    <row r="2">
      <c r="A2" t="inlineStr">
        <is>
          <t>2006-05</t>
        </is>
      </c>
      <c r="B2" t="inlineStr">
        <is>
          <t>FTC</t>
        </is>
      </c>
      <c r="C2" t="inlineStr">
        <is>
          <t>Post-Katrina gasoline investigation</t>
        </is>
      </c>
      <c r="D2" t="inlineStr">
        <is>
          <t>Finding</t>
        </is>
      </c>
      <c r="E2" t="inlineStr">
        <is>
          <t>No evidence of illegal market manipulation; 15 firms met the statutory price-gouging definition, mostly explained by regional/market factors</t>
        </is>
      </c>
      <c r="F2" t="inlineStr">
        <is>
          <t>https://www.ftc.gov/news-events/news/press-releases/2006/05/ftc-releases-report-its-investigation-gasoline-price-manipulation-post-katrina-gasoline-price</t>
        </is>
      </c>
    </row>
    <row r="3">
      <c r="A3" t="inlineStr">
        <is>
          <t>2011-09</t>
        </is>
      </c>
      <c r="B3" t="inlineStr">
        <is>
          <t>FTC Bureau of Economics</t>
        </is>
      </c>
      <c r="C3" t="inlineStr">
        <is>
          <t>Gasoline price changes report</t>
        </is>
      </c>
      <c r="D3" t="inlineStr">
        <is>
          <t>Finding (economic study)</t>
        </is>
      </c>
      <c r="E3" t="inlineStr">
        <is>
          <t>Retail prices rise faster than they fall ("rockets and feathers"); causes not fully understood</t>
        </is>
      </c>
      <c r="F3" t="inlineStr">
        <is>
          <t>https://www.ftc.gov/reports/federal-trade-commission-bureau-economics-gasoline-price-changes-petroleum-industry-update</t>
        </is>
      </c>
    </row>
    <row r="4">
      <c r="A4" t="inlineStr">
        <is>
          <t>2012-04-19</t>
        </is>
      </c>
      <c r="B4" t="inlineStr">
        <is>
          <t>CFTC / S.D.N.Y.</t>
        </is>
      </c>
      <c r="C4" t="inlineStr">
        <is>
          <t>CFTC v. Optiver</t>
        </is>
      </c>
      <c r="D4" t="inlineStr">
        <is>
          <t>Finding (consent order)</t>
        </is>
      </c>
      <c r="E4" t="inlineStr">
        <is>
          <t>Manipulation/attempted manipulation of NYMEX crude, heating oil, NY Harbor gasoline futures in Mar 2007; $13M penalty + $1M disgorgement</t>
        </is>
      </c>
      <c r="F4" t="inlineStr">
        <is>
          <t>https://www.cftc.gov/PressRoom/PressReleases/6239-12</t>
        </is>
      </c>
    </row>
    <row r="5">
      <c r="A5" t="inlineStr">
        <is>
          <t>2024-07-10</t>
        </is>
      </c>
      <c r="B5" t="inlineStr">
        <is>
          <t>California AG</t>
        </is>
      </c>
      <c r="C5" t="inlineStr">
        <is>
          <t>People v. Vitol &amp; SK Energy</t>
        </is>
      </c>
      <c r="D5" t="inlineStr">
        <is>
          <t>Settlement (not adjudicated)</t>
        </is>
      </c>
      <c r="E5" t="inlineStr">
        <is>
          <t>$50M settlement over alleged 2015 California spot-gasoline manipulation; allegations settled, not proven</t>
        </is>
      </c>
      <c r="F5" t="inlineStr">
        <is>
          <t>https://oag.ca.gov/news/press-releases/attorney-general-bonta-announces-50-million-settlement-vitol-and-sk-part-ongoing</t>
        </is>
      </c>
    </row>
    <row r="6">
      <c r="A6" t="inlineStr">
        <is>
          <t>2025-08-29</t>
        </is>
      </c>
      <c r="B6" t="inlineStr">
        <is>
          <t>California Energy Commission</t>
        </is>
      </c>
      <c r="C6" t="inlineStr">
        <is>
          <t>SB X1-2 max refining margin</t>
        </is>
      </c>
      <c r="D6" t="inlineStr">
        <is>
          <t>Decision (no penalty)</t>
        </is>
      </c>
      <c r="E6" t="inlineStr">
        <is>
          <t>No margin cap or penalty adopted; action deferred at least 5 years; zero SB X1-2 penalty findings</t>
        </is>
      </c>
      <c r="F6" t="inlineStr">
        <is>
          <t>https://efiling.energy.ca.gov/GetDocument.aspx?tn=265835</t>
        </is>
      </c>
    </row>
    <row r="7">
      <c r="A7" t="inlineStr">
        <is>
          <t>2026-06-12</t>
        </is>
      </c>
      <c r="B7" t="inlineStr">
        <is>
          <t>CEC Division of Petroleum Market Oversight (DPMO)</t>
        </is>
      </c>
      <c r="C7" t="inlineStr">
        <is>
          <t>Station pricing inquiry</t>
        </is>
      </c>
      <c r="D7" t="inlineStr">
        <is>
          <t>Statement / open inquiry (no finding)</t>
        </is>
      </c>
      <c r="E7" t="inlineStr">
        <is>
          <t>~20 high-priced stations contacted after Mar 19 bulletin; no findings published; CA branded-unbranded spread $0.31 vs $0.06 elsewhere</t>
        </is>
      </c>
      <c r="F7" t="inlineStr">
        <is>
          <t>https://www.energy.ca.gov/sites/default/files/2026-06/DPMO_California_Gasoline_Diesel_Market_Update_June_2026_ada.pdf</t>
        </is>
      </c>
    </row>
    <row r="8">
      <c r="A8" t="inlineStr">
        <is>
          <t>2026-07-03</t>
        </is>
      </c>
      <c r="B8" t="inlineStr">
        <is>
          <t>DOJ Antitrust Division + FTC</t>
        </is>
      </c>
      <c r="C8" t="inlineStr">
        <is>
          <t>Letter to state AGs</t>
        </is>
      </c>
      <c r="D8" t="inlineStr">
        <is>
          <t>Statement (no finding)</t>
        </is>
      </c>
      <c r="E8" t="inlineStr">
        <is>
          <t>Says too much of crude price cut is being "withheld"; agencies "closely monitoring"; urges state probes</t>
        </is>
      </c>
      <c r="F8" t="inlineStr">
        <is>
          <t>https://www.justice.gov/atr/media/1450951/dl?inline=</t>
        </is>
      </c>
    </row>
    <row r="9">
      <c r="A9" t="inlineStr">
        <is>
          <t>2026-07-03</t>
        </is>
      </c>
      <c r="B9" t="inlineStr">
        <is>
          <t>DOJ Office of Public Affairs</t>
        </is>
      </c>
      <c r="C9" t="inlineStr">
        <is>
          <t>Press release on the letter</t>
        </is>
      </c>
      <c r="D9" t="inlineStr">
        <is>
          <t>Statement (no finding)</t>
        </is>
      </c>
      <c r="E9" t="inlineStr">
        <is>
          <t>"closely monitoring petroleum markets"; no case, charge or subpoena announced</t>
        </is>
      </c>
      <c r="F9" t="inlineStr">
        <is>
          <t>https://www.justice.gov/opa/pr/justice-department-and-federal-trade-commission-issue-call-action-state-attorneys-general</t>
        </is>
      </c>
    </row>
    <row r="10">
      <c r="A10" t="inlineStr">
        <is>
          <t>2026 (through Sep 24)</t>
        </is>
      </c>
      <c r="B10" t="inlineStr">
        <is>
          <t>CFTC</t>
        </is>
      </c>
      <c r="C10" t="inlineStr">
        <is>
          <t>Energy futures manipulation, 2026</t>
        </is>
      </c>
      <c r="D10" t="inlineStr">
        <is>
          <t>None located</t>
        </is>
      </c>
      <c r="E10" t="inlineStr">
        <is>
          <t>No 2026 CFTC enforcement action on crude or RBOB gasoline manipulation located</t>
        </is>
      </c>
      <c r="F10" t="inlineStr">
        <is>
          <t>https://www.cftc.gov/PressRoom/PressReleases</t>
        </is>
      </c>
    </row>
    <row r="11">
      <c r="A11" t="inlineStr">
        <is>
          <t>2026 (through Sep 24)</t>
        </is>
      </c>
      <c r="B11" t="inlineStr">
        <is>
          <t>FBI / DOJ</t>
        </is>
      </c>
      <c r="C11" t="inlineStr">
        <is>
          <t>Subpoenas re "Democrats' Big Oil payoff" (viral X post)</t>
        </is>
      </c>
      <c r="D11" t="inlineStr">
        <is>
          <t>None located</t>
        </is>
      </c>
      <c r="E11" t="inlineStr">
        <is>
          <t>No DOJ/FBI press release, court filing or other record of such subpoenas located. Claim rated Unsupported</t>
        </is>
      </c>
      <c r="F11" t="inlineStr">
        <is>
          <t>https://www.justice.gov/news</t>
        </is>
      </c>
    </row>
    <row r="12">
      <c r="A12" t="inlineStr">
        <is>
          <t>2026-09-24</t>
        </is>
      </c>
      <c r="B12" t="inlineStr">
        <is>
          <t>Senate EPW minority (Democrats: Whitehouse, Schumer)</t>
        </is>
      </c>
      <c r="C12" t="inlineStr">
        <is>
          <t>"The Billion Dollar Deal" report</t>
        </is>
      </c>
      <c r="D12" t="inlineStr">
        <is>
          <t>Partisan staff report (allegations, not a finding)</t>
        </is>
      </c>
      <c r="E12" t="inlineStr">
        <is>
          <t>Alleges oil &amp; gas firms were rewarded after an Apr 2024 Mar-a-Lago $1B donation request (the request itself is reported, not confirmed by primary record)</t>
        </is>
      </c>
      <c r="F12" t="inlineStr">
        <is>
          <t>https://www.epw.senate.gov/public/_cache/files/5/9/59c00f03-c375-4266-9bc9-51c1fb1ccc90/BD367324A2B0FF111B29E228E3C339AA1C8E84E703CED38A6644E80E040CB213.polluter-report-final.pdf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6" customWidth="1" min="4" max="4"/>
    <col width="12" customWidth="1" min="5" max="5"/>
    <col width="12" customWidth="1" min="6" max="6"/>
    <col width="60" customWidth="1" min="7" max="7"/>
    <col width="60" customWidth="1" min="8" max="8"/>
  </cols>
  <sheetData>
    <row r="1">
      <c r="A1" s="5" t="inlineStr">
        <is>
          <t>Part A: oil &amp; gas industry totals, compiled from FEC filings by OpenSecrets (strings typed exactly as shown). Party split excludes outside/soft money not attributed to a party. Part B (sheet "FEC refiner PACs"): primary FEC bulk data.</t>
        </is>
      </c>
    </row>
    <row r="2" ht="60" customHeight="1">
      <c r="A2" s="1" t="inlineStr">
        <is>
          <t>Election cycle</t>
        </is>
      </c>
      <c r="B2" s="1" t="inlineStr">
        <is>
          <t>Total contributions (as shown)</t>
        </is>
      </c>
      <c r="C2" s="1" t="inlineStr">
        <is>
          <t>To Democrats</t>
        </is>
      </c>
      <c r="D2" s="1" t="inlineStr">
        <is>
          <t>To Republicans</t>
        </is>
      </c>
      <c r="E2" s="1" t="inlineStr">
        <is>
          <t>% to Democrats</t>
        </is>
      </c>
      <c r="F2" s="1" t="inlineStr">
        <is>
          <t>% to Republicans</t>
        </is>
      </c>
      <c r="G2" s="1" t="inlineStr">
        <is>
          <t>Basis</t>
        </is>
      </c>
      <c r="H2" s="1" t="inlineStr">
        <is>
          <t>Source URL</t>
        </is>
      </c>
    </row>
    <row r="3">
      <c r="A3" t="n">
        <v>2024</v>
      </c>
      <c r="B3" t="inlineStr">
        <is>
          <t>$248,680,218</t>
        </is>
      </c>
      <c r="C3" t="inlineStr">
        <is>
          <t>$9,207,146</t>
        </is>
      </c>
      <c r="D3" t="inlineStr">
        <is>
          <t>$69,822,551</t>
        </is>
      </c>
      <c r="E3" t="inlineStr">
        <is>
          <t>11.63%</t>
        </is>
      </c>
      <c r="F3" t="inlineStr">
        <is>
          <t>88.19%</t>
        </is>
      </c>
      <c r="G3" t="inlineStr">
        <is>
          <t>compiled from FEC filings by OpenSecrets (Oil &amp; Gas industry, code E01); retrieved Sep 24 2026</t>
        </is>
      </c>
      <c r="H3" t="inlineStr">
        <is>
          <t>https://www.opensecrets.org/industries/totals?cycle=2024&amp;ind=E01</t>
        </is>
      </c>
    </row>
    <row r="4">
      <c r="A4" t="n">
        <v>2022</v>
      </c>
      <c r="B4" t="inlineStr">
        <is>
          <t>$135,884,940</t>
        </is>
      </c>
      <c r="C4" t="inlineStr">
        <is>
          <t>$9,726,060</t>
        </is>
      </c>
      <c r="D4" t="inlineStr">
        <is>
          <t>$41,100,819</t>
        </is>
      </c>
      <c r="E4" t="inlineStr">
        <is>
          <t>19.11%</t>
        </is>
      </c>
      <c r="F4" t="inlineStr">
        <is>
          <t>80.77%</t>
        </is>
      </c>
      <c r="G4" t="inlineStr">
        <is>
          <t>compiled from FEC filings by OpenSecrets (Oil &amp; Gas industry, code E01); retrieved Sep 24 2026</t>
        </is>
      </c>
      <c r="H4" t="inlineStr">
        <is>
          <t>https://www.opensecrets.org/industries/totals?cycle=2024&amp;ind=E01</t>
        </is>
      </c>
    </row>
    <row r="5">
      <c r="A5" t="n">
        <v>2020</v>
      </c>
      <c r="B5" t="inlineStr">
        <is>
          <t>$149,897,380</t>
        </is>
      </c>
      <c r="C5" t="inlineStr">
        <is>
          <t>$13,366,122</t>
        </is>
      </c>
      <c r="D5" t="inlineStr">
        <is>
          <t>$70,040,001</t>
        </is>
      </c>
      <c r="E5" t="inlineStr">
        <is>
          <t>16.00%</t>
        </is>
      </c>
      <c r="F5" t="inlineStr">
        <is>
          <t>83.84%</t>
        </is>
      </c>
      <c r="G5" t="inlineStr">
        <is>
          <t>compiled from FEC filings by OpenSecrets (Oil &amp; Gas industry, code E01); retrieved Sep 24 2026</t>
        </is>
      </c>
      <c r="H5" t="inlineStr">
        <is>
          <t>https://www.opensecrets.org/industries/totals?cycle=2024&amp;ind=E01</t>
        </is>
      </c>
    </row>
    <row r="6">
      <c r="A6" t="n">
        <v>2026</v>
      </c>
      <c r="B6" t="inlineStr">
        <is>
          <t>not published</t>
        </is>
      </c>
      <c r="C6" t="inlineStr">
        <is>
          <t>not published</t>
        </is>
      </c>
      <c r="D6" t="inlineStr">
        <is>
          <t>not published</t>
        </is>
      </c>
      <c r="G6" t="inlineStr">
        <is>
          <t>OpenSecrets industry totals table did not yet include the 2026 cycle on Sep 24 2026</t>
        </is>
      </c>
      <c r="H6" t="inlineStr">
        <is>
          <t>https://www.opensecrets.org/industries/totals?cycle=2026&amp;ind=E01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9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6" customWidth="1" min="4" max="4"/>
    <col width="12" customWidth="1" min="5" max="5"/>
    <col width="10" customWidth="1" min="6" max="6"/>
    <col width="12" customWidth="1" min="7" max="7"/>
    <col width="12" customWidth="1" min="8" max="8"/>
    <col width="20" customWidth="1" min="9" max="9"/>
    <col width="50" customWidth="1" min="10" max="10"/>
  </cols>
  <sheetData>
    <row r="1">
      <c r="A1" s="5" t="inlineStr">
        <is>
          <t>Source: FEC bulk files pas2 (contributions from committees to candidates, type 24K direct contributions) and cn (candidate master), cycles 2020-2026 (2026 partial). https://www.fec.gov/data/browse-data/?tab=bulk-data . No FEC-registered PAC found for PBF Energy or Suncor.</t>
        </is>
      </c>
    </row>
    <row r="2" ht="60" customHeight="1">
      <c r="A2" s="1" t="inlineStr">
        <is>
          <t>Cycle</t>
        </is>
      </c>
      <c r="B2" s="1" t="inlineStr">
        <is>
          <t>FEC committee ID</t>
        </is>
      </c>
      <c r="C2" s="1" t="inlineStr">
        <is>
          <t>PAC</t>
        </is>
      </c>
      <c r="D2" s="1" t="inlineStr">
        <is>
          <t>Recipient (as filed)</t>
        </is>
      </c>
      <c r="E2" s="1" t="inlineStr">
        <is>
          <t>Candidate ID</t>
        </is>
      </c>
      <c r="F2" s="1" t="inlineStr">
        <is>
          <t>Candidate party (FEC candidate master)</t>
        </is>
      </c>
      <c r="G2" s="1" t="inlineStr">
        <is>
          <t>Date (MMDDYYYY)</t>
        </is>
      </c>
      <c r="H2" s="1" t="inlineStr">
        <is>
          <t>Amount, $ (as filed)</t>
        </is>
      </c>
      <c r="I2" s="1" t="inlineStr">
        <is>
          <t>FEC image no.</t>
        </is>
      </c>
      <c r="J2" s="1" t="inlineStr">
        <is>
          <t>Filing image URL</t>
        </is>
      </c>
    </row>
    <row r="3">
      <c r="A3" t="inlineStr">
        <is>
          <t>2020</t>
        </is>
      </c>
      <c r="B3" t="inlineStr">
        <is>
          <t>C00415026</t>
        </is>
      </c>
      <c r="C3" t="inlineStr">
        <is>
          <t>American Fuel &amp; Petrochemical Manufacturers PAC (AFPM PAC)</t>
        </is>
      </c>
      <c r="D3" t="inlineStr">
        <is>
          <t>COLLINS FOR SENATOR</t>
        </is>
      </c>
      <c r="E3" t="inlineStr">
        <is>
          <t>S6ME00159</t>
        </is>
      </c>
      <c r="F3" t="inlineStr">
        <is>
          <t>REP</t>
        </is>
      </c>
      <c r="G3" t="inlineStr">
        <is>
          <t>01242020</t>
        </is>
      </c>
      <c r="H3" t="n">
        <v>2500</v>
      </c>
      <c r="I3" t="inlineStr">
        <is>
          <t>202002149186504500</t>
        </is>
      </c>
      <c r="J3" t="inlineStr">
        <is>
          <t>https://docquery.fec.gov/cgi-bin/fecimg/?202002149186504500</t>
        </is>
      </c>
    </row>
    <row r="4">
      <c r="A4" t="inlineStr">
        <is>
          <t>2020</t>
        </is>
      </c>
      <c r="B4" t="inlineStr">
        <is>
          <t>C00415026</t>
        </is>
      </c>
      <c r="C4" t="inlineStr">
        <is>
          <t>American Fuel &amp; Petrochemical Manufacturers PAC (AFPM PAC)</t>
        </is>
      </c>
      <c r="D4" t="inlineStr">
        <is>
          <t>COLLINS FOR SENATOR</t>
        </is>
      </c>
      <c r="E4" t="inlineStr">
        <is>
          <t>S6ME00159</t>
        </is>
      </c>
      <c r="F4" t="inlineStr">
        <is>
          <t>REP</t>
        </is>
      </c>
      <c r="G4" t="inlineStr">
        <is>
          <t>02032020</t>
        </is>
      </c>
      <c r="H4" t="n">
        <v>2500</v>
      </c>
      <c r="I4" t="inlineStr">
        <is>
          <t>202003169203833901</t>
        </is>
      </c>
      <c r="J4" t="inlineStr">
        <is>
          <t>https://docquery.fec.gov/cgi-bin/fecimg/?202003169203833901</t>
        </is>
      </c>
    </row>
    <row r="5">
      <c r="A5" t="inlineStr">
        <is>
          <t>2020</t>
        </is>
      </c>
      <c r="B5" t="inlineStr">
        <is>
          <t>C00415026</t>
        </is>
      </c>
      <c r="C5" t="inlineStr">
        <is>
          <t>American Fuel &amp; Petrochemical Manufacturers PAC (AFPM PAC)</t>
        </is>
      </c>
      <c r="D5" t="inlineStr">
        <is>
          <t>CURTIS FOR CONGRESS</t>
        </is>
      </c>
      <c r="E5" t="inlineStr">
        <is>
          <t>H8UT03238</t>
        </is>
      </c>
      <c r="F5" t="inlineStr">
        <is>
          <t>REP</t>
        </is>
      </c>
      <c r="G5" t="inlineStr">
        <is>
          <t>02122020</t>
        </is>
      </c>
      <c r="H5" t="n">
        <v>2500</v>
      </c>
      <c r="I5" t="inlineStr">
        <is>
          <t>202003169203833901</t>
        </is>
      </c>
      <c r="J5" t="inlineStr">
        <is>
          <t>https://docquery.fec.gov/cgi-bin/fecimg/?202003169203833901</t>
        </is>
      </c>
    </row>
    <row r="6">
      <c r="A6" t="inlineStr">
        <is>
          <t>2020</t>
        </is>
      </c>
      <c r="B6" t="inlineStr">
        <is>
          <t>C00415026</t>
        </is>
      </c>
      <c r="C6" t="inlineStr">
        <is>
          <t>American Fuel &amp; Petrochemical Manufacturers PAC (AFPM PAC)</t>
        </is>
      </c>
      <c r="D6" t="inlineStr">
        <is>
          <t>DAN CRENSHAW FOR CONGRESS</t>
        </is>
      </c>
      <c r="E6" t="inlineStr">
        <is>
          <t>H8TX02166</t>
        </is>
      </c>
      <c r="F6" t="inlineStr">
        <is>
          <t>REP</t>
        </is>
      </c>
      <c r="G6" t="inlineStr">
        <is>
          <t>02262019</t>
        </is>
      </c>
      <c r="H6" t="n">
        <v>1000</v>
      </c>
      <c r="I6" t="inlineStr">
        <is>
          <t>201903079145641382</t>
        </is>
      </c>
      <c r="J6" t="inlineStr">
        <is>
          <t>https://docquery.fec.gov/cgi-bin/fecimg/?201903079145641382</t>
        </is>
      </c>
    </row>
    <row r="7">
      <c r="A7" t="inlineStr">
        <is>
          <t>2020</t>
        </is>
      </c>
      <c r="B7" t="inlineStr">
        <is>
          <t>C00415026</t>
        </is>
      </c>
      <c r="C7" t="inlineStr">
        <is>
          <t>American Fuel &amp; Petrochemical Manufacturers PAC (AFPM PAC)</t>
        </is>
      </c>
      <c r="D7" t="inlineStr">
        <is>
          <t>RICHMOND FOR CONGRESS</t>
        </is>
      </c>
      <c r="E7" t="inlineStr">
        <is>
          <t>H8LA02054</t>
        </is>
      </c>
      <c r="F7" t="inlineStr">
        <is>
          <t>DEM</t>
        </is>
      </c>
      <c r="G7" t="inlineStr">
        <is>
          <t>02262020</t>
        </is>
      </c>
      <c r="H7" t="n">
        <v>2500</v>
      </c>
      <c r="I7" t="inlineStr">
        <is>
          <t>202003169203833902</t>
        </is>
      </c>
      <c r="J7" t="inlineStr">
        <is>
          <t>https://docquery.fec.gov/cgi-bin/fecimg/?202003169203833902</t>
        </is>
      </c>
    </row>
    <row r="8">
      <c r="A8" t="inlineStr">
        <is>
          <t>2020</t>
        </is>
      </c>
      <c r="B8" t="inlineStr">
        <is>
          <t>C00415026</t>
        </is>
      </c>
      <c r="C8" t="inlineStr">
        <is>
          <t>American Fuel &amp; Petrochemical Manufacturers PAC (AFPM PAC)</t>
        </is>
      </c>
      <c r="D8" t="inlineStr">
        <is>
          <t>MARC VEASEY CONGRESSIONAL CAMPAIGN COMMITTEE</t>
        </is>
      </c>
      <c r="E8" t="inlineStr">
        <is>
          <t>H2TX33073</t>
        </is>
      </c>
      <c r="F8" t="inlineStr">
        <is>
          <t>DEM</t>
        </is>
      </c>
      <c r="G8" t="inlineStr">
        <is>
          <t>03062020</t>
        </is>
      </c>
      <c r="H8" t="n">
        <v>2500</v>
      </c>
      <c r="I8" t="inlineStr">
        <is>
          <t>202004179219685048</t>
        </is>
      </c>
      <c r="J8" t="inlineStr">
        <is>
          <t>https://docquery.fec.gov/cgi-bin/fecimg/?202004179219685048</t>
        </is>
      </c>
    </row>
    <row r="9">
      <c r="A9" t="inlineStr">
        <is>
          <t>2020</t>
        </is>
      </c>
      <c r="B9" t="inlineStr">
        <is>
          <t>C00415026</t>
        </is>
      </c>
      <c r="C9" t="inlineStr">
        <is>
          <t>American Fuel &amp; Petrochemical Manufacturers PAC (AFPM PAC)</t>
        </is>
      </c>
      <c r="D9" t="inlineStr">
        <is>
          <t>TEXANS FOR HENRY CUELLAR CONGRESSIONAL CAMPAIGN</t>
        </is>
      </c>
      <c r="E9" t="inlineStr">
        <is>
          <t>H2TX23082</t>
        </is>
      </c>
      <c r="F9" t="inlineStr">
        <is>
          <t>DEM</t>
        </is>
      </c>
      <c r="G9" t="inlineStr">
        <is>
          <t>03142019</t>
        </is>
      </c>
      <c r="H9" t="n">
        <v>5000</v>
      </c>
      <c r="I9" t="inlineStr">
        <is>
          <t>201904179146419511</t>
        </is>
      </c>
      <c r="J9" t="inlineStr">
        <is>
          <t>https://docquery.fec.gov/cgi-bin/fecimg/?201904179146419511</t>
        </is>
      </c>
    </row>
    <row r="10">
      <c r="A10" t="inlineStr">
        <is>
          <t>2020</t>
        </is>
      </c>
      <c r="B10" t="inlineStr">
        <is>
          <t>C00415026</t>
        </is>
      </c>
      <c r="C10" t="inlineStr">
        <is>
          <t>American Fuel &amp; Petrochemical Manufacturers PAC (AFPM PAC)</t>
        </is>
      </c>
      <c r="D10" t="inlineStr">
        <is>
          <t>KURT SCHRADER FOR CONGRESS</t>
        </is>
      </c>
      <c r="E10" t="inlineStr">
        <is>
          <t>H8OR05107</t>
        </is>
      </c>
      <c r="F10" t="inlineStr">
        <is>
          <t>DEM</t>
        </is>
      </c>
      <c r="G10" t="inlineStr">
        <is>
          <t>03282019</t>
        </is>
      </c>
      <c r="H10" t="n">
        <v>5000</v>
      </c>
      <c r="I10" t="inlineStr">
        <is>
          <t>201904179146419511</t>
        </is>
      </c>
      <c r="J10" t="inlineStr">
        <is>
          <t>https://docquery.fec.gov/cgi-bin/fecimg/?201904179146419511</t>
        </is>
      </c>
    </row>
    <row r="11">
      <c r="A11" t="inlineStr">
        <is>
          <t>2020</t>
        </is>
      </c>
      <c r="B11" t="inlineStr">
        <is>
          <t>C00415026</t>
        </is>
      </c>
      <c r="C11" t="inlineStr">
        <is>
          <t>American Fuel &amp; Petrochemical Manufacturers PAC (AFPM PAC)</t>
        </is>
      </c>
      <c r="D11" t="inlineStr">
        <is>
          <t>MCCONNELL SENATE COMMITTEE</t>
        </is>
      </c>
      <c r="E11" t="inlineStr">
        <is>
          <t>S2KY00012</t>
        </is>
      </c>
      <c r="F11" t="inlineStr">
        <is>
          <t>REP</t>
        </is>
      </c>
      <c r="G11" t="inlineStr">
        <is>
          <t>05142019</t>
        </is>
      </c>
      <c r="H11" t="n">
        <v>5000</v>
      </c>
      <c r="I11" t="inlineStr">
        <is>
          <t>201906189150077117</t>
        </is>
      </c>
      <c r="J11" t="inlineStr">
        <is>
          <t>https://docquery.fec.gov/cgi-bin/fecimg/?201906189150077117</t>
        </is>
      </c>
    </row>
    <row r="12">
      <c r="A12" t="inlineStr">
        <is>
          <t>2020</t>
        </is>
      </c>
      <c r="B12" t="inlineStr">
        <is>
          <t>C00415026</t>
        </is>
      </c>
      <c r="C12" t="inlineStr">
        <is>
          <t>American Fuel &amp; Petrochemical Manufacturers PAC (AFPM PAC)</t>
        </is>
      </c>
      <c r="D12" t="inlineStr">
        <is>
          <t>OLSON FOR CONGRESS COMMITTEE</t>
        </is>
      </c>
      <c r="E12" t="inlineStr">
        <is>
          <t>H8TX22107</t>
        </is>
      </c>
      <c r="F12" t="inlineStr">
        <is>
          <t>REP</t>
        </is>
      </c>
      <c r="G12" t="inlineStr">
        <is>
          <t>05142019</t>
        </is>
      </c>
      <c r="H12" t="n">
        <v>2500</v>
      </c>
      <c r="I12" t="inlineStr">
        <is>
          <t>201906189150077117</t>
        </is>
      </c>
      <c r="J12" t="inlineStr">
        <is>
          <t>https://docquery.fec.gov/cgi-bin/fecimg/?201906189150077117</t>
        </is>
      </c>
    </row>
    <row r="13">
      <c r="A13" t="inlineStr">
        <is>
          <t>2020</t>
        </is>
      </c>
      <c r="B13" t="inlineStr">
        <is>
          <t>C00415026</t>
        </is>
      </c>
      <c r="C13" t="inlineStr">
        <is>
          <t>American Fuel &amp; Petrochemical Manufacturers PAC (AFPM PAC)</t>
        </is>
      </c>
      <c r="D13" t="inlineStr">
        <is>
          <t>VICENTE GONZALEZ FOR CONGRESS</t>
        </is>
      </c>
      <c r="E13" t="inlineStr">
        <is>
          <t>H6TX15162</t>
        </is>
      </c>
      <c r="F13" t="inlineStr">
        <is>
          <t>DEM</t>
        </is>
      </c>
      <c r="G13" t="inlineStr">
        <is>
          <t>05142020</t>
        </is>
      </c>
      <c r="H13" t="n">
        <v>1000</v>
      </c>
      <c r="I13" t="inlineStr">
        <is>
          <t>202006179239804813</t>
        </is>
      </c>
      <c r="J13" t="inlineStr">
        <is>
          <t>https://docquery.fec.gov/cgi-bin/fecimg/?202006179239804813</t>
        </is>
      </c>
    </row>
    <row r="14">
      <c r="A14" t="inlineStr">
        <is>
          <t>2020</t>
        </is>
      </c>
      <c r="B14" t="inlineStr">
        <is>
          <t>C00415026</t>
        </is>
      </c>
      <c r="C14" t="inlineStr">
        <is>
          <t>American Fuel &amp; Petrochemical Manufacturers PAC (AFPM PAC)</t>
        </is>
      </c>
      <c r="D14" t="inlineStr">
        <is>
          <t>CORY GARDNER FOR SENATE</t>
        </is>
      </c>
      <c r="E14" t="inlineStr">
        <is>
          <t>S4CO00395</t>
        </is>
      </c>
      <c r="F14" t="inlineStr">
        <is>
          <t>REP</t>
        </is>
      </c>
      <c r="G14" t="inlineStr">
        <is>
          <t>05242019</t>
        </is>
      </c>
      <c r="H14" t="n">
        <v>1000</v>
      </c>
      <c r="I14" t="inlineStr">
        <is>
          <t>201906189150077117</t>
        </is>
      </c>
      <c r="J14" t="inlineStr">
        <is>
          <t>https://docquery.fec.gov/cgi-bin/fecimg/?201906189150077117</t>
        </is>
      </c>
    </row>
    <row r="15">
      <c r="A15" t="inlineStr">
        <is>
          <t>2020</t>
        </is>
      </c>
      <c r="B15" t="inlineStr">
        <is>
          <t>C00415026</t>
        </is>
      </c>
      <c r="C15" t="inlineStr">
        <is>
          <t>American Fuel &amp; Petrochemical Manufacturers PAC (AFPM PAC)</t>
        </is>
      </c>
      <c r="D15" t="inlineStr">
        <is>
          <t>CHIP ROY FOR CONGRESS</t>
        </is>
      </c>
      <c r="E15" t="inlineStr">
        <is>
          <t>H8TX21307</t>
        </is>
      </c>
      <c r="F15" t="inlineStr">
        <is>
          <t>REP</t>
        </is>
      </c>
      <c r="G15" t="inlineStr">
        <is>
          <t>06122020</t>
        </is>
      </c>
      <c r="H15" t="n">
        <v>1000</v>
      </c>
      <c r="I15" t="inlineStr">
        <is>
          <t>202007109244426614</t>
        </is>
      </c>
      <c r="J15" t="inlineStr">
        <is>
          <t>https://docquery.fec.gov/cgi-bin/fecimg/?202007109244426614</t>
        </is>
      </c>
    </row>
    <row r="16">
      <c r="A16" t="inlineStr">
        <is>
          <t>2020</t>
        </is>
      </c>
      <c r="B16" t="inlineStr">
        <is>
          <t>C00415026</t>
        </is>
      </c>
      <c r="C16" t="inlineStr">
        <is>
          <t>American Fuel &amp; Petrochemical Manufacturers PAC (AFPM PAC)</t>
        </is>
      </c>
      <c r="D16" t="inlineStr">
        <is>
          <t>HUDSON FOR CONGRESS</t>
        </is>
      </c>
      <c r="E16" t="inlineStr">
        <is>
          <t>H2NC08185</t>
        </is>
      </c>
      <c r="F16" t="inlineStr">
        <is>
          <t>REP</t>
        </is>
      </c>
      <c r="G16" t="inlineStr">
        <is>
          <t>06122020</t>
        </is>
      </c>
      <c r="H16" t="n">
        <v>2500</v>
      </c>
      <c r="I16" t="inlineStr">
        <is>
          <t>202007109244426614</t>
        </is>
      </c>
      <c r="J16" t="inlineStr">
        <is>
          <t>https://docquery.fec.gov/cgi-bin/fecimg/?202007109244426614</t>
        </is>
      </c>
    </row>
    <row r="17">
      <c r="A17" t="inlineStr">
        <is>
          <t>2020</t>
        </is>
      </c>
      <c r="B17" t="inlineStr">
        <is>
          <t>C00415026</t>
        </is>
      </c>
      <c r="C17" t="inlineStr">
        <is>
          <t>American Fuel &amp; Petrochemical Manufacturers PAC (AFPM PAC)</t>
        </is>
      </c>
      <c r="D17" t="inlineStr">
        <is>
          <t>MICHAEL BURGESS FOR CONGRESS</t>
        </is>
      </c>
      <c r="E17" t="inlineStr">
        <is>
          <t>H2TX26093</t>
        </is>
      </c>
      <c r="F17" t="inlineStr">
        <is>
          <t>REP</t>
        </is>
      </c>
      <c r="G17" t="inlineStr">
        <is>
          <t>06122020</t>
        </is>
      </c>
      <c r="H17" t="n">
        <v>2500</v>
      </c>
      <c r="I17" t="inlineStr">
        <is>
          <t>202007109244426614</t>
        </is>
      </c>
      <c r="J17" t="inlineStr">
        <is>
          <t>https://docquery.fec.gov/cgi-bin/fecimg/?202007109244426614</t>
        </is>
      </c>
    </row>
    <row r="18">
      <c r="A18" t="inlineStr">
        <is>
          <t>2020</t>
        </is>
      </c>
      <c r="B18" t="inlineStr">
        <is>
          <t>C00415026</t>
        </is>
      </c>
      <c r="C18" t="inlineStr">
        <is>
          <t>American Fuel &amp; Petrochemical Manufacturers PAC (AFPM PAC)</t>
        </is>
      </c>
      <c r="D18" t="inlineStr">
        <is>
          <t>SCALISE FOR CONGRESS</t>
        </is>
      </c>
      <c r="E18" t="inlineStr">
        <is>
          <t>H0LA01087</t>
        </is>
      </c>
      <c r="F18" t="inlineStr">
        <is>
          <t>REP</t>
        </is>
      </c>
      <c r="G18" t="inlineStr">
        <is>
          <t>06122020</t>
        </is>
      </c>
      <c r="H18" t="n">
        <v>5000</v>
      </c>
      <c r="I18" t="inlineStr">
        <is>
          <t>202007109244426615</t>
        </is>
      </c>
      <c r="J18" t="inlineStr">
        <is>
          <t>https://docquery.fec.gov/cgi-bin/fecimg/?202007109244426615</t>
        </is>
      </c>
    </row>
    <row r="19">
      <c r="A19" t="inlineStr">
        <is>
          <t>2020</t>
        </is>
      </c>
      <c r="B19" t="inlineStr">
        <is>
          <t>C00415026</t>
        </is>
      </c>
      <c r="C19" t="inlineStr">
        <is>
          <t>American Fuel &amp; Petrochemical Manufacturers PAC (AFPM PAC)</t>
        </is>
      </c>
      <c r="D19" t="inlineStr">
        <is>
          <t>BILL FLORES FOR CONGRESS</t>
        </is>
      </c>
      <c r="E19" t="inlineStr">
        <is>
          <t>H0TX17104</t>
        </is>
      </c>
      <c r="F19" t="inlineStr">
        <is>
          <t>REP</t>
        </is>
      </c>
      <c r="G19" t="inlineStr">
        <is>
          <t>06172019</t>
        </is>
      </c>
      <c r="H19" t="n">
        <v>3500</v>
      </c>
      <c r="I19" t="inlineStr">
        <is>
          <t>201907169151362612</t>
        </is>
      </c>
      <c r="J19" t="inlineStr">
        <is>
          <t>https://docquery.fec.gov/cgi-bin/fecimg/?201907169151362612</t>
        </is>
      </c>
    </row>
    <row r="20">
      <c r="A20" t="inlineStr">
        <is>
          <t>2020</t>
        </is>
      </c>
      <c r="B20" t="inlineStr">
        <is>
          <t>C00415026</t>
        </is>
      </c>
      <c r="C20" t="inlineStr">
        <is>
          <t>American Fuel &amp; Petrochemical Manufacturers PAC (AFPM PAC)</t>
        </is>
      </c>
      <c r="D20" t="inlineStr">
        <is>
          <t>BILL CASSIDY FOR US SENATE</t>
        </is>
      </c>
      <c r="E20" t="inlineStr">
        <is>
          <t>S4LA00107</t>
        </is>
      </c>
      <c r="F20" t="inlineStr">
        <is>
          <t>REP</t>
        </is>
      </c>
      <c r="G20" t="inlineStr">
        <is>
          <t>06172019</t>
        </is>
      </c>
      <c r="H20" t="n">
        <v>5000</v>
      </c>
      <c r="I20" t="inlineStr">
        <is>
          <t>201907169151362611</t>
        </is>
      </c>
      <c r="J20" t="inlineStr">
        <is>
          <t>https://docquery.fec.gov/cgi-bin/fecimg/?201907169151362611</t>
        </is>
      </c>
    </row>
    <row r="21">
      <c r="A21" t="inlineStr">
        <is>
          <t>2020</t>
        </is>
      </c>
      <c r="B21" t="inlineStr">
        <is>
          <t>C00415026</t>
        </is>
      </c>
      <c r="C21" t="inlineStr">
        <is>
          <t>American Fuel &amp; Petrochemical Manufacturers PAC (AFPM PAC)</t>
        </is>
      </c>
      <c r="D21" t="inlineStr">
        <is>
          <t>BILL CASSIDY FOR US SENATE</t>
        </is>
      </c>
      <c r="E21" t="inlineStr">
        <is>
          <t>S4LA00107</t>
        </is>
      </c>
      <c r="F21" t="inlineStr">
        <is>
          <t>REP</t>
        </is>
      </c>
      <c r="G21" t="inlineStr">
        <is>
          <t>06172019</t>
        </is>
      </c>
      <c r="H21" t="n">
        <v>5000</v>
      </c>
      <c r="I21" t="inlineStr">
        <is>
          <t>201907169151362611</t>
        </is>
      </c>
      <c r="J21" t="inlineStr">
        <is>
          <t>https://docquery.fec.gov/cgi-bin/fecimg/?201907169151362611</t>
        </is>
      </c>
    </row>
    <row r="22">
      <c r="A22" t="inlineStr">
        <is>
          <t>2020</t>
        </is>
      </c>
      <c r="B22" t="inlineStr">
        <is>
          <t>C00415026</t>
        </is>
      </c>
      <c r="C22" t="inlineStr">
        <is>
          <t>American Fuel &amp; Petrochemical Manufacturers PAC (AFPM PAC)</t>
        </is>
      </c>
      <c r="D22" t="inlineStr">
        <is>
          <t>STEVE DAINES FOR MONTANA</t>
        </is>
      </c>
      <c r="E22" t="inlineStr">
        <is>
          <t>S2MT00096</t>
        </is>
      </c>
      <c r="F22" t="inlineStr">
        <is>
          <t>REP</t>
        </is>
      </c>
      <c r="G22" t="inlineStr">
        <is>
          <t>06252020</t>
        </is>
      </c>
      <c r="H22" t="n">
        <v>2500</v>
      </c>
      <c r="I22" t="inlineStr">
        <is>
          <t>202007109244426615</t>
        </is>
      </c>
      <c r="J22" t="inlineStr">
        <is>
          <t>https://docquery.fec.gov/cgi-bin/fecimg/?202007109244426615</t>
        </is>
      </c>
    </row>
    <row r="23">
      <c r="A23" t="inlineStr">
        <is>
          <t>2020</t>
        </is>
      </c>
      <c r="B23" t="inlineStr">
        <is>
          <t>C00415026</t>
        </is>
      </c>
      <c r="C23" t="inlineStr">
        <is>
          <t>American Fuel &amp; Petrochemical Manufacturers PAC (AFPM PAC)</t>
        </is>
      </c>
      <c r="D23" t="inlineStr">
        <is>
          <t>THOM TILLIS COMMITTEE</t>
        </is>
      </c>
      <c r="E23" t="inlineStr">
        <is>
          <t>S4NC00162</t>
        </is>
      </c>
      <c r="F23" t="inlineStr">
        <is>
          <t>REP</t>
        </is>
      </c>
      <c r="G23" t="inlineStr">
        <is>
          <t>06252020</t>
        </is>
      </c>
      <c r="H23" t="n">
        <v>5000</v>
      </c>
      <c r="I23" t="inlineStr">
        <is>
          <t>202007109244426615</t>
        </is>
      </c>
      <c r="J23" t="inlineStr">
        <is>
          <t>https://docquery.fec.gov/cgi-bin/fecimg/?202007109244426615</t>
        </is>
      </c>
    </row>
    <row r="24">
      <c r="A24" t="inlineStr">
        <is>
          <t>2020</t>
        </is>
      </c>
      <c r="B24" t="inlineStr">
        <is>
          <t>C00415026</t>
        </is>
      </c>
      <c r="C24" t="inlineStr">
        <is>
          <t>American Fuel &amp; Petrochemical Manufacturers PAC (AFPM PAC)</t>
        </is>
      </c>
      <c r="D24" t="inlineStr">
        <is>
          <t>RICHMOND FOR CONGRESS</t>
        </is>
      </c>
      <c r="E24" t="inlineStr">
        <is>
          <t>H8LA02054</t>
        </is>
      </c>
      <c r="F24" t="inlineStr">
        <is>
          <t>DEM</t>
        </is>
      </c>
      <c r="G24" t="inlineStr">
        <is>
          <t>06282019</t>
        </is>
      </c>
      <c r="H24" t="n">
        <v>2500</v>
      </c>
      <c r="I24" t="inlineStr">
        <is>
          <t>201907169151362612</t>
        </is>
      </c>
      <c r="J24" t="inlineStr">
        <is>
          <t>https://docquery.fec.gov/cgi-bin/fecimg/?201907169151362612</t>
        </is>
      </c>
    </row>
    <row r="25">
      <c r="A25" t="inlineStr">
        <is>
          <t>2020</t>
        </is>
      </c>
      <c r="B25" t="inlineStr">
        <is>
          <t>C00415026</t>
        </is>
      </c>
      <c r="C25" t="inlineStr">
        <is>
          <t>American Fuel &amp; Petrochemical Manufacturers PAC (AFPM PAC)</t>
        </is>
      </c>
      <c r="D25" t="inlineStr">
        <is>
          <t>TEXANS FOR JODEY ARRINGTON</t>
        </is>
      </c>
      <c r="E25" t="inlineStr">
        <is>
          <t>H6TX19099</t>
        </is>
      </c>
      <c r="F25" t="inlineStr">
        <is>
          <t>REP</t>
        </is>
      </c>
      <c r="G25" t="inlineStr">
        <is>
          <t>06282019</t>
        </is>
      </c>
      <c r="H25" t="n">
        <v>2500</v>
      </c>
      <c r="I25" t="inlineStr">
        <is>
          <t>201907169151362612</t>
        </is>
      </c>
      <c r="J25" t="inlineStr">
        <is>
          <t>https://docquery.fec.gov/cgi-bin/fecimg/?201907169151362612</t>
        </is>
      </c>
    </row>
    <row r="26">
      <c r="A26" t="inlineStr">
        <is>
          <t>2020</t>
        </is>
      </c>
      <c r="B26" t="inlineStr">
        <is>
          <t>C00415026</t>
        </is>
      </c>
      <c r="C26" t="inlineStr">
        <is>
          <t>American Fuel &amp; Petrochemical Manufacturers PAC (AFPM PAC)</t>
        </is>
      </c>
      <c r="D26" t="inlineStr">
        <is>
          <t>VOLUNTEERS FOR SHIMKUS</t>
        </is>
      </c>
      <c r="E26" t="inlineStr">
        <is>
          <t>H2IL20042</t>
        </is>
      </c>
      <c r="F26" t="inlineStr">
        <is>
          <t>REP</t>
        </is>
      </c>
      <c r="G26" t="inlineStr">
        <is>
          <t>06282019</t>
        </is>
      </c>
      <c r="H26" t="n">
        <v>2500</v>
      </c>
      <c r="I26" t="inlineStr">
        <is>
          <t>201907169151362613</t>
        </is>
      </c>
      <c r="J26" t="inlineStr">
        <is>
          <t>https://docquery.fec.gov/cgi-bin/fecimg/?201907169151362613</t>
        </is>
      </c>
    </row>
    <row r="27">
      <c r="A27" t="inlineStr">
        <is>
          <t>2020</t>
        </is>
      </c>
      <c r="B27" t="inlineStr">
        <is>
          <t>C00415026</t>
        </is>
      </c>
      <c r="C27" t="inlineStr">
        <is>
          <t>American Fuel &amp; Petrochemical Manufacturers PAC (AFPM PAC)</t>
        </is>
      </c>
      <c r="D27" t="inlineStr">
        <is>
          <t>BEN SASSE FOR US SENATE INC</t>
        </is>
      </c>
      <c r="E27" t="inlineStr">
        <is>
          <t>S4NE00090</t>
        </is>
      </c>
      <c r="F27" t="inlineStr">
        <is>
          <t>REP</t>
        </is>
      </c>
      <c r="G27" t="inlineStr">
        <is>
          <t>06282019</t>
        </is>
      </c>
      <c r="H27" t="n">
        <v>2500</v>
      </c>
      <c r="I27" t="inlineStr">
        <is>
          <t>201907169151362611</t>
        </is>
      </c>
      <c r="J27" t="inlineStr">
        <is>
          <t>https://docquery.fec.gov/cgi-bin/fecimg/?201907169151362611</t>
        </is>
      </c>
    </row>
    <row r="28">
      <c r="A28" t="inlineStr">
        <is>
          <t>2020</t>
        </is>
      </c>
      <c r="B28" t="inlineStr">
        <is>
          <t>C00415026</t>
        </is>
      </c>
      <c r="C28" t="inlineStr">
        <is>
          <t>American Fuel &amp; Petrochemical Manufacturers PAC (AFPM PAC)</t>
        </is>
      </c>
      <c r="D28" t="inlineStr">
        <is>
          <t>DAN CRENSHAW FOR CONGRESS</t>
        </is>
      </c>
      <c r="E28" t="inlineStr">
        <is>
          <t>H8TX02166</t>
        </is>
      </c>
      <c r="F28" t="inlineStr">
        <is>
          <t>REP</t>
        </is>
      </c>
      <c r="G28" t="inlineStr">
        <is>
          <t>07082019</t>
        </is>
      </c>
      <c r="H28" t="n">
        <v>1000</v>
      </c>
      <c r="I28" t="inlineStr">
        <is>
          <t>201908149162866512</t>
        </is>
      </c>
      <c r="J28" t="inlineStr">
        <is>
          <t>https://docquery.fec.gov/cgi-bin/fecimg/?201908149162866512</t>
        </is>
      </c>
    </row>
    <row r="29">
      <c r="A29" t="inlineStr">
        <is>
          <t>2020</t>
        </is>
      </c>
      <c r="B29" t="inlineStr">
        <is>
          <t>C00415026</t>
        </is>
      </c>
      <c r="C29" t="inlineStr">
        <is>
          <t>American Fuel &amp; Petrochemical Manufacturers PAC (AFPM PAC)</t>
        </is>
      </c>
      <c r="D29" t="inlineStr">
        <is>
          <t>LATTA FOR CONGRESS</t>
        </is>
      </c>
      <c r="E29" t="inlineStr">
        <is>
          <t>H8OH05036</t>
        </is>
      </c>
      <c r="F29" t="inlineStr">
        <is>
          <t>REP</t>
        </is>
      </c>
      <c r="G29" t="inlineStr">
        <is>
          <t>07132020</t>
        </is>
      </c>
      <c r="H29" t="n">
        <v>1000</v>
      </c>
      <c r="I29" t="inlineStr">
        <is>
          <t>202008199261387629</t>
        </is>
      </c>
      <c r="J29" t="inlineStr">
        <is>
          <t>https://docquery.fec.gov/cgi-bin/fecimg/?202008199261387629</t>
        </is>
      </c>
    </row>
    <row r="30">
      <c r="A30" t="inlineStr">
        <is>
          <t>2020</t>
        </is>
      </c>
      <c r="B30" t="inlineStr">
        <is>
          <t>C00415026</t>
        </is>
      </c>
      <c r="C30" t="inlineStr">
        <is>
          <t>American Fuel &amp; Petrochemical Manufacturers PAC (AFPM PAC)</t>
        </is>
      </c>
      <c r="D30" t="inlineStr">
        <is>
          <t>CHRIS COONS FOR DELAWARE</t>
        </is>
      </c>
      <c r="E30" t="inlineStr">
        <is>
          <t>S0DE00092</t>
        </is>
      </c>
      <c r="F30" t="inlineStr">
        <is>
          <t>DEM</t>
        </is>
      </c>
      <c r="G30" t="inlineStr">
        <is>
          <t>07222020</t>
        </is>
      </c>
      <c r="H30" t="n">
        <v>2500</v>
      </c>
      <c r="I30" t="inlineStr">
        <is>
          <t>202008199261387628</t>
        </is>
      </c>
      <c r="J30" t="inlineStr">
        <is>
          <t>https://docquery.fec.gov/cgi-bin/fecimg/?202008199261387628</t>
        </is>
      </c>
    </row>
    <row r="31">
      <c r="A31" t="inlineStr">
        <is>
          <t>2020</t>
        </is>
      </c>
      <c r="B31" t="inlineStr">
        <is>
          <t>C00415026</t>
        </is>
      </c>
      <c r="C31" t="inlineStr">
        <is>
          <t>American Fuel &amp; Petrochemical Manufacturers PAC (AFPM PAC)</t>
        </is>
      </c>
      <c r="D31" t="inlineStr">
        <is>
          <t>ELIZABETH PANNILL FLETCHER FOR CONGRESS</t>
        </is>
      </c>
      <c r="E31" t="inlineStr">
        <is>
          <t>H8TX07140</t>
        </is>
      </c>
      <c r="F31" t="inlineStr">
        <is>
          <t>DEM</t>
        </is>
      </c>
      <c r="G31" t="inlineStr">
        <is>
          <t>07222020</t>
        </is>
      </c>
      <c r="H31" t="n">
        <v>5000</v>
      </c>
      <c r="I31" t="inlineStr">
        <is>
          <t>202008199261387628</t>
        </is>
      </c>
      <c r="J31" t="inlineStr">
        <is>
          <t>https://docquery.fec.gov/cgi-bin/fecimg/?202008199261387628</t>
        </is>
      </c>
    </row>
    <row r="32">
      <c r="A32" t="inlineStr">
        <is>
          <t>2020</t>
        </is>
      </c>
      <c r="B32" t="inlineStr">
        <is>
          <t>C00415026</t>
        </is>
      </c>
      <c r="C32" t="inlineStr">
        <is>
          <t>American Fuel &amp; Petrochemical Manufacturers PAC (AFPM PAC)</t>
        </is>
      </c>
      <c r="D32" t="inlineStr">
        <is>
          <t>RICHMOND FOR CONGRESS</t>
        </is>
      </c>
      <c r="E32" t="inlineStr">
        <is>
          <t>H8LA02054</t>
        </is>
      </c>
      <c r="F32" t="inlineStr">
        <is>
          <t>DEM</t>
        </is>
      </c>
      <c r="G32" t="inlineStr">
        <is>
          <t>07222020</t>
        </is>
      </c>
      <c r="H32" t="n">
        <v>1000</v>
      </c>
      <c r="I32" t="inlineStr">
        <is>
          <t>202008199261387629</t>
        </is>
      </c>
      <c r="J32" t="inlineStr">
        <is>
          <t>https://docquery.fec.gov/cgi-bin/fecimg/?202008199261387629</t>
        </is>
      </c>
    </row>
    <row r="33">
      <c r="A33" t="inlineStr">
        <is>
          <t>2020</t>
        </is>
      </c>
      <c r="B33" t="inlineStr">
        <is>
          <t>C00415026</t>
        </is>
      </c>
      <c r="C33" t="inlineStr">
        <is>
          <t>American Fuel &amp; Petrochemical Manufacturers PAC (AFPM PAC)</t>
        </is>
      </c>
      <c r="D33" t="inlineStr">
        <is>
          <t>DUFFY FOR WISCONSIN</t>
        </is>
      </c>
      <c r="E33" t="inlineStr">
        <is>
          <t>H0WI07051</t>
        </is>
      </c>
      <c r="F33" t="inlineStr">
        <is>
          <t>REP</t>
        </is>
      </c>
      <c r="G33" t="inlineStr">
        <is>
          <t>07242019</t>
        </is>
      </c>
      <c r="H33" t="n">
        <v>1000</v>
      </c>
      <c r="I33" t="inlineStr">
        <is>
          <t>201908149162866513</t>
        </is>
      </c>
      <c r="J33" t="inlineStr">
        <is>
          <t>https://docquery.fec.gov/cgi-bin/fecimg/?201908149162866513</t>
        </is>
      </c>
    </row>
    <row r="34">
      <c r="A34" t="inlineStr">
        <is>
          <t>2020</t>
        </is>
      </c>
      <c r="B34" t="inlineStr">
        <is>
          <t>C00415026</t>
        </is>
      </c>
      <c r="C34" t="inlineStr">
        <is>
          <t>American Fuel &amp; Petrochemical Manufacturers PAC (AFPM PAC)</t>
        </is>
      </c>
      <c r="D34" t="inlineStr">
        <is>
          <t>FRIENDS OF JIM INHOFE</t>
        </is>
      </c>
      <c r="E34" t="inlineStr">
        <is>
          <t>S4OK00083</t>
        </is>
      </c>
      <c r="F34" t="inlineStr">
        <is>
          <t>REP</t>
        </is>
      </c>
      <c r="G34" t="inlineStr">
        <is>
          <t>07282020</t>
        </is>
      </c>
      <c r="H34" t="n">
        <v>2500</v>
      </c>
      <c r="I34" t="inlineStr">
        <is>
          <t>202008199261387628</t>
        </is>
      </c>
      <c r="J34" t="inlineStr">
        <is>
          <t>https://docquery.fec.gov/cgi-bin/fecimg/?202008199261387628</t>
        </is>
      </c>
    </row>
    <row r="35">
      <c r="A35" t="inlineStr">
        <is>
          <t>2020</t>
        </is>
      </c>
      <c r="B35" t="inlineStr">
        <is>
          <t>C00415026</t>
        </is>
      </c>
      <c r="C35" t="inlineStr">
        <is>
          <t>American Fuel &amp; Petrochemical Manufacturers PAC (AFPM PAC)</t>
        </is>
      </c>
      <c r="D35" t="inlineStr">
        <is>
          <t>ARMSTRONG FOR CONGRESS</t>
        </is>
      </c>
      <c r="E35" t="inlineStr">
        <is>
          <t>H8ND00096</t>
        </is>
      </c>
      <c r="F35" t="inlineStr">
        <is>
          <t>REP</t>
        </is>
      </c>
      <c r="G35" t="inlineStr">
        <is>
          <t>07302019</t>
        </is>
      </c>
      <c r="H35" t="n">
        <v>1000</v>
      </c>
      <c r="I35" t="inlineStr">
        <is>
          <t>201908149162866512</t>
        </is>
      </c>
      <c r="J35" t="inlineStr">
        <is>
          <t>https://docquery.fec.gov/cgi-bin/fecimg/?201908149162866512</t>
        </is>
      </c>
    </row>
    <row r="36">
      <c r="A36" t="inlineStr">
        <is>
          <t>2020</t>
        </is>
      </c>
      <c r="B36" t="inlineStr">
        <is>
          <t>C00415026</t>
        </is>
      </c>
      <c r="C36" t="inlineStr">
        <is>
          <t>American Fuel &amp; Petrochemical Manufacturers PAC (AFPM PAC)</t>
        </is>
      </c>
      <c r="D36" t="inlineStr">
        <is>
          <t>CORY GARDNER FOR SENATE</t>
        </is>
      </c>
      <c r="E36" t="inlineStr">
        <is>
          <t>S4CO00395</t>
        </is>
      </c>
      <c r="F36" t="inlineStr">
        <is>
          <t>REP</t>
        </is>
      </c>
      <c r="G36" t="inlineStr">
        <is>
          <t>07302019</t>
        </is>
      </c>
      <c r="H36" t="n">
        <v>2500</v>
      </c>
      <c r="I36" t="inlineStr">
        <is>
          <t>201908149162866512</t>
        </is>
      </c>
      <c r="J36" t="inlineStr">
        <is>
          <t>https://docquery.fec.gov/cgi-bin/fecimg/?201908149162866512</t>
        </is>
      </c>
    </row>
    <row r="37">
      <c r="A37" t="inlineStr">
        <is>
          <t>2020</t>
        </is>
      </c>
      <c r="B37" t="inlineStr">
        <is>
          <t>C00415026</t>
        </is>
      </c>
      <c r="C37" t="inlineStr">
        <is>
          <t>American Fuel &amp; Petrochemical Manufacturers PAC (AFPM PAC)</t>
        </is>
      </c>
      <c r="D37" t="inlineStr">
        <is>
          <t>JIM COSTA FOR CONGRESS</t>
        </is>
      </c>
      <c r="E37" t="inlineStr">
        <is>
          <t>H4CA20082</t>
        </is>
      </c>
      <c r="F37" t="inlineStr">
        <is>
          <t>DEM</t>
        </is>
      </c>
      <c r="G37" t="inlineStr">
        <is>
          <t>07302019</t>
        </is>
      </c>
      <c r="H37" t="n">
        <v>2500</v>
      </c>
      <c r="I37" t="inlineStr">
        <is>
          <t>201908149162866513</t>
        </is>
      </c>
      <c r="J37" t="inlineStr">
        <is>
          <t>https://docquery.fec.gov/cgi-bin/fecimg/?201908149162866513</t>
        </is>
      </c>
    </row>
    <row r="38">
      <c r="A38" t="inlineStr">
        <is>
          <t>2020</t>
        </is>
      </c>
      <c r="B38" t="inlineStr">
        <is>
          <t>C00415026</t>
        </is>
      </c>
      <c r="C38" t="inlineStr">
        <is>
          <t>American Fuel &amp; Petrochemical Manufacturers PAC (AFPM PAC)</t>
        </is>
      </c>
      <c r="D38" t="inlineStr">
        <is>
          <t>MULLIN FOR CONGRESS</t>
        </is>
      </c>
      <c r="E38" t="inlineStr">
        <is>
          <t>H2OK02083</t>
        </is>
      </c>
      <c r="F38" t="inlineStr">
        <is>
          <t>REP</t>
        </is>
      </c>
      <c r="G38" t="inlineStr">
        <is>
          <t>07302019</t>
        </is>
      </c>
      <c r="H38" t="n">
        <v>1000</v>
      </c>
      <c r="I38" t="inlineStr">
        <is>
          <t>201908149162866513</t>
        </is>
      </c>
      <c r="J38" t="inlineStr">
        <is>
          <t>https://docquery.fec.gov/cgi-bin/fecimg/?201908149162866513</t>
        </is>
      </c>
    </row>
    <row r="39">
      <c r="A39" t="inlineStr">
        <is>
          <t>2020</t>
        </is>
      </c>
      <c r="B39" t="inlineStr">
        <is>
          <t>C00415026</t>
        </is>
      </c>
      <c r="C39" t="inlineStr">
        <is>
          <t>American Fuel &amp; Petrochemical Manufacturers PAC (AFPM PAC)</t>
        </is>
      </c>
      <c r="D39" t="inlineStr">
        <is>
          <t>TEXANS FOR JODEY ARRINGTON</t>
        </is>
      </c>
      <c r="E39" t="inlineStr">
        <is>
          <t>H6TX19099</t>
        </is>
      </c>
      <c r="F39" t="inlineStr">
        <is>
          <t>REP</t>
        </is>
      </c>
      <c r="G39" t="inlineStr">
        <is>
          <t>07302019</t>
        </is>
      </c>
      <c r="H39" t="n">
        <v>2500</v>
      </c>
      <c r="I39" t="inlineStr">
        <is>
          <t>201908149162866514</t>
        </is>
      </c>
      <c r="J39" t="inlineStr">
        <is>
          <t>https://docquery.fec.gov/cgi-bin/fecimg/?201908149162866514</t>
        </is>
      </c>
    </row>
    <row r="40">
      <c r="A40" t="inlineStr">
        <is>
          <t>2020</t>
        </is>
      </c>
      <c r="B40" t="inlineStr">
        <is>
          <t>C00415026</t>
        </is>
      </c>
      <c r="C40" t="inlineStr">
        <is>
          <t>American Fuel &amp; Petrochemical Manufacturers PAC (AFPM PAC)</t>
        </is>
      </c>
      <c r="D40" t="inlineStr">
        <is>
          <t>SYLVIA GARCIA FOR CONGRESS</t>
        </is>
      </c>
      <c r="E40" t="inlineStr">
        <is>
          <t>H8TX29052</t>
        </is>
      </c>
      <c r="F40" t="inlineStr">
        <is>
          <t>DEM</t>
        </is>
      </c>
      <c r="G40" t="inlineStr">
        <is>
          <t>08042020</t>
        </is>
      </c>
      <c r="H40" t="n">
        <v>1000</v>
      </c>
      <c r="I40" t="inlineStr">
        <is>
          <t>202009169267206452</t>
        </is>
      </c>
      <c r="J40" t="inlineStr">
        <is>
          <t>https://docquery.fec.gov/cgi-bin/fecimg/?202009169267206452</t>
        </is>
      </c>
    </row>
    <row r="41">
      <c r="A41" t="inlineStr">
        <is>
          <t>2020</t>
        </is>
      </c>
      <c r="B41" t="inlineStr">
        <is>
          <t>C00415026</t>
        </is>
      </c>
      <c r="C41" t="inlineStr">
        <is>
          <t>American Fuel &amp; Petrochemical Manufacturers PAC (AFPM PAC)</t>
        </is>
      </c>
      <c r="D41" t="inlineStr">
        <is>
          <t>LUMMIS FOR WYOMING INC.</t>
        </is>
      </c>
      <c r="E41" t="inlineStr">
        <is>
          <t>S0WY00137</t>
        </is>
      </c>
      <c r="F41" t="inlineStr">
        <is>
          <t>REP</t>
        </is>
      </c>
      <c r="G41" t="inlineStr">
        <is>
          <t>08052020</t>
        </is>
      </c>
      <c r="H41" t="n">
        <v>2500</v>
      </c>
      <c r="I41" t="inlineStr">
        <is>
          <t>202009169267206452</t>
        </is>
      </c>
      <c r="J41" t="inlineStr">
        <is>
          <t>https://docquery.fec.gov/cgi-bin/fecimg/?202009169267206452</t>
        </is>
      </c>
    </row>
    <row r="42">
      <c r="A42" t="inlineStr">
        <is>
          <t>2020</t>
        </is>
      </c>
      <c r="B42" t="inlineStr">
        <is>
          <t>C00415026</t>
        </is>
      </c>
      <c r="C42" t="inlineStr">
        <is>
          <t>American Fuel &amp; Petrochemical Manufacturers PAC (AFPM PAC)</t>
        </is>
      </c>
      <c r="D42" t="inlineStr">
        <is>
          <t>FRIENDS OF BEN MCADAMS</t>
        </is>
      </c>
      <c r="E42" t="inlineStr">
        <is>
          <t>H8UT04053</t>
        </is>
      </c>
      <c r="F42" t="inlineStr">
        <is>
          <t>DEM</t>
        </is>
      </c>
      <c r="G42" t="inlineStr">
        <is>
          <t>09162020</t>
        </is>
      </c>
      <c r="H42" t="n">
        <v>2500</v>
      </c>
      <c r="I42" t="inlineStr">
        <is>
          <t>202010169296953150</t>
        </is>
      </c>
      <c r="J42" t="inlineStr">
        <is>
          <t>https://docquery.fec.gov/cgi-bin/fecimg/?202010169296953150</t>
        </is>
      </c>
    </row>
    <row r="43">
      <c r="A43" t="inlineStr">
        <is>
          <t>2020</t>
        </is>
      </c>
      <c r="B43" t="inlineStr">
        <is>
          <t>C00415026</t>
        </is>
      </c>
      <c r="C43" t="inlineStr">
        <is>
          <t>American Fuel &amp; Petrochemical Manufacturers PAC (AFPM PAC)</t>
        </is>
      </c>
      <c r="D43" t="inlineStr">
        <is>
          <t>LOU CORREA FOR CONGRESS</t>
        </is>
      </c>
      <c r="E43" t="inlineStr">
        <is>
          <t>H6CA46116</t>
        </is>
      </c>
      <c r="F43" t="inlineStr">
        <is>
          <t>DEM</t>
        </is>
      </c>
      <c r="G43" t="inlineStr">
        <is>
          <t>09162020</t>
        </is>
      </c>
      <c r="H43" t="n">
        <v>1000</v>
      </c>
      <c r="I43" t="inlineStr">
        <is>
          <t>202010169296953151</t>
        </is>
      </c>
      <c r="J43" t="inlineStr">
        <is>
          <t>https://docquery.fec.gov/cgi-bin/fecimg/?202010169296953151</t>
        </is>
      </c>
    </row>
    <row r="44">
      <c r="A44" t="inlineStr">
        <is>
          <t>2020</t>
        </is>
      </c>
      <c r="B44" t="inlineStr">
        <is>
          <t>C00415026</t>
        </is>
      </c>
      <c r="C44" t="inlineStr">
        <is>
          <t>American Fuel &amp; Petrochemical Manufacturers PAC (AFPM PAC)</t>
        </is>
      </c>
      <c r="D44" t="inlineStr">
        <is>
          <t>RICHMOND FOR CONGRESS</t>
        </is>
      </c>
      <c r="E44" t="inlineStr">
        <is>
          <t>H8LA02054</t>
        </is>
      </c>
      <c r="F44" t="inlineStr">
        <is>
          <t>DEM</t>
        </is>
      </c>
      <c r="G44" t="inlineStr">
        <is>
          <t>09162020</t>
        </is>
      </c>
      <c r="H44" t="n">
        <v>1000</v>
      </c>
      <c r="I44" t="inlineStr">
        <is>
          <t>202010169296953152</t>
        </is>
      </c>
      <c r="J44" t="inlineStr">
        <is>
          <t>https://docquery.fec.gov/cgi-bin/fecimg/?202010169296953152</t>
        </is>
      </c>
    </row>
    <row r="45">
      <c r="A45" t="inlineStr">
        <is>
          <t>2020</t>
        </is>
      </c>
      <c r="B45" t="inlineStr">
        <is>
          <t>C00415026</t>
        </is>
      </c>
      <c r="C45" t="inlineStr">
        <is>
          <t>American Fuel &amp; Petrochemical Manufacturers PAC (AFPM PAC)</t>
        </is>
      </c>
      <c r="D45" t="inlineStr">
        <is>
          <t>VICENTE GONZALEZ FOR CONGRESS</t>
        </is>
      </c>
      <c r="E45" t="inlineStr">
        <is>
          <t>H6TX15162</t>
        </is>
      </c>
      <c r="F45" t="inlineStr">
        <is>
          <t>DEM</t>
        </is>
      </c>
      <c r="G45" t="inlineStr">
        <is>
          <t>09162020</t>
        </is>
      </c>
      <c r="H45" t="n">
        <v>2500</v>
      </c>
      <c r="I45" t="inlineStr">
        <is>
          <t>202010169296953152</t>
        </is>
      </c>
      <c r="J45" t="inlineStr">
        <is>
          <t>https://docquery.fec.gov/cgi-bin/fecimg/?202010169296953152</t>
        </is>
      </c>
    </row>
    <row r="46">
      <c r="A46" t="inlineStr">
        <is>
          <t>2020</t>
        </is>
      </c>
      <c r="B46" t="inlineStr">
        <is>
          <t>C00415026</t>
        </is>
      </c>
      <c r="C46" t="inlineStr">
        <is>
          <t>American Fuel &amp; Petrochemical Manufacturers PAC (AFPM PAC)</t>
        </is>
      </c>
      <c r="D46" t="inlineStr">
        <is>
          <t>LATTA FOR CONGRESS</t>
        </is>
      </c>
      <c r="E46" t="inlineStr">
        <is>
          <t>H8OH05036</t>
        </is>
      </c>
      <c r="F46" t="inlineStr">
        <is>
          <t>REP</t>
        </is>
      </c>
      <c r="G46" t="inlineStr">
        <is>
          <t>09252019</t>
        </is>
      </c>
      <c r="H46" t="n">
        <v>1000</v>
      </c>
      <c r="I46" t="inlineStr">
        <is>
          <t>201910179165005642</t>
        </is>
      </c>
      <c r="J46" t="inlineStr">
        <is>
          <t>https://docquery.fec.gov/cgi-bin/fecimg/?201910179165005642</t>
        </is>
      </c>
    </row>
    <row r="47">
      <c r="A47" t="inlineStr">
        <is>
          <t>2020</t>
        </is>
      </c>
      <c r="B47" t="inlineStr">
        <is>
          <t>C00415026</t>
        </is>
      </c>
      <c r="C47" t="inlineStr">
        <is>
          <t>American Fuel &amp; Petrochemical Manufacturers PAC (AFPM PAC)</t>
        </is>
      </c>
      <c r="D47" t="inlineStr">
        <is>
          <t>SCALISE FOR CONGRESS</t>
        </is>
      </c>
      <c r="E47" t="inlineStr">
        <is>
          <t>H0LA01087</t>
        </is>
      </c>
      <c r="F47" t="inlineStr">
        <is>
          <t>REP</t>
        </is>
      </c>
      <c r="G47" t="inlineStr">
        <is>
          <t>09252019</t>
        </is>
      </c>
      <c r="H47" t="n">
        <v>5000</v>
      </c>
      <c r="I47" t="inlineStr">
        <is>
          <t>201910179165005643</t>
        </is>
      </c>
      <c r="J47" t="inlineStr">
        <is>
          <t>https://docquery.fec.gov/cgi-bin/fecimg/?201910179165005643</t>
        </is>
      </c>
    </row>
    <row r="48">
      <c r="A48" t="inlineStr">
        <is>
          <t>2020</t>
        </is>
      </c>
      <c r="B48" t="inlineStr">
        <is>
          <t>C00415026</t>
        </is>
      </c>
      <c r="C48" t="inlineStr">
        <is>
          <t>American Fuel &amp; Petrochemical Manufacturers PAC (AFPM PAC)</t>
        </is>
      </c>
      <c r="D48" t="inlineStr">
        <is>
          <t>FRIENDS OF JIM INHOFE</t>
        </is>
      </c>
      <c r="E48" t="inlineStr">
        <is>
          <t>S4OK00083</t>
        </is>
      </c>
      <c r="F48" t="inlineStr">
        <is>
          <t>REP</t>
        </is>
      </c>
      <c r="G48" t="inlineStr">
        <is>
          <t>09252019</t>
        </is>
      </c>
      <c r="H48" t="n">
        <v>5000</v>
      </c>
      <c r="I48" t="inlineStr">
        <is>
          <t>201910179165005642</t>
        </is>
      </c>
      <c r="J48" t="inlineStr">
        <is>
          <t>https://docquery.fec.gov/cgi-bin/fecimg/?201910179165005642</t>
        </is>
      </c>
    </row>
    <row r="49">
      <c r="A49" t="inlineStr">
        <is>
          <t>2020</t>
        </is>
      </c>
      <c r="B49" t="inlineStr">
        <is>
          <t>C00415026</t>
        </is>
      </c>
      <c r="C49" t="inlineStr">
        <is>
          <t>American Fuel &amp; Petrochemical Manufacturers PAC (AFPM PAC)</t>
        </is>
      </c>
      <c r="D49" t="inlineStr">
        <is>
          <t>JASON SMITH FOR CONGRESS</t>
        </is>
      </c>
      <c r="E49" t="inlineStr">
        <is>
          <t>H4MO08162</t>
        </is>
      </c>
      <c r="F49" t="inlineStr">
        <is>
          <t>REP</t>
        </is>
      </c>
      <c r="G49" t="inlineStr">
        <is>
          <t>09252019</t>
        </is>
      </c>
      <c r="H49" t="n">
        <v>2500</v>
      </c>
      <c r="I49" t="inlineStr">
        <is>
          <t>201910179165005642</t>
        </is>
      </c>
      <c r="J49" t="inlineStr">
        <is>
          <t>https://docquery.fec.gov/cgi-bin/fecimg/?201910179165005642</t>
        </is>
      </c>
    </row>
    <row r="50">
      <c r="A50" t="inlineStr">
        <is>
          <t>2020</t>
        </is>
      </c>
      <c r="B50" t="inlineStr">
        <is>
          <t>C00415026</t>
        </is>
      </c>
      <c r="C50" t="inlineStr">
        <is>
          <t>American Fuel &amp; Petrochemical Manufacturers PAC (AFPM PAC)</t>
        </is>
      </c>
      <c r="D50" t="inlineStr">
        <is>
          <t>CAPITO FOR WEST VIRGINIA</t>
        </is>
      </c>
      <c r="E50" t="inlineStr">
        <is>
          <t>S4WV00159</t>
        </is>
      </c>
      <c r="F50" t="inlineStr">
        <is>
          <t>REP</t>
        </is>
      </c>
      <c r="G50" t="inlineStr">
        <is>
          <t>09282020</t>
        </is>
      </c>
      <c r="H50" t="n">
        <v>2500</v>
      </c>
      <c r="I50" t="inlineStr">
        <is>
          <t>202010169296953150</t>
        </is>
      </c>
      <c r="J50" t="inlineStr">
        <is>
          <t>https://docquery.fec.gov/cgi-bin/fecimg/?202010169296953150</t>
        </is>
      </c>
    </row>
    <row r="51">
      <c r="A51" t="inlineStr">
        <is>
          <t>2020</t>
        </is>
      </c>
      <c r="B51" t="inlineStr">
        <is>
          <t>C00415026</t>
        </is>
      </c>
      <c r="C51" t="inlineStr">
        <is>
          <t>American Fuel &amp; Petrochemical Manufacturers PAC (AFPM PAC)</t>
        </is>
      </c>
      <c r="D51" t="inlineStr">
        <is>
          <t>FILEMON VELA FOR CONGRESS</t>
        </is>
      </c>
      <c r="E51" t="inlineStr">
        <is>
          <t>H2TX27190</t>
        </is>
      </c>
      <c r="F51" t="inlineStr">
        <is>
          <t>DEM</t>
        </is>
      </c>
      <c r="G51" t="inlineStr">
        <is>
          <t>09282020</t>
        </is>
      </c>
      <c r="H51" t="n">
        <v>1000</v>
      </c>
      <c r="I51" t="inlineStr">
        <is>
          <t>202010169296953150</t>
        </is>
      </c>
      <c r="J51" t="inlineStr">
        <is>
          <t>https://docquery.fec.gov/cgi-bin/fecimg/?202010169296953150</t>
        </is>
      </c>
    </row>
    <row r="52">
      <c r="A52" t="inlineStr">
        <is>
          <t>2020</t>
        </is>
      </c>
      <c r="B52" t="inlineStr">
        <is>
          <t>C00415026</t>
        </is>
      </c>
      <c r="C52" t="inlineStr">
        <is>
          <t>American Fuel &amp; Petrochemical Manufacturers PAC (AFPM PAC)</t>
        </is>
      </c>
      <c r="D52" t="inlineStr">
        <is>
          <t>KANSANS FOR MARSHALL</t>
        </is>
      </c>
      <c r="E52" t="inlineStr">
        <is>
          <t>S0KS00315</t>
        </is>
      </c>
      <c r="F52" t="inlineStr">
        <is>
          <t>REP</t>
        </is>
      </c>
      <c r="G52" t="inlineStr">
        <is>
          <t>09282020</t>
        </is>
      </c>
      <c r="H52" t="n">
        <v>1000</v>
      </c>
      <c r="I52" t="inlineStr">
        <is>
          <t>202010169296953151</t>
        </is>
      </c>
      <c r="J52" t="inlineStr">
        <is>
          <t>https://docquery.fec.gov/cgi-bin/fecimg/?202010169296953151</t>
        </is>
      </c>
    </row>
    <row r="53">
      <c r="A53" t="inlineStr">
        <is>
          <t>2020</t>
        </is>
      </c>
      <c r="B53" t="inlineStr">
        <is>
          <t>C00415026</t>
        </is>
      </c>
      <c r="C53" t="inlineStr">
        <is>
          <t>American Fuel &amp; Petrochemical Manufacturers PAC (AFPM PAC)</t>
        </is>
      </c>
      <c r="D53" t="inlineStr">
        <is>
          <t>PERDUE FOR SENATE</t>
        </is>
      </c>
      <c r="E53" t="inlineStr">
        <is>
          <t>S4GA11285</t>
        </is>
      </c>
      <c r="F53" t="inlineStr">
        <is>
          <t>REP</t>
        </is>
      </c>
      <c r="G53" t="inlineStr">
        <is>
          <t>09302020</t>
        </is>
      </c>
      <c r="H53" t="n">
        <v>2500</v>
      </c>
      <c r="I53" t="inlineStr">
        <is>
          <t>202010169296953151</t>
        </is>
      </c>
      <c r="J53" t="inlineStr">
        <is>
          <t>https://docquery.fec.gov/cgi-bin/fecimg/?202010169296953151</t>
        </is>
      </c>
    </row>
    <row r="54">
      <c r="A54" t="inlineStr">
        <is>
          <t>2020</t>
        </is>
      </c>
      <c r="B54" t="inlineStr">
        <is>
          <t>C00415026</t>
        </is>
      </c>
      <c r="C54" t="inlineStr">
        <is>
          <t>American Fuel &amp; Petrochemical Manufacturers PAC (AFPM PAC)</t>
        </is>
      </c>
      <c r="D54" t="inlineStr">
        <is>
          <t>ALASKANS FOR DAN SULLIVAN</t>
        </is>
      </c>
      <c r="E54" t="inlineStr">
        <is>
          <t>S4AK00214</t>
        </is>
      </c>
      <c r="F54" t="inlineStr">
        <is>
          <t>REP</t>
        </is>
      </c>
      <c r="G54" t="inlineStr">
        <is>
          <t>10132020</t>
        </is>
      </c>
      <c r="H54" t="n">
        <v>5000</v>
      </c>
      <c r="I54" t="inlineStr">
        <is>
          <t>202010219326742707</t>
        </is>
      </c>
      <c r="J54" t="inlineStr">
        <is>
          <t>https://docquery.fec.gov/cgi-bin/fecimg/?202010219326742707</t>
        </is>
      </c>
    </row>
    <row r="55">
      <c r="A55" t="inlineStr">
        <is>
          <t>2020</t>
        </is>
      </c>
      <c r="B55" t="inlineStr">
        <is>
          <t>C00415026</t>
        </is>
      </c>
      <c r="C55" t="inlineStr">
        <is>
          <t>American Fuel &amp; Petrochemical Manufacturers PAC (AFPM PAC)</t>
        </is>
      </c>
      <c r="D55" t="inlineStr">
        <is>
          <t>ARMSTRONG FOR CONGRESS</t>
        </is>
      </c>
      <c r="E55" t="inlineStr">
        <is>
          <t>H8ND00096</t>
        </is>
      </c>
      <c r="F55" t="inlineStr">
        <is>
          <t>REP</t>
        </is>
      </c>
      <c r="G55" t="inlineStr">
        <is>
          <t>10132020</t>
        </is>
      </c>
      <c r="H55" t="n">
        <v>2500</v>
      </c>
      <c r="I55" t="inlineStr">
        <is>
          <t>202010219326742707</t>
        </is>
      </c>
      <c r="J55" t="inlineStr">
        <is>
          <t>https://docquery.fec.gov/cgi-bin/fecimg/?202010219326742707</t>
        </is>
      </c>
    </row>
    <row r="56">
      <c r="A56" t="inlineStr">
        <is>
          <t>2020</t>
        </is>
      </c>
      <c r="B56" t="inlineStr">
        <is>
          <t>C00415026</t>
        </is>
      </c>
      <c r="C56" t="inlineStr">
        <is>
          <t>American Fuel &amp; Petrochemical Manufacturers PAC (AFPM PAC)</t>
        </is>
      </c>
      <c r="D56" t="inlineStr">
        <is>
          <t>AUGUST PFLUGER FOR CONGRESS</t>
        </is>
      </c>
      <c r="E56" t="inlineStr">
        <is>
          <t>H0TX11230</t>
        </is>
      </c>
      <c r="F56" t="inlineStr">
        <is>
          <t>REP</t>
        </is>
      </c>
      <c r="G56" t="inlineStr">
        <is>
          <t>10132020</t>
        </is>
      </c>
      <c r="H56" t="n">
        <v>2500</v>
      </c>
      <c r="I56" t="inlineStr">
        <is>
          <t>202010219326742707</t>
        </is>
      </c>
      <c r="J56" t="inlineStr">
        <is>
          <t>https://docquery.fec.gov/cgi-bin/fecimg/?202010219326742707</t>
        </is>
      </c>
    </row>
    <row r="57">
      <c r="A57" t="inlineStr">
        <is>
          <t>2020</t>
        </is>
      </c>
      <c r="B57" t="inlineStr">
        <is>
          <t>C00415026</t>
        </is>
      </c>
      <c r="C57" t="inlineStr">
        <is>
          <t>American Fuel &amp; Petrochemical Manufacturers PAC (AFPM PAC)</t>
        </is>
      </c>
      <c r="D57" t="inlineStr">
        <is>
          <t>BETH VAN DUYNE FOR CONGRESS</t>
        </is>
      </c>
      <c r="E57" t="inlineStr">
        <is>
          <t>H0TX24209</t>
        </is>
      </c>
      <c r="F57" t="inlineStr">
        <is>
          <t>REP</t>
        </is>
      </c>
      <c r="G57" t="inlineStr">
        <is>
          <t>10132020</t>
        </is>
      </c>
      <c r="H57" t="n">
        <v>2500</v>
      </c>
      <c r="I57" t="inlineStr">
        <is>
          <t>202010219326742708</t>
        </is>
      </c>
      <c r="J57" t="inlineStr">
        <is>
          <t>https://docquery.fec.gov/cgi-bin/fecimg/?202010219326742708</t>
        </is>
      </c>
    </row>
    <row r="58">
      <c r="A58" t="inlineStr">
        <is>
          <t>2020</t>
        </is>
      </c>
      <c r="B58" t="inlineStr">
        <is>
          <t>C00415026</t>
        </is>
      </c>
      <c r="C58" t="inlineStr">
        <is>
          <t>American Fuel &amp; Petrochemical Manufacturers PAC (AFPM PAC)</t>
        </is>
      </c>
      <c r="D58" t="inlineStr">
        <is>
          <t>JIM COSTA FOR CONGRESS</t>
        </is>
      </c>
      <c r="E58" t="inlineStr">
        <is>
          <t>H4CA20082</t>
        </is>
      </c>
      <c r="F58" t="inlineStr">
        <is>
          <t>DEM</t>
        </is>
      </c>
      <c r="G58" t="inlineStr">
        <is>
          <t>10132020</t>
        </is>
      </c>
      <c r="H58" t="n">
        <v>2500</v>
      </c>
      <c r="I58" t="inlineStr">
        <is>
          <t>202010219326742711</t>
        </is>
      </c>
      <c r="J58" t="inlineStr">
        <is>
          <t>https://docquery.fec.gov/cgi-bin/fecimg/?202010219326742711</t>
        </is>
      </c>
    </row>
    <row r="59">
      <c r="A59" t="inlineStr">
        <is>
          <t>2020</t>
        </is>
      </c>
      <c r="B59" t="inlineStr">
        <is>
          <t>C00415026</t>
        </is>
      </c>
      <c r="C59" t="inlineStr">
        <is>
          <t>American Fuel &amp; Petrochemical Manufacturers PAC (AFPM PAC)</t>
        </is>
      </c>
      <c r="D59" t="inlineStr">
        <is>
          <t>FILEMON VELA FOR CONGRESS</t>
        </is>
      </c>
      <c r="E59" t="inlineStr">
        <is>
          <t>H2TX27190</t>
        </is>
      </c>
      <c r="F59" t="inlineStr">
        <is>
          <t>DEM</t>
        </is>
      </c>
      <c r="G59" t="inlineStr">
        <is>
          <t>10132020</t>
        </is>
      </c>
      <c r="H59" t="n">
        <v>1500</v>
      </c>
      <c r="I59" t="inlineStr">
        <is>
          <t>202010219326742710</t>
        </is>
      </c>
      <c r="J59" t="inlineStr">
        <is>
          <t>https://docquery.fec.gov/cgi-bin/fecimg/?202010219326742710</t>
        </is>
      </c>
    </row>
    <row r="60">
      <c r="A60" t="inlineStr">
        <is>
          <t>2020</t>
        </is>
      </c>
      <c r="B60" t="inlineStr">
        <is>
          <t>C00415026</t>
        </is>
      </c>
      <c r="C60" t="inlineStr">
        <is>
          <t>American Fuel &amp; Petrochemical Manufacturers PAC (AFPM PAC)</t>
        </is>
      </c>
      <c r="D60" t="inlineStr">
        <is>
          <t>FRIENDS OF BENNIE THOMPSON</t>
        </is>
      </c>
      <c r="E60" t="inlineStr">
        <is>
          <t>H4MS02068</t>
        </is>
      </c>
      <c r="F60" t="inlineStr">
        <is>
          <t>DEM</t>
        </is>
      </c>
      <c r="G60" t="inlineStr">
        <is>
          <t>10132020</t>
        </is>
      </c>
      <c r="H60" t="n">
        <v>2500</v>
      </c>
      <c r="I60" t="inlineStr">
        <is>
          <t>202010219326742710</t>
        </is>
      </c>
      <c r="J60" t="inlineStr">
        <is>
          <t>https://docquery.fec.gov/cgi-bin/fecimg/?202010219326742710</t>
        </is>
      </c>
    </row>
    <row r="61">
      <c r="A61" t="inlineStr">
        <is>
          <t>2020</t>
        </is>
      </c>
      <c r="B61" t="inlineStr">
        <is>
          <t>C00415026</t>
        </is>
      </c>
      <c r="C61" t="inlineStr">
        <is>
          <t>American Fuel &amp; Petrochemical Manufacturers PAC (AFPM PAC)</t>
        </is>
      </c>
      <c r="D61" t="inlineStr">
        <is>
          <t>GARRET GRAVES FOR CONGRESS</t>
        </is>
      </c>
      <c r="E61" t="inlineStr">
        <is>
          <t>H4LA06153</t>
        </is>
      </c>
      <c r="F61" t="inlineStr">
        <is>
          <t>REP</t>
        </is>
      </c>
      <c r="G61" t="inlineStr">
        <is>
          <t>10132020</t>
        </is>
      </c>
      <c r="H61" t="n">
        <v>2500</v>
      </c>
      <c r="I61" t="inlineStr">
        <is>
          <t>202010219326742711</t>
        </is>
      </c>
      <c r="J61" t="inlineStr">
        <is>
          <t>https://docquery.fec.gov/cgi-bin/fecimg/?202010219326742711</t>
        </is>
      </c>
    </row>
    <row r="62">
      <c r="A62" t="inlineStr">
        <is>
          <t>2020</t>
        </is>
      </c>
      <c r="B62" t="inlineStr">
        <is>
          <t>C00415026</t>
        </is>
      </c>
      <c r="C62" t="inlineStr">
        <is>
          <t>American Fuel &amp; Petrochemical Manufacturers PAC (AFPM PAC)</t>
        </is>
      </c>
      <c r="D62" t="inlineStr">
        <is>
          <t>JIM RISCH FOR U.S. SENATE COMMITTEE</t>
        </is>
      </c>
      <c r="E62" t="inlineStr">
        <is>
          <t>S8ID00092</t>
        </is>
      </c>
      <c r="F62" t="inlineStr">
        <is>
          <t>REP</t>
        </is>
      </c>
      <c r="G62" t="inlineStr">
        <is>
          <t>10132020</t>
        </is>
      </c>
      <c r="H62" t="n">
        <v>1000</v>
      </c>
      <c r="I62" t="inlineStr">
        <is>
          <t>202010219326742711</t>
        </is>
      </c>
      <c r="J62" t="inlineStr">
        <is>
          <t>https://docquery.fec.gov/cgi-bin/fecimg/?202010219326742711</t>
        </is>
      </c>
    </row>
    <row r="63">
      <c r="A63" t="inlineStr">
        <is>
          <t>2020</t>
        </is>
      </c>
      <c r="B63" t="inlineStr">
        <is>
          <t>C00415026</t>
        </is>
      </c>
      <c r="C63" t="inlineStr">
        <is>
          <t>American Fuel &amp; Petrochemical Manufacturers PAC (AFPM PAC)</t>
        </is>
      </c>
      <c r="D63" t="inlineStr">
        <is>
          <t>JOHN CARTER FOR CONGRESS</t>
        </is>
      </c>
      <c r="E63" t="inlineStr">
        <is>
          <t>H2TX31044</t>
        </is>
      </c>
      <c r="F63" t="inlineStr">
        <is>
          <t>REP</t>
        </is>
      </c>
      <c r="G63" t="inlineStr">
        <is>
          <t>10132020</t>
        </is>
      </c>
      <c r="H63" t="n">
        <v>1000</v>
      </c>
      <c r="I63" t="inlineStr">
        <is>
          <t>202010219326742712</t>
        </is>
      </c>
      <c r="J63" t="inlineStr">
        <is>
          <t>https://docquery.fec.gov/cgi-bin/fecimg/?202010219326742712</t>
        </is>
      </c>
    </row>
    <row r="64">
      <c r="A64" t="inlineStr">
        <is>
          <t>2020</t>
        </is>
      </c>
      <c r="B64" t="inlineStr">
        <is>
          <t>C00415026</t>
        </is>
      </c>
      <c r="C64" t="inlineStr">
        <is>
          <t>American Fuel &amp; Petrochemical Manufacturers PAC (AFPM PAC)</t>
        </is>
      </c>
      <c r="D64" t="inlineStr">
        <is>
          <t>KANSANS FOR MARSHALL</t>
        </is>
      </c>
      <c r="E64" t="inlineStr">
        <is>
          <t>S0KS00315</t>
        </is>
      </c>
      <c r="F64" t="inlineStr">
        <is>
          <t>REP</t>
        </is>
      </c>
      <c r="G64" t="inlineStr">
        <is>
          <t>10132020</t>
        </is>
      </c>
      <c r="H64" t="n">
        <v>1500</v>
      </c>
      <c r="I64" t="inlineStr">
        <is>
          <t>202010219326742712</t>
        </is>
      </c>
      <c r="J64" t="inlineStr">
        <is>
          <t>https://docquery.fec.gov/cgi-bin/fecimg/?202010219326742712</t>
        </is>
      </c>
    </row>
    <row r="65">
      <c r="A65" t="inlineStr">
        <is>
          <t>2020</t>
        </is>
      </c>
      <c r="B65" t="inlineStr">
        <is>
          <t>C00415026</t>
        </is>
      </c>
      <c r="C65" t="inlineStr">
        <is>
          <t>American Fuel &amp; Petrochemical Manufacturers PAC (AFPM PAC)</t>
        </is>
      </c>
      <c r="D65" t="inlineStr">
        <is>
          <t>KATKO FOR CONGRESS</t>
        </is>
      </c>
      <c r="E65" t="inlineStr">
        <is>
          <t>H4NY24073</t>
        </is>
      </c>
      <c r="F65" t="inlineStr">
        <is>
          <t>REP</t>
        </is>
      </c>
      <c r="G65" t="inlineStr">
        <is>
          <t>10132020</t>
        </is>
      </c>
      <c r="H65" t="n">
        <v>2500</v>
      </c>
      <c r="I65" t="inlineStr">
        <is>
          <t>202010219326742712</t>
        </is>
      </c>
      <c r="J65" t="inlineStr">
        <is>
          <t>https://docquery.fec.gov/cgi-bin/fecimg/?202010219326742712</t>
        </is>
      </c>
    </row>
    <row r="66">
      <c r="A66" t="inlineStr">
        <is>
          <t>2020</t>
        </is>
      </c>
      <c r="B66" t="inlineStr">
        <is>
          <t>C00415026</t>
        </is>
      </c>
      <c r="C66" t="inlineStr">
        <is>
          <t>American Fuel &amp; Petrochemical Manufacturers PAC (AFPM PAC)</t>
        </is>
      </c>
      <c r="D66" t="inlineStr">
        <is>
          <t>LIZ CHENEY FOR WYOMING</t>
        </is>
      </c>
      <c r="E66" t="inlineStr">
        <is>
          <t>H6WY00159</t>
        </is>
      </c>
      <c r="F66" t="inlineStr">
        <is>
          <t>REP</t>
        </is>
      </c>
      <c r="G66" t="inlineStr">
        <is>
          <t>10132020</t>
        </is>
      </c>
      <c r="H66" t="n">
        <v>2500</v>
      </c>
      <c r="I66" t="inlineStr">
        <is>
          <t>202010219326742713</t>
        </is>
      </c>
      <c r="J66" t="inlineStr">
        <is>
          <t>https://docquery.fec.gov/cgi-bin/fecimg/?202010219326742713</t>
        </is>
      </c>
    </row>
    <row r="67">
      <c r="A67" t="inlineStr">
        <is>
          <t>2020</t>
        </is>
      </c>
      <c r="B67" t="inlineStr">
        <is>
          <t>C00415026</t>
        </is>
      </c>
      <c r="C67" t="inlineStr">
        <is>
          <t>American Fuel &amp; Petrochemical Manufacturers PAC (AFPM PAC)</t>
        </is>
      </c>
      <c r="D67" t="inlineStr">
        <is>
          <t>LOU CORREA FOR CONGRESS</t>
        </is>
      </c>
      <c r="E67" t="inlineStr">
        <is>
          <t>H6CA46116</t>
        </is>
      </c>
      <c r="F67" t="inlineStr">
        <is>
          <t>DEM</t>
        </is>
      </c>
      <c r="G67" t="inlineStr">
        <is>
          <t>10132020</t>
        </is>
      </c>
      <c r="H67" t="n">
        <v>2500</v>
      </c>
      <c r="I67" t="inlineStr">
        <is>
          <t>202010219326742713</t>
        </is>
      </c>
      <c r="J67" t="inlineStr">
        <is>
          <t>https://docquery.fec.gov/cgi-bin/fecimg/?202010219326742713</t>
        </is>
      </c>
    </row>
    <row r="68">
      <c r="A68" t="inlineStr">
        <is>
          <t>2020</t>
        </is>
      </c>
      <c r="B68" t="inlineStr">
        <is>
          <t>C00415026</t>
        </is>
      </c>
      <c r="C68" t="inlineStr">
        <is>
          <t>American Fuel &amp; Petrochemical Manufacturers PAC (AFPM PAC)</t>
        </is>
      </c>
      <c r="D68" t="inlineStr">
        <is>
          <t>MARC VEASEY CONGRESSIONAL CAMPAIGN COMMITTEE</t>
        </is>
      </c>
      <c r="E68" t="inlineStr">
        <is>
          <t>H2TX33073</t>
        </is>
      </c>
      <c r="F68" t="inlineStr">
        <is>
          <t>DEM</t>
        </is>
      </c>
      <c r="G68" t="inlineStr">
        <is>
          <t>10132020</t>
        </is>
      </c>
      <c r="H68" t="n">
        <v>2500</v>
      </c>
      <c r="I68" t="inlineStr">
        <is>
          <t>202010219326742713</t>
        </is>
      </c>
      <c r="J68" t="inlineStr">
        <is>
          <t>https://docquery.fec.gov/cgi-bin/fecimg/?202010219326742713</t>
        </is>
      </c>
    </row>
    <row r="69">
      <c r="A69" t="inlineStr">
        <is>
          <t>2020</t>
        </is>
      </c>
      <c r="B69" t="inlineStr">
        <is>
          <t>C00415026</t>
        </is>
      </c>
      <c r="C69" t="inlineStr">
        <is>
          <t>American Fuel &amp; Petrochemical Manufacturers PAC (AFPM PAC)</t>
        </is>
      </c>
      <c r="D69" t="inlineStr">
        <is>
          <t>MATT ROSENDALE FOR MONTANA</t>
        </is>
      </c>
      <c r="E69" t="inlineStr">
        <is>
          <t>H4MT00050</t>
        </is>
      </c>
      <c r="F69" t="inlineStr">
        <is>
          <t>REP</t>
        </is>
      </c>
      <c r="G69" t="inlineStr">
        <is>
          <t>10132020</t>
        </is>
      </c>
      <c r="H69" t="n">
        <v>2500</v>
      </c>
      <c r="I69" t="inlineStr">
        <is>
          <t>202010219326742714</t>
        </is>
      </c>
      <c r="J69" t="inlineStr">
        <is>
          <t>https://docquery.fec.gov/cgi-bin/fecimg/?202010219326742714</t>
        </is>
      </c>
    </row>
    <row r="70">
      <c r="A70" t="inlineStr">
        <is>
          <t>2020</t>
        </is>
      </c>
      <c r="B70" t="inlineStr">
        <is>
          <t>C00415026</t>
        </is>
      </c>
      <c r="C70" t="inlineStr">
        <is>
          <t>American Fuel &amp; Petrochemical Manufacturers PAC (AFPM PAC)</t>
        </is>
      </c>
      <c r="D70" t="inlineStr">
        <is>
          <t>CHIP ROY FOR CONGRESS</t>
        </is>
      </c>
      <c r="E70" t="inlineStr">
        <is>
          <t>H8TX21307</t>
        </is>
      </c>
      <c r="F70" t="inlineStr">
        <is>
          <t>REP</t>
        </is>
      </c>
      <c r="G70" t="inlineStr">
        <is>
          <t>10132020</t>
        </is>
      </c>
      <c r="H70" t="n">
        <v>2500</v>
      </c>
      <c r="I70" t="inlineStr">
        <is>
          <t>202010219326742708</t>
        </is>
      </c>
      <c r="J70" t="inlineStr">
        <is>
          <t>https://docquery.fec.gov/cgi-bin/fecimg/?202010219326742708</t>
        </is>
      </c>
    </row>
    <row r="71">
      <c r="A71" t="inlineStr">
        <is>
          <t>2020</t>
        </is>
      </c>
      <c r="B71" t="inlineStr">
        <is>
          <t>C00415026</t>
        </is>
      </c>
      <c r="C71" t="inlineStr">
        <is>
          <t>American Fuel &amp; Petrochemical Manufacturers PAC (AFPM PAC)</t>
        </is>
      </c>
      <c r="D71" t="inlineStr">
        <is>
          <t>CHRIS COONS FOR DELAWARE</t>
        </is>
      </c>
      <c r="E71" t="inlineStr">
        <is>
          <t>S0DE00092</t>
        </is>
      </c>
      <c r="F71" t="inlineStr">
        <is>
          <t>DEM</t>
        </is>
      </c>
      <c r="G71" t="inlineStr">
        <is>
          <t>10132020</t>
        </is>
      </c>
      <c r="H71" t="n">
        <v>1500</v>
      </c>
      <c r="I71" t="inlineStr">
        <is>
          <t>202010219326742708</t>
        </is>
      </c>
      <c r="J71" t="inlineStr">
        <is>
          <t>https://docquery.fec.gov/cgi-bin/fecimg/?202010219326742708</t>
        </is>
      </c>
    </row>
    <row r="72">
      <c r="A72" t="inlineStr">
        <is>
          <t>2020</t>
        </is>
      </c>
      <c r="B72" t="inlineStr">
        <is>
          <t>C00415026</t>
        </is>
      </c>
      <c r="C72" t="inlineStr">
        <is>
          <t>American Fuel &amp; Petrochemical Manufacturers PAC (AFPM PAC)</t>
        </is>
      </c>
      <c r="D72" t="inlineStr">
        <is>
          <t>COLLINS FOR SENATOR</t>
        </is>
      </c>
      <c r="E72" t="inlineStr">
        <is>
          <t>S6ME00159</t>
        </is>
      </c>
      <c r="F72" t="inlineStr">
        <is>
          <t>REP</t>
        </is>
      </c>
      <c r="G72" t="inlineStr">
        <is>
          <t>10132020</t>
        </is>
      </c>
      <c r="H72" t="n">
        <v>2500</v>
      </c>
      <c r="I72" t="inlineStr">
        <is>
          <t>202010219326742709</t>
        </is>
      </c>
      <c r="J72" t="inlineStr">
        <is>
          <t>https://docquery.fec.gov/cgi-bin/fecimg/?202010219326742709</t>
        </is>
      </c>
    </row>
    <row r="73">
      <c r="A73" t="inlineStr">
        <is>
          <t>2020</t>
        </is>
      </c>
      <c r="B73" t="inlineStr">
        <is>
          <t>C00415026</t>
        </is>
      </c>
      <c r="C73" t="inlineStr">
        <is>
          <t>American Fuel &amp; Petrochemical Manufacturers PAC (AFPM PAC)</t>
        </is>
      </c>
      <c r="D73" t="inlineStr">
        <is>
          <t>CURTIS FOR CONGRESS</t>
        </is>
      </c>
      <c r="E73" t="inlineStr">
        <is>
          <t>H8UT03238</t>
        </is>
      </c>
      <c r="F73" t="inlineStr">
        <is>
          <t>REP</t>
        </is>
      </c>
      <c r="G73" t="inlineStr">
        <is>
          <t>10132020</t>
        </is>
      </c>
      <c r="H73" t="n">
        <v>2500</v>
      </c>
      <c r="I73" t="inlineStr">
        <is>
          <t>202010219326742709</t>
        </is>
      </c>
      <c r="J73" t="inlineStr">
        <is>
          <t>https://docquery.fec.gov/cgi-bin/fecimg/?202010219326742709</t>
        </is>
      </c>
    </row>
    <row r="74">
      <c r="A74" t="inlineStr">
        <is>
          <t>2020</t>
        </is>
      </c>
      <c r="B74" t="inlineStr">
        <is>
          <t>C00415026</t>
        </is>
      </c>
      <c r="C74" t="inlineStr">
        <is>
          <t>American Fuel &amp; Petrochemical Manufacturers PAC (AFPM PAC)</t>
        </is>
      </c>
      <c r="D74" t="inlineStr">
        <is>
          <t>MCCAUL FOR CONGRESS, INC</t>
        </is>
      </c>
      <c r="E74" t="inlineStr">
        <is>
          <t>H4TX10093</t>
        </is>
      </c>
      <c r="F74" t="inlineStr">
        <is>
          <t>REP</t>
        </is>
      </c>
      <c r="G74" t="inlineStr">
        <is>
          <t>10132020</t>
        </is>
      </c>
      <c r="H74" t="n">
        <v>2500</v>
      </c>
      <c r="I74" t="inlineStr">
        <is>
          <t>202010219326742714</t>
        </is>
      </c>
      <c r="J74" t="inlineStr">
        <is>
          <t>https://docquery.fec.gov/cgi-bin/fecimg/?202010219326742714</t>
        </is>
      </c>
    </row>
    <row r="75">
      <c r="A75" t="inlineStr">
        <is>
          <t>2020</t>
        </is>
      </c>
      <c r="B75" t="inlineStr">
        <is>
          <t>C00415026</t>
        </is>
      </c>
      <c r="C75" t="inlineStr">
        <is>
          <t>American Fuel &amp; Petrochemical Manufacturers PAC (AFPM PAC)</t>
        </is>
      </c>
      <c r="D75" t="inlineStr">
        <is>
          <t>MCCONNELL SENATE COMMITTEE</t>
        </is>
      </c>
      <c r="E75" t="inlineStr">
        <is>
          <t>S2KY00012</t>
        </is>
      </c>
      <c r="F75" t="inlineStr">
        <is>
          <t>REP</t>
        </is>
      </c>
      <c r="G75" t="inlineStr">
        <is>
          <t>10132020</t>
        </is>
      </c>
      <c r="H75" t="n">
        <v>5000</v>
      </c>
      <c r="I75" t="inlineStr">
        <is>
          <t>202010219326742714</t>
        </is>
      </c>
      <c r="J75" t="inlineStr">
        <is>
          <t>https://docquery.fec.gov/cgi-bin/fecimg/?202010219326742714</t>
        </is>
      </c>
    </row>
    <row r="76">
      <c r="A76" t="inlineStr">
        <is>
          <t>2020</t>
        </is>
      </c>
      <c r="B76" t="inlineStr">
        <is>
          <t>C00415026</t>
        </is>
      </c>
      <c r="C76" t="inlineStr">
        <is>
          <t>American Fuel &amp; Petrochemical Manufacturers PAC (AFPM PAC)</t>
        </is>
      </c>
      <c r="D76" t="inlineStr">
        <is>
          <t>MCSALLY FOR SENATE INC</t>
        </is>
      </c>
      <c r="E76" t="inlineStr">
        <is>
          <t>S8AZ00221</t>
        </is>
      </c>
      <c r="F76" t="inlineStr">
        <is>
          <t>REP</t>
        </is>
      </c>
      <c r="G76" t="inlineStr">
        <is>
          <t>10132020</t>
        </is>
      </c>
      <c r="H76" t="n">
        <v>5000</v>
      </c>
      <c r="I76" t="inlineStr">
        <is>
          <t>202010219326742715</t>
        </is>
      </c>
      <c r="J76" t="inlineStr">
        <is>
          <t>https://docquery.fec.gov/cgi-bin/fecimg/?202010219326742715</t>
        </is>
      </c>
    </row>
    <row r="77">
      <c r="A77" t="inlineStr">
        <is>
          <t>2020</t>
        </is>
      </c>
      <c r="B77" t="inlineStr">
        <is>
          <t>C00415026</t>
        </is>
      </c>
      <c r="C77" t="inlineStr">
        <is>
          <t>American Fuel &amp; Petrochemical Manufacturers PAC (AFPM PAC)</t>
        </is>
      </c>
      <c r="D77" t="inlineStr">
        <is>
          <t>NEHLS FOR CONGRESS</t>
        </is>
      </c>
      <c r="E77" t="inlineStr">
        <is>
          <t>H0TX22302</t>
        </is>
      </c>
      <c r="F77" t="inlineStr">
        <is>
          <t>REP</t>
        </is>
      </c>
      <c r="G77" t="inlineStr">
        <is>
          <t>10132020</t>
        </is>
      </c>
      <c r="H77" t="n">
        <v>1000</v>
      </c>
      <c r="I77" t="inlineStr">
        <is>
          <t>202010219326742715</t>
        </is>
      </c>
      <c r="J77" t="inlineStr">
        <is>
          <t>https://docquery.fec.gov/cgi-bin/fecimg/?202010219326742715</t>
        </is>
      </c>
    </row>
    <row r="78">
      <c r="A78" t="inlineStr">
        <is>
          <t>2020</t>
        </is>
      </c>
      <c r="B78" t="inlineStr">
        <is>
          <t>C00415026</t>
        </is>
      </c>
      <c r="C78" t="inlineStr">
        <is>
          <t>American Fuel &amp; Petrochemical Manufacturers PAC (AFPM PAC)</t>
        </is>
      </c>
      <c r="D78" t="inlineStr">
        <is>
          <t>SYLVIA GARCIA FOR CONGRESS</t>
        </is>
      </c>
      <c r="E78" t="inlineStr">
        <is>
          <t>H8TX29052</t>
        </is>
      </c>
      <c r="F78" t="inlineStr">
        <is>
          <t>DEM</t>
        </is>
      </c>
      <c r="G78" t="inlineStr">
        <is>
          <t>10132020</t>
        </is>
      </c>
      <c r="H78" t="n">
        <v>1000</v>
      </c>
      <c r="I78" t="inlineStr">
        <is>
          <t>202010219326742715</t>
        </is>
      </c>
      <c r="J78" t="inlineStr">
        <is>
          <t>https://docquery.fec.gov/cgi-bin/fecimg/?202010219326742715</t>
        </is>
      </c>
    </row>
    <row r="79">
      <c r="A79" t="inlineStr">
        <is>
          <t>2020</t>
        </is>
      </c>
      <c r="B79" t="inlineStr">
        <is>
          <t>C00415026</t>
        </is>
      </c>
      <c r="C79" t="inlineStr">
        <is>
          <t>American Fuel &amp; Petrochemical Manufacturers PAC (AFPM PAC)</t>
        </is>
      </c>
      <c r="D79" t="inlineStr">
        <is>
          <t>TEAM GRAHAM, INC.</t>
        </is>
      </c>
      <c r="E79" t="inlineStr">
        <is>
          <t>S0SC00149</t>
        </is>
      </c>
      <c r="F79" t="inlineStr">
        <is>
          <t>REP</t>
        </is>
      </c>
      <c r="G79" t="inlineStr">
        <is>
          <t>10132020</t>
        </is>
      </c>
      <c r="H79" t="n">
        <v>5000</v>
      </c>
      <c r="I79" t="inlineStr">
        <is>
          <t>202010219326742716</t>
        </is>
      </c>
      <c r="J79" t="inlineStr">
        <is>
          <t>https://docquery.fec.gov/cgi-bin/fecimg/?202010219326742716</t>
        </is>
      </c>
    </row>
    <row r="80">
      <c r="A80" t="inlineStr">
        <is>
          <t>2020</t>
        </is>
      </c>
      <c r="B80" t="inlineStr">
        <is>
          <t>C00415026</t>
        </is>
      </c>
      <c r="C80" t="inlineStr">
        <is>
          <t>American Fuel &amp; Petrochemical Manufacturers PAC (AFPM PAC)</t>
        </is>
      </c>
      <c r="D80" t="inlineStr">
        <is>
          <t>TEAM HAGERTY</t>
        </is>
      </c>
      <c r="E80" t="inlineStr">
        <is>
          <t>S0TN00169</t>
        </is>
      </c>
      <c r="F80" t="inlineStr">
        <is>
          <t>REP</t>
        </is>
      </c>
      <c r="G80" t="inlineStr">
        <is>
          <t>10132020</t>
        </is>
      </c>
      <c r="H80" t="n">
        <v>1000</v>
      </c>
      <c r="I80" t="inlineStr">
        <is>
          <t>202010219326742716</t>
        </is>
      </c>
      <c r="J80" t="inlineStr">
        <is>
          <t>https://docquery.fec.gov/cgi-bin/fecimg/?202010219326742716</t>
        </is>
      </c>
    </row>
    <row r="81">
      <c r="A81" t="inlineStr">
        <is>
          <t>2020</t>
        </is>
      </c>
      <c r="B81" t="inlineStr">
        <is>
          <t>C00415026</t>
        </is>
      </c>
      <c r="C81" t="inlineStr">
        <is>
          <t>American Fuel &amp; Petrochemical Manufacturers PAC (AFPM PAC)</t>
        </is>
      </c>
      <c r="D81" t="inlineStr">
        <is>
          <t>TUBERVILLE FOR SENATE, INC.</t>
        </is>
      </c>
      <c r="E81" t="inlineStr">
        <is>
          <t>S0AL00230</t>
        </is>
      </c>
      <c r="F81" t="inlineStr">
        <is>
          <t>REP</t>
        </is>
      </c>
      <c r="G81" t="inlineStr">
        <is>
          <t>10132020</t>
        </is>
      </c>
      <c r="H81" t="n">
        <v>1000</v>
      </c>
      <c r="I81" t="inlineStr">
        <is>
          <t>202010219326742716</t>
        </is>
      </c>
      <c r="J81" t="inlineStr">
        <is>
          <t>https://docquery.fec.gov/cgi-bin/fecimg/?202010219326742716</t>
        </is>
      </c>
    </row>
    <row r="82">
      <c r="A82" t="inlineStr">
        <is>
          <t>2020</t>
        </is>
      </c>
      <c r="B82" t="inlineStr">
        <is>
          <t>C00415026</t>
        </is>
      </c>
      <c r="C82" t="inlineStr">
        <is>
          <t>American Fuel &amp; Petrochemical Manufacturers PAC (AFPM PAC)</t>
        </is>
      </c>
      <c r="D82" t="inlineStr">
        <is>
          <t>VAN TAYLOR CAMPAIGN</t>
        </is>
      </c>
      <c r="E82" t="inlineStr">
        <is>
          <t>H8TX03123</t>
        </is>
      </c>
      <c r="F82" t="inlineStr">
        <is>
          <t>REP</t>
        </is>
      </c>
      <c r="G82" t="inlineStr">
        <is>
          <t>10132020</t>
        </is>
      </c>
      <c r="H82" t="n">
        <v>1500</v>
      </c>
      <c r="I82" t="inlineStr">
        <is>
          <t>202010219326742717</t>
        </is>
      </c>
      <c r="J82" t="inlineStr">
        <is>
          <t>https://docquery.fec.gov/cgi-bin/fecimg/?202010219326742717</t>
        </is>
      </c>
    </row>
    <row r="83">
      <c r="A83" t="inlineStr">
        <is>
          <t>2020</t>
        </is>
      </c>
      <c r="B83" t="inlineStr">
        <is>
          <t>C00415026</t>
        </is>
      </c>
      <c r="C83" t="inlineStr">
        <is>
          <t>American Fuel &amp; Petrochemical Manufacturers PAC (AFPM PAC)</t>
        </is>
      </c>
      <c r="D83" t="inlineStr">
        <is>
          <t>VERONICA ESCOBAR FOR CONGRESS</t>
        </is>
      </c>
      <c r="E83" t="inlineStr">
        <is>
          <t>H8TX16109</t>
        </is>
      </c>
      <c r="F83" t="inlineStr">
        <is>
          <t>DEM</t>
        </is>
      </c>
      <c r="G83" t="inlineStr">
        <is>
          <t>10132020</t>
        </is>
      </c>
      <c r="H83" t="n">
        <v>1000</v>
      </c>
      <c r="I83" t="inlineStr">
        <is>
          <t>202010219326742717</t>
        </is>
      </c>
      <c r="J83" t="inlineStr">
        <is>
          <t>https://docquery.fec.gov/cgi-bin/fecimg/?202010219326742717</t>
        </is>
      </c>
    </row>
    <row r="84">
      <c r="A84" t="inlineStr">
        <is>
          <t>2020</t>
        </is>
      </c>
      <c r="B84" t="inlineStr">
        <is>
          <t>C00415026</t>
        </is>
      </c>
      <c r="C84" t="inlineStr">
        <is>
          <t>American Fuel &amp; Petrochemical Manufacturers PAC (AFPM PAC)</t>
        </is>
      </c>
      <c r="D84" t="inlineStr">
        <is>
          <t>VICENTE GONZALEZ FOR CONGRESS</t>
        </is>
      </c>
      <c r="E84" t="inlineStr">
        <is>
          <t>H6TX15162</t>
        </is>
      </c>
      <c r="F84" t="inlineStr">
        <is>
          <t>DEM</t>
        </is>
      </c>
      <c r="G84" t="inlineStr">
        <is>
          <t>10132020</t>
        </is>
      </c>
      <c r="H84" t="n">
        <v>1500</v>
      </c>
      <c r="I84" t="inlineStr">
        <is>
          <t>202010219326742717</t>
        </is>
      </c>
      <c r="J84" t="inlineStr">
        <is>
          <t>https://docquery.fec.gov/cgi-bin/fecimg/?202010219326742717</t>
        </is>
      </c>
    </row>
    <row r="85">
      <c r="A85" t="inlineStr">
        <is>
          <t>2020</t>
        </is>
      </c>
      <c r="B85" t="inlineStr">
        <is>
          <t>C00415026</t>
        </is>
      </c>
      <c r="C85" t="inlineStr">
        <is>
          <t>American Fuel &amp; Petrochemical Manufacturers PAC (AFPM PAC)</t>
        </is>
      </c>
      <c r="D85" t="inlineStr">
        <is>
          <t>TUBERVILLE FOR SENATE, INC.</t>
        </is>
      </c>
      <c r="E85" t="inlineStr">
        <is>
          <t>S0AL00230</t>
        </is>
      </c>
      <c r="F85" t="inlineStr">
        <is>
          <t>REP</t>
        </is>
      </c>
      <c r="G85" t="inlineStr">
        <is>
          <t>10152020</t>
        </is>
      </c>
      <c r="H85" t="n">
        <v>1000</v>
      </c>
      <c r="I85" t="inlineStr">
        <is>
          <t>202012029337563109</t>
        </is>
      </c>
      <c r="J85" t="inlineStr">
        <is>
          <t>https://docquery.fec.gov/cgi-bin/fecimg/?202012029337563109</t>
        </is>
      </c>
    </row>
    <row r="86">
      <c r="A86" t="inlineStr">
        <is>
          <t>2020</t>
        </is>
      </c>
      <c r="B86" t="inlineStr">
        <is>
          <t>C00415026</t>
        </is>
      </c>
      <c r="C86" t="inlineStr">
        <is>
          <t>American Fuel &amp; Petrochemical Manufacturers PAC (AFPM PAC)</t>
        </is>
      </c>
      <c r="D86" t="inlineStr">
        <is>
          <t>MATT ROSENDALE FOR MONTANA</t>
        </is>
      </c>
      <c r="E86" t="inlineStr">
        <is>
          <t>H4MT00050</t>
        </is>
      </c>
      <c r="F86" t="inlineStr">
        <is>
          <t>REP</t>
        </is>
      </c>
      <c r="G86" t="inlineStr">
        <is>
          <t>10282020</t>
        </is>
      </c>
      <c r="H86" t="n">
        <v>2500</v>
      </c>
      <c r="I86" t="inlineStr">
        <is>
          <t>202012029337563108</t>
        </is>
      </c>
      <c r="J86" t="inlineStr">
        <is>
          <t>https://docquery.fec.gov/cgi-bin/fecimg/?202012029337563108</t>
        </is>
      </c>
    </row>
    <row r="87">
      <c r="A87" t="inlineStr">
        <is>
          <t>2020</t>
        </is>
      </c>
      <c r="B87" t="inlineStr">
        <is>
          <t>C00415026</t>
        </is>
      </c>
      <c r="C87" t="inlineStr">
        <is>
          <t>American Fuel &amp; Petrochemical Manufacturers PAC (AFPM PAC)</t>
        </is>
      </c>
      <c r="D87" t="inlineStr">
        <is>
          <t>MATT ROSENDALE FOR MONTANA</t>
        </is>
      </c>
      <c r="E87" t="inlineStr">
        <is>
          <t>H4MT00050</t>
        </is>
      </c>
      <c r="F87" t="inlineStr">
        <is>
          <t>REP</t>
        </is>
      </c>
      <c r="G87" t="inlineStr">
        <is>
          <t>10282020</t>
        </is>
      </c>
      <c r="H87" t="n">
        <v>-2500</v>
      </c>
      <c r="I87" t="inlineStr">
        <is>
          <t>202012029337563109</t>
        </is>
      </c>
      <c r="J87" t="inlineStr">
        <is>
          <t>https://docquery.fec.gov/cgi-bin/fecimg/?202012029337563109</t>
        </is>
      </c>
    </row>
    <row r="88">
      <c r="A88" t="inlineStr">
        <is>
          <t>2020</t>
        </is>
      </c>
      <c r="B88" t="inlineStr">
        <is>
          <t>C00415026</t>
        </is>
      </c>
      <c r="C88" t="inlineStr">
        <is>
          <t>American Fuel &amp; Petrochemical Manufacturers PAC (AFPM PAC)</t>
        </is>
      </c>
      <c r="D88" t="inlineStr">
        <is>
          <t>VICENTE GONZALEZ FOR CONGRESS</t>
        </is>
      </c>
      <c r="E88" t="inlineStr">
        <is>
          <t>H6TX15162</t>
        </is>
      </c>
      <c r="F88" t="inlineStr">
        <is>
          <t>DEM</t>
        </is>
      </c>
      <c r="G88" t="inlineStr">
        <is>
          <t>11122019</t>
        </is>
      </c>
      <c r="H88" t="n">
        <v>2500</v>
      </c>
      <c r="I88" t="inlineStr">
        <is>
          <t>201912179166313345</t>
        </is>
      </c>
      <c r="J88" t="inlineStr">
        <is>
          <t>https://docquery.fec.gov/cgi-bin/fecimg/?201912179166313345</t>
        </is>
      </c>
    </row>
    <row r="89">
      <c r="A89" t="inlineStr">
        <is>
          <t>2020</t>
        </is>
      </c>
      <c r="B89" t="inlineStr">
        <is>
          <t>C00415026</t>
        </is>
      </c>
      <c r="C89" t="inlineStr">
        <is>
          <t>American Fuel &amp; Petrochemical Manufacturers PAC (AFPM PAC)</t>
        </is>
      </c>
      <c r="D89" t="inlineStr">
        <is>
          <t>GEORGIANS FOR KELLY LOEFFLER</t>
        </is>
      </c>
      <c r="E89" t="inlineStr">
        <is>
          <t>S0GA00526</t>
        </is>
      </c>
      <c r="F89" t="inlineStr">
        <is>
          <t>REP</t>
        </is>
      </c>
      <c r="G89" t="inlineStr">
        <is>
          <t>11132020</t>
        </is>
      </c>
      <c r="H89" t="n">
        <v>5000</v>
      </c>
      <c r="I89" t="inlineStr">
        <is>
          <t>202012029337563108</t>
        </is>
      </c>
      <c r="J89" t="inlineStr">
        <is>
          <t>https://docquery.fec.gov/cgi-bin/fecimg/?202012029337563108</t>
        </is>
      </c>
    </row>
    <row r="90">
      <c r="A90" t="inlineStr">
        <is>
          <t>2020</t>
        </is>
      </c>
      <c r="B90" t="inlineStr">
        <is>
          <t>C00415026</t>
        </is>
      </c>
      <c r="C90" t="inlineStr">
        <is>
          <t>American Fuel &amp; Petrochemical Manufacturers PAC (AFPM PAC)</t>
        </is>
      </c>
      <c r="D90" t="inlineStr">
        <is>
          <t>FRIENDS OF BEN MCADAMS</t>
        </is>
      </c>
      <c r="E90" t="inlineStr">
        <is>
          <t>H8UT04053</t>
        </is>
      </c>
      <c r="F90" t="inlineStr">
        <is>
          <t>DEM</t>
        </is>
      </c>
      <c r="G90" t="inlineStr">
        <is>
          <t>11222019</t>
        </is>
      </c>
      <c r="H90" t="n">
        <v>1000</v>
      </c>
      <c r="I90" t="inlineStr">
        <is>
          <t>201912179166313345</t>
        </is>
      </c>
      <c r="J90" t="inlineStr">
        <is>
          <t>https://docquery.fec.gov/cgi-bin/fecimg/?201912179166313345</t>
        </is>
      </c>
    </row>
    <row r="91">
      <c r="A91" t="inlineStr">
        <is>
          <t>2020</t>
        </is>
      </c>
      <c r="B91" t="inlineStr">
        <is>
          <t>C00415026</t>
        </is>
      </c>
      <c r="C91" t="inlineStr">
        <is>
          <t>American Fuel &amp; Petrochemical Manufacturers PAC (AFPM PAC)</t>
        </is>
      </c>
      <c r="D91" t="inlineStr">
        <is>
          <t>STEVE DAINES FOR MONTANA</t>
        </is>
      </c>
      <c r="E91" t="inlineStr">
        <is>
          <t>S2MT00096</t>
        </is>
      </c>
      <c r="F91" t="inlineStr">
        <is>
          <t>REP</t>
        </is>
      </c>
      <c r="G91" t="inlineStr">
        <is>
          <t>12162019</t>
        </is>
      </c>
      <c r="H91" t="n">
        <v>1000</v>
      </c>
      <c r="I91" t="inlineStr">
        <is>
          <t>202001249167349001</t>
        </is>
      </c>
      <c r="J91" t="inlineStr">
        <is>
          <t>https://docquery.fec.gov/cgi-bin/fecimg/?202001249167349001</t>
        </is>
      </c>
    </row>
    <row r="92">
      <c r="A92" t="inlineStr">
        <is>
          <t>2020</t>
        </is>
      </c>
      <c r="B92" t="inlineStr">
        <is>
          <t>C00415026</t>
        </is>
      </c>
      <c r="C92" t="inlineStr">
        <is>
          <t>American Fuel &amp; Petrochemical Manufacturers PAC (AFPM PAC)</t>
        </is>
      </c>
      <c r="D92" t="inlineStr">
        <is>
          <t>BRADY FOR CONGRESS</t>
        </is>
      </c>
      <c r="E92" t="inlineStr">
        <is>
          <t>H6TX08100</t>
        </is>
      </c>
      <c r="F92" t="inlineStr">
        <is>
          <t>REP</t>
        </is>
      </c>
      <c r="G92" t="inlineStr">
        <is>
          <t>12182019</t>
        </is>
      </c>
      <c r="H92" t="n">
        <v>5000</v>
      </c>
      <c r="I92" t="inlineStr">
        <is>
          <t>202001249167349001</t>
        </is>
      </c>
      <c r="J92" t="inlineStr">
        <is>
          <t>https://docquery.fec.gov/cgi-bin/fecimg/?202001249167349001</t>
        </is>
      </c>
    </row>
    <row r="93">
      <c r="A93" t="inlineStr">
        <is>
          <t>2020</t>
        </is>
      </c>
      <c r="B93" t="inlineStr">
        <is>
          <t>C00483677</t>
        </is>
      </c>
      <c r="C93" t="inlineStr">
        <is>
          <t>American Petroleum Institute PAC (API PAC)</t>
        </is>
      </c>
      <c r="D93" t="inlineStr">
        <is>
          <t>MCSALLY FOR SENATE INC</t>
        </is>
      </c>
      <c r="E93" t="inlineStr">
        <is>
          <t>S8AZ00221</t>
        </is>
      </c>
      <c r="F93" t="inlineStr">
        <is>
          <t>REP</t>
        </is>
      </c>
      <c r="G93" t="inlineStr">
        <is>
          <t>01062020</t>
        </is>
      </c>
      <c r="H93" t="n">
        <v>-1500</v>
      </c>
      <c r="I93" t="inlineStr">
        <is>
          <t>202002199186535997</t>
        </is>
      </c>
      <c r="J93" t="inlineStr">
        <is>
          <t>https://docquery.fec.gov/cgi-bin/fecimg/?202002199186535997</t>
        </is>
      </c>
    </row>
    <row r="94">
      <c r="A94" t="inlineStr">
        <is>
          <t>2020</t>
        </is>
      </c>
      <c r="B94" t="inlineStr">
        <is>
          <t>C00483677</t>
        </is>
      </c>
      <c r="C94" t="inlineStr">
        <is>
          <t>American Petroleum Institute PAC (API PAC)</t>
        </is>
      </c>
      <c r="D94" t="inlineStr">
        <is>
          <t>FRIENDS OF BEN MCADAMS</t>
        </is>
      </c>
      <c r="E94" t="inlineStr">
        <is>
          <t>H8UT04053</t>
        </is>
      </c>
      <c r="F94" t="inlineStr">
        <is>
          <t>DEM</t>
        </is>
      </c>
      <c r="G94" t="inlineStr">
        <is>
          <t>01232020</t>
        </is>
      </c>
      <c r="H94" t="n">
        <v>1000</v>
      </c>
      <c r="I94" t="inlineStr">
        <is>
          <t>202002199186535996</t>
        </is>
      </c>
      <c r="J94" t="inlineStr">
        <is>
          <t>https://docquery.fec.gov/cgi-bin/fecimg/?202002199186535996</t>
        </is>
      </c>
    </row>
    <row r="95">
      <c r="A95" t="inlineStr">
        <is>
          <t>2020</t>
        </is>
      </c>
      <c r="B95" t="inlineStr">
        <is>
          <t>C00483677</t>
        </is>
      </c>
      <c r="C95" t="inlineStr">
        <is>
          <t>American Petroleum Institute PAC (API PAC)</t>
        </is>
      </c>
      <c r="D95" t="inlineStr">
        <is>
          <t>MCSALLY FOR SENATE INC</t>
        </is>
      </c>
      <c r="E95" t="inlineStr">
        <is>
          <t>S8AZ00221</t>
        </is>
      </c>
      <c r="F95" t="inlineStr">
        <is>
          <t>REP</t>
        </is>
      </c>
      <c r="G95" t="inlineStr">
        <is>
          <t>01232020</t>
        </is>
      </c>
      <c r="H95" t="n">
        <v>1500</v>
      </c>
      <c r="I95" t="inlineStr">
        <is>
          <t>202002199186535997</t>
        </is>
      </c>
      <c r="J95" t="inlineStr">
        <is>
          <t>https://docquery.fec.gov/cgi-bin/fecimg/?202002199186535997</t>
        </is>
      </c>
    </row>
    <row r="96">
      <c r="A96" t="inlineStr">
        <is>
          <t>2020</t>
        </is>
      </c>
      <c r="B96" t="inlineStr">
        <is>
          <t>C00483677</t>
        </is>
      </c>
      <c r="C96" t="inlineStr">
        <is>
          <t>American Petroleum Institute PAC (API PAC)</t>
        </is>
      </c>
      <c r="D96" t="inlineStr">
        <is>
          <t>ARMSTRONG FOR CONGRESS</t>
        </is>
      </c>
      <c r="E96" t="inlineStr">
        <is>
          <t>H8ND00096</t>
        </is>
      </c>
      <c r="F96" t="inlineStr">
        <is>
          <t>REP</t>
        </is>
      </c>
      <c r="G96" t="inlineStr">
        <is>
          <t>01232020</t>
        </is>
      </c>
      <c r="H96" t="n">
        <v>1000</v>
      </c>
      <c r="I96" t="inlineStr">
        <is>
          <t>202002199186535996</t>
        </is>
      </c>
      <c r="J96" t="inlineStr">
        <is>
          <t>https://docquery.fec.gov/cgi-bin/fecimg/?202002199186535996</t>
        </is>
      </c>
    </row>
    <row r="97">
      <c r="A97" t="inlineStr">
        <is>
          <t>2020</t>
        </is>
      </c>
      <c r="B97" t="inlineStr">
        <is>
          <t>C00483677</t>
        </is>
      </c>
      <c r="C97" t="inlineStr">
        <is>
          <t>American Petroleum Institute PAC (API PAC)</t>
        </is>
      </c>
      <c r="D97" t="inlineStr">
        <is>
          <t>CORY GARDNER FOR SENATE</t>
        </is>
      </c>
      <c r="E97" t="inlineStr">
        <is>
          <t>S4CO00395</t>
        </is>
      </c>
      <c r="F97" t="inlineStr">
        <is>
          <t>REP</t>
        </is>
      </c>
      <c r="G97" t="inlineStr">
        <is>
          <t>01232020</t>
        </is>
      </c>
      <c r="H97" t="n">
        <v>2500</v>
      </c>
      <c r="I97" t="inlineStr">
        <is>
          <t>202002199186535996</t>
        </is>
      </c>
      <c r="J97" t="inlineStr">
        <is>
          <t>https://docquery.fec.gov/cgi-bin/fecimg/?202002199186535996</t>
        </is>
      </c>
    </row>
    <row r="98">
      <c r="A98" t="inlineStr">
        <is>
          <t>2020</t>
        </is>
      </c>
      <c r="B98" t="inlineStr">
        <is>
          <t>C00483677</t>
        </is>
      </c>
      <c r="C98" t="inlineStr">
        <is>
          <t>American Petroleum Institute PAC (API PAC)</t>
        </is>
      </c>
      <c r="D98" t="inlineStr">
        <is>
          <t>RICK SCOTT FOR FLORIDA</t>
        </is>
      </c>
      <c r="E98" t="inlineStr">
        <is>
          <t>S8FL00273</t>
        </is>
      </c>
      <c r="F98" t="inlineStr">
        <is>
          <t>REP</t>
        </is>
      </c>
      <c r="G98" t="inlineStr">
        <is>
          <t>02122019</t>
        </is>
      </c>
      <c r="H98" t="n">
        <v>-2500</v>
      </c>
      <c r="I98" t="inlineStr">
        <is>
          <t>201903139145681145</t>
        </is>
      </c>
      <c r="J98" t="inlineStr">
        <is>
          <t>https://docquery.fec.gov/cgi-bin/fecimg/?201903139145681145</t>
        </is>
      </c>
    </row>
    <row r="99">
      <c r="A99" t="inlineStr">
        <is>
          <t>2020</t>
        </is>
      </c>
      <c r="B99" t="inlineStr">
        <is>
          <t>C00483677</t>
        </is>
      </c>
      <c r="C99" t="inlineStr">
        <is>
          <t>American Petroleum Institute PAC (API PAC)</t>
        </is>
      </c>
      <c r="D99" t="inlineStr">
        <is>
          <t>ELIZABETH PANNILL FLETCHER FOR CONGRESS</t>
        </is>
      </c>
      <c r="E99" t="inlineStr">
        <is>
          <t>H8TX07140</t>
        </is>
      </c>
      <c r="F99" t="inlineStr">
        <is>
          <t>DEM</t>
        </is>
      </c>
      <c r="G99" t="inlineStr">
        <is>
          <t>02142020</t>
        </is>
      </c>
      <c r="H99" t="n">
        <v>1000</v>
      </c>
      <c r="I99" t="inlineStr">
        <is>
          <t>202004179219696787</t>
        </is>
      </c>
      <c r="J99" t="inlineStr">
        <is>
          <t>https://docquery.fec.gov/cgi-bin/fecimg/?202004179219696787</t>
        </is>
      </c>
    </row>
    <row r="100">
      <c r="A100" t="inlineStr">
        <is>
          <t>2020</t>
        </is>
      </c>
      <c r="B100" t="inlineStr">
        <is>
          <t>C00483677</t>
        </is>
      </c>
      <c r="C100" t="inlineStr">
        <is>
          <t>American Petroleum Institute PAC (API PAC)</t>
        </is>
      </c>
      <c r="D100" t="inlineStr">
        <is>
          <t>FRIENDS FOR CHRIS STEWART, INC.</t>
        </is>
      </c>
      <c r="E100" t="inlineStr">
        <is>
          <t>H2UT02324</t>
        </is>
      </c>
      <c r="F100" t="inlineStr">
        <is>
          <t>REP</t>
        </is>
      </c>
      <c r="G100" t="inlineStr">
        <is>
          <t>02142020</t>
        </is>
      </c>
      <c r="H100" t="n">
        <v>1500</v>
      </c>
      <c r="I100" t="inlineStr">
        <is>
          <t>202004179219696787</t>
        </is>
      </c>
      <c r="J100" t="inlineStr">
        <is>
          <t>https://docquery.fec.gov/cgi-bin/fecimg/?202004179219696787</t>
        </is>
      </c>
    </row>
    <row r="101">
      <c r="A101" t="inlineStr">
        <is>
          <t>2020</t>
        </is>
      </c>
      <c r="B101" t="inlineStr">
        <is>
          <t>C00483677</t>
        </is>
      </c>
      <c r="C101" t="inlineStr">
        <is>
          <t>American Petroleum Institute PAC (API PAC)</t>
        </is>
      </c>
      <c r="D101" t="inlineStr">
        <is>
          <t>TEXANS FOR HENRY CUELLAR CONGRESSIONAL CAMPAIGN</t>
        </is>
      </c>
      <c r="E101" t="inlineStr">
        <is>
          <t>H2TX23082</t>
        </is>
      </c>
      <c r="F101" t="inlineStr">
        <is>
          <t>DEM</t>
        </is>
      </c>
      <c r="G101" t="inlineStr">
        <is>
          <t>02142020</t>
        </is>
      </c>
      <c r="H101" t="n">
        <v>1000</v>
      </c>
      <c r="I101" t="inlineStr">
        <is>
          <t>202004179219696787</t>
        </is>
      </c>
      <c r="J101" t="inlineStr">
        <is>
          <t>https://docquery.fec.gov/cgi-bin/fecimg/?202004179219696787</t>
        </is>
      </c>
    </row>
    <row r="102">
      <c r="A102" t="inlineStr">
        <is>
          <t>2020</t>
        </is>
      </c>
      <c r="B102" t="inlineStr">
        <is>
          <t>C00483677</t>
        </is>
      </c>
      <c r="C102" t="inlineStr">
        <is>
          <t>American Petroleum Institute PAC (API PAC)</t>
        </is>
      </c>
      <c r="D102" t="inlineStr">
        <is>
          <t>COLLINS FOR SENATOR</t>
        </is>
      </c>
      <c r="E102" t="inlineStr">
        <is>
          <t>S6ME00159</t>
        </is>
      </c>
      <c r="F102" t="inlineStr">
        <is>
          <t>REP</t>
        </is>
      </c>
      <c r="G102" t="inlineStr">
        <is>
          <t>02142020</t>
        </is>
      </c>
      <c r="H102" t="n">
        <v>1000</v>
      </c>
      <c r="I102" t="inlineStr">
        <is>
          <t>202004179219696786</t>
        </is>
      </c>
      <c r="J102" t="inlineStr">
        <is>
          <t>https://docquery.fec.gov/cgi-bin/fecimg/?202004179219696786</t>
        </is>
      </c>
    </row>
    <row r="103">
      <c r="A103" t="inlineStr">
        <is>
          <t>2020</t>
        </is>
      </c>
      <c r="B103" t="inlineStr">
        <is>
          <t>C00483677</t>
        </is>
      </c>
      <c r="C103" t="inlineStr">
        <is>
          <t>American Petroleum Institute PAC (API PAC)</t>
        </is>
      </c>
      <c r="D103" t="inlineStr">
        <is>
          <t>DEB FISCHER FOR US SENATE</t>
        </is>
      </c>
      <c r="E103" t="inlineStr">
        <is>
          <t>S2NE00094</t>
        </is>
      </c>
      <c r="F103" t="inlineStr">
        <is>
          <t>REP</t>
        </is>
      </c>
      <c r="G103" t="inlineStr">
        <is>
          <t>02142020</t>
        </is>
      </c>
      <c r="H103" t="n">
        <v>1000</v>
      </c>
      <c r="I103" t="inlineStr">
        <is>
          <t>202004179219696786</t>
        </is>
      </c>
      <c r="J103" t="inlineStr">
        <is>
          <t>https://docquery.fec.gov/cgi-bin/fecimg/?202004179219696786</t>
        </is>
      </c>
    </row>
    <row r="104">
      <c r="A104" t="inlineStr">
        <is>
          <t>2020</t>
        </is>
      </c>
      <c r="B104" t="inlineStr">
        <is>
          <t>C00483677</t>
        </is>
      </c>
      <c r="C104" t="inlineStr">
        <is>
          <t>American Petroleum Institute PAC (API PAC)</t>
        </is>
      </c>
      <c r="D104" t="inlineStr">
        <is>
          <t>THOM TILLIS COMMITTEE</t>
        </is>
      </c>
      <c r="E104" t="inlineStr">
        <is>
          <t>S4NC00162</t>
        </is>
      </c>
      <c r="F104" t="inlineStr">
        <is>
          <t>REP</t>
        </is>
      </c>
      <c r="G104" t="inlineStr">
        <is>
          <t>02252020</t>
        </is>
      </c>
      <c r="H104" t="n">
        <v>1500</v>
      </c>
      <c r="I104" t="inlineStr">
        <is>
          <t>202004179219696788</t>
        </is>
      </c>
      <c r="J104" t="inlineStr">
        <is>
          <t>https://docquery.fec.gov/cgi-bin/fecimg/?202004179219696788</t>
        </is>
      </c>
    </row>
    <row r="105">
      <c r="A105" t="inlineStr">
        <is>
          <t>2020</t>
        </is>
      </c>
      <c r="B105" t="inlineStr">
        <is>
          <t>C00483677</t>
        </is>
      </c>
      <c r="C105" t="inlineStr">
        <is>
          <t>American Petroleum Institute PAC (API PAC)</t>
        </is>
      </c>
      <c r="D105" t="inlineStr">
        <is>
          <t>DAN CRENSHAW FOR CONGRESS</t>
        </is>
      </c>
      <c r="E105" t="inlineStr">
        <is>
          <t>H8TX02166</t>
        </is>
      </c>
      <c r="F105" t="inlineStr">
        <is>
          <t>REP</t>
        </is>
      </c>
      <c r="G105" t="inlineStr">
        <is>
          <t>02252020</t>
        </is>
      </c>
      <c r="H105" t="n">
        <v>1000</v>
      </c>
      <c r="I105" t="inlineStr">
        <is>
          <t>202004179219696786</t>
        </is>
      </c>
      <c r="J105" t="inlineStr">
        <is>
          <t>https://docquery.fec.gov/cgi-bin/fecimg/?202004179219696786</t>
        </is>
      </c>
    </row>
    <row r="106">
      <c r="A106" t="inlineStr">
        <is>
          <t>2020</t>
        </is>
      </c>
      <c r="B106" t="inlineStr">
        <is>
          <t>C00483677</t>
        </is>
      </c>
      <c r="C106" t="inlineStr">
        <is>
          <t>American Petroleum Institute PAC (API PAC)</t>
        </is>
      </c>
      <c r="D106" t="inlineStr">
        <is>
          <t>CORY GARDNER FOR SENATE</t>
        </is>
      </c>
      <c r="E106" t="inlineStr">
        <is>
          <t>S4CO00395</t>
        </is>
      </c>
      <c r="F106" t="inlineStr">
        <is>
          <t>REP</t>
        </is>
      </c>
      <c r="G106" t="inlineStr">
        <is>
          <t>03252019</t>
        </is>
      </c>
      <c r="H106" t="n">
        <v>2500</v>
      </c>
      <c r="I106" t="inlineStr">
        <is>
          <t>201904179146425525</t>
        </is>
      </c>
      <c r="J106" t="inlineStr">
        <is>
          <t>https://docquery.fec.gov/cgi-bin/fecimg/?201904179146425525</t>
        </is>
      </c>
    </row>
    <row r="107">
      <c r="A107" t="inlineStr">
        <is>
          <t>2020</t>
        </is>
      </c>
      <c r="B107" t="inlineStr">
        <is>
          <t>C00483677</t>
        </is>
      </c>
      <c r="C107" t="inlineStr">
        <is>
          <t>American Petroleum Institute PAC (API PAC)</t>
        </is>
      </c>
      <c r="D107" t="inlineStr">
        <is>
          <t>DAN CRENSHAW FOR CONGRESS</t>
        </is>
      </c>
      <c r="E107" t="inlineStr">
        <is>
          <t>H8TX02166</t>
        </is>
      </c>
      <c r="F107" t="inlineStr">
        <is>
          <t>REP</t>
        </is>
      </c>
      <c r="G107" t="inlineStr">
        <is>
          <t>03252019</t>
        </is>
      </c>
      <c r="H107" t="n">
        <v>2500</v>
      </c>
      <c r="I107" t="inlineStr">
        <is>
          <t>201904179146425525</t>
        </is>
      </c>
      <c r="J107" t="inlineStr">
        <is>
          <t>https://docquery.fec.gov/cgi-bin/fecimg/?201904179146425525</t>
        </is>
      </c>
    </row>
    <row r="108">
      <c r="A108" t="inlineStr">
        <is>
          <t>2020</t>
        </is>
      </c>
      <c r="B108" t="inlineStr">
        <is>
          <t>C00483677</t>
        </is>
      </c>
      <c r="C108" t="inlineStr">
        <is>
          <t>American Petroleum Institute PAC (API PAC)</t>
        </is>
      </c>
      <c r="D108" t="inlineStr">
        <is>
          <t>FAMILIES FOR JAMES LANKFORD</t>
        </is>
      </c>
      <c r="E108" t="inlineStr">
        <is>
          <t>S4OK00232</t>
        </is>
      </c>
      <c r="F108" t="inlineStr">
        <is>
          <t>REP</t>
        </is>
      </c>
      <c r="G108" t="inlineStr">
        <is>
          <t>03252019</t>
        </is>
      </c>
      <c r="H108" t="n">
        <v>1500</v>
      </c>
      <c r="I108" t="inlineStr">
        <is>
          <t>201904179146425525</t>
        </is>
      </c>
      <c r="J108" t="inlineStr">
        <is>
          <t>https://docquery.fec.gov/cgi-bin/fecimg/?201904179146425525</t>
        </is>
      </c>
    </row>
    <row r="109">
      <c r="A109" t="inlineStr">
        <is>
          <t>2020</t>
        </is>
      </c>
      <c r="B109" t="inlineStr">
        <is>
          <t>C00483677</t>
        </is>
      </c>
      <c r="C109" t="inlineStr">
        <is>
          <t>American Petroleum Institute PAC (API PAC)</t>
        </is>
      </c>
      <c r="D109" t="inlineStr">
        <is>
          <t>FILEMON VELA FOR CONGRESS</t>
        </is>
      </c>
      <c r="E109" t="inlineStr">
        <is>
          <t>H2TX27190</t>
        </is>
      </c>
      <c r="F109" t="inlineStr">
        <is>
          <t>DEM</t>
        </is>
      </c>
      <c r="G109" t="inlineStr">
        <is>
          <t>03252019</t>
        </is>
      </c>
      <c r="H109" t="n">
        <v>2500</v>
      </c>
      <c r="I109" t="inlineStr">
        <is>
          <t>201904179146425526</t>
        </is>
      </c>
      <c r="J109" t="inlineStr">
        <is>
          <t>https://docquery.fec.gov/cgi-bin/fecimg/?201904179146425526</t>
        </is>
      </c>
    </row>
    <row r="110">
      <c r="A110" t="inlineStr">
        <is>
          <t>2020</t>
        </is>
      </c>
      <c r="B110" t="inlineStr">
        <is>
          <t>C00483677</t>
        </is>
      </c>
      <c r="C110" t="inlineStr">
        <is>
          <t>American Petroleum Institute PAC (API PAC)</t>
        </is>
      </c>
      <c r="D110" t="inlineStr">
        <is>
          <t>JIM COSTA FOR CONGRESS</t>
        </is>
      </c>
      <c r="E110" t="inlineStr">
        <is>
          <t>H4CA20082</t>
        </is>
      </c>
      <c r="F110" t="inlineStr">
        <is>
          <t>DEM</t>
        </is>
      </c>
      <c r="G110" t="inlineStr">
        <is>
          <t>03252019</t>
        </is>
      </c>
      <c r="H110" t="n">
        <v>1000</v>
      </c>
      <c r="I110" t="inlineStr">
        <is>
          <t>201904179146425526</t>
        </is>
      </c>
      <c r="J110" t="inlineStr">
        <is>
          <t>https://docquery.fec.gov/cgi-bin/fecimg/?201904179146425526</t>
        </is>
      </c>
    </row>
    <row r="111">
      <c r="A111" t="inlineStr">
        <is>
          <t>2020</t>
        </is>
      </c>
      <c r="B111" t="inlineStr">
        <is>
          <t>C00483677</t>
        </is>
      </c>
      <c r="C111" t="inlineStr">
        <is>
          <t>American Petroleum Institute PAC (API PAC)</t>
        </is>
      </c>
      <c r="D111" t="inlineStr">
        <is>
          <t>MCSALLY FOR SENATE INC</t>
        </is>
      </c>
      <c r="E111" t="inlineStr">
        <is>
          <t>S8AZ00221</t>
        </is>
      </c>
      <c r="F111" t="inlineStr">
        <is>
          <t>REP</t>
        </is>
      </c>
      <c r="G111" t="inlineStr">
        <is>
          <t>03252019</t>
        </is>
      </c>
      <c r="H111" t="n">
        <v>1500</v>
      </c>
      <c r="I111" t="inlineStr">
        <is>
          <t>201904179146425527</t>
        </is>
      </c>
      <c r="J111" t="inlineStr">
        <is>
          <t>https://docquery.fec.gov/cgi-bin/fecimg/?201904179146425527</t>
        </is>
      </c>
    </row>
    <row r="112">
      <c r="A112" t="inlineStr">
        <is>
          <t>2020</t>
        </is>
      </c>
      <c r="B112" t="inlineStr">
        <is>
          <t>C00483677</t>
        </is>
      </c>
      <c r="C112" t="inlineStr">
        <is>
          <t>American Petroleum Institute PAC (API PAC)</t>
        </is>
      </c>
      <c r="D112" t="inlineStr">
        <is>
          <t>STEVE DAINES FOR MONTANA</t>
        </is>
      </c>
      <c r="E112" t="inlineStr">
        <is>
          <t>S2MT00096</t>
        </is>
      </c>
      <c r="F112" t="inlineStr">
        <is>
          <t>REP</t>
        </is>
      </c>
      <c r="G112" t="inlineStr">
        <is>
          <t>03252019</t>
        </is>
      </c>
      <c r="H112" t="n">
        <v>1000</v>
      </c>
      <c r="I112" t="inlineStr">
        <is>
          <t>201904179146425527</t>
        </is>
      </c>
      <c r="J112" t="inlineStr">
        <is>
          <t>https://docquery.fec.gov/cgi-bin/fecimg/?201904179146425527</t>
        </is>
      </c>
    </row>
    <row r="113">
      <c r="A113" t="inlineStr">
        <is>
          <t>2020</t>
        </is>
      </c>
      <c r="B113" t="inlineStr">
        <is>
          <t>C00483677</t>
        </is>
      </c>
      <c r="C113" t="inlineStr">
        <is>
          <t>American Petroleum Institute PAC (API PAC)</t>
        </is>
      </c>
      <c r="D113" t="inlineStr">
        <is>
          <t>THOM TILLIS COMMITTEE</t>
        </is>
      </c>
      <c r="E113" t="inlineStr">
        <is>
          <t>S4NC00162</t>
        </is>
      </c>
      <c r="F113" t="inlineStr">
        <is>
          <t>REP</t>
        </is>
      </c>
      <c r="G113" t="inlineStr">
        <is>
          <t>03252019</t>
        </is>
      </c>
      <c r="H113" t="n">
        <v>1000</v>
      </c>
      <c r="I113" t="inlineStr">
        <is>
          <t>201904179146425527</t>
        </is>
      </c>
      <c r="J113" t="inlineStr">
        <is>
          <t>https://docquery.fec.gov/cgi-bin/fecimg/?201904179146425527</t>
        </is>
      </c>
    </row>
    <row r="114">
      <c r="A114" t="inlineStr">
        <is>
          <t>2020</t>
        </is>
      </c>
      <c r="B114" t="inlineStr">
        <is>
          <t>C00483677</t>
        </is>
      </c>
      <c r="C114" t="inlineStr">
        <is>
          <t>American Petroleum Institute PAC (API PAC)</t>
        </is>
      </c>
      <c r="D114" t="inlineStr">
        <is>
          <t>VICENTE GONZALEZ FOR CONGRESS</t>
        </is>
      </c>
      <c r="E114" t="inlineStr">
        <is>
          <t>H6TX15162</t>
        </is>
      </c>
      <c r="F114" t="inlineStr">
        <is>
          <t>DEM</t>
        </is>
      </c>
      <c r="G114" t="inlineStr">
        <is>
          <t>03252019</t>
        </is>
      </c>
      <c r="H114" t="n">
        <v>2500</v>
      </c>
      <c r="I114" t="inlineStr">
        <is>
          <t>201904179146425528</t>
        </is>
      </c>
      <c r="J114" t="inlineStr">
        <is>
          <t>https://docquery.fec.gov/cgi-bin/fecimg/?201904179146425528</t>
        </is>
      </c>
    </row>
    <row r="115">
      <c r="A115" t="inlineStr">
        <is>
          <t>2020</t>
        </is>
      </c>
      <c r="B115" t="inlineStr">
        <is>
          <t>C00483677</t>
        </is>
      </c>
      <c r="C115" t="inlineStr">
        <is>
          <t>American Petroleum Institute PAC (API PAC)</t>
        </is>
      </c>
      <c r="D115" t="inlineStr">
        <is>
          <t>VOLUNTEERS FOR SHIMKUS</t>
        </is>
      </c>
      <c r="E115" t="inlineStr">
        <is>
          <t>H2IL20042</t>
        </is>
      </c>
      <c r="F115" t="inlineStr">
        <is>
          <t>REP</t>
        </is>
      </c>
      <c r="G115" t="inlineStr">
        <is>
          <t>03252019</t>
        </is>
      </c>
      <c r="H115" t="n">
        <v>1000</v>
      </c>
      <c r="I115" t="inlineStr">
        <is>
          <t>201904179146425528</t>
        </is>
      </c>
      <c r="J115" t="inlineStr">
        <is>
          <t>https://docquery.fec.gov/cgi-bin/fecimg/?201904179146425528</t>
        </is>
      </c>
    </row>
    <row r="116">
      <c r="A116" t="inlineStr">
        <is>
          <t>2020</t>
        </is>
      </c>
      <c r="B116" t="inlineStr">
        <is>
          <t>C00483677</t>
        </is>
      </c>
      <c r="C116" t="inlineStr">
        <is>
          <t>American Petroleum Institute PAC (API PAC)</t>
        </is>
      </c>
      <c r="D116" t="inlineStr">
        <is>
          <t>ALASKANS FOR DAN SULLIVAN</t>
        </is>
      </c>
      <c r="E116" t="inlineStr">
        <is>
          <t>S4AK00214</t>
        </is>
      </c>
      <c r="F116" t="inlineStr">
        <is>
          <t>REP</t>
        </is>
      </c>
      <c r="G116" t="inlineStr">
        <is>
          <t>04012020</t>
        </is>
      </c>
      <c r="H116" t="n">
        <v>2000</v>
      </c>
      <c r="I116" t="inlineStr">
        <is>
          <t>202005139232678993</t>
        </is>
      </c>
      <c r="J116" t="inlineStr">
        <is>
          <t>https://docquery.fec.gov/cgi-bin/fecimg/?202005139232678993</t>
        </is>
      </c>
    </row>
    <row r="117">
      <c r="A117" t="inlineStr">
        <is>
          <t>2020</t>
        </is>
      </c>
      <c r="B117" t="inlineStr">
        <is>
          <t>C00483677</t>
        </is>
      </c>
      <c r="C117" t="inlineStr">
        <is>
          <t>American Petroleum Institute PAC (API PAC)</t>
        </is>
      </c>
      <c r="D117" t="inlineStr">
        <is>
          <t>JIM RISCH FOR U.S. SENATE COMMITTEE</t>
        </is>
      </c>
      <c r="E117" t="inlineStr">
        <is>
          <t>S8ID00092</t>
        </is>
      </c>
      <c r="F117" t="inlineStr">
        <is>
          <t>REP</t>
        </is>
      </c>
      <c r="G117" t="inlineStr">
        <is>
          <t>04012020</t>
        </is>
      </c>
      <c r="H117" t="n">
        <v>1000</v>
      </c>
      <c r="I117" t="inlineStr">
        <is>
          <t>202005139232678994</t>
        </is>
      </c>
      <c r="J117" t="inlineStr">
        <is>
          <t>https://docquery.fec.gov/cgi-bin/fecimg/?202005139232678994</t>
        </is>
      </c>
    </row>
    <row r="118">
      <c r="A118" t="inlineStr">
        <is>
          <t>2020</t>
        </is>
      </c>
      <c r="B118" t="inlineStr">
        <is>
          <t>C00483677</t>
        </is>
      </c>
      <c r="C118" t="inlineStr">
        <is>
          <t>American Petroleum Institute PAC (API PAC)</t>
        </is>
      </c>
      <c r="D118" t="inlineStr">
        <is>
          <t>KEVIN MCCARTHY FOR CONGRESS</t>
        </is>
      </c>
      <c r="E118" t="inlineStr">
        <is>
          <t>H6CA22125</t>
        </is>
      </c>
      <c r="F118" t="inlineStr">
        <is>
          <t>REP</t>
        </is>
      </c>
      <c r="G118" t="inlineStr">
        <is>
          <t>04012020</t>
        </is>
      </c>
      <c r="H118" t="n">
        <v>2500</v>
      </c>
      <c r="I118" t="inlineStr">
        <is>
          <t>202005139232678994</t>
        </is>
      </c>
      <c r="J118" t="inlineStr">
        <is>
          <t>https://docquery.fec.gov/cgi-bin/fecimg/?202005139232678994</t>
        </is>
      </c>
    </row>
    <row r="119">
      <c r="A119" t="inlineStr">
        <is>
          <t>2020</t>
        </is>
      </c>
      <c r="B119" t="inlineStr">
        <is>
          <t>C00483677</t>
        </is>
      </c>
      <c r="C119" t="inlineStr">
        <is>
          <t>American Petroleum Institute PAC (API PAC)</t>
        </is>
      </c>
      <c r="D119" t="inlineStr">
        <is>
          <t>MICHAEL BURGESS FOR CONGRESS</t>
        </is>
      </c>
      <c r="E119" t="inlineStr">
        <is>
          <t>H2TX26093</t>
        </is>
      </c>
      <c r="F119" t="inlineStr">
        <is>
          <t>REP</t>
        </is>
      </c>
      <c r="G119" t="inlineStr">
        <is>
          <t>04012020</t>
        </is>
      </c>
      <c r="H119" t="n">
        <v>1000</v>
      </c>
      <c r="I119" t="inlineStr">
        <is>
          <t>202005139232678994</t>
        </is>
      </c>
      <c r="J119" t="inlineStr">
        <is>
          <t>https://docquery.fec.gov/cgi-bin/fecimg/?202005139232678994</t>
        </is>
      </c>
    </row>
    <row r="120">
      <c r="A120" t="inlineStr">
        <is>
          <t>2020</t>
        </is>
      </c>
      <c r="B120" t="inlineStr">
        <is>
          <t>C00483677</t>
        </is>
      </c>
      <c r="C120" t="inlineStr">
        <is>
          <t>American Petroleum Institute PAC (API PAC)</t>
        </is>
      </c>
      <c r="D120" t="inlineStr">
        <is>
          <t>ALASKANS FOR DAN SULLIVAN</t>
        </is>
      </c>
      <c r="E120" t="inlineStr">
        <is>
          <t>S4AK00214</t>
        </is>
      </c>
      <c r="F120" t="inlineStr">
        <is>
          <t>REP</t>
        </is>
      </c>
      <c r="G120" t="inlineStr">
        <is>
          <t>06112020</t>
        </is>
      </c>
      <c r="H120" t="n">
        <v>1000</v>
      </c>
      <c r="I120" t="inlineStr">
        <is>
          <t>202007149244553633</t>
        </is>
      </c>
      <c r="J120" t="inlineStr">
        <is>
          <t>https://docquery.fec.gov/cgi-bin/fecimg/?202007149244553633</t>
        </is>
      </c>
    </row>
    <row r="121">
      <c r="A121" t="inlineStr">
        <is>
          <t>2020</t>
        </is>
      </c>
      <c r="B121" t="inlineStr">
        <is>
          <t>C00483677</t>
        </is>
      </c>
      <c r="C121" t="inlineStr">
        <is>
          <t>American Petroleum Institute PAC (API PAC)</t>
        </is>
      </c>
      <c r="D121" t="inlineStr">
        <is>
          <t>CINDY HYDE-SMITH FOR US SENATE</t>
        </is>
      </c>
      <c r="E121" t="inlineStr">
        <is>
          <t>S8MS00261</t>
        </is>
      </c>
      <c r="F121" t="inlineStr">
        <is>
          <t>REP</t>
        </is>
      </c>
      <c r="G121" t="inlineStr">
        <is>
          <t>06112020</t>
        </is>
      </c>
      <c r="H121" t="n">
        <v>1000</v>
      </c>
      <c r="I121" t="inlineStr">
        <is>
          <t>202007149244553633</t>
        </is>
      </c>
      <c r="J121" t="inlineStr">
        <is>
          <t>https://docquery.fec.gov/cgi-bin/fecimg/?202007149244553633</t>
        </is>
      </c>
    </row>
    <row r="122">
      <c r="A122" t="inlineStr">
        <is>
          <t>2020</t>
        </is>
      </c>
      <c r="B122" t="inlineStr">
        <is>
          <t>C00483677</t>
        </is>
      </c>
      <c r="C122" t="inlineStr">
        <is>
          <t>American Petroleum Institute PAC (API PAC)</t>
        </is>
      </c>
      <c r="D122" t="inlineStr">
        <is>
          <t>STEVE DAINES FOR MONTANA</t>
        </is>
      </c>
      <c r="E122" t="inlineStr">
        <is>
          <t>S2MT00096</t>
        </is>
      </c>
      <c r="F122" t="inlineStr">
        <is>
          <t>REP</t>
        </is>
      </c>
      <c r="G122" t="inlineStr">
        <is>
          <t>06112020</t>
        </is>
      </c>
      <c r="H122" t="n">
        <v>2500</v>
      </c>
      <c r="I122" t="inlineStr">
        <is>
          <t>202007149244553634</t>
        </is>
      </c>
      <c r="J122" t="inlineStr">
        <is>
          <t>https://docquery.fec.gov/cgi-bin/fecimg/?202007149244553634</t>
        </is>
      </c>
    </row>
    <row r="123">
      <c r="A123" t="inlineStr">
        <is>
          <t>2020</t>
        </is>
      </c>
      <c r="B123" t="inlineStr">
        <is>
          <t>C00483677</t>
        </is>
      </c>
      <c r="C123" t="inlineStr">
        <is>
          <t>American Petroleum Institute PAC (API PAC)</t>
        </is>
      </c>
      <c r="D123" t="inlineStr">
        <is>
          <t>TEXANS FOR SENATOR JOHN CORNYN INC.</t>
        </is>
      </c>
      <c r="E123" t="inlineStr">
        <is>
          <t>S2TX00106</t>
        </is>
      </c>
      <c r="F123" t="inlineStr">
        <is>
          <t>REP</t>
        </is>
      </c>
      <c r="G123" t="inlineStr">
        <is>
          <t>06112020</t>
        </is>
      </c>
      <c r="H123" t="n">
        <v>1000</v>
      </c>
      <c r="I123" t="inlineStr">
        <is>
          <t>202007149244553634</t>
        </is>
      </c>
      <c r="J123" t="inlineStr">
        <is>
          <t>https://docquery.fec.gov/cgi-bin/fecimg/?202007149244553634</t>
        </is>
      </c>
    </row>
    <row r="124">
      <c r="A124" t="inlineStr">
        <is>
          <t>2020</t>
        </is>
      </c>
      <c r="B124" t="inlineStr">
        <is>
          <t>C00483677</t>
        </is>
      </c>
      <c r="C124" t="inlineStr">
        <is>
          <t>American Petroleum Institute PAC (API PAC)</t>
        </is>
      </c>
      <c r="D124" t="inlineStr">
        <is>
          <t>BALDERSON FOR CONGRESS</t>
        </is>
      </c>
      <c r="E124" t="inlineStr">
        <is>
          <t>H8OH12180</t>
        </is>
      </c>
      <c r="F124" t="inlineStr">
        <is>
          <t>REP</t>
        </is>
      </c>
      <c r="G124" t="inlineStr">
        <is>
          <t>06182019</t>
        </is>
      </c>
      <c r="H124" t="n">
        <v>1200</v>
      </c>
      <c r="I124" t="inlineStr">
        <is>
          <t>201907189151418027</t>
        </is>
      </c>
      <c r="J124" t="inlineStr">
        <is>
          <t>https://docquery.fec.gov/cgi-bin/fecimg/?201907189151418027</t>
        </is>
      </c>
    </row>
    <row r="125">
      <c r="A125" t="inlineStr">
        <is>
          <t>2020</t>
        </is>
      </c>
      <c r="B125" t="inlineStr">
        <is>
          <t>C00483677</t>
        </is>
      </c>
      <c r="C125" t="inlineStr">
        <is>
          <t>American Petroleum Institute PAC (API PAC)</t>
        </is>
      </c>
      <c r="D125" t="inlineStr">
        <is>
          <t>CINDY HYDE-SMITH FOR US SENATE</t>
        </is>
      </c>
      <c r="E125" t="inlineStr">
        <is>
          <t>S8MS00261</t>
        </is>
      </c>
      <c r="F125" t="inlineStr">
        <is>
          <t>REP</t>
        </is>
      </c>
      <c r="G125" t="inlineStr">
        <is>
          <t>06182019</t>
        </is>
      </c>
      <c r="H125" t="n">
        <v>1000</v>
      </c>
      <c r="I125" t="inlineStr">
        <is>
          <t>201907189151418028</t>
        </is>
      </c>
      <c r="J125" t="inlineStr">
        <is>
          <t>https://docquery.fec.gov/cgi-bin/fecimg/?201907189151418028</t>
        </is>
      </c>
    </row>
    <row r="126">
      <c r="A126" t="inlineStr">
        <is>
          <t>2020</t>
        </is>
      </c>
      <c r="B126" t="inlineStr">
        <is>
          <t>C00483677</t>
        </is>
      </c>
      <c r="C126" t="inlineStr">
        <is>
          <t>American Petroleum Institute PAC (API PAC)</t>
        </is>
      </c>
      <c r="D126" t="inlineStr">
        <is>
          <t>MORGAN GRIFFITH FOR CONGRESS</t>
        </is>
      </c>
      <c r="E126" t="inlineStr">
        <is>
          <t>H0VA09055</t>
        </is>
      </c>
      <c r="F126" t="inlineStr">
        <is>
          <t>REP</t>
        </is>
      </c>
      <c r="G126" t="inlineStr">
        <is>
          <t>06182019</t>
        </is>
      </c>
      <c r="H126" t="n">
        <v>1000</v>
      </c>
      <c r="I126" t="inlineStr">
        <is>
          <t>201907189151418030</t>
        </is>
      </c>
      <c r="J126" t="inlineStr">
        <is>
          <t>https://docquery.fec.gov/cgi-bin/fecimg/?201907189151418030</t>
        </is>
      </c>
    </row>
    <row r="127">
      <c r="A127" t="inlineStr">
        <is>
          <t>2020</t>
        </is>
      </c>
      <c r="B127" t="inlineStr">
        <is>
          <t>C00483677</t>
        </is>
      </c>
      <c r="C127" t="inlineStr">
        <is>
          <t>American Petroleum Institute PAC (API PAC)</t>
        </is>
      </c>
      <c r="D127" t="inlineStr">
        <is>
          <t>PETERSON FOR CONGRESS</t>
        </is>
      </c>
      <c r="E127" t="inlineStr">
        <is>
          <t>H2MN07014</t>
        </is>
      </c>
      <c r="F127" t="inlineStr">
        <is>
          <t>DEM</t>
        </is>
      </c>
      <c r="G127" t="inlineStr">
        <is>
          <t>06182019</t>
        </is>
      </c>
      <c r="H127" t="n">
        <v>1000</v>
      </c>
      <c r="I127" t="inlineStr">
        <is>
          <t>201907189151418031</t>
        </is>
      </c>
      <c r="J127" t="inlineStr">
        <is>
          <t>https://docquery.fec.gov/cgi-bin/fecimg/?201907189151418031</t>
        </is>
      </c>
    </row>
    <row r="128">
      <c r="A128" t="inlineStr">
        <is>
          <t>2020</t>
        </is>
      </c>
      <c r="B128" t="inlineStr">
        <is>
          <t>C00483677</t>
        </is>
      </c>
      <c r="C128" t="inlineStr">
        <is>
          <t>American Petroleum Institute PAC (API PAC)</t>
        </is>
      </c>
      <c r="D128" t="inlineStr">
        <is>
          <t>SYLVIA GARCIA FOR CONGRESS</t>
        </is>
      </c>
      <c r="E128" t="inlineStr">
        <is>
          <t>H8TX29052</t>
        </is>
      </c>
      <c r="F128" t="inlineStr">
        <is>
          <t>DEM</t>
        </is>
      </c>
      <c r="G128" t="inlineStr">
        <is>
          <t>06182019</t>
        </is>
      </c>
      <c r="H128" t="n">
        <v>1000</v>
      </c>
      <c r="I128" t="inlineStr">
        <is>
          <t>201907189151418031</t>
        </is>
      </c>
      <c r="J128" t="inlineStr">
        <is>
          <t>https://docquery.fec.gov/cgi-bin/fecimg/?201907189151418031</t>
        </is>
      </c>
    </row>
    <row r="129">
      <c r="A129" t="inlineStr">
        <is>
          <t>2020</t>
        </is>
      </c>
      <c r="B129" t="inlineStr">
        <is>
          <t>C00483677</t>
        </is>
      </c>
      <c r="C129" t="inlineStr">
        <is>
          <t>American Petroleum Institute PAC (API PAC)</t>
        </is>
      </c>
      <c r="D129" t="inlineStr">
        <is>
          <t>BRADY FOR CONGRESS</t>
        </is>
      </c>
      <c r="E129" t="inlineStr">
        <is>
          <t>H6TX08100</t>
        </is>
      </c>
      <c r="F129" t="inlineStr">
        <is>
          <t>REP</t>
        </is>
      </c>
      <c r="G129" t="inlineStr">
        <is>
          <t>06182019</t>
        </is>
      </c>
      <c r="H129" t="n">
        <v>2500</v>
      </c>
      <c r="I129" t="inlineStr">
        <is>
          <t>201907189151418028</t>
        </is>
      </c>
      <c r="J129" t="inlineStr">
        <is>
          <t>https://docquery.fec.gov/cgi-bin/fecimg/?201907189151418028</t>
        </is>
      </c>
    </row>
    <row r="130">
      <c r="A130" t="inlineStr">
        <is>
          <t>2020</t>
        </is>
      </c>
      <c r="B130" t="inlineStr">
        <is>
          <t>C00483677</t>
        </is>
      </c>
      <c r="C130" t="inlineStr">
        <is>
          <t>American Petroleum Institute PAC (API PAC)</t>
        </is>
      </c>
      <c r="D130" t="inlineStr">
        <is>
          <t>BUDDY CARTER FOR CONGRESS</t>
        </is>
      </c>
      <c r="E130" t="inlineStr">
        <is>
          <t>H4GA01039</t>
        </is>
      </c>
      <c r="F130" t="inlineStr">
        <is>
          <t>REP</t>
        </is>
      </c>
      <c r="G130" t="inlineStr">
        <is>
          <t>06182019</t>
        </is>
      </c>
      <c r="H130" t="n">
        <v>1000</v>
      </c>
      <c r="I130" t="inlineStr">
        <is>
          <t>201907189151418028</t>
        </is>
      </c>
      <c r="J130" t="inlineStr">
        <is>
          <t>https://docquery.fec.gov/cgi-bin/fecimg/?201907189151418028</t>
        </is>
      </c>
    </row>
    <row r="131">
      <c r="A131" t="inlineStr">
        <is>
          <t>2020</t>
        </is>
      </c>
      <c r="B131" t="inlineStr">
        <is>
          <t>C00483677</t>
        </is>
      </c>
      <c r="C131" t="inlineStr">
        <is>
          <t>American Petroleum Institute PAC (API PAC)</t>
        </is>
      </c>
      <c r="D131" t="inlineStr">
        <is>
          <t>FRIENDS OF JIM INHOFE</t>
        </is>
      </c>
      <c r="E131" t="inlineStr">
        <is>
          <t>S4OK00083</t>
        </is>
      </c>
      <c r="F131" t="inlineStr">
        <is>
          <t>REP</t>
        </is>
      </c>
      <c r="G131" t="inlineStr">
        <is>
          <t>06182019</t>
        </is>
      </c>
      <c r="H131" t="n">
        <v>5000</v>
      </c>
      <c r="I131" t="inlineStr">
        <is>
          <t>201907189151418029</t>
        </is>
      </c>
      <c r="J131" t="inlineStr">
        <is>
          <t>https://docquery.fec.gov/cgi-bin/fecimg/?201907189151418029</t>
        </is>
      </c>
    </row>
    <row r="132">
      <c r="A132" t="inlineStr">
        <is>
          <t>2020</t>
        </is>
      </c>
      <c r="B132" t="inlineStr">
        <is>
          <t>C00483677</t>
        </is>
      </c>
      <c r="C132" t="inlineStr">
        <is>
          <t>American Petroleum Institute PAC (API PAC)</t>
        </is>
      </c>
      <c r="D132" t="inlineStr">
        <is>
          <t>GARRET GRAVES FOR CONGRESS</t>
        </is>
      </c>
      <c r="E132" t="inlineStr">
        <is>
          <t>H4LA06153</t>
        </is>
      </c>
      <c r="F132" t="inlineStr">
        <is>
          <t>REP</t>
        </is>
      </c>
      <c r="G132" t="inlineStr">
        <is>
          <t>06182019</t>
        </is>
      </c>
      <c r="H132" t="n">
        <v>1000</v>
      </c>
      <c r="I132" t="inlineStr">
        <is>
          <t>201907189151418029</t>
        </is>
      </c>
      <c r="J132" t="inlineStr">
        <is>
          <t>https://docquery.fec.gov/cgi-bin/fecimg/?201907189151418029</t>
        </is>
      </c>
    </row>
    <row r="133">
      <c r="A133" t="inlineStr">
        <is>
          <t>2020</t>
        </is>
      </c>
      <c r="B133" t="inlineStr">
        <is>
          <t>C00483677</t>
        </is>
      </c>
      <c r="C133" t="inlineStr">
        <is>
          <t>American Petroleum Institute PAC (API PAC)</t>
        </is>
      </c>
      <c r="D133" t="inlineStr">
        <is>
          <t>GEORGE HOLDING FOR CONGRESS INC.</t>
        </is>
      </c>
      <c r="E133" t="inlineStr">
        <is>
          <t>H2NC13110</t>
        </is>
      </c>
      <c r="F133" t="inlineStr">
        <is>
          <t>REP</t>
        </is>
      </c>
      <c r="G133" t="inlineStr">
        <is>
          <t>06182019</t>
        </is>
      </c>
      <c r="H133" t="n">
        <v>1000</v>
      </c>
      <c r="I133" t="inlineStr">
        <is>
          <t>201907189151418029</t>
        </is>
      </c>
      <c r="J133" t="inlineStr">
        <is>
          <t>https://docquery.fec.gov/cgi-bin/fecimg/?201907189151418029</t>
        </is>
      </c>
    </row>
    <row r="134">
      <c r="A134" t="inlineStr">
        <is>
          <t>2020</t>
        </is>
      </c>
      <c r="B134" t="inlineStr">
        <is>
          <t>C00483677</t>
        </is>
      </c>
      <c r="C134" t="inlineStr">
        <is>
          <t>American Petroleum Institute PAC (API PAC)</t>
        </is>
      </c>
      <c r="D134" t="inlineStr">
        <is>
          <t>JOHNSON FOR CONGRESS</t>
        </is>
      </c>
      <c r="E134" t="inlineStr">
        <is>
          <t>H0OH06189</t>
        </is>
      </c>
      <c r="F134" t="inlineStr">
        <is>
          <t>REP</t>
        </is>
      </c>
      <c r="G134" t="inlineStr">
        <is>
          <t>06182019</t>
        </is>
      </c>
      <c r="H134" t="n">
        <v>1000</v>
      </c>
      <c r="I134" t="inlineStr">
        <is>
          <t>201907189151418030</t>
        </is>
      </c>
      <c r="J134" t="inlineStr">
        <is>
          <t>https://docquery.fec.gov/cgi-bin/fecimg/?201907189151418030</t>
        </is>
      </c>
    </row>
    <row r="135">
      <c r="A135" t="inlineStr">
        <is>
          <t>2020</t>
        </is>
      </c>
      <c r="B135" t="inlineStr">
        <is>
          <t>C00483677</t>
        </is>
      </c>
      <c r="C135" t="inlineStr">
        <is>
          <t>American Petroleum Institute PAC (API PAC)</t>
        </is>
      </c>
      <c r="D135" t="inlineStr">
        <is>
          <t>LOU CORREA FOR CONGRESS</t>
        </is>
      </c>
      <c r="E135" t="inlineStr">
        <is>
          <t>H6CA46116</t>
        </is>
      </c>
      <c r="F135" t="inlineStr">
        <is>
          <t>DEM</t>
        </is>
      </c>
      <c r="G135" t="inlineStr">
        <is>
          <t>06182019</t>
        </is>
      </c>
      <c r="H135" t="n">
        <v>1000</v>
      </c>
      <c r="I135" t="inlineStr">
        <is>
          <t>201907189151418030</t>
        </is>
      </c>
      <c r="J135" t="inlineStr">
        <is>
          <t>https://docquery.fec.gov/cgi-bin/fecimg/?201907189151418030</t>
        </is>
      </c>
    </row>
    <row r="136">
      <c r="A136" t="inlineStr">
        <is>
          <t>2020</t>
        </is>
      </c>
      <c r="B136" t="inlineStr">
        <is>
          <t>C00483677</t>
        </is>
      </c>
      <c r="C136" t="inlineStr">
        <is>
          <t>American Petroleum Institute PAC (API PAC)</t>
        </is>
      </c>
      <c r="D136" t="inlineStr">
        <is>
          <t>JOSH GOTTHEIMER FOR CONGRESS</t>
        </is>
      </c>
      <c r="E136" t="inlineStr">
        <is>
          <t>H6NJ05171</t>
        </is>
      </c>
      <c r="F136" t="inlineStr">
        <is>
          <t>DEM</t>
        </is>
      </c>
      <c r="G136" t="inlineStr">
        <is>
          <t>06192020</t>
        </is>
      </c>
      <c r="H136" t="n">
        <v>1000</v>
      </c>
      <c r="I136" t="inlineStr">
        <is>
          <t>202007149244553633</t>
        </is>
      </c>
      <c r="J136" t="inlineStr">
        <is>
          <t>https://docquery.fec.gov/cgi-bin/fecimg/?202007149244553633</t>
        </is>
      </c>
    </row>
    <row r="137">
      <c r="A137" t="inlineStr">
        <is>
          <t>2020</t>
        </is>
      </c>
      <c r="B137" t="inlineStr">
        <is>
          <t>C00483677</t>
        </is>
      </c>
      <c r="C137" t="inlineStr">
        <is>
          <t>American Petroleum Institute PAC (API PAC)</t>
        </is>
      </c>
      <c r="D137" t="inlineStr">
        <is>
          <t>ALASKANS FOR DAN SULLIVAN</t>
        </is>
      </c>
      <c r="E137" t="inlineStr">
        <is>
          <t>S4AK00214</t>
        </is>
      </c>
      <c r="F137" t="inlineStr">
        <is>
          <t>REP</t>
        </is>
      </c>
      <c r="G137" t="inlineStr">
        <is>
          <t>06272019</t>
        </is>
      </c>
      <c r="H137" t="n">
        <v>1000</v>
      </c>
      <c r="I137" t="inlineStr">
        <is>
          <t>201907189151418027</t>
        </is>
      </c>
      <c r="J137" t="inlineStr">
        <is>
          <t>https://docquery.fec.gov/cgi-bin/fecimg/?201907189151418027</t>
        </is>
      </c>
    </row>
    <row r="138">
      <c r="A138" t="inlineStr">
        <is>
          <t>2020</t>
        </is>
      </c>
      <c r="B138" t="inlineStr">
        <is>
          <t>C00483677</t>
        </is>
      </c>
      <c r="C138" t="inlineStr">
        <is>
          <t>American Petroleum Institute PAC (API PAC)</t>
        </is>
      </c>
      <c r="D138" t="inlineStr">
        <is>
          <t>UPTON FOR ALL OF US</t>
        </is>
      </c>
      <c r="E138" t="inlineStr">
        <is>
          <t>H6MI04113</t>
        </is>
      </c>
      <c r="F138" t="inlineStr">
        <is>
          <t>REP</t>
        </is>
      </c>
      <c r="G138" t="inlineStr">
        <is>
          <t>07022020</t>
        </is>
      </c>
      <c r="H138" t="n">
        <v>1000</v>
      </c>
      <c r="I138" t="inlineStr">
        <is>
          <t>202008189261360325</t>
        </is>
      </c>
      <c r="J138" t="inlineStr">
        <is>
          <t>https://docquery.fec.gov/cgi-bin/fecimg/?202008189261360325</t>
        </is>
      </c>
    </row>
    <row r="139">
      <c r="A139" t="inlineStr">
        <is>
          <t>2020</t>
        </is>
      </c>
      <c r="B139" t="inlineStr">
        <is>
          <t>C00483677</t>
        </is>
      </c>
      <c r="C139" t="inlineStr">
        <is>
          <t>American Petroleum Institute PAC (API PAC)</t>
        </is>
      </c>
      <c r="D139" t="inlineStr">
        <is>
          <t>HOYER FOR CONGRESS</t>
        </is>
      </c>
      <c r="E139" t="inlineStr">
        <is>
          <t>H2MD05155</t>
        </is>
      </c>
      <c r="F139" t="inlineStr">
        <is>
          <t>DEM</t>
        </is>
      </c>
      <c r="G139" t="inlineStr">
        <is>
          <t>07222019</t>
        </is>
      </c>
      <c r="H139" t="n">
        <v>2500</v>
      </c>
      <c r="I139" t="inlineStr">
        <is>
          <t>201908199162919984</t>
        </is>
      </c>
      <c r="J139" t="inlineStr">
        <is>
          <t>https://docquery.fec.gov/cgi-bin/fecimg/?201908199162919984</t>
        </is>
      </c>
    </row>
    <row r="140">
      <c r="A140" t="inlineStr">
        <is>
          <t>2020</t>
        </is>
      </c>
      <c r="B140" t="inlineStr">
        <is>
          <t>C00483677</t>
        </is>
      </c>
      <c r="C140" t="inlineStr">
        <is>
          <t>American Petroleum Institute PAC (API PAC)</t>
        </is>
      </c>
      <c r="D140" t="inlineStr">
        <is>
          <t>UPTON FOR ALL OF US</t>
        </is>
      </c>
      <c r="E140" t="inlineStr">
        <is>
          <t>H6MI04113</t>
        </is>
      </c>
      <c r="F140" t="inlineStr">
        <is>
          <t>REP</t>
        </is>
      </c>
      <c r="G140" t="inlineStr">
        <is>
          <t>08192020</t>
        </is>
      </c>
      <c r="H140" t="n">
        <v>-1000</v>
      </c>
      <c r="I140" t="inlineStr">
        <is>
          <t>202009189267368785</t>
        </is>
      </c>
      <c r="J140" t="inlineStr">
        <is>
          <t>https://docquery.fec.gov/cgi-bin/fecimg/?202009189267368785</t>
        </is>
      </c>
    </row>
    <row r="141">
      <c r="A141" t="inlineStr">
        <is>
          <t>2020</t>
        </is>
      </c>
      <c r="B141" t="inlineStr">
        <is>
          <t>C00483677</t>
        </is>
      </c>
      <c r="C141" t="inlineStr">
        <is>
          <t>American Petroleum Institute PAC (API PAC)</t>
        </is>
      </c>
      <c r="D141" t="inlineStr">
        <is>
          <t>TEAM GRAHAM, INC.</t>
        </is>
      </c>
      <c r="E141" t="inlineStr">
        <is>
          <t>S0SC00149</t>
        </is>
      </c>
      <c r="F141" t="inlineStr">
        <is>
          <t>REP</t>
        </is>
      </c>
      <c r="G141" t="inlineStr">
        <is>
          <t>08312020</t>
        </is>
      </c>
      <c r="H141" t="n">
        <v>1000</v>
      </c>
      <c r="I141" t="inlineStr">
        <is>
          <t>202009189267368784</t>
        </is>
      </c>
      <c r="J141" t="inlineStr">
        <is>
          <t>https://docquery.fec.gov/cgi-bin/fecimg/?202009189267368784</t>
        </is>
      </c>
    </row>
    <row r="142">
      <c r="A142" t="inlineStr">
        <is>
          <t>2020</t>
        </is>
      </c>
      <c r="B142" t="inlineStr">
        <is>
          <t>C00483677</t>
        </is>
      </c>
      <c r="C142" t="inlineStr">
        <is>
          <t>American Petroleum Institute PAC (API PAC)</t>
        </is>
      </c>
      <c r="D142" t="inlineStr">
        <is>
          <t>TERRI SEWELL FOR CONGRESS</t>
        </is>
      </c>
      <c r="E142" t="inlineStr">
        <is>
          <t>H0AL07086</t>
        </is>
      </c>
      <c r="F142" t="inlineStr">
        <is>
          <t>DEM</t>
        </is>
      </c>
      <c r="G142" t="inlineStr">
        <is>
          <t>08312020</t>
        </is>
      </c>
      <c r="H142" t="n">
        <v>2500</v>
      </c>
      <c r="I142" t="inlineStr">
        <is>
          <t>202009189267368785</t>
        </is>
      </c>
      <c r="J142" t="inlineStr">
        <is>
          <t>https://docquery.fec.gov/cgi-bin/fecimg/?202009189267368785</t>
        </is>
      </c>
    </row>
    <row r="143">
      <c r="A143" t="inlineStr">
        <is>
          <t>2020</t>
        </is>
      </c>
      <c r="B143" t="inlineStr">
        <is>
          <t>C00483677</t>
        </is>
      </c>
      <c r="C143" t="inlineStr">
        <is>
          <t>American Petroleum Institute PAC (API PAC)</t>
        </is>
      </c>
      <c r="D143" t="inlineStr">
        <is>
          <t>UPTON FOR ALL OF US</t>
        </is>
      </c>
      <c r="E143" t="inlineStr">
        <is>
          <t>H6MI04113</t>
        </is>
      </c>
      <c r="F143" t="inlineStr">
        <is>
          <t>REP</t>
        </is>
      </c>
      <c r="G143" t="inlineStr">
        <is>
          <t>08312020</t>
        </is>
      </c>
      <c r="H143" t="n">
        <v>1000</v>
      </c>
      <c r="I143" t="inlineStr">
        <is>
          <t>202009189267368786</t>
        </is>
      </c>
      <c r="J143" t="inlineStr">
        <is>
          <t>https://docquery.fec.gov/cgi-bin/fecimg/?202009189267368786</t>
        </is>
      </c>
    </row>
    <row r="144">
      <c r="A144" t="inlineStr">
        <is>
          <t>2020</t>
        </is>
      </c>
      <c r="B144" t="inlineStr">
        <is>
          <t>C00483677</t>
        </is>
      </c>
      <c r="C144" t="inlineStr">
        <is>
          <t>American Petroleum Institute PAC (API PAC)</t>
        </is>
      </c>
      <c r="D144" t="inlineStr">
        <is>
          <t>COLLINS FOR SENATOR</t>
        </is>
      </c>
      <c r="E144" t="inlineStr">
        <is>
          <t>S6ME00159</t>
        </is>
      </c>
      <c r="F144" t="inlineStr">
        <is>
          <t>REP</t>
        </is>
      </c>
      <c r="G144" t="inlineStr">
        <is>
          <t>08312020</t>
        </is>
      </c>
      <c r="H144" t="n">
        <v>1000</v>
      </c>
      <c r="I144" t="inlineStr">
        <is>
          <t>202009189267368782</t>
        </is>
      </c>
      <c r="J144" t="inlineStr">
        <is>
          <t>https://docquery.fec.gov/cgi-bin/fecimg/?202009189267368782</t>
        </is>
      </c>
    </row>
    <row r="145">
      <c r="A145" t="inlineStr">
        <is>
          <t>2020</t>
        </is>
      </c>
      <c r="B145" t="inlineStr">
        <is>
          <t>C00483677</t>
        </is>
      </c>
      <c r="C145" t="inlineStr">
        <is>
          <t>American Petroleum Institute PAC (API PAC)</t>
        </is>
      </c>
      <c r="D145" t="inlineStr">
        <is>
          <t>FRIENDS OF JIM INHOFE</t>
        </is>
      </c>
      <c r="E145" t="inlineStr">
        <is>
          <t>S4OK00083</t>
        </is>
      </c>
      <c r="F145" t="inlineStr">
        <is>
          <t>REP</t>
        </is>
      </c>
      <c r="G145" t="inlineStr">
        <is>
          <t>08312020</t>
        </is>
      </c>
      <c r="H145" t="n">
        <v>1000</v>
      </c>
      <c r="I145" t="inlineStr">
        <is>
          <t>202009189267368782</t>
        </is>
      </c>
      <c r="J145" t="inlineStr">
        <is>
          <t>https://docquery.fec.gov/cgi-bin/fecimg/?202009189267368782</t>
        </is>
      </c>
    </row>
    <row r="146">
      <c r="A146" t="inlineStr">
        <is>
          <t>2020</t>
        </is>
      </c>
      <c r="B146" t="inlineStr">
        <is>
          <t>C00483677</t>
        </is>
      </c>
      <c r="C146" t="inlineStr">
        <is>
          <t>American Petroleum Institute PAC (API PAC)</t>
        </is>
      </c>
      <c r="D146" t="inlineStr">
        <is>
          <t>HUDSON FOR CONGRESS</t>
        </is>
      </c>
      <c r="E146" t="inlineStr">
        <is>
          <t>H2NC08185</t>
        </is>
      </c>
      <c r="F146" t="inlineStr">
        <is>
          <t>REP</t>
        </is>
      </c>
      <c r="G146" t="inlineStr">
        <is>
          <t>08312020</t>
        </is>
      </c>
      <c r="H146" t="n">
        <v>2500</v>
      </c>
      <c r="I146" t="inlineStr">
        <is>
          <t>202009189267368783</t>
        </is>
      </c>
      <c r="J146" t="inlineStr">
        <is>
          <t>https://docquery.fec.gov/cgi-bin/fecimg/?202009189267368783</t>
        </is>
      </c>
    </row>
    <row r="147">
      <c r="A147" t="inlineStr">
        <is>
          <t>2020</t>
        </is>
      </c>
      <c r="B147" t="inlineStr">
        <is>
          <t>C00483677</t>
        </is>
      </c>
      <c r="C147" t="inlineStr">
        <is>
          <t>American Petroleum Institute PAC (API PAC)</t>
        </is>
      </c>
      <c r="D147" t="inlineStr">
        <is>
          <t>KANSANS FOR MARSHALL</t>
        </is>
      </c>
      <c r="E147" t="inlineStr">
        <is>
          <t>S0KS00315</t>
        </is>
      </c>
      <c r="F147" t="inlineStr">
        <is>
          <t>REP</t>
        </is>
      </c>
      <c r="G147" t="inlineStr">
        <is>
          <t>08312020</t>
        </is>
      </c>
      <c r="H147" t="n">
        <v>1000</v>
      </c>
      <c r="I147" t="inlineStr">
        <is>
          <t>202009189267368783</t>
        </is>
      </c>
      <c r="J147" t="inlineStr">
        <is>
          <t>https://docquery.fec.gov/cgi-bin/fecimg/?202009189267368783</t>
        </is>
      </c>
    </row>
    <row r="148">
      <c r="A148" t="inlineStr">
        <is>
          <t>2020</t>
        </is>
      </c>
      <c r="B148" t="inlineStr">
        <is>
          <t>C00483677</t>
        </is>
      </c>
      <c r="C148" t="inlineStr">
        <is>
          <t>American Petroleum Institute PAC (API PAC)</t>
        </is>
      </c>
      <c r="D148" t="inlineStr">
        <is>
          <t>LUMMIS FOR WYOMING INC.</t>
        </is>
      </c>
      <c r="E148" t="inlineStr">
        <is>
          <t>S0WY00137</t>
        </is>
      </c>
      <c r="F148" t="inlineStr">
        <is>
          <t>REP</t>
        </is>
      </c>
      <c r="G148" t="inlineStr">
        <is>
          <t>08312020</t>
        </is>
      </c>
      <c r="H148" t="n">
        <v>1000</v>
      </c>
      <c r="I148" t="inlineStr">
        <is>
          <t>202009189267368783</t>
        </is>
      </c>
      <c r="J148" t="inlineStr">
        <is>
          <t>https://docquery.fec.gov/cgi-bin/fecimg/?202009189267368783</t>
        </is>
      </c>
    </row>
    <row r="149">
      <c r="A149" t="inlineStr">
        <is>
          <t>2020</t>
        </is>
      </c>
      <c r="B149" t="inlineStr">
        <is>
          <t>C00483677</t>
        </is>
      </c>
      <c r="C149" t="inlineStr">
        <is>
          <t>American Petroleum Institute PAC (API PAC)</t>
        </is>
      </c>
      <c r="D149" t="inlineStr">
        <is>
          <t>MCCAUL FOR CONGRESS, INC</t>
        </is>
      </c>
      <c r="E149" t="inlineStr">
        <is>
          <t>H4TX10093</t>
        </is>
      </c>
      <c r="F149" t="inlineStr">
        <is>
          <t>REP</t>
        </is>
      </c>
      <c r="G149" t="inlineStr">
        <is>
          <t>08312020</t>
        </is>
      </c>
      <c r="H149" t="n">
        <v>1000</v>
      </c>
      <c r="I149" t="inlineStr">
        <is>
          <t>202009189267368784</t>
        </is>
      </c>
      <c r="J149" t="inlineStr">
        <is>
          <t>https://docquery.fec.gov/cgi-bin/fecimg/?202009189267368784</t>
        </is>
      </c>
    </row>
    <row r="150">
      <c r="A150" t="inlineStr">
        <is>
          <t>2020</t>
        </is>
      </c>
      <c r="B150" t="inlineStr">
        <is>
          <t>C00483677</t>
        </is>
      </c>
      <c r="C150" t="inlineStr">
        <is>
          <t>American Petroleum Institute PAC (API PAC)</t>
        </is>
      </c>
      <c r="D150" t="inlineStr">
        <is>
          <t>WALDEN FOR CONGRESS</t>
        </is>
      </c>
      <c r="E150" t="inlineStr">
        <is>
          <t>H6OR02116</t>
        </is>
      </c>
      <c r="F150" t="inlineStr">
        <is>
          <t>REP</t>
        </is>
      </c>
      <c r="G150" t="inlineStr">
        <is>
          <t>09022019</t>
        </is>
      </c>
      <c r="H150" t="n">
        <v>2500</v>
      </c>
      <c r="I150" t="inlineStr">
        <is>
          <t>201910189165049336</t>
        </is>
      </c>
      <c r="J150" t="inlineStr">
        <is>
          <t>https://docquery.fec.gov/cgi-bin/fecimg/?201910189165049336</t>
        </is>
      </c>
    </row>
    <row r="151">
      <c r="A151" t="inlineStr">
        <is>
          <t>2020</t>
        </is>
      </c>
      <c r="B151" t="inlineStr">
        <is>
          <t>C00483677</t>
        </is>
      </c>
      <c r="C151" t="inlineStr">
        <is>
          <t>American Petroleum Institute PAC (API PAC)</t>
        </is>
      </c>
      <c r="D151" t="inlineStr">
        <is>
          <t>CAPITO FOR WEST VIRGINIA</t>
        </is>
      </c>
      <c r="E151" t="inlineStr">
        <is>
          <t>S4WV00159</t>
        </is>
      </c>
      <c r="F151" t="inlineStr">
        <is>
          <t>REP</t>
        </is>
      </c>
      <c r="G151" t="inlineStr">
        <is>
          <t>09022019</t>
        </is>
      </c>
      <c r="H151" t="n">
        <v>1500</v>
      </c>
      <c r="I151" t="inlineStr">
        <is>
          <t>201910189165049329</t>
        </is>
      </c>
      <c r="J151" t="inlineStr">
        <is>
          <t>https://docquery.fec.gov/cgi-bin/fecimg/?201910189165049329</t>
        </is>
      </c>
    </row>
    <row r="152">
      <c r="A152" t="inlineStr">
        <is>
          <t>2020</t>
        </is>
      </c>
      <c r="B152" t="inlineStr">
        <is>
          <t>C00483677</t>
        </is>
      </c>
      <c r="C152" t="inlineStr">
        <is>
          <t>American Petroleum Institute PAC (API PAC)</t>
        </is>
      </c>
      <c r="D152" t="inlineStr">
        <is>
          <t>JIM RISCH FOR U.S. SENATE COMMITTEE</t>
        </is>
      </c>
      <c r="E152" t="inlineStr">
        <is>
          <t>S8ID00092</t>
        </is>
      </c>
      <c r="F152" t="inlineStr">
        <is>
          <t>REP</t>
        </is>
      </c>
      <c r="G152" t="inlineStr">
        <is>
          <t>09022019</t>
        </is>
      </c>
      <c r="H152" t="n">
        <v>1000</v>
      </c>
      <c r="I152" t="inlineStr">
        <is>
          <t>201910189165049331</t>
        </is>
      </c>
      <c r="J152" t="inlineStr">
        <is>
          <t>https://docquery.fec.gov/cgi-bin/fecimg/?201910189165049331</t>
        </is>
      </c>
    </row>
    <row r="153">
      <c r="A153" t="inlineStr">
        <is>
          <t>2020</t>
        </is>
      </c>
      <c r="B153" t="inlineStr">
        <is>
          <t>C00483677</t>
        </is>
      </c>
      <c r="C153" t="inlineStr">
        <is>
          <t>American Petroleum Institute PAC (API PAC)</t>
        </is>
      </c>
      <c r="D153" t="inlineStr">
        <is>
          <t>KEVIN MCCARTHY FOR CONGRESS</t>
        </is>
      </c>
      <c r="E153" t="inlineStr">
        <is>
          <t>H6CA22125</t>
        </is>
      </c>
      <c r="F153" t="inlineStr">
        <is>
          <t>REP</t>
        </is>
      </c>
      <c r="G153" t="inlineStr">
        <is>
          <t>09022019</t>
        </is>
      </c>
      <c r="H153" t="n">
        <v>2500</v>
      </c>
      <c r="I153" t="inlineStr">
        <is>
          <t>201910189165049331</t>
        </is>
      </c>
      <c r="J153" t="inlineStr">
        <is>
          <t>https://docquery.fec.gov/cgi-bin/fecimg/?201910189165049331</t>
        </is>
      </c>
    </row>
    <row r="154">
      <c r="A154" t="inlineStr">
        <is>
          <t>2020</t>
        </is>
      </c>
      <c r="B154" t="inlineStr">
        <is>
          <t>C00483677</t>
        </is>
      </c>
      <c r="C154" t="inlineStr">
        <is>
          <t>American Petroleum Institute PAC (API PAC)</t>
        </is>
      </c>
      <c r="D154" t="inlineStr">
        <is>
          <t>LIZ CHENEY FOR WYOMING</t>
        </is>
      </c>
      <c r="E154" t="inlineStr">
        <is>
          <t>H6WY00159</t>
        </is>
      </c>
      <c r="F154" t="inlineStr">
        <is>
          <t>REP</t>
        </is>
      </c>
      <c r="G154" t="inlineStr">
        <is>
          <t>09022019</t>
        </is>
      </c>
      <c r="H154" t="n">
        <v>2500</v>
      </c>
      <c r="I154" t="inlineStr">
        <is>
          <t>201910189165049332</t>
        </is>
      </c>
      <c r="J154" t="inlineStr">
        <is>
          <t>https://docquery.fec.gov/cgi-bin/fecimg/?201910189165049332</t>
        </is>
      </c>
    </row>
    <row r="155">
      <c r="A155" t="inlineStr">
        <is>
          <t>2020</t>
        </is>
      </c>
      <c r="B155" t="inlineStr">
        <is>
          <t>C00483677</t>
        </is>
      </c>
      <c r="C155" t="inlineStr">
        <is>
          <t>American Petroleum Institute PAC (API PAC)</t>
        </is>
      </c>
      <c r="D155" t="inlineStr">
        <is>
          <t>SYLVIA GARCIA FOR CONGRESS</t>
        </is>
      </c>
      <c r="E155" t="inlineStr">
        <is>
          <t>H8TX29052</t>
        </is>
      </c>
      <c r="F155" t="inlineStr">
        <is>
          <t>DEM</t>
        </is>
      </c>
      <c r="G155" t="inlineStr">
        <is>
          <t>09022019</t>
        </is>
      </c>
      <c r="H155" t="n">
        <v>1000</v>
      </c>
      <c r="I155" t="inlineStr">
        <is>
          <t>201910189165049334</t>
        </is>
      </c>
      <c r="J155" t="inlineStr">
        <is>
          <t>https://docquery.fec.gov/cgi-bin/fecimg/?201910189165049334</t>
        </is>
      </c>
    </row>
    <row r="156">
      <c r="A156" t="inlineStr">
        <is>
          <t>2020</t>
        </is>
      </c>
      <c r="B156" t="inlineStr">
        <is>
          <t>C00483677</t>
        </is>
      </c>
      <c r="C156" t="inlineStr">
        <is>
          <t>American Petroleum Institute PAC (API PAC)</t>
        </is>
      </c>
      <c r="D156" t="inlineStr">
        <is>
          <t>TEXANS FOR SENATOR JOHN CORNYN INC.</t>
        </is>
      </c>
      <c r="E156" t="inlineStr">
        <is>
          <t>S2TX00106</t>
        </is>
      </c>
      <c r="F156" t="inlineStr">
        <is>
          <t>REP</t>
        </is>
      </c>
      <c r="G156" t="inlineStr">
        <is>
          <t>09022019</t>
        </is>
      </c>
      <c r="H156" t="n">
        <v>1000</v>
      </c>
      <c r="I156" t="inlineStr">
        <is>
          <t>201910189165049335</t>
        </is>
      </c>
      <c r="J156" t="inlineStr">
        <is>
          <t>https://docquery.fec.gov/cgi-bin/fecimg/?201910189165049335</t>
        </is>
      </c>
    </row>
    <row r="157">
      <c r="A157" t="inlineStr">
        <is>
          <t>2020</t>
        </is>
      </c>
      <c r="B157" t="inlineStr">
        <is>
          <t>C00483677</t>
        </is>
      </c>
      <c r="C157" t="inlineStr">
        <is>
          <t>American Petroleum Institute PAC (API PAC)</t>
        </is>
      </c>
      <c r="D157" t="inlineStr">
        <is>
          <t>TOM REED FOR CONGRESS</t>
        </is>
      </c>
      <c r="E157" t="inlineStr">
        <is>
          <t>H0NY29054</t>
        </is>
      </c>
      <c r="F157" t="inlineStr">
        <is>
          <t>REP</t>
        </is>
      </c>
      <c r="G157" t="inlineStr">
        <is>
          <t>09242019</t>
        </is>
      </c>
      <c r="H157" t="n">
        <v>1000</v>
      </c>
      <c r="I157" t="inlineStr">
        <is>
          <t>201910189165049335</t>
        </is>
      </c>
      <c r="J157" t="inlineStr">
        <is>
          <t>https://docquery.fec.gov/cgi-bin/fecimg/?201910189165049335</t>
        </is>
      </c>
    </row>
    <row r="158">
      <c r="A158" t="inlineStr">
        <is>
          <t>2020</t>
        </is>
      </c>
      <c r="B158" t="inlineStr">
        <is>
          <t>C00483677</t>
        </is>
      </c>
      <c r="C158" t="inlineStr">
        <is>
          <t>American Petroleum Institute PAC (API PAC)</t>
        </is>
      </c>
      <c r="D158" t="inlineStr">
        <is>
          <t>CORY GARDNER FOR SENATE</t>
        </is>
      </c>
      <c r="E158" t="inlineStr">
        <is>
          <t>S4CO00395</t>
        </is>
      </c>
      <c r="F158" t="inlineStr">
        <is>
          <t>REP</t>
        </is>
      </c>
      <c r="G158" t="inlineStr">
        <is>
          <t>09242019</t>
        </is>
      </c>
      <c r="H158" t="n">
        <v>1000</v>
      </c>
      <c r="I158" t="inlineStr">
        <is>
          <t>201910189165049329</t>
        </is>
      </c>
      <c r="J158" t="inlineStr">
        <is>
          <t>https://docquery.fec.gov/cgi-bin/fecimg/?201910189165049329</t>
        </is>
      </c>
    </row>
    <row r="159">
      <c r="A159" t="inlineStr">
        <is>
          <t>2020</t>
        </is>
      </c>
      <c r="B159" t="inlineStr">
        <is>
          <t>C00483677</t>
        </is>
      </c>
      <c r="C159" t="inlineStr">
        <is>
          <t>American Petroleum Institute PAC (API PAC)</t>
        </is>
      </c>
      <c r="D159" t="inlineStr">
        <is>
          <t>COTTON FOR SENATE, INC.</t>
        </is>
      </c>
      <c r="E159" t="inlineStr">
        <is>
          <t>S4AR00103</t>
        </is>
      </c>
      <c r="F159" t="inlineStr">
        <is>
          <t>REP</t>
        </is>
      </c>
      <c r="G159" t="inlineStr">
        <is>
          <t>09242019</t>
        </is>
      </c>
      <c r="H159" t="n">
        <v>1000</v>
      </c>
      <c r="I159" t="inlineStr">
        <is>
          <t>201910189165049329</t>
        </is>
      </c>
      <c r="J159" t="inlineStr">
        <is>
          <t>https://docquery.fec.gov/cgi-bin/fecimg/?201910189165049329</t>
        </is>
      </c>
    </row>
    <row r="160">
      <c r="A160" t="inlineStr">
        <is>
          <t>2020</t>
        </is>
      </c>
      <c r="B160" t="inlineStr">
        <is>
          <t>C00483677</t>
        </is>
      </c>
      <c r="C160" t="inlineStr">
        <is>
          <t>American Petroleum Institute PAC (API PAC)</t>
        </is>
      </c>
      <c r="D160" t="inlineStr">
        <is>
          <t>ELIZABETH PANNILL FLETCHER FOR CONGRESS</t>
        </is>
      </c>
      <c r="E160" t="inlineStr">
        <is>
          <t>H8TX07140</t>
        </is>
      </c>
      <c r="F160" t="inlineStr">
        <is>
          <t>DEM</t>
        </is>
      </c>
      <c r="G160" t="inlineStr">
        <is>
          <t>09242019</t>
        </is>
      </c>
      <c r="H160" t="n">
        <v>1000</v>
      </c>
      <c r="I160" t="inlineStr">
        <is>
          <t>201910189165049330</t>
        </is>
      </c>
      <c r="J160" t="inlineStr">
        <is>
          <t>https://docquery.fec.gov/cgi-bin/fecimg/?201910189165049330</t>
        </is>
      </c>
    </row>
    <row r="161">
      <c r="A161" t="inlineStr">
        <is>
          <t>2020</t>
        </is>
      </c>
      <c r="B161" t="inlineStr">
        <is>
          <t>C00483677</t>
        </is>
      </c>
      <c r="C161" t="inlineStr">
        <is>
          <t>American Petroleum Institute PAC (API PAC)</t>
        </is>
      </c>
      <c r="D161" t="inlineStr">
        <is>
          <t>GRAVES FOR CONGRESS</t>
        </is>
      </c>
      <c r="E161" t="inlineStr">
        <is>
          <t>H0MO06073</t>
        </is>
      </c>
      <c r="F161" t="inlineStr">
        <is>
          <t>REP</t>
        </is>
      </c>
      <c r="G161" t="inlineStr">
        <is>
          <t>09242019</t>
        </is>
      </c>
      <c r="H161" t="n">
        <v>1000</v>
      </c>
      <c r="I161" t="inlineStr">
        <is>
          <t>201910189165049330</t>
        </is>
      </c>
      <c r="J161" t="inlineStr">
        <is>
          <t>https://docquery.fec.gov/cgi-bin/fecimg/?201910189165049330</t>
        </is>
      </c>
    </row>
    <row r="162">
      <c r="A162" t="inlineStr">
        <is>
          <t>2020</t>
        </is>
      </c>
      <c r="B162" t="inlineStr">
        <is>
          <t>C00483677</t>
        </is>
      </c>
      <c r="C162" t="inlineStr">
        <is>
          <t>American Petroleum Institute PAC (API PAC)</t>
        </is>
      </c>
      <c r="D162" t="inlineStr">
        <is>
          <t>JEFF DUNCAN FOR CONGRESS</t>
        </is>
      </c>
      <c r="E162" t="inlineStr">
        <is>
          <t>H0SC03077</t>
        </is>
      </c>
      <c r="F162" t="inlineStr">
        <is>
          <t>REP</t>
        </is>
      </c>
      <c r="G162" t="inlineStr">
        <is>
          <t>09242019</t>
        </is>
      </c>
      <c r="H162" t="n">
        <v>1000</v>
      </c>
      <c r="I162" t="inlineStr">
        <is>
          <t>201910189165049330</t>
        </is>
      </c>
      <c r="J162" t="inlineStr">
        <is>
          <t>https://docquery.fec.gov/cgi-bin/fecimg/?201910189165049330</t>
        </is>
      </c>
    </row>
    <row r="163">
      <c r="A163" t="inlineStr">
        <is>
          <t>2020</t>
        </is>
      </c>
      <c r="B163" t="inlineStr">
        <is>
          <t>C00483677</t>
        </is>
      </c>
      <c r="C163" t="inlineStr">
        <is>
          <t>American Petroleum Institute PAC (API PAC)</t>
        </is>
      </c>
      <c r="D163" t="inlineStr">
        <is>
          <t>KURT SCHRADER FOR CONGRESS</t>
        </is>
      </c>
      <c r="E163" t="inlineStr">
        <is>
          <t>H8OR05107</t>
        </is>
      </c>
      <c r="F163" t="inlineStr">
        <is>
          <t>DEM</t>
        </is>
      </c>
      <c r="G163" t="inlineStr">
        <is>
          <t>09242019</t>
        </is>
      </c>
      <c r="H163" t="n">
        <v>1000</v>
      </c>
      <c r="I163" t="inlineStr">
        <is>
          <t>201910189165049331</t>
        </is>
      </c>
      <c r="J163" t="inlineStr">
        <is>
          <t>https://docquery.fec.gov/cgi-bin/fecimg/?201910189165049331</t>
        </is>
      </c>
    </row>
    <row r="164">
      <c r="A164" t="inlineStr">
        <is>
          <t>2020</t>
        </is>
      </c>
      <c r="B164" t="inlineStr">
        <is>
          <t>C00483677</t>
        </is>
      </c>
      <c r="C164" t="inlineStr">
        <is>
          <t>American Petroleum Institute PAC (API PAC)</t>
        </is>
      </c>
      <c r="D164" t="inlineStr">
        <is>
          <t>MARC VEASEY CONGRESSIONAL CAMPAIGN COMMITTEE</t>
        </is>
      </c>
      <c r="E164" t="inlineStr">
        <is>
          <t>H2TX33073</t>
        </is>
      </c>
      <c r="F164" t="inlineStr">
        <is>
          <t>DEM</t>
        </is>
      </c>
      <c r="G164" t="inlineStr">
        <is>
          <t>09242019</t>
        </is>
      </c>
      <c r="H164" t="n">
        <v>1000</v>
      </c>
      <c r="I164" t="inlineStr">
        <is>
          <t>201910189165049332</t>
        </is>
      </c>
      <c r="J164" t="inlineStr">
        <is>
          <t>https://docquery.fec.gov/cgi-bin/fecimg/?201910189165049332</t>
        </is>
      </c>
    </row>
    <row r="165">
      <c r="A165" t="inlineStr">
        <is>
          <t>2020</t>
        </is>
      </c>
      <c r="B165" t="inlineStr">
        <is>
          <t>C00483677</t>
        </is>
      </c>
      <c r="C165" t="inlineStr">
        <is>
          <t>American Petroleum Institute PAC (API PAC)</t>
        </is>
      </c>
      <c r="D165" t="inlineStr">
        <is>
          <t>MCCAUL FOR CONGRESS, INC</t>
        </is>
      </c>
      <c r="E165" t="inlineStr">
        <is>
          <t>H4TX10093</t>
        </is>
      </c>
      <c r="F165" t="inlineStr">
        <is>
          <t>REP</t>
        </is>
      </c>
      <c r="G165" t="inlineStr">
        <is>
          <t>09242019</t>
        </is>
      </c>
      <c r="H165" t="n">
        <v>1000</v>
      </c>
      <c r="I165" t="inlineStr">
        <is>
          <t>201910189165049332</t>
        </is>
      </c>
      <c r="J165" t="inlineStr">
        <is>
          <t>https://docquery.fec.gov/cgi-bin/fecimg/?201910189165049332</t>
        </is>
      </c>
    </row>
    <row r="166">
      <c r="A166" t="inlineStr">
        <is>
          <t>2020</t>
        </is>
      </c>
      <c r="B166" t="inlineStr">
        <is>
          <t>C00483677</t>
        </is>
      </c>
      <c r="C166" t="inlineStr">
        <is>
          <t>American Petroleum Institute PAC (API PAC)</t>
        </is>
      </c>
      <c r="D166" t="inlineStr">
        <is>
          <t>PERDUE FOR SENATE</t>
        </is>
      </c>
      <c r="E166" t="inlineStr">
        <is>
          <t>S4GA11285</t>
        </is>
      </c>
      <c r="F166" t="inlineStr">
        <is>
          <t>REP</t>
        </is>
      </c>
      <c r="G166" t="inlineStr">
        <is>
          <t>09242019</t>
        </is>
      </c>
      <c r="H166" t="n">
        <v>1000</v>
      </c>
      <c r="I166" t="inlineStr">
        <is>
          <t>201910189165049333</t>
        </is>
      </c>
      <c r="J166" t="inlineStr">
        <is>
          <t>https://docquery.fec.gov/cgi-bin/fecimg/?201910189165049333</t>
        </is>
      </c>
    </row>
    <row r="167">
      <c r="A167" t="inlineStr">
        <is>
          <t>2020</t>
        </is>
      </c>
      <c r="B167" t="inlineStr">
        <is>
          <t>C00483677</t>
        </is>
      </c>
      <c r="C167" t="inlineStr">
        <is>
          <t>American Petroleum Institute PAC (API PAC)</t>
        </is>
      </c>
      <c r="D167" t="inlineStr">
        <is>
          <t>ROUNDS FOR SENATE</t>
        </is>
      </c>
      <c r="E167" t="inlineStr">
        <is>
          <t>S4SD00049</t>
        </is>
      </c>
      <c r="F167" t="inlineStr">
        <is>
          <t>REP</t>
        </is>
      </c>
      <c r="G167" t="inlineStr">
        <is>
          <t>09242019</t>
        </is>
      </c>
      <c r="H167" t="n">
        <v>1000</v>
      </c>
      <c r="I167" t="inlineStr">
        <is>
          <t>201910189165049333</t>
        </is>
      </c>
      <c r="J167" t="inlineStr">
        <is>
          <t>https://docquery.fec.gov/cgi-bin/fecimg/?201910189165049333</t>
        </is>
      </c>
    </row>
    <row r="168">
      <c r="A168" t="inlineStr">
        <is>
          <t>2020</t>
        </is>
      </c>
      <c r="B168" t="inlineStr">
        <is>
          <t>C00483677</t>
        </is>
      </c>
      <c r="C168" t="inlineStr">
        <is>
          <t>American Petroleum Institute PAC (API PAC)</t>
        </is>
      </c>
      <c r="D168" t="inlineStr">
        <is>
          <t>TEXANS FOR HENRY CUELLAR CONGRESSIONAL CAMPAIGN</t>
        </is>
      </c>
      <c r="E168" t="inlineStr">
        <is>
          <t>H2TX23082</t>
        </is>
      </c>
      <c r="F168" t="inlineStr">
        <is>
          <t>DEM</t>
        </is>
      </c>
      <c r="G168" t="inlineStr">
        <is>
          <t>09242019</t>
        </is>
      </c>
      <c r="H168" t="n">
        <v>1000</v>
      </c>
      <c r="I168" t="inlineStr">
        <is>
          <t>201910189165049334</t>
        </is>
      </c>
      <c r="J168" t="inlineStr">
        <is>
          <t>https://docquery.fec.gov/cgi-bin/fecimg/?201910189165049334</t>
        </is>
      </c>
    </row>
    <row r="169">
      <c r="A169" t="inlineStr">
        <is>
          <t>2020</t>
        </is>
      </c>
      <c r="B169" t="inlineStr">
        <is>
          <t>C00483677</t>
        </is>
      </c>
      <c r="C169" t="inlineStr">
        <is>
          <t>American Petroleum Institute PAC (API PAC)</t>
        </is>
      </c>
      <c r="D169" t="inlineStr">
        <is>
          <t>THOM TILLIS COMMITTEE</t>
        </is>
      </c>
      <c r="E169" t="inlineStr">
        <is>
          <t>S4NC00162</t>
        </is>
      </c>
      <c r="F169" t="inlineStr">
        <is>
          <t>REP</t>
        </is>
      </c>
      <c r="G169" t="inlineStr">
        <is>
          <t>09242019</t>
        </is>
      </c>
      <c r="H169" t="n">
        <v>1000</v>
      </c>
      <c r="I169" t="inlineStr">
        <is>
          <t>201910189165049335</t>
        </is>
      </c>
      <c r="J169" t="inlineStr">
        <is>
          <t>https://docquery.fec.gov/cgi-bin/fecimg/?201910189165049335</t>
        </is>
      </c>
    </row>
    <row r="170">
      <c r="A170" t="inlineStr">
        <is>
          <t>2020</t>
        </is>
      </c>
      <c r="B170" t="inlineStr">
        <is>
          <t>C00483677</t>
        </is>
      </c>
      <c r="C170" t="inlineStr">
        <is>
          <t>American Petroleum Institute PAC (API PAC)</t>
        </is>
      </c>
      <c r="D170" t="inlineStr">
        <is>
          <t>TUBERVILLE FOR SENATE, INC.</t>
        </is>
      </c>
      <c r="E170" t="inlineStr">
        <is>
          <t>S0AL00230</t>
        </is>
      </c>
      <c r="F170" t="inlineStr">
        <is>
          <t>REP</t>
        </is>
      </c>
      <c r="G170" t="inlineStr">
        <is>
          <t>10272020</t>
        </is>
      </c>
      <c r="H170" t="n">
        <v>1000</v>
      </c>
      <c r="I170" t="inlineStr">
        <is>
          <t>202012029337454822</t>
        </is>
      </c>
      <c r="J170" t="inlineStr">
        <is>
          <t>https://docquery.fec.gov/cgi-bin/fecimg/?202012029337454822</t>
        </is>
      </c>
    </row>
    <row r="171">
      <c r="A171" t="inlineStr">
        <is>
          <t>2020</t>
        </is>
      </c>
      <c r="B171" t="inlineStr">
        <is>
          <t>C00483677</t>
        </is>
      </c>
      <c r="C171" t="inlineStr">
        <is>
          <t>American Petroleum Institute PAC (API PAC)</t>
        </is>
      </c>
      <c r="D171" t="inlineStr">
        <is>
          <t>VICENTE GONZALEZ FOR CONGRESS</t>
        </is>
      </c>
      <c r="E171" t="inlineStr">
        <is>
          <t>H6TX15162</t>
        </is>
      </c>
      <c r="F171" t="inlineStr">
        <is>
          <t>DEM</t>
        </is>
      </c>
      <c r="G171" t="inlineStr">
        <is>
          <t>10272020</t>
        </is>
      </c>
      <c r="H171" t="n">
        <v>2500</v>
      </c>
      <c r="I171" t="inlineStr">
        <is>
          <t>202012029337454823</t>
        </is>
      </c>
      <c r="J171" t="inlineStr">
        <is>
          <t>https://docquery.fec.gov/cgi-bin/fecimg/?202012029337454823</t>
        </is>
      </c>
    </row>
    <row r="172">
      <c r="A172" t="inlineStr">
        <is>
          <t>2020</t>
        </is>
      </c>
      <c r="B172" t="inlineStr">
        <is>
          <t>C00483677</t>
        </is>
      </c>
      <c r="C172" t="inlineStr">
        <is>
          <t>American Petroleum Institute PAC (API PAC)</t>
        </is>
      </c>
      <c r="D172" t="inlineStr">
        <is>
          <t>TEXANS FOR SENATOR JOHN CORNYN INC.</t>
        </is>
      </c>
      <c r="E172" t="inlineStr">
        <is>
          <t>S2TX00106</t>
        </is>
      </c>
      <c r="F172" t="inlineStr">
        <is>
          <t>REP</t>
        </is>
      </c>
      <c r="G172" t="inlineStr">
        <is>
          <t>10272020</t>
        </is>
      </c>
      <c r="H172" t="n">
        <v>1500</v>
      </c>
      <c r="I172" t="inlineStr">
        <is>
          <t>202012029337454822</t>
        </is>
      </c>
      <c r="J172" t="inlineStr">
        <is>
          <t>https://docquery.fec.gov/cgi-bin/fecimg/?202012029337454822</t>
        </is>
      </c>
    </row>
    <row r="173">
      <c r="A173" t="inlineStr">
        <is>
          <t>2020</t>
        </is>
      </c>
      <c r="B173" t="inlineStr">
        <is>
          <t>C00483677</t>
        </is>
      </c>
      <c r="C173" t="inlineStr">
        <is>
          <t>American Petroleum Institute PAC (API PAC)</t>
        </is>
      </c>
      <c r="D173" t="inlineStr">
        <is>
          <t>FRIENDS OF JIM CLYBURN</t>
        </is>
      </c>
      <c r="E173" t="inlineStr">
        <is>
          <t>H2SC02042</t>
        </is>
      </c>
      <c r="F173" t="inlineStr">
        <is>
          <t>DEM</t>
        </is>
      </c>
      <c r="G173" t="inlineStr">
        <is>
          <t>10272020</t>
        </is>
      </c>
      <c r="H173" t="n">
        <v>1000</v>
      </c>
      <c r="I173" t="inlineStr">
        <is>
          <t>202012029337454820</t>
        </is>
      </c>
      <c r="J173" t="inlineStr">
        <is>
          <t>https://docquery.fec.gov/cgi-bin/fecimg/?202012029337454820</t>
        </is>
      </c>
    </row>
    <row r="174">
      <c r="A174" t="inlineStr">
        <is>
          <t>2020</t>
        </is>
      </c>
      <c r="B174" t="inlineStr">
        <is>
          <t>C00483677</t>
        </is>
      </c>
      <c r="C174" t="inlineStr">
        <is>
          <t>American Petroleum Institute PAC (API PAC)</t>
        </is>
      </c>
      <c r="D174" t="inlineStr">
        <is>
          <t>JOHN JAMES FOR SENATE, INC.</t>
        </is>
      </c>
      <c r="E174" t="inlineStr">
        <is>
          <t>S8MI00372</t>
        </is>
      </c>
      <c r="F174" t="inlineStr">
        <is>
          <t>REP</t>
        </is>
      </c>
      <c r="G174" t="inlineStr">
        <is>
          <t>10272020</t>
        </is>
      </c>
      <c r="H174" t="n">
        <v>1000</v>
      </c>
      <c r="I174" t="inlineStr">
        <is>
          <t>202012029337454820</t>
        </is>
      </c>
      <c r="J174" t="inlineStr">
        <is>
          <t>https://docquery.fec.gov/cgi-bin/fecimg/?202012029337454820</t>
        </is>
      </c>
    </row>
    <row r="175">
      <c r="A175" t="inlineStr">
        <is>
          <t>2020</t>
        </is>
      </c>
      <c r="B175" t="inlineStr">
        <is>
          <t>C00483677</t>
        </is>
      </c>
      <c r="C175" t="inlineStr">
        <is>
          <t>American Petroleum Institute PAC (API PAC)</t>
        </is>
      </c>
      <c r="D175" t="inlineStr">
        <is>
          <t>MORGAN GRIFFITH FOR CONGRESS</t>
        </is>
      </c>
      <c r="E175" t="inlineStr">
        <is>
          <t>H0VA09055</t>
        </is>
      </c>
      <c r="F175" t="inlineStr">
        <is>
          <t>REP</t>
        </is>
      </c>
      <c r="G175" t="inlineStr">
        <is>
          <t>10272020</t>
        </is>
      </c>
      <c r="H175" t="n">
        <v>1000</v>
      </c>
      <c r="I175" t="inlineStr">
        <is>
          <t>202012029337454820</t>
        </is>
      </c>
      <c r="J175" t="inlineStr">
        <is>
          <t>https://docquery.fec.gov/cgi-bin/fecimg/?202012029337454820</t>
        </is>
      </c>
    </row>
    <row r="176">
      <c r="A176" t="inlineStr">
        <is>
          <t>2020</t>
        </is>
      </c>
      <c r="B176" t="inlineStr">
        <is>
          <t>C00483677</t>
        </is>
      </c>
      <c r="C176" t="inlineStr">
        <is>
          <t>American Petroleum Institute PAC (API PAC)</t>
        </is>
      </c>
      <c r="D176" t="inlineStr">
        <is>
          <t>RICHMOND FOR CONGRESS</t>
        </is>
      </c>
      <c r="E176" t="inlineStr">
        <is>
          <t>H8LA02054</t>
        </is>
      </c>
      <c r="F176" t="inlineStr">
        <is>
          <t>DEM</t>
        </is>
      </c>
      <c r="G176" t="inlineStr">
        <is>
          <t>10272020</t>
        </is>
      </c>
      <c r="H176" t="n">
        <v>5000</v>
      </c>
      <c r="I176" t="inlineStr">
        <is>
          <t>202012029337454821</t>
        </is>
      </c>
      <c r="J176" t="inlineStr">
        <is>
          <t>https://docquery.fec.gov/cgi-bin/fecimg/?202012029337454821</t>
        </is>
      </c>
    </row>
    <row r="177">
      <c r="A177" t="inlineStr">
        <is>
          <t>2020</t>
        </is>
      </c>
      <c r="B177" t="inlineStr">
        <is>
          <t>C00483677</t>
        </is>
      </c>
      <c r="C177" t="inlineStr">
        <is>
          <t>American Petroleum Institute PAC (API PAC)</t>
        </is>
      </c>
      <c r="D177" t="inlineStr">
        <is>
          <t>STEVE DAINES FOR MONTANA</t>
        </is>
      </c>
      <c r="E177" t="inlineStr">
        <is>
          <t>S2MT00096</t>
        </is>
      </c>
      <c r="F177" t="inlineStr">
        <is>
          <t>REP</t>
        </is>
      </c>
      <c r="G177" t="inlineStr">
        <is>
          <t>10272020</t>
        </is>
      </c>
      <c r="H177" t="n">
        <v>1500</v>
      </c>
      <c r="I177" t="inlineStr">
        <is>
          <t>202012029337454821</t>
        </is>
      </c>
      <c r="J177" t="inlineStr">
        <is>
          <t>https://docquery.fec.gov/cgi-bin/fecimg/?202012029337454821</t>
        </is>
      </c>
    </row>
    <row r="178">
      <c r="A178" t="inlineStr">
        <is>
          <t>2020</t>
        </is>
      </c>
      <c r="B178" t="inlineStr">
        <is>
          <t>C00483677</t>
        </is>
      </c>
      <c r="C178" t="inlineStr">
        <is>
          <t>American Petroleum Institute PAC (API PAC)</t>
        </is>
      </c>
      <c r="D178" t="inlineStr">
        <is>
          <t>TEAM HAGERTY</t>
        </is>
      </c>
      <c r="E178" t="inlineStr">
        <is>
          <t>S0TN00169</t>
        </is>
      </c>
      <c r="F178" t="inlineStr">
        <is>
          <t>REP</t>
        </is>
      </c>
      <c r="G178" t="inlineStr">
        <is>
          <t>10272020</t>
        </is>
      </c>
      <c r="H178" t="n">
        <v>1000</v>
      </c>
      <c r="I178" t="inlineStr">
        <is>
          <t>202012029337454822</t>
        </is>
      </c>
      <c r="J178" t="inlineStr">
        <is>
          <t>https://docquery.fec.gov/cgi-bin/fecimg/?202012029337454822</t>
        </is>
      </c>
    </row>
    <row r="179">
      <c r="A179" t="inlineStr">
        <is>
          <t>2020</t>
        </is>
      </c>
      <c r="B179" t="inlineStr">
        <is>
          <t>C00483677</t>
        </is>
      </c>
      <c r="C179" t="inlineStr">
        <is>
          <t>American Petroleum Institute PAC (API PAC)</t>
        </is>
      </c>
      <c r="D179" t="inlineStr">
        <is>
          <t>CATHY MCMORRIS RODGERS FOR CONGRESS</t>
        </is>
      </c>
      <c r="E179" t="inlineStr">
        <is>
          <t>H4WA05077</t>
        </is>
      </c>
      <c r="F179" t="inlineStr">
        <is>
          <t>REP</t>
        </is>
      </c>
      <c r="G179" t="inlineStr">
        <is>
          <t>10272020</t>
        </is>
      </c>
      <c r="H179" t="n">
        <v>1000</v>
      </c>
      <c r="I179" t="inlineStr">
        <is>
          <t>202012029337454819</t>
        </is>
      </c>
      <c r="J179" t="inlineStr">
        <is>
          <t>https://docquery.fec.gov/cgi-bin/fecimg/?202012029337454819</t>
        </is>
      </c>
    </row>
    <row r="180">
      <c r="A180" t="inlineStr">
        <is>
          <t>2020</t>
        </is>
      </c>
      <c r="B180" t="inlineStr">
        <is>
          <t>C00483677</t>
        </is>
      </c>
      <c r="C180" t="inlineStr">
        <is>
          <t>American Petroleum Institute PAC (API PAC)</t>
        </is>
      </c>
      <c r="D180" t="inlineStr">
        <is>
          <t>CORY GARDNER FOR SENATE</t>
        </is>
      </c>
      <c r="E180" t="inlineStr">
        <is>
          <t>S4CO00395</t>
        </is>
      </c>
      <c r="F180" t="inlineStr">
        <is>
          <t>REP</t>
        </is>
      </c>
      <c r="G180" t="inlineStr">
        <is>
          <t>10272020</t>
        </is>
      </c>
      <c r="H180" t="n">
        <v>1500</v>
      </c>
      <c r="I180" t="inlineStr">
        <is>
          <t>202012029337454819</t>
        </is>
      </c>
      <c r="J180" t="inlineStr">
        <is>
          <t>https://docquery.fec.gov/cgi-bin/fecimg/?202012029337454819</t>
        </is>
      </c>
    </row>
    <row r="181">
      <c r="A181" t="inlineStr">
        <is>
          <t>2020</t>
        </is>
      </c>
      <c r="B181" t="inlineStr">
        <is>
          <t>C00483677</t>
        </is>
      </c>
      <c r="C181" t="inlineStr">
        <is>
          <t>American Petroleum Institute PAC (API PAC)</t>
        </is>
      </c>
      <c r="D181" t="inlineStr">
        <is>
          <t>ELIZABETH PANNILL FLETCHER FOR CONGRESS</t>
        </is>
      </c>
      <c r="E181" t="inlineStr">
        <is>
          <t>H8TX07140</t>
        </is>
      </c>
      <c r="F181" t="inlineStr">
        <is>
          <t>DEM</t>
        </is>
      </c>
      <c r="G181" t="inlineStr">
        <is>
          <t>10272020</t>
        </is>
      </c>
      <c r="H181" t="n">
        <v>1000</v>
      </c>
      <c r="I181" t="inlineStr">
        <is>
          <t>202012029337454819</t>
        </is>
      </c>
      <c r="J181" t="inlineStr">
        <is>
          <t>https://docquery.fec.gov/cgi-bin/fecimg/?202012029337454819</t>
        </is>
      </c>
    </row>
    <row r="182">
      <c r="A182" t="inlineStr">
        <is>
          <t>2020</t>
        </is>
      </c>
      <c r="B182" t="inlineStr">
        <is>
          <t>C00483677</t>
        </is>
      </c>
      <c r="C182" t="inlineStr">
        <is>
          <t>American Petroleum Institute PAC (API PAC)</t>
        </is>
      </c>
      <c r="D182" t="inlineStr">
        <is>
          <t>TEAM GRAHAM, INC.</t>
        </is>
      </c>
      <c r="E182" t="inlineStr">
        <is>
          <t>S0SC00149</t>
        </is>
      </c>
      <c r="F182" t="inlineStr">
        <is>
          <t>REP</t>
        </is>
      </c>
      <c r="G182" t="inlineStr">
        <is>
          <t>10282020</t>
        </is>
      </c>
      <c r="H182" t="n">
        <v>2000</v>
      </c>
      <c r="I182" t="inlineStr">
        <is>
          <t>202012029337454821</t>
        </is>
      </c>
      <c r="J182" t="inlineStr">
        <is>
          <t>https://docquery.fec.gov/cgi-bin/fecimg/?202012029337454821</t>
        </is>
      </c>
    </row>
    <row r="183">
      <c r="A183" t="inlineStr">
        <is>
          <t>2020</t>
        </is>
      </c>
      <c r="B183" t="inlineStr">
        <is>
          <t>C00483677</t>
        </is>
      </c>
      <c r="C183" t="inlineStr">
        <is>
          <t>American Petroleum Institute PAC (API PAC)</t>
        </is>
      </c>
      <c r="D183" t="inlineStr">
        <is>
          <t>ARMSTRONG FOR CONGRESS</t>
        </is>
      </c>
      <c r="E183" t="inlineStr">
        <is>
          <t>H8ND00096</t>
        </is>
      </c>
      <c r="F183" t="inlineStr">
        <is>
          <t>REP</t>
        </is>
      </c>
      <c r="G183" t="inlineStr">
        <is>
          <t>12022019</t>
        </is>
      </c>
      <c r="H183" t="n">
        <v>1000</v>
      </c>
      <c r="I183" t="inlineStr">
        <is>
          <t>202001279167380011</t>
        </is>
      </c>
      <c r="J183" t="inlineStr">
        <is>
          <t>https://docquery.fec.gov/cgi-bin/fecimg/?202001279167380011</t>
        </is>
      </c>
    </row>
    <row r="184">
      <c r="A184" t="inlineStr">
        <is>
          <t>2020</t>
        </is>
      </c>
      <c r="B184" t="inlineStr">
        <is>
          <t>C00483677</t>
        </is>
      </c>
      <c r="C184" t="inlineStr">
        <is>
          <t>American Petroleum Institute PAC (API PAC)</t>
        </is>
      </c>
      <c r="D184" t="inlineStr">
        <is>
          <t>CORY GARDNER FOR SENATE</t>
        </is>
      </c>
      <c r="E184" t="inlineStr">
        <is>
          <t>S4CO00395</t>
        </is>
      </c>
      <c r="F184" t="inlineStr">
        <is>
          <t>REP</t>
        </is>
      </c>
      <c r="G184" t="inlineStr">
        <is>
          <t>12022019</t>
        </is>
      </c>
      <c r="H184" t="n">
        <v>2500</v>
      </c>
      <c r="I184" t="inlineStr">
        <is>
          <t>202001279167380011</t>
        </is>
      </c>
      <c r="J184" t="inlineStr">
        <is>
          <t>https://docquery.fec.gov/cgi-bin/fecimg/?202001279167380011</t>
        </is>
      </c>
    </row>
    <row r="185">
      <c r="A185" t="inlineStr">
        <is>
          <t>2020</t>
        </is>
      </c>
      <c r="B185" t="inlineStr">
        <is>
          <t>C00483677</t>
        </is>
      </c>
      <c r="C185" t="inlineStr">
        <is>
          <t>American Petroleum Institute PAC (API PAC)</t>
        </is>
      </c>
      <c r="D185" t="inlineStr">
        <is>
          <t>FRIENDS OF BEN MCADAMS</t>
        </is>
      </c>
      <c r="E185" t="inlineStr">
        <is>
          <t>H8UT04053</t>
        </is>
      </c>
      <c r="F185" t="inlineStr">
        <is>
          <t>DEM</t>
        </is>
      </c>
      <c r="G185" t="inlineStr">
        <is>
          <t>12022019</t>
        </is>
      </c>
      <c r="H185" t="n">
        <v>1000</v>
      </c>
      <c r="I185" t="inlineStr">
        <is>
          <t>202001279167380012</t>
        </is>
      </c>
      <c r="J185" t="inlineStr">
        <is>
          <t>https://docquery.fec.gov/cgi-bin/fecimg/?202001279167380012</t>
        </is>
      </c>
    </row>
    <row r="186">
      <c r="A186" t="inlineStr">
        <is>
          <t>2020</t>
        </is>
      </c>
      <c r="B186" t="inlineStr">
        <is>
          <t>C00483677</t>
        </is>
      </c>
      <c r="C186" t="inlineStr">
        <is>
          <t>American Petroleum Institute PAC (API PAC)</t>
        </is>
      </c>
      <c r="D186" t="inlineStr">
        <is>
          <t>CORY GARDNER FOR SENATE</t>
        </is>
      </c>
      <c r="E186" t="inlineStr">
        <is>
          <t>S4CO00395</t>
        </is>
      </c>
      <c r="F186" t="inlineStr">
        <is>
          <t>REP</t>
        </is>
      </c>
      <c r="G186" t="inlineStr">
        <is>
          <t>12102019</t>
        </is>
      </c>
      <c r="H186" t="n">
        <v>-2500</v>
      </c>
      <c r="I186" t="inlineStr">
        <is>
          <t>202001279167380012</t>
        </is>
      </c>
      <c r="J186" t="inlineStr">
        <is>
          <t>https://docquery.fec.gov/cgi-bin/fecimg/?202001279167380012</t>
        </is>
      </c>
    </row>
    <row r="187">
      <c r="A187" t="inlineStr">
        <is>
          <t>2020</t>
        </is>
      </c>
      <c r="B187" t="inlineStr">
        <is>
          <t>C00483677</t>
        </is>
      </c>
      <c r="C187" t="inlineStr">
        <is>
          <t>American Petroleum Institute PAC (API PAC)</t>
        </is>
      </c>
      <c r="D187" t="inlineStr">
        <is>
          <t>ARMSTRONG FOR CONGRESS</t>
        </is>
      </c>
      <c r="E187" t="inlineStr">
        <is>
          <t>H8ND00096</t>
        </is>
      </c>
      <c r="F187" t="inlineStr">
        <is>
          <t>REP</t>
        </is>
      </c>
      <c r="G187" t="inlineStr">
        <is>
          <t>12112019</t>
        </is>
      </c>
      <c r="H187" t="n">
        <v>-1000</v>
      </c>
      <c r="I187" t="inlineStr">
        <is>
          <t>202001279167380011</t>
        </is>
      </c>
      <c r="J187" t="inlineStr">
        <is>
          <t>https://docquery.fec.gov/cgi-bin/fecimg/?202001279167380011</t>
        </is>
      </c>
    </row>
    <row r="188">
      <c r="A188" t="inlineStr">
        <is>
          <t>2020</t>
        </is>
      </c>
      <c r="B188" t="inlineStr">
        <is>
          <t>C00483677</t>
        </is>
      </c>
      <c r="C188" t="inlineStr">
        <is>
          <t>American Petroleum Institute PAC (API PAC)</t>
        </is>
      </c>
      <c r="D188" t="inlineStr">
        <is>
          <t>GEORGIANS FOR KELLY LOEFFLER</t>
        </is>
      </c>
      <c r="E188" t="inlineStr">
        <is>
          <t>S0GA00526</t>
        </is>
      </c>
      <c r="F188" t="inlineStr">
        <is>
          <t>REP</t>
        </is>
      </c>
      <c r="G188" t="inlineStr">
        <is>
          <t>12142020</t>
        </is>
      </c>
      <c r="H188" t="n">
        <v>5000</v>
      </c>
      <c r="I188" t="inlineStr">
        <is>
          <t>202101299413886088</t>
        </is>
      </c>
      <c r="J188" t="inlineStr">
        <is>
          <t>https://docquery.fec.gov/cgi-bin/fecimg/?202101299413886088</t>
        </is>
      </c>
    </row>
    <row r="189">
      <c r="A189" t="inlineStr">
        <is>
          <t>2020</t>
        </is>
      </c>
      <c r="B189" t="inlineStr">
        <is>
          <t>C00483677</t>
        </is>
      </c>
      <c r="C189" t="inlineStr">
        <is>
          <t>American Petroleum Institute PAC (API PAC)</t>
        </is>
      </c>
      <c r="D189" t="inlineStr">
        <is>
          <t>PERDUE FOR SENATE</t>
        </is>
      </c>
      <c r="E189" t="inlineStr">
        <is>
          <t>S4GA11285</t>
        </is>
      </c>
      <c r="F189" t="inlineStr">
        <is>
          <t>REP</t>
        </is>
      </c>
      <c r="G189" t="inlineStr">
        <is>
          <t>12142020</t>
        </is>
      </c>
      <c r="H189" t="n">
        <v>5000</v>
      </c>
      <c r="I189" t="inlineStr">
        <is>
          <t>202101299413886088</t>
        </is>
      </c>
      <c r="J189" t="inlineStr">
        <is>
          <t>https://docquery.fec.gov/cgi-bin/fecimg/?202101299413886088</t>
        </is>
      </c>
    </row>
    <row r="190">
      <c r="A190" t="inlineStr">
        <is>
          <t>2020</t>
        </is>
      </c>
      <c r="B190" t="inlineStr">
        <is>
          <t>C00483677</t>
        </is>
      </c>
      <c r="C190" t="inlineStr">
        <is>
          <t>American Petroleum Institute PAC (API PAC)</t>
        </is>
      </c>
      <c r="D190" t="inlineStr">
        <is>
          <t>MCSALLY FOR SENATE INC</t>
        </is>
      </c>
      <c r="E190" t="inlineStr">
        <is>
          <t>S8AZ00221</t>
        </is>
      </c>
      <c r="F190" t="inlineStr">
        <is>
          <t>REP</t>
        </is>
      </c>
      <c r="G190" t="inlineStr">
        <is>
          <t>12162019</t>
        </is>
      </c>
      <c r="H190" t="n">
        <v>1500</v>
      </c>
      <c r="I190" t="inlineStr">
        <is>
          <t>202001279167380013</t>
        </is>
      </c>
      <c r="J190" t="inlineStr">
        <is>
          <t>https://docquery.fec.gov/cgi-bin/fecimg/?202001279167380013</t>
        </is>
      </c>
    </row>
    <row r="191">
      <c r="A191" t="inlineStr">
        <is>
          <t>2020</t>
        </is>
      </c>
      <c r="B191" t="inlineStr">
        <is>
          <t>C00483677</t>
        </is>
      </c>
      <c r="C191" t="inlineStr">
        <is>
          <t>American Petroleum Institute PAC (API PAC)</t>
        </is>
      </c>
      <c r="D191" t="inlineStr">
        <is>
          <t>FRIENDS OF BEN MCADAMS</t>
        </is>
      </c>
      <c r="E191" t="inlineStr">
        <is>
          <t>H8UT04053</t>
        </is>
      </c>
      <c r="F191" t="inlineStr">
        <is>
          <t>DEM</t>
        </is>
      </c>
      <c r="G191" t="inlineStr">
        <is>
          <t>12202019</t>
        </is>
      </c>
      <c r="H191" t="n">
        <v>-1000</v>
      </c>
      <c r="I191" t="inlineStr">
        <is>
          <t>202001279167380012</t>
        </is>
      </c>
      <c r="J191" t="inlineStr">
        <is>
          <t>https://docquery.fec.gov/cgi-bin/fecimg/?202001279167380012</t>
        </is>
      </c>
    </row>
    <row r="192">
      <c r="A192" t="inlineStr">
        <is>
          <t>2020</t>
        </is>
      </c>
      <c r="B192" t="inlineStr">
        <is>
          <t>C00342766</t>
        </is>
      </c>
      <c r="C192" t="inlineStr">
        <is>
          <t>HF Sinclair PAC (DINO PAC; formerly HollyFrontier PAC)</t>
        </is>
      </c>
      <c r="D192" t="inlineStr">
        <is>
          <t>MORAN FOR KANSAS</t>
        </is>
      </c>
      <c r="E192" t="inlineStr">
        <is>
          <t>S0KS00091</t>
        </is>
      </c>
      <c r="F192" t="inlineStr">
        <is>
          <t>REP</t>
        </is>
      </c>
      <c r="G192" t="inlineStr">
        <is>
          <t>01102020</t>
        </is>
      </c>
      <c r="H192" t="n">
        <v>5000</v>
      </c>
      <c r="I192" t="inlineStr">
        <is>
          <t>202002109186488988</t>
        </is>
      </c>
      <c r="J192" t="inlineStr">
        <is>
          <t>https://docquery.fec.gov/cgi-bin/fecimg/?202002109186488988</t>
        </is>
      </c>
    </row>
    <row r="193">
      <c r="A193" t="inlineStr">
        <is>
          <t>2020</t>
        </is>
      </c>
      <c r="B193" t="inlineStr">
        <is>
          <t>C00342766</t>
        </is>
      </c>
      <c r="C193" t="inlineStr">
        <is>
          <t>HF Sinclair PAC (DINO PAC; formerly HollyFrontier PAC)</t>
        </is>
      </c>
      <c r="D193" t="inlineStr">
        <is>
          <t>BILL CASSIDY FOR US SENATE</t>
        </is>
      </c>
      <c r="E193" t="inlineStr">
        <is>
          <t>S4LA00107</t>
        </is>
      </c>
      <c r="F193" t="inlineStr">
        <is>
          <t>REP</t>
        </is>
      </c>
      <c r="G193" t="inlineStr">
        <is>
          <t>02012019</t>
        </is>
      </c>
      <c r="H193" t="n">
        <v>2500</v>
      </c>
      <c r="I193" t="inlineStr">
        <is>
          <t>201903069145640763</t>
        </is>
      </c>
      <c r="J193" t="inlineStr">
        <is>
          <t>https://docquery.fec.gov/cgi-bin/fecimg/?201903069145640763</t>
        </is>
      </c>
    </row>
    <row r="194">
      <c r="A194" t="inlineStr">
        <is>
          <t>2020</t>
        </is>
      </c>
      <c r="B194" t="inlineStr">
        <is>
          <t>C00342766</t>
        </is>
      </c>
      <c r="C194" t="inlineStr">
        <is>
          <t>HF Sinclair PAC (DINO PAC; formerly HollyFrontier PAC)</t>
        </is>
      </c>
      <c r="D194" t="inlineStr">
        <is>
          <t>COMMITTEE TO ELECT STEVE WATKINS</t>
        </is>
      </c>
      <c r="E194" t="inlineStr">
        <is>
          <t>H8KS02199</t>
        </is>
      </c>
      <c r="F194" t="inlineStr">
        <is>
          <t>REP</t>
        </is>
      </c>
      <c r="G194" t="inlineStr">
        <is>
          <t>02012019</t>
        </is>
      </c>
      <c r="H194" t="n">
        <v>2500</v>
      </c>
      <c r="I194" t="inlineStr">
        <is>
          <t>201903069145640763</t>
        </is>
      </c>
      <c r="J194" t="inlineStr">
        <is>
          <t>https://docquery.fec.gov/cgi-bin/fecimg/?201903069145640763</t>
        </is>
      </c>
    </row>
    <row r="195">
      <c r="A195" t="inlineStr">
        <is>
          <t>2020</t>
        </is>
      </c>
      <c r="B195" t="inlineStr">
        <is>
          <t>C00342766</t>
        </is>
      </c>
      <c r="C195" t="inlineStr">
        <is>
          <t>HF Sinclair PAC (DINO PAC; formerly HollyFrontier PAC)</t>
        </is>
      </c>
      <c r="D195" t="inlineStr">
        <is>
          <t>KANSANS FOR MARSHALL</t>
        </is>
      </c>
      <c r="E195" t="inlineStr">
        <is>
          <t>H6KS01179</t>
        </is>
      </c>
      <c r="F195" t="inlineStr">
        <is>
          <t>REP</t>
        </is>
      </c>
      <c r="G195" t="inlineStr">
        <is>
          <t>02012019</t>
        </is>
      </c>
      <c r="H195" t="n">
        <v>2500</v>
      </c>
      <c r="I195" t="inlineStr">
        <is>
          <t>201903069145640764</t>
        </is>
      </c>
      <c r="J195" t="inlineStr">
        <is>
          <t>https://docquery.fec.gov/cgi-bin/fecimg/?201903069145640764</t>
        </is>
      </c>
    </row>
    <row r="196">
      <c r="A196" t="inlineStr">
        <is>
          <t>2020</t>
        </is>
      </c>
      <c r="B196" t="inlineStr">
        <is>
          <t>C00342766</t>
        </is>
      </c>
      <c r="C196" t="inlineStr">
        <is>
          <t>HF Sinclair PAC (DINO PAC; formerly HollyFrontier PAC)</t>
        </is>
      </c>
      <c r="D196" t="inlineStr">
        <is>
          <t>RON ESTES FOR CONGRESS</t>
        </is>
      </c>
      <c r="E196" t="inlineStr">
        <is>
          <t>H8KS04112</t>
        </is>
      </c>
      <c r="F196" t="inlineStr">
        <is>
          <t>REP</t>
        </is>
      </c>
      <c r="G196" t="inlineStr">
        <is>
          <t>02012019</t>
        </is>
      </c>
      <c r="H196" t="n">
        <v>2500</v>
      </c>
      <c r="I196" t="inlineStr">
        <is>
          <t>201903069145640765</t>
        </is>
      </c>
      <c r="J196" t="inlineStr">
        <is>
          <t>https://docquery.fec.gov/cgi-bin/fecimg/?201903069145640765</t>
        </is>
      </c>
    </row>
    <row r="197">
      <c r="A197" t="inlineStr">
        <is>
          <t>2020</t>
        </is>
      </c>
      <c r="B197" t="inlineStr">
        <is>
          <t>C00342766</t>
        </is>
      </c>
      <c r="C197" t="inlineStr">
        <is>
          <t>HF Sinclair PAC (DINO PAC; formerly HollyFrontier PAC)</t>
        </is>
      </c>
      <c r="D197" t="inlineStr">
        <is>
          <t>BETH VAN DUYNE FOR CONGRESS</t>
        </is>
      </c>
      <c r="E197" t="inlineStr">
        <is>
          <t>H0TX24209</t>
        </is>
      </c>
      <c r="F197" t="inlineStr">
        <is>
          <t>REP</t>
        </is>
      </c>
      <c r="G197" t="inlineStr">
        <is>
          <t>02012020</t>
        </is>
      </c>
      <c r="H197" t="n">
        <v>1500</v>
      </c>
      <c r="I197" t="inlineStr">
        <is>
          <t>202003099203797262</t>
        </is>
      </c>
      <c r="J197" t="inlineStr">
        <is>
          <t>https://docquery.fec.gov/cgi-bin/fecimg/?202003099203797262</t>
        </is>
      </c>
    </row>
    <row r="198">
      <c r="A198" t="inlineStr">
        <is>
          <t>2020</t>
        </is>
      </c>
      <c r="B198" t="inlineStr">
        <is>
          <t>C00342766</t>
        </is>
      </c>
      <c r="C198" t="inlineStr">
        <is>
          <t>HF Sinclair PAC (DINO PAC; formerly HollyFrontier PAC)</t>
        </is>
      </c>
      <c r="D198" t="inlineStr">
        <is>
          <t>BURGESS, MICHAEL C. DR.</t>
        </is>
      </c>
      <c r="E198" t="inlineStr">
        <is>
          <t>H2TX26093</t>
        </is>
      </c>
      <c r="F198" t="inlineStr">
        <is>
          <t>REP</t>
        </is>
      </c>
      <c r="G198" t="inlineStr">
        <is>
          <t>02012020</t>
        </is>
      </c>
      <c r="H198" t="n">
        <v>2500</v>
      </c>
      <c r="I198" t="inlineStr">
        <is>
          <t>202003099203797262</t>
        </is>
      </c>
      <c r="J198" t="inlineStr">
        <is>
          <t>https://docquery.fec.gov/cgi-bin/fecimg/?202003099203797262</t>
        </is>
      </c>
    </row>
    <row r="199">
      <c r="A199" t="inlineStr">
        <is>
          <t>2020</t>
        </is>
      </c>
      <c r="B199" t="inlineStr">
        <is>
          <t>C00342766</t>
        </is>
      </c>
      <c r="C199" t="inlineStr">
        <is>
          <t>HF Sinclair PAC (DINO PAC; formerly HollyFrontier PAC)</t>
        </is>
      </c>
      <c r="D199" t="inlineStr">
        <is>
          <t>COLLINS FOR SENATOR</t>
        </is>
      </c>
      <c r="E199" t="inlineStr">
        <is>
          <t>S6ME00159</t>
        </is>
      </c>
      <c r="F199" t="inlineStr">
        <is>
          <t>REP</t>
        </is>
      </c>
      <c r="G199" t="inlineStr">
        <is>
          <t>02012020</t>
        </is>
      </c>
      <c r="H199" t="n">
        <v>2500</v>
      </c>
      <c r="I199" t="inlineStr">
        <is>
          <t>202003099203797262</t>
        </is>
      </c>
      <c r="J199" t="inlineStr">
        <is>
          <t>https://docquery.fec.gov/cgi-bin/fecimg/?202003099203797262</t>
        </is>
      </c>
    </row>
    <row r="200">
      <c r="A200" t="inlineStr">
        <is>
          <t>2020</t>
        </is>
      </c>
      <c r="B200" t="inlineStr">
        <is>
          <t>C00342766</t>
        </is>
      </c>
      <c r="C200" t="inlineStr">
        <is>
          <t>HF Sinclair PAC (DINO PAC; formerly HollyFrontier PAC)</t>
        </is>
      </c>
      <c r="D200" t="inlineStr">
        <is>
          <t>CURTIS FOR CONGRESS</t>
        </is>
      </c>
      <c r="E200" t="inlineStr">
        <is>
          <t>H8UT03238</t>
        </is>
      </c>
      <c r="F200" t="inlineStr">
        <is>
          <t>REP</t>
        </is>
      </c>
      <c r="G200" t="inlineStr">
        <is>
          <t>02012020</t>
        </is>
      </c>
      <c r="H200" t="n">
        <v>2500</v>
      </c>
      <c r="I200" t="inlineStr">
        <is>
          <t>202003099203797263</t>
        </is>
      </c>
      <c r="J200" t="inlineStr">
        <is>
          <t>https://docquery.fec.gov/cgi-bin/fecimg/?202003099203797263</t>
        </is>
      </c>
    </row>
    <row r="201">
      <c r="A201" t="inlineStr">
        <is>
          <t>2020</t>
        </is>
      </c>
      <c r="B201" t="inlineStr">
        <is>
          <t>C00342766</t>
        </is>
      </c>
      <c r="C201" t="inlineStr">
        <is>
          <t>HF Sinclair PAC (DINO PAC; formerly HollyFrontier PAC)</t>
        </is>
      </c>
      <c r="D201" t="inlineStr">
        <is>
          <t>LANCE GOODEN FOR CONGRESS COMMITTEE</t>
        </is>
      </c>
      <c r="E201" t="inlineStr">
        <is>
          <t>H8TX05144</t>
        </is>
      </c>
      <c r="F201" t="inlineStr">
        <is>
          <t>REP</t>
        </is>
      </c>
      <c r="G201" t="inlineStr">
        <is>
          <t>02012020</t>
        </is>
      </c>
      <c r="H201" t="n">
        <v>2500</v>
      </c>
      <c r="I201" t="inlineStr">
        <is>
          <t>202003099203797263</t>
        </is>
      </c>
      <c r="J201" t="inlineStr">
        <is>
          <t>https://docquery.fec.gov/cgi-bin/fecimg/?202003099203797263</t>
        </is>
      </c>
    </row>
    <row r="202">
      <c r="A202" t="inlineStr">
        <is>
          <t>2020</t>
        </is>
      </c>
      <c r="B202" t="inlineStr">
        <is>
          <t>C00342766</t>
        </is>
      </c>
      <c r="C202" t="inlineStr">
        <is>
          <t>HF Sinclair PAC (DINO PAC; formerly HollyFrontier PAC)</t>
        </is>
      </c>
      <c r="D202" t="inlineStr">
        <is>
          <t>PIERCE BUSH FOR CONGRESS</t>
        </is>
      </c>
      <c r="E202" t="inlineStr">
        <is>
          <t>H0TX22310</t>
        </is>
      </c>
      <c r="F202" t="inlineStr">
        <is>
          <t>REP</t>
        </is>
      </c>
      <c r="G202" t="inlineStr">
        <is>
          <t>02012020</t>
        </is>
      </c>
      <c r="H202" t="n">
        <v>1000</v>
      </c>
      <c r="I202" t="inlineStr">
        <is>
          <t>202003099203797263</t>
        </is>
      </c>
      <c r="J202" t="inlineStr">
        <is>
          <t>https://docquery.fec.gov/cgi-bin/fecimg/?202003099203797263</t>
        </is>
      </c>
    </row>
    <row r="203">
      <c r="A203" t="inlineStr">
        <is>
          <t>2020</t>
        </is>
      </c>
      <c r="B203" t="inlineStr">
        <is>
          <t>C00342766</t>
        </is>
      </c>
      <c r="C203" t="inlineStr">
        <is>
          <t>HF Sinclair PAC (DINO PAC; formerly HollyFrontier PAC)</t>
        </is>
      </c>
      <c r="D203" t="inlineStr">
        <is>
          <t>FRIENDS OF PAT TOOMEY</t>
        </is>
      </c>
      <c r="E203" t="inlineStr">
        <is>
          <t>S4PA00121</t>
        </is>
      </c>
      <c r="F203" t="inlineStr">
        <is>
          <t>REP</t>
        </is>
      </c>
      <c r="G203" t="inlineStr">
        <is>
          <t>02132019</t>
        </is>
      </c>
      <c r="H203" t="n">
        <v>5000</v>
      </c>
      <c r="I203" t="inlineStr">
        <is>
          <t>201903069145640764</t>
        </is>
      </c>
      <c r="J203" t="inlineStr">
        <is>
          <t>https://docquery.fec.gov/cgi-bin/fecimg/?201903069145640764</t>
        </is>
      </c>
    </row>
    <row r="204">
      <c r="A204" t="inlineStr">
        <is>
          <t>2020</t>
        </is>
      </c>
      <c r="B204" t="inlineStr">
        <is>
          <t>C00342766</t>
        </is>
      </c>
      <c r="C204" t="inlineStr">
        <is>
          <t>HF Sinclair PAC (DINO PAC; formerly HollyFrontier PAC)</t>
        </is>
      </c>
      <c r="D204" t="inlineStr">
        <is>
          <t>FRIENDS OF PAT TOOMEY</t>
        </is>
      </c>
      <c r="E204" t="inlineStr">
        <is>
          <t>S4PA00121</t>
        </is>
      </c>
      <c r="F204" t="inlineStr">
        <is>
          <t>REP</t>
        </is>
      </c>
      <c r="G204" t="inlineStr">
        <is>
          <t>02132019</t>
        </is>
      </c>
      <c r="H204" t="n">
        <v>2500</v>
      </c>
      <c r="I204" t="inlineStr">
        <is>
          <t>201903069145640764</t>
        </is>
      </c>
      <c r="J204" t="inlineStr">
        <is>
          <t>https://docquery.fec.gov/cgi-bin/fecimg/?201903069145640764</t>
        </is>
      </c>
    </row>
    <row r="205">
      <c r="A205" t="inlineStr">
        <is>
          <t>2020</t>
        </is>
      </c>
      <c r="B205" t="inlineStr">
        <is>
          <t>C00342766</t>
        </is>
      </c>
      <c r="C205" t="inlineStr">
        <is>
          <t>HF Sinclair PAC (DINO PAC; formerly HollyFrontier PAC)</t>
        </is>
      </c>
      <c r="D205" t="inlineStr">
        <is>
          <t>TEXANS FOR SENATOR JOHN CORNYN INC.</t>
        </is>
      </c>
      <c r="E205" t="inlineStr">
        <is>
          <t>S2TX00106</t>
        </is>
      </c>
      <c r="F205" t="inlineStr">
        <is>
          <t>REP</t>
        </is>
      </c>
      <c r="G205" t="inlineStr">
        <is>
          <t>02132019</t>
        </is>
      </c>
      <c r="H205" t="n">
        <v>4500</v>
      </c>
      <c r="I205" t="inlineStr">
        <is>
          <t>201903069145640765</t>
        </is>
      </c>
      <c r="J205" t="inlineStr">
        <is>
          <t>https://docquery.fec.gov/cgi-bin/fecimg/?201903069145640765</t>
        </is>
      </c>
    </row>
    <row r="206">
      <c r="A206" t="inlineStr">
        <is>
          <t>2020</t>
        </is>
      </c>
      <c r="B206" t="inlineStr">
        <is>
          <t>C00342766</t>
        </is>
      </c>
      <c r="C206" t="inlineStr">
        <is>
          <t>HF Sinclair PAC (DINO PAC; formerly HollyFrontier PAC)</t>
        </is>
      </c>
      <c r="D206" t="inlineStr">
        <is>
          <t>THOM TILLIS COMMITTEE</t>
        </is>
      </c>
      <c r="E206" t="inlineStr">
        <is>
          <t>S4NC00162</t>
        </is>
      </c>
      <c r="F206" t="inlineStr">
        <is>
          <t>REP</t>
        </is>
      </c>
      <c r="G206" t="inlineStr">
        <is>
          <t>03212019</t>
        </is>
      </c>
      <c r="H206" t="n">
        <v>1000</v>
      </c>
      <c r="I206" t="inlineStr">
        <is>
          <t>201904049145995106</t>
        </is>
      </c>
      <c r="J206" t="inlineStr">
        <is>
          <t>https://docquery.fec.gov/cgi-bin/fecimg/?201904049145995106</t>
        </is>
      </c>
    </row>
    <row r="207">
      <c r="A207" t="inlineStr">
        <is>
          <t>2020</t>
        </is>
      </c>
      <c r="B207" t="inlineStr">
        <is>
          <t>C00342766</t>
        </is>
      </c>
      <c r="C207" t="inlineStr">
        <is>
          <t>HF Sinclair PAC (DINO PAC; formerly HollyFrontier PAC)</t>
        </is>
      </c>
      <c r="D207" t="inlineStr">
        <is>
          <t>HOYER FOR CONGRESS</t>
        </is>
      </c>
      <c r="E207" t="inlineStr">
        <is>
          <t>H2MD05155</t>
        </is>
      </c>
      <c r="F207" t="inlineStr">
        <is>
          <t>DEM</t>
        </is>
      </c>
      <c r="G207" t="inlineStr">
        <is>
          <t>03222019</t>
        </is>
      </c>
      <c r="H207" t="n">
        <v>1000</v>
      </c>
      <c r="I207" t="inlineStr">
        <is>
          <t>201904049145995105</t>
        </is>
      </c>
      <c r="J207" t="inlineStr">
        <is>
          <t>https://docquery.fec.gov/cgi-bin/fecimg/?201904049145995105</t>
        </is>
      </c>
    </row>
    <row r="208">
      <c r="A208" t="inlineStr">
        <is>
          <t>2020</t>
        </is>
      </c>
      <c r="B208" t="inlineStr">
        <is>
          <t>C00342766</t>
        </is>
      </c>
      <c r="C208" t="inlineStr">
        <is>
          <t>HF Sinclair PAC (DINO PAC; formerly HollyFrontier PAC)</t>
        </is>
      </c>
      <c r="D208" t="inlineStr">
        <is>
          <t>RON ESTES FOR CONGRESS</t>
        </is>
      </c>
      <c r="E208" t="inlineStr">
        <is>
          <t>H8KS04112</t>
        </is>
      </c>
      <c r="F208" t="inlineStr">
        <is>
          <t>REP</t>
        </is>
      </c>
      <c r="G208" t="inlineStr">
        <is>
          <t>03292019</t>
        </is>
      </c>
      <c r="H208" t="n">
        <v>-2500</v>
      </c>
      <c r="I208" t="inlineStr">
        <is>
          <t>201904049145995105</t>
        </is>
      </c>
      <c r="J208" t="inlineStr">
        <is>
          <t>https://docquery.fec.gov/cgi-bin/fecimg/?201904049145995105</t>
        </is>
      </c>
    </row>
    <row r="209">
      <c r="A209" t="inlineStr">
        <is>
          <t>2020</t>
        </is>
      </c>
      <c r="B209" t="inlineStr">
        <is>
          <t>C00342766</t>
        </is>
      </c>
      <c r="C209" t="inlineStr">
        <is>
          <t>HF Sinclair PAC (DINO PAC; formerly HollyFrontier PAC)</t>
        </is>
      </c>
      <c r="D209" t="inlineStr">
        <is>
          <t>RON ESTES FOR CONGRESS</t>
        </is>
      </c>
      <c r="E209" t="inlineStr">
        <is>
          <t>H8KS04112</t>
        </is>
      </c>
      <c r="F209" t="inlineStr">
        <is>
          <t>REP</t>
        </is>
      </c>
      <c r="G209" t="inlineStr">
        <is>
          <t>03292019</t>
        </is>
      </c>
      <c r="H209" t="n">
        <v>2500</v>
      </c>
      <c r="I209" t="inlineStr">
        <is>
          <t>201904049145995105</t>
        </is>
      </c>
      <c r="J209" t="inlineStr">
        <is>
          <t>https://docquery.fec.gov/cgi-bin/fecimg/?201904049145995105</t>
        </is>
      </c>
    </row>
    <row r="210">
      <c r="A210" t="inlineStr">
        <is>
          <t>2020</t>
        </is>
      </c>
      <c r="B210" t="inlineStr">
        <is>
          <t>C00342766</t>
        </is>
      </c>
      <c r="C210" t="inlineStr">
        <is>
          <t>HF Sinclair PAC (DINO PAC; formerly HollyFrontier PAC)</t>
        </is>
      </c>
      <c r="D210" t="inlineStr">
        <is>
          <t>ARMSTRONG FOR CONGRESS</t>
        </is>
      </c>
      <c r="E210" t="inlineStr">
        <is>
          <t>H8ND00096</t>
        </is>
      </c>
      <c r="F210" t="inlineStr">
        <is>
          <t>REP</t>
        </is>
      </c>
      <c r="G210" t="inlineStr">
        <is>
          <t>04012020</t>
        </is>
      </c>
      <c r="H210" t="n">
        <v>1000</v>
      </c>
      <c r="I210" t="inlineStr">
        <is>
          <t>202006029239592815</t>
        </is>
      </c>
      <c r="J210" t="inlineStr">
        <is>
          <t>https://docquery.fec.gov/cgi-bin/fecimg/?202006029239592815</t>
        </is>
      </c>
    </row>
    <row r="211">
      <c r="A211" t="inlineStr">
        <is>
          <t>2020</t>
        </is>
      </c>
      <c r="B211" t="inlineStr">
        <is>
          <t>C00342766</t>
        </is>
      </c>
      <c r="C211" t="inlineStr">
        <is>
          <t>HF Sinclair PAC (DINO PAC; formerly HollyFrontier PAC)</t>
        </is>
      </c>
      <c r="D211" t="inlineStr">
        <is>
          <t>COLLINS FOR TEXAS</t>
        </is>
      </c>
      <c r="E211" t="inlineStr">
        <is>
          <t>H0TX32087</t>
        </is>
      </c>
      <c r="F211" t="inlineStr">
        <is>
          <t>REP</t>
        </is>
      </c>
      <c r="G211" t="inlineStr">
        <is>
          <t>04012020</t>
        </is>
      </c>
      <c r="H211" t="n">
        <v>1500</v>
      </c>
      <c r="I211" t="inlineStr">
        <is>
          <t>202006029239592815</t>
        </is>
      </c>
      <c r="J211" t="inlineStr">
        <is>
          <t>https://docquery.fec.gov/cgi-bin/fecimg/?202006029239592815</t>
        </is>
      </c>
    </row>
    <row r="212">
      <c r="A212" t="inlineStr">
        <is>
          <t>2020</t>
        </is>
      </c>
      <c r="B212" t="inlineStr">
        <is>
          <t>C00342766</t>
        </is>
      </c>
      <c r="C212" t="inlineStr">
        <is>
          <t>HF Sinclair PAC (DINO PAC; formerly HollyFrontier PAC)</t>
        </is>
      </c>
      <c r="D212" t="inlineStr">
        <is>
          <t>CURTIS FOR CONGRESS</t>
        </is>
      </c>
      <c r="E212" t="inlineStr">
        <is>
          <t>H8UT03238</t>
        </is>
      </c>
      <c r="F212" t="inlineStr">
        <is>
          <t>REP</t>
        </is>
      </c>
      <c r="G212" t="inlineStr">
        <is>
          <t>04012020</t>
        </is>
      </c>
      <c r="H212" t="n">
        <v>2500</v>
      </c>
      <c r="I212" t="inlineStr">
        <is>
          <t>202006029239592815</t>
        </is>
      </c>
      <c r="J212" t="inlineStr">
        <is>
          <t>https://docquery.fec.gov/cgi-bin/fecimg/?202006029239592815</t>
        </is>
      </c>
    </row>
    <row r="213">
      <c r="A213" t="inlineStr">
        <is>
          <t>2020</t>
        </is>
      </c>
      <c r="B213" t="inlineStr">
        <is>
          <t>C00342766</t>
        </is>
      </c>
      <c r="C213" t="inlineStr">
        <is>
          <t>HF Sinclair PAC (DINO PAC; formerly HollyFrontier PAC)</t>
        </is>
      </c>
      <c r="D213" t="inlineStr">
        <is>
          <t>FRIENDS FOR CHRIS STEWART, INC.</t>
        </is>
      </c>
      <c r="E213" t="inlineStr">
        <is>
          <t>H2UT02324</t>
        </is>
      </c>
      <c r="F213" t="inlineStr">
        <is>
          <t>REP</t>
        </is>
      </c>
      <c r="G213" t="inlineStr">
        <is>
          <t>04012020</t>
        </is>
      </c>
      <c r="H213" t="n">
        <v>2500</v>
      </c>
      <c r="I213" t="inlineStr">
        <is>
          <t>202006029239592816</t>
        </is>
      </c>
      <c r="J213" t="inlineStr">
        <is>
          <t>https://docquery.fec.gov/cgi-bin/fecimg/?202006029239592816</t>
        </is>
      </c>
    </row>
    <row r="214">
      <c r="A214" t="inlineStr">
        <is>
          <t>2020</t>
        </is>
      </c>
      <c r="B214" t="inlineStr">
        <is>
          <t>C00342766</t>
        </is>
      </c>
      <c r="C214" t="inlineStr">
        <is>
          <t>HF Sinclair PAC (DINO PAC; formerly HollyFrontier PAC)</t>
        </is>
      </c>
      <c r="D214" t="inlineStr">
        <is>
          <t>MULLIN FOR CONGRESS</t>
        </is>
      </c>
      <c r="E214" t="inlineStr">
        <is>
          <t>H2OK02083</t>
        </is>
      </c>
      <c r="F214" t="inlineStr">
        <is>
          <t>REP</t>
        </is>
      </c>
      <c r="G214" t="inlineStr">
        <is>
          <t>04012020</t>
        </is>
      </c>
      <c r="H214" t="n">
        <v>2500</v>
      </c>
      <c r="I214" t="inlineStr">
        <is>
          <t>202006029239592816</t>
        </is>
      </c>
      <c r="J214" t="inlineStr">
        <is>
          <t>https://docquery.fec.gov/cgi-bin/fecimg/?202006029239592816</t>
        </is>
      </c>
    </row>
    <row r="215">
      <c r="A215" t="inlineStr">
        <is>
          <t>2020</t>
        </is>
      </c>
      <c r="B215" t="inlineStr">
        <is>
          <t>C00342766</t>
        </is>
      </c>
      <c r="C215" t="inlineStr">
        <is>
          <t>HF Sinclair PAC (DINO PAC; formerly HollyFrontier PAC)</t>
        </is>
      </c>
      <c r="D215" t="inlineStr">
        <is>
          <t>RICHMOND, CEDRIC L.</t>
        </is>
      </c>
      <c r="E215" t="inlineStr">
        <is>
          <t>H8LA02054</t>
        </is>
      </c>
      <c r="F215" t="inlineStr">
        <is>
          <t>DEM</t>
        </is>
      </c>
      <c r="G215" t="inlineStr">
        <is>
          <t>04012020</t>
        </is>
      </c>
      <c r="H215" t="n">
        <v>1500</v>
      </c>
      <c r="I215" t="inlineStr">
        <is>
          <t>202006029239592816</t>
        </is>
      </c>
      <c r="J215" t="inlineStr">
        <is>
          <t>https://docquery.fec.gov/cgi-bin/fecimg/?202006029239592816</t>
        </is>
      </c>
    </row>
    <row r="216">
      <c r="A216" t="inlineStr">
        <is>
          <t>2020</t>
        </is>
      </c>
      <c r="B216" t="inlineStr">
        <is>
          <t>C00342766</t>
        </is>
      </c>
      <c r="C216" t="inlineStr">
        <is>
          <t>HF Sinclair PAC (DINO PAC; formerly HollyFrontier PAC)</t>
        </is>
      </c>
      <c r="D216" t="inlineStr">
        <is>
          <t>STEVE DAINES FOR MONTANA</t>
        </is>
      </c>
      <c r="E216" t="inlineStr">
        <is>
          <t>S2MT00096</t>
        </is>
      </c>
      <c r="F216" t="inlineStr">
        <is>
          <t>REP</t>
        </is>
      </c>
      <c r="G216" t="inlineStr">
        <is>
          <t>04012020</t>
        </is>
      </c>
      <c r="H216" t="n">
        <v>2500</v>
      </c>
      <c r="I216" t="inlineStr">
        <is>
          <t>202006029239592817</t>
        </is>
      </c>
      <c r="J216" t="inlineStr">
        <is>
          <t>https://docquery.fec.gov/cgi-bin/fecimg/?202006029239592817</t>
        </is>
      </c>
    </row>
    <row r="217">
      <c r="A217" t="inlineStr">
        <is>
          <t>2020</t>
        </is>
      </c>
      <c r="B217" t="inlineStr">
        <is>
          <t>C00342766</t>
        </is>
      </c>
      <c r="C217" t="inlineStr">
        <is>
          <t>HF Sinclair PAC (DINO PAC; formerly HollyFrontier PAC)</t>
        </is>
      </c>
      <c r="D217" t="inlineStr">
        <is>
          <t>VEASEY, MARC ALLISON MR.</t>
        </is>
      </c>
      <c r="E217" t="inlineStr">
        <is>
          <t>H2TX33073</t>
        </is>
      </c>
      <c r="F217" t="inlineStr">
        <is>
          <t>DEM</t>
        </is>
      </c>
      <c r="G217" t="inlineStr">
        <is>
          <t>04012020</t>
        </is>
      </c>
      <c r="H217" t="n">
        <v>1500</v>
      </c>
      <c r="I217" t="inlineStr">
        <is>
          <t>202006029239592817</t>
        </is>
      </c>
      <c r="J217" t="inlineStr">
        <is>
          <t>https://docquery.fec.gov/cgi-bin/fecimg/?202006029239592817</t>
        </is>
      </c>
    </row>
    <row r="218">
      <c r="A218" t="inlineStr">
        <is>
          <t>2020</t>
        </is>
      </c>
      <c r="B218" t="inlineStr">
        <is>
          <t>C00342766</t>
        </is>
      </c>
      <c r="C218" t="inlineStr">
        <is>
          <t>HF Sinclair PAC (DINO PAC; formerly HollyFrontier PAC)</t>
        </is>
      </c>
      <c r="D218" t="inlineStr">
        <is>
          <t>COMMITTEE TO ELECT STEVE WATKINS</t>
        </is>
      </c>
      <c r="E218" t="inlineStr">
        <is>
          <t>H8KS02199</t>
        </is>
      </c>
      <c r="F218" t="inlineStr">
        <is>
          <t>REP</t>
        </is>
      </c>
      <c r="G218" t="inlineStr">
        <is>
          <t>04042019</t>
        </is>
      </c>
      <c r="H218" t="n">
        <v>-2500</v>
      </c>
      <c r="I218" t="inlineStr">
        <is>
          <t>201905069149634045</t>
        </is>
      </c>
      <c r="J218" t="inlineStr">
        <is>
          <t>https://docquery.fec.gov/cgi-bin/fecimg/?201905069149634045</t>
        </is>
      </c>
    </row>
    <row r="219">
      <c r="A219" t="inlineStr">
        <is>
          <t>2020</t>
        </is>
      </c>
      <c r="B219" t="inlineStr">
        <is>
          <t>C00342766</t>
        </is>
      </c>
      <c r="C219" t="inlineStr">
        <is>
          <t>HF Sinclair PAC (DINO PAC; formerly HollyFrontier PAC)</t>
        </is>
      </c>
      <c r="D219" t="inlineStr">
        <is>
          <t>FRIENDS OF JIM INHOFE</t>
        </is>
      </c>
      <c r="E219" t="inlineStr">
        <is>
          <t>S4OK00083</t>
        </is>
      </c>
      <c r="F219" t="inlineStr">
        <is>
          <t>REP</t>
        </is>
      </c>
      <c r="G219" t="inlineStr">
        <is>
          <t>04172019</t>
        </is>
      </c>
      <c r="H219" t="n">
        <v>5000</v>
      </c>
      <c r="I219" t="inlineStr">
        <is>
          <t>201905069149634045</t>
        </is>
      </c>
      <c r="J219" t="inlineStr">
        <is>
          <t>https://docquery.fec.gov/cgi-bin/fecimg/?201905069149634045</t>
        </is>
      </c>
    </row>
    <row r="220">
      <c r="A220" t="inlineStr">
        <is>
          <t>2020</t>
        </is>
      </c>
      <c r="B220" t="inlineStr">
        <is>
          <t>C00342766</t>
        </is>
      </c>
      <c r="C220" t="inlineStr">
        <is>
          <t>HF Sinclair PAC (DINO PAC; formerly HollyFrontier PAC)</t>
        </is>
      </c>
      <c r="D220" t="inlineStr">
        <is>
          <t>FRIENDS OF JIM INHOFE</t>
        </is>
      </c>
      <c r="E220" t="inlineStr">
        <is>
          <t>S4OK00083</t>
        </is>
      </c>
      <c r="F220" t="inlineStr">
        <is>
          <t>REP</t>
        </is>
      </c>
      <c r="G220" t="inlineStr">
        <is>
          <t>04172019</t>
        </is>
      </c>
      <c r="H220" t="n">
        <v>500</v>
      </c>
      <c r="I220" t="inlineStr">
        <is>
          <t>201905069149634045</t>
        </is>
      </c>
      <c r="J220" t="inlineStr">
        <is>
          <t>https://docquery.fec.gov/cgi-bin/fecimg/?201905069149634045</t>
        </is>
      </c>
    </row>
    <row r="221">
      <c r="A221" t="inlineStr">
        <is>
          <t>2020</t>
        </is>
      </c>
      <c r="B221" t="inlineStr">
        <is>
          <t>C00342766</t>
        </is>
      </c>
      <c r="C221" t="inlineStr">
        <is>
          <t>HF Sinclair PAC (DINO PAC; formerly HollyFrontier PAC)</t>
        </is>
      </c>
      <c r="D221" t="inlineStr">
        <is>
          <t>HURD FOR CONGRESS</t>
        </is>
      </c>
      <c r="E221" t="inlineStr">
        <is>
          <t>H0TX23086</t>
        </is>
      </c>
      <c r="F221" t="inlineStr">
        <is>
          <t>REP</t>
        </is>
      </c>
      <c r="G221" t="inlineStr">
        <is>
          <t>05012019</t>
        </is>
      </c>
      <c r="H221" t="n">
        <v>5000</v>
      </c>
      <c r="I221" t="inlineStr">
        <is>
          <t>201909049163141221</t>
        </is>
      </c>
      <c r="J221" t="inlineStr">
        <is>
          <t>https://docquery.fec.gov/cgi-bin/fecimg/?201909049163141221</t>
        </is>
      </c>
    </row>
    <row r="222">
      <c r="A222" t="inlineStr">
        <is>
          <t>2020</t>
        </is>
      </c>
      <c r="B222" t="inlineStr">
        <is>
          <t>C00342766</t>
        </is>
      </c>
      <c r="C222" t="inlineStr">
        <is>
          <t>HF Sinclair PAC (DINO PAC; formerly HollyFrontier PAC)</t>
        </is>
      </c>
      <c r="D222" t="inlineStr">
        <is>
          <t>MCCONNELL SENATE COMMITTEE</t>
        </is>
      </c>
      <c r="E222" t="inlineStr">
        <is>
          <t>S2KY00012</t>
        </is>
      </c>
      <c r="F222" t="inlineStr">
        <is>
          <t>REP</t>
        </is>
      </c>
      <c r="G222" t="inlineStr">
        <is>
          <t>05012019</t>
        </is>
      </c>
      <c r="H222" t="n">
        <v>5000</v>
      </c>
      <c r="I222" t="inlineStr">
        <is>
          <t>201909049163141221</t>
        </is>
      </c>
      <c r="J222" t="inlineStr">
        <is>
          <t>https://docquery.fec.gov/cgi-bin/fecimg/?201909049163141221</t>
        </is>
      </c>
    </row>
    <row r="223">
      <c r="A223" t="inlineStr">
        <is>
          <t>2020</t>
        </is>
      </c>
      <c r="B223" t="inlineStr">
        <is>
          <t>C00342766</t>
        </is>
      </c>
      <c r="C223" t="inlineStr">
        <is>
          <t>HF Sinclair PAC (DINO PAC; formerly HollyFrontier PAC)</t>
        </is>
      </c>
      <c r="D223" t="inlineStr">
        <is>
          <t>OLSON FOR CONGRESS COMMITTEE</t>
        </is>
      </c>
      <c r="E223" t="inlineStr">
        <is>
          <t>H8TX22107</t>
        </is>
      </c>
      <c r="F223" t="inlineStr">
        <is>
          <t>REP</t>
        </is>
      </c>
      <c r="G223" t="inlineStr">
        <is>
          <t>05012019</t>
        </is>
      </c>
      <c r="H223" t="n">
        <v>2500</v>
      </c>
      <c r="I223" t="inlineStr">
        <is>
          <t>201909049163141221</t>
        </is>
      </c>
      <c r="J223" t="inlineStr">
        <is>
          <t>https://docquery.fec.gov/cgi-bin/fecimg/?201909049163141221</t>
        </is>
      </c>
    </row>
    <row r="224">
      <c r="A224" t="inlineStr">
        <is>
          <t>2020</t>
        </is>
      </c>
      <c r="B224" t="inlineStr">
        <is>
          <t>C00342766</t>
        </is>
      </c>
      <c r="C224" t="inlineStr">
        <is>
          <t>HF Sinclair PAC (DINO PAC; formerly HollyFrontier PAC)</t>
        </is>
      </c>
      <c r="D224" t="inlineStr">
        <is>
          <t>WALDEN FOR CONGRESS</t>
        </is>
      </c>
      <c r="E224" t="inlineStr">
        <is>
          <t>H6OR02116</t>
        </is>
      </c>
      <c r="F224" t="inlineStr">
        <is>
          <t>REP</t>
        </is>
      </c>
      <c r="G224" t="inlineStr">
        <is>
          <t>05012019</t>
        </is>
      </c>
      <c r="H224" t="n">
        <v>5000</v>
      </c>
      <c r="I224" t="inlineStr">
        <is>
          <t>201909049163141222</t>
        </is>
      </c>
      <c r="J224" t="inlineStr">
        <is>
          <t>https://docquery.fec.gov/cgi-bin/fecimg/?201909049163141222</t>
        </is>
      </c>
    </row>
    <row r="225">
      <c r="A225" t="inlineStr">
        <is>
          <t>2020</t>
        </is>
      </c>
      <c r="B225" t="inlineStr">
        <is>
          <t>C00342766</t>
        </is>
      </c>
      <c r="C225" t="inlineStr">
        <is>
          <t>HF Sinclair PAC (DINO PAC; formerly HollyFrontier PAC)</t>
        </is>
      </c>
      <c r="D225" t="inlineStr">
        <is>
          <t>HUDSON FOR CONGRESS</t>
        </is>
      </c>
      <c r="E225" t="inlineStr">
        <is>
          <t>H2NC08185</t>
        </is>
      </c>
      <c r="F225" t="inlineStr">
        <is>
          <t>REP</t>
        </is>
      </c>
      <c r="G225" t="inlineStr">
        <is>
          <t>06022020</t>
        </is>
      </c>
      <c r="H225" t="n">
        <v>1500</v>
      </c>
      <c r="I225" t="inlineStr">
        <is>
          <t>202007069244334871</t>
        </is>
      </c>
      <c r="J225" t="inlineStr">
        <is>
          <t>https://docquery.fec.gov/cgi-bin/fecimg/?202007069244334871</t>
        </is>
      </c>
    </row>
    <row r="226">
      <c r="A226" t="inlineStr">
        <is>
          <t>2020</t>
        </is>
      </c>
      <c r="B226" t="inlineStr">
        <is>
          <t>C00342766</t>
        </is>
      </c>
      <c r="C226" t="inlineStr">
        <is>
          <t>HF Sinclair PAC (DINO PAC; formerly HollyFrontier PAC)</t>
        </is>
      </c>
      <c r="D226" t="inlineStr">
        <is>
          <t>JOSH WINEGARNER FOR CONGRESS</t>
        </is>
      </c>
      <c r="E226" t="inlineStr">
        <is>
          <t>H0TX13129</t>
        </is>
      </c>
      <c r="F226" t="inlineStr">
        <is>
          <t>REP</t>
        </is>
      </c>
      <c r="G226" t="inlineStr">
        <is>
          <t>06022020</t>
        </is>
      </c>
      <c r="H226" t="n">
        <v>2000</v>
      </c>
      <c r="I226" t="inlineStr">
        <is>
          <t>202007069244334871</t>
        </is>
      </c>
      <c r="J226" t="inlineStr">
        <is>
          <t>https://docquery.fec.gov/cgi-bin/fecimg/?202007069244334871</t>
        </is>
      </c>
    </row>
    <row r="227">
      <c r="A227" t="inlineStr">
        <is>
          <t>2020</t>
        </is>
      </c>
      <c r="B227" t="inlineStr">
        <is>
          <t>C00342766</t>
        </is>
      </c>
      <c r="C227" t="inlineStr">
        <is>
          <t>HF Sinclair PAC (DINO PAC; formerly HollyFrontier PAC)</t>
        </is>
      </c>
      <c r="D227" t="inlineStr">
        <is>
          <t>CAPITO FOR WEST VIRGINIA</t>
        </is>
      </c>
      <c r="E227" t="inlineStr">
        <is>
          <t>S4WV00159</t>
        </is>
      </c>
      <c r="F227" t="inlineStr">
        <is>
          <t>REP</t>
        </is>
      </c>
      <c r="G227" t="inlineStr">
        <is>
          <t>06022020</t>
        </is>
      </c>
      <c r="H227" t="n">
        <v>2500</v>
      </c>
      <c r="I227" t="inlineStr">
        <is>
          <t>202007069244334869</t>
        </is>
      </c>
      <c r="J227" t="inlineStr">
        <is>
          <t>https://docquery.fec.gov/cgi-bin/fecimg/?202007069244334869</t>
        </is>
      </c>
    </row>
    <row r="228">
      <c r="A228" t="inlineStr">
        <is>
          <t>2020</t>
        </is>
      </c>
      <c r="B228" t="inlineStr">
        <is>
          <t>C00342766</t>
        </is>
      </c>
      <c r="C228" t="inlineStr">
        <is>
          <t>HF Sinclair PAC (DINO PAC; formerly HollyFrontier PAC)</t>
        </is>
      </c>
      <c r="D228" t="inlineStr">
        <is>
          <t>CHIP ROY FOR CONGRESS</t>
        </is>
      </c>
      <c r="E228" t="inlineStr">
        <is>
          <t>H8TX21307</t>
        </is>
      </c>
      <c r="F228" t="inlineStr">
        <is>
          <t>REP</t>
        </is>
      </c>
      <c r="G228" t="inlineStr">
        <is>
          <t>06022020</t>
        </is>
      </c>
      <c r="H228" t="n">
        <v>2500</v>
      </c>
      <c r="I228" t="inlineStr">
        <is>
          <t>202007069244334869</t>
        </is>
      </c>
      <c r="J228" t="inlineStr">
        <is>
          <t>https://docquery.fec.gov/cgi-bin/fecimg/?202007069244334869</t>
        </is>
      </c>
    </row>
    <row r="229">
      <c r="A229" t="inlineStr">
        <is>
          <t>2020</t>
        </is>
      </c>
      <c r="B229" t="inlineStr">
        <is>
          <t>C00342766</t>
        </is>
      </c>
      <c r="C229" t="inlineStr">
        <is>
          <t>HF Sinclair PAC (DINO PAC; formerly HollyFrontier PAC)</t>
        </is>
      </c>
      <c r="D229" t="inlineStr">
        <is>
          <t>BILL FLORES FOR CONGRESS</t>
        </is>
      </c>
      <c r="E229" t="inlineStr">
        <is>
          <t>H0TX17104</t>
        </is>
      </c>
      <c r="F229" t="inlineStr">
        <is>
          <t>REP</t>
        </is>
      </c>
      <c r="G229" t="inlineStr">
        <is>
          <t>06072019</t>
        </is>
      </c>
      <c r="H229" t="n">
        <v>2500</v>
      </c>
      <c r="I229" t="inlineStr">
        <is>
          <t>201909109163213522</t>
        </is>
      </c>
      <c r="J229" t="inlineStr">
        <is>
          <t>https://docquery.fec.gov/cgi-bin/fecimg/?201909109163213522</t>
        </is>
      </c>
    </row>
    <row r="230">
      <c r="A230" t="inlineStr">
        <is>
          <t>2020</t>
        </is>
      </c>
      <c r="B230" t="inlineStr">
        <is>
          <t>C00342766</t>
        </is>
      </c>
      <c r="C230" t="inlineStr">
        <is>
          <t>HF Sinclair PAC (DINO PAC; formerly HollyFrontier PAC)</t>
        </is>
      </c>
      <c r="D230" t="inlineStr">
        <is>
          <t>DAN CRENSHAW FOR CONGRESS</t>
        </is>
      </c>
      <c r="E230" t="inlineStr">
        <is>
          <t>H8TX02166</t>
        </is>
      </c>
      <c r="F230" t="inlineStr">
        <is>
          <t>REP</t>
        </is>
      </c>
      <c r="G230" t="inlineStr">
        <is>
          <t>06072019</t>
        </is>
      </c>
      <c r="H230" t="n">
        <v>1000</v>
      </c>
      <c r="I230" t="inlineStr">
        <is>
          <t>201909109163213523</t>
        </is>
      </c>
      <c r="J230" t="inlineStr">
        <is>
          <t>https://docquery.fec.gov/cgi-bin/fecimg/?201909109163213523</t>
        </is>
      </c>
    </row>
    <row r="231">
      <c r="A231" t="inlineStr">
        <is>
          <t>2020</t>
        </is>
      </c>
      <c r="B231" t="inlineStr">
        <is>
          <t>C00342766</t>
        </is>
      </c>
      <c r="C231" t="inlineStr">
        <is>
          <t>HF Sinclair PAC (DINO PAC; formerly HollyFrontier PAC)</t>
        </is>
      </c>
      <c r="D231" t="inlineStr">
        <is>
          <t>CUELLAR, HENRY R.</t>
        </is>
      </c>
      <c r="E231" t="inlineStr">
        <is>
          <t>H2TX23082</t>
        </is>
      </c>
      <c r="F231" t="inlineStr">
        <is>
          <t>DEM</t>
        </is>
      </c>
      <c r="G231" t="inlineStr">
        <is>
          <t>06212019</t>
        </is>
      </c>
      <c r="H231" t="n">
        <v>2500</v>
      </c>
      <c r="I231" t="inlineStr">
        <is>
          <t>201909109163213522</t>
        </is>
      </c>
      <c r="J231" t="inlineStr">
        <is>
          <t>https://docquery.fec.gov/cgi-bin/fecimg/?201909109163213522</t>
        </is>
      </c>
    </row>
    <row r="232">
      <c r="A232" t="inlineStr">
        <is>
          <t>2020</t>
        </is>
      </c>
      <c r="B232" t="inlineStr">
        <is>
          <t>C00342766</t>
        </is>
      </c>
      <c r="C232" t="inlineStr">
        <is>
          <t>HF Sinclair PAC (DINO PAC; formerly HollyFrontier PAC)</t>
        </is>
      </c>
      <c r="D232" t="inlineStr">
        <is>
          <t>TEXANS FOR JODEY ARRINGTON</t>
        </is>
      </c>
      <c r="E232" t="inlineStr">
        <is>
          <t>H6TX19099</t>
        </is>
      </c>
      <c r="F232" t="inlineStr">
        <is>
          <t>REP</t>
        </is>
      </c>
      <c r="G232" t="inlineStr">
        <is>
          <t>06212019</t>
        </is>
      </c>
      <c r="H232" t="n">
        <v>2500</v>
      </c>
      <c r="I232" t="inlineStr">
        <is>
          <t>201909109163213524</t>
        </is>
      </c>
      <c r="J232" t="inlineStr">
        <is>
          <t>https://docquery.fec.gov/cgi-bin/fecimg/?201909109163213524</t>
        </is>
      </c>
    </row>
    <row r="233">
      <c r="A233" t="inlineStr">
        <is>
          <t>2020</t>
        </is>
      </c>
      <c r="B233" t="inlineStr">
        <is>
          <t>C00342766</t>
        </is>
      </c>
      <c r="C233" t="inlineStr">
        <is>
          <t>HF Sinclair PAC (DINO PAC; formerly HollyFrontier PAC)</t>
        </is>
      </c>
      <c r="D233" t="inlineStr">
        <is>
          <t>LANCE GOODEN FOR CONGRESS COMMITTEE</t>
        </is>
      </c>
      <c r="E233" t="inlineStr">
        <is>
          <t>H8TX05144</t>
        </is>
      </c>
      <c r="F233" t="inlineStr">
        <is>
          <t>REP</t>
        </is>
      </c>
      <c r="G233" t="inlineStr">
        <is>
          <t>06212019</t>
        </is>
      </c>
      <c r="H233" t="n">
        <v>2500</v>
      </c>
      <c r="I233" t="inlineStr">
        <is>
          <t>201909109163213523</t>
        </is>
      </c>
      <c r="J233" t="inlineStr">
        <is>
          <t>https://docquery.fec.gov/cgi-bin/fecimg/?201909109163213523</t>
        </is>
      </c>
    </row>
    <row r="234">
      <c r="A234" t="inlineStr">
        <is>
          <t>2020</t>
        </is>
      </c>
      <c r="B234" t="inlineStr">
        <is>
          <t>C00342766</t>
        </is>
      </c>
      <c r="C234" t="inlineStr">
        <is>
          <t>HF Sinclair PAC (DINO PAC; formerly HollyFrontier PAC)</t>
        </is>
      </c>
      <c r="D234" t="inlineStr">
        <is>
          <t>VICENTE GONZALEZ FOR CONGRESS</t>
        </is>
      </c>
      <c r="E234" t="inlineStr">
        <is>
          <t>H6TX15162</t>
        </is>
      </c>
      <c r="F234" t="inlineStr">
        <is>
          <t>DEM</t>
        </is>
      </c>
      <c r="G234" t="inlineStr">
        <is>
          <t>06212019</t>
        </is>
      </c>
      <c r="H234" t="n">
        <v>2500</v>
      </c>
      <c r="I234" t="inlineStr">
        <is>
          <t>201909109163213525</t>
        </is>
      </c>
      <c r="J234" t="inlineStr">
        <is>
          <t>https://docquery.fec.gov/cgi-bin/fecimg/?201909109163213525</t>
        </is>
      </c>
    </row>
    <row r="235">
      <c r="A235" t="inlineStr">
        <is>
          <t>2020</t>
        </is>
      </c>
      <c r="B235" t="inlineStr">
        <is>
          <t>C00342766</t>
        </is>
      </c>
      <c r="C235" t="inlineStr">
        <is>
          <t>HF Sinclair PAC (DINO PAC; formerly HollyFrontier PAC)</t>
        </is>
      </c>
      <c r="D235" t="inlineStr">
        <is>
          <t>BICE FOR CONGRESS</t>
        </is>
      </c>
      <c r="E235" t="inlineStr">
        <is>
          <t>H0OK05205</t>
        </is>
      </c>
      <c r="F235" t="inlineStr">
        <is>
          <t>REP</t>
        </is>
      </c>
      <c r="G235" t="inlineStr">
        <is>
          <t>06212019</t>
        </is>
      </c>
      <c r="H235" t="n">
        <v>2500</v>
      </c>
      <c r="I235" t="inlineStr">
        <is>
          <t>201909109163213522</t>
        </is>
      </c>
      <c r="J235" t="inlineStr">
        <is>
          <t>https://docquery.fec.gov/cgi-bin/fecimg/?201909109163213522</t>
        </is>
      </c>
    </row>
    <row r="236">
      <c r="A236" t="inlineStr">
        <is>
          <t>2020</t>
        </is>
      </c>
      <c r="B236" t="inlineStr">
        <is>
          <t>C00342766</t>
        </is>
      </c>
      <c r="C236" t="inlineStr">
        <is>
          <t>HF Sinclair PAC (DINO PAC; formerly HollyFrontier PAC)</t>
        </is>
      </c>
      <c r="D236" t="inlineStr">
        <is>
          <t>HERN FOR CONGRESS</t>
        </is>
      </c>
      <c r="E236" t="inlineStr">
        <is>
          <t>H8OK01157</t>
        </is>
      </c>
      <c r="F236" t="inlineStr">
        <is>
          <t>REP</t>
        </is>
      </c>
      <c r="G236" t="inlineStr">
        <is>
          <t>06292020</t>
        </is>
      </c>
      <c r="H236" t="n">
        <v>2500</v>
      </c>
      <c r="I236" t="inlineStr">
        <is>
          <t>202007069244334871</t>
        </is>
      </c>
      <c r="J236" t="inlineStr">
        <is>
          <t>https://docquery.fec.gov/cgi-bin/fecimg/?202007069244334871</t>
        </is>
      </c>
    </row>
    <row r="237">
      <c r="A237" t="inlineStr">
        <is>
          <t>2020</t>
        </is>
      </c>
      <c r="B237" t="inlineStr">
        <is>
          <t>C00342766</t>
        </is>
      </c>
      <c r="C237" t="inlineStr">
        <is>
          <t>HF Sinclair PAC (DINO PAC; formerly HollyFrontier PAC)</t>
        </is>
      </c>
      <c r="D237" t="inlineStr">
        <is>
          <t>KANSANS FOR MARSHALL</t>
        </is>
      </c>
      <c r="E237" t="inlineStr">
        <is>
          <t>S0KS00315</t>
        </is>
      </c>
      <c r="F237" t="inlineStr">
        <is>
          <t>REP</t>
        </is>
      </c>
      <c r="G237" t="inlineStr">
        <is>
          <t>06292020</t>
        </is>
      </c>
      <c r="H237" t="n">
        <v>2500</v>
      </c>
      <c r="I237" t="inlineStr">
        <is>
          <t>202007069244334872</t>
        </is>
      </c>
      <c r="J237" t="inlineStr">
        <is>
          <t>https://docquery.fec.gov/cgi-bin/fecimg/?202007069244334872</t>
        </is>
      </c>
    </row>
    <row r="238">
      <c r="A238" t="inlineStr">
        <is>
          <t>2020</t>
        </is>
      </c>
      <c r="B238" t="inlineStr">
        <is>
          <t>C00342766</t>
        </is>
      </c>
      <c r="C238" t="inlineStr">
        <is>
          <t>HF Sinclair PAC (DINO PAC; formerly HollyFrontier PAC)</t>
        </is>
      </c>
      <c r="D238" t="inlineStr">
        <is>
          <t>MARK RONCHETTI FOR NEW MEXICO</t>
        </is>
      </c>
      <c r="E238" t="inlineStr">
        <is>
          <t>S0NM00124</t>
        </is>
      </c>
      <c r="F238" t="inlineStr">
        <is>
          <t>REP</t>
        </is>
      </c>
      <c r="G238" t="inlineStr">
        <is>
          <t>06292020</t>
        </is>
      </c>
      <c r="H238" t="n">
        <v>1500</v>
      </c>
      <c r="I238" t="inlineStr">
        <is>
          <t>202007069244334872</t>
        </is>
      </c>
      <c r="J238" t="inlineStr">
        <is>
          <t>https://docquery.fec.gov/cgi-bin/fecimg/?202007069244334872</t>
        </is>
      </c>
    </row>
    <row r="239">
      <c r="A239" t="inlineStr">
        <is>
          <t>2020</t>
        </is>
      </c>
      <c r="B239" t="inlineStr">
        <is>
          <t>C00342766</t>
        </is>
      </c>
      <c r="C239" t="inlineStr">
        <is>
          <t>HF Sinclair PAC (DINO PAC; formerly HollyFrontier PAC)</t>
        </is>
      </c>
      <c r="D239" t="inlineStr">
        <is>
          <t>RON ESTES FOR CONGRESS</t>
        </is>
      </c>
      <c r="E239" t="inlineStr">
        <is>
          <t>H8KS04112</t>
        </is>
      </c>
      <c r="F239" t="inlineStr">
        <is>
          <t>REP</t>
        </is>
      </c>
      <c r="G239" t="inlineStr">
        <is>
          <t>06292020</t>
        </is>
      </c>
      <c r="H239" t="n">
        <v>2500</v>
      </c>
      <c r="I239" t="inlineStr">
        <is>
          <t>202007069244334872</t>
        </is>
      </c>
      <c r="J239" t="inlineStr">
        <is>
          <t>https://docquery.fec.gov/cgi-bin/fecimg/?202007069244334872</t>
        </is>
      </c>
    </row>
    <row r="240">
      <c r="A240" t="inlineStr">
        <is>
          <t>2020</t>
        </is>
      </c>
      <c r="B240" t="inlineStr">
        <is>
          <t>C00342766</t>
        </is>
      </c>
      <c r="C240" t="inlineStr">
        <is>
          <t>HF Sinclair PAC (DINO PAC; formerly HollyFrontier PAC)</t>
        </is>
      </c>
      <c r="D240" t="inlineStr">
        <is>
          <t>YVETTE4CONGRESS</t>
        </is>
      </c>
      <c r="E240" t="inlineStr">
        <is>
          <t>H8NM02156</t>
        </is>
      </c>
      <c r="F240" t="inlineStr">
        <is>
          <t>REP</t>
        </is>
      </c>
      <c r="G240" t="inlineStr">
        <is>
          <t>06292020</t>
        </is>
      </c>
      <c r="H240" t="n">
        <v>2500</v>
      </c>
      <c r="I240" t="inlineStr">
        <is>
          <t>202007069244334873</t>
        </is>
      </c>
      <c r="J240" t="inlineStr">
        <is>
          <t>https://docquery.fec.gov/cgi-bin/fecimg/?202007069244334873</t>
        </is>
      </c>
    </row>
    <row r="241">
      <c r="A241" t="inlineStr">
        <is>
          <t>2020</t>
        </is>
      </c>
      <c r="B241" t="inlineStr">
        <is>
          <t>C00342766</t>
        </is>
      </c>
      <c r="C241" t="inlineStr">
        <is>
          <t>HF Sinclair PAC (DINO PAC; formerly HollyFrontier PAC)</t>
        </is>
      </c>
      <c r="D241" t="inlineStr">
        <is>
          <t>BETH VAN DUYNE FOR CONGRESS</t>
        </is>
      </c>
      <c r="E241" t="inlineStr">
        <is>
          <t>H0TX24209</t>
        </is>
      </c>
      <c r="F241" t="inlineStr">
        <is>
          <t>REP</t>
        </is>
      </c>
      <c r="G241" t="inlineStr">
        <is>
          <t>06292020</t>
        </is>
      </c>
      <c r="H241" t="n">
        <v>5000</v>
      </c>
      <c r="I241" t="inlineStr">
        <is>
          <t>202007069244334869</t>
        </is>
      </c>
      <c r="J241" t="inlineStr">
        <is>
          <t>https://docquery.fec.gov/cgi-bin/fecimg/?202007069244334869</t>
        </is>
      </c>
    </row>
    <row r="242">
      <c r="A242" t="inlineStr">
        <is>
          <t>2020</t>
        </is>
      </c>
      <c r="B242" t="inlineStr">
        <is>
          <t>C00342766</t>
        </is>
      </c>
      <c r="C242" t="inlineStr">
        <is>
          <t>HF Sinclair PAC (DINO PAC; formerly HollyFrontier PAC)</t>
        </is>
      </c>
      <c r="D242" t="inlineStr">
        <is>
          <t>BICE FOR CONGRESS</t>
        </is>
      </c>
      <c r="E242" t="inlineStr">
        <is>
          <t>H0OK05205</t>
        </is>
      </c>
      <c r="F242" t="inlineStr">
        <is>
          <t>REP</t>
        </is>
      </c>
      <c r="G242" t="inlineStr">
        <is>
          <t>07012020</t>
        </is>
      </c>
      <c r="H242" t="n">
        <v>5000</v>
      </c>
      <c r="I242" t="inlineStr">
        <is>
          <t>202009109267131173</t>
        </is>
      </c>
      <c r="J242" t="inlineStr">
        <is>
          <t>https://docquery.fec.gov/cgi-bin/fecimg/?202009109267131173</t>
        </is>
      </c>
    </row>
    <row r="243">
      <c r="A243" t="inlineStr">
        <is>
          <t>2020</t>
        </is>
      </c>
      <c r="B243" t="inlineStr">
        <is>
          <t>C00342766</t>
        </is>
      </c>
      <c r="C243" t="inlineStr">
        <is>
          <t>HF Sinclair PAC (DINO PAC; formerly HollyFrontier PAC)</t>
        </is>
      </c>
      <c r="D243" t="inlineStr">
        <is>
          <t>BICE FOR CONGRESS</t>
        </is>
      </c>
      <c r="E243" t="inlineStr">
        <is>
          <t>H0OK05205</t>
        </is>
      </c>
      <c r="F243" t="inlineStr">
        <is>
          <t>REP</t>
        </is>
      </c>
      <c r="G243" t="inlineStr">
        <is>
          <t>07012020</t>
        </is>
      </c>
      <c r="H243" t="n">
        <v>5000</v>
      </c>
      <c r="I243" t="inlineStr">
        <is>
          <t>202009109267131173</t>
        </is>
      </c>
      <c r="J243" t="inlineStr">
        <is>
          <t>https://docquery.fec.gov/cgi-bin/fecimg/?202009109267131173</t>
        </is>
      </c>
    </row>
    <row r="244">
      <c r="A244" t="inlineStr">
        <is>
          <t>2020</t>
        </is>
      </c>
      <c r="B244" t="inlineStr">
        <is>
          <t>C00342766</t>
        </is>
      </c>
      <c r="C244" t="inlineStr">
        <is>
          <t>HF Sinclair PAC (DINO PAC; formerly HollyFrontier PAC)</t>
        </is>
      </c>
      <c r="D244" t="inlineStr">
        <is>
          <t>TONY GONZALES FOR CONGRESS</t>
        </is>
      </c>
      <c r="E244" t="inlineStr">
        <is>
          <t>H0TX35015</t>
        </is>
      </c>
      <c r="F244" t="inlineStr">
        <is>
          <t>REP</t>
        </is>
      </c>
      <c r="G244" t="inlineStr">
        <is>
          <t>07092020</t>
        </is>
      </c>
      <c r="H244" t="n">
        <v>2000</v>
      </c>
      <c r="I244" t="inlineStr">
        <is>
          <t>202009109267131173</t>
        </is>
      </c>
      <c r="J244" t="inlineStr">
        <is>
          <t>https://docquery.fec.gov/cgi-bin/fecimg/?202009109267131173</t>
        </is>
      </c>
    </row>
    <row r="245">
      <c r="A245" t="inlineStr">
        <is>
          <t>2020</t>
        </is>
      </c>
      <c r="B245" t="inlineStr">
        <is>
          <t>C00342766</t>
        </is>
      </c>
      <c r="C245" t="inlineStr">
        <is>
          <t>HF Sinclair PAC (DINO PAC; formerly HollyFrontier PAC)</t>
        </is>
      </c>
      <c r="D245" t="inlineStr">
        <is>
          <t>CHIP ROY FOR CONGRESS</t>
        </is>
      </c>
      <c r="E245" t="inlineStr">
        <is>
          <t>H8TX21307</t>
        </is>
      </c>
      <c r="F245" t="inlineStr">
        <is>
          <t>REP</t>
        </is>
      </c>
      <c r="G245" t="inlineStr">
        <is>
          <t>08012020</t>
        </is>
      </c>
      <c r="H245" t="n">
        <v>-2500</v>
      </c>
      <c r="I245" t="inlineStr">
        <is>
          <t>202009109267131305</t>
        </is>
      </c>
      <c r="J245" t="inlineStr">
        <is>
          <t>https://docquery.fec.gov/cgi-bin/fecimg/?202009109267131305</t>
        </is>
      </c>
    </row>
    <row r="246">
      <c r="A246" t="inlineStr">
        <is>
          <t>2020</t>
        </is>
      </c>
      <c r="B246" t="inlineStr">
        <is>
          <t>C00342766</t>
        </is>
      </c>
      <c r="C246" t="inlineStr">
        <is>
          <t>HF Sinclair PAC (DINO PAC; formerly HollyFrontier PAC)</t>
        </is>
      </c>
      <c r="D246" t="inlineStr">
        <is>
          <t>LANCE GOODEN FOR CONGRESS COMMITTEE</t>
        </is>
      </c>
      <c r="E246" t="inlineStr">
        <is>
          <t>H8TX05144</t>
        </is>
      </c>
      <c r="F246" t="inlineStr">
        <is>
          <t>REP</t>
        </is>
      </c>
      <c r="G246" t="inlineStr">
        <is>
          <t>08042020</t>
        </is>
      </c>
      <c r="H246" t="n">
        <v>2500</v>
      </c>
      <c r="I246" t="inlineStr">
        <is>
          <t>202009109267131307</t>
        </is>
      </c>
      <c r="J246" t="inlineStr">
        <is>
          <t>https://docquery.fec.gov/cgi-bin/fecimg/?202009109267131307</t>
        </is>
      </c>
    </row>
    <row r="247">
      <c r="A247" t="inlineStr">
        <is>
          <t>2020</t>
        </is>
      </c>
      <c r="B247" t="inlineStr">
        <is>
          <t>C00342766</t>
        </is>
      </c>
      <c r="C247" t="inlineStr">
        <is>
          <t>HF Sinclair PAC (DINO PAC; formerly HollyFrontier PAC)</t>
        </is>
      </c>
      <c r="D247" t="inlineStr">
        <is>
          <t>LIZ CHENEY FOR WYOMING</t>
        </is>
      </c>
      <c r="E247" t="inlineStr">
        <is>
          <t>H6WY00159</t>
        </is>
      </c>
      <c r="F247" t="inlineStr">
        <is>
          <t>REP</t>
        </is>
      </c>
      <c r="G247" t="inlineStr">
        <is>
          <t>08042020</t>
        </is>
      </c>
      <c r="H247" t="n">
        <v>5000</v>
      </c>
      <c r="I247" t="inlineStr">
        <is>
          <t>202009109267131307</t>
        </is>
      </c>
      <c r="J247" t="inlineStr">
        <is>
          <t>https://docquery.fec.gov/cgi-bin/fecimg/?202009109267131307</t>
        </is>
      </c>
    </row>
    <row r="248">
      <c r="A248" t="inlineStr">
        <is>
          <t>2020</t>
        </is>
      </c>
      <c r="B248" t="inlineStr">
        <is>
          <t>C00342766</t>
        </is>
      </c>
      <c r="C248" t="inlineStr">
        <is>
          <t>HF Sinclair PAC (DINO PAC; formerly HollyFrontier PAC)</t>
        </is>
      </c>
      <c r="D248" t="inlineStr">
        <is>
          <t>LUMMIS FOR WYOMING INC.</t>
        </is>
      </c>
      <c r="E248" t="inlineStr">
        <is>
          <t>S0WY00137</t>
        </is>
      </c>
      <c r="F248" t="inlineStr">
        <is>
          <t>REP</t>
        </is>
      </c>
      <c r="G248" t="inlineStr">
        <is>
          <t>08042020</t>
        </is>
      </c>
      <c r="H248" t="n">
        <v>5000</v>
      </c>
      <c r="I248" t="inlineStr">
        <is>
          <t>202009109267131308</t>
        </is>
      </c>
      <c r="J248" t="inlineStr">
        <is>
          <t>https://docquery.fec.gov/cgi-bin/fecimg/?202009109267131308</t>
        </is>
      </c>
    </row>
    <row r="249">
      <c r="A249" t="inlineStr">
        <is>
          <t>2020</t>
        </is>
      </c>
      <c r="B249" t="inlineStr">
        <is>
          <t>C00342766</t>
        </is>
      </c>
      <c r="C249" t="inlineStr">
        <is>
          <t>HF Sinclair PAC (DINO PAC; formerly HollyFrontier PAC)</t>
        </is>
      </c>
      <c r="D249" t="inlineStr">
        <is>
          <t>TEXANS FOR JODEY ARRINGTON</t>
        </is>
      </c>
      <c r="E249" t="inlineStr">
        <is>
          <t>H6TX19099</t>
        </is>
      </c>
      <c r="F249" t="inlineStr">
        <is>
          <t>REP</t>
        </is>
      </c>
      <c r="G249" t="inlineStr">
        <is>
          <t>08042020</t>
        </is>
      </c>
      <c r="H249" t="n">
        <v>2500</v>
      </c>
      <c r="I249" t="inlineStr">
        <is>
          <t>202009109267131309</t>
        </is>
      </c>
      <c r="J249" t="inlineStr">
        <is>
          <t>https://docquery.fec.gov/cgi-bin/fecimg/?202009109267131309</t>
        </is>
      </c>
    </row>
    <row r="250">
      <c r="A250" t="inlineStr">
        <is>
          <t>2020</t>
        </is>
      </c>
      <c r="B250" t="inlineStr">
        <is>
          <t>C00342766</t>
        </is>
      </c>
      <c r="C250" t="inlineStr">
        <is>
          <t>HF Sinclair PAC (DINO PAC; formerly HollyFrontier PAC)</t>
        </is>
      </c>
      <c r="D250" t="inlineStr">
        <is>
          <t>THOM TILLIS COMMITTEE</t>
        </is>
      </c>
      <c r="E250" t="inlineStr">
        <is>
          <t>S4NC00162</t>
        </is>
      </c>
      <c r="F250" t="inlineStr">
        <is>
          <t>REP</t>
        </is>
      </c>
      <c r="G250" t="inlineStr">
        <is>
          <t>08042020</t>
        </is>
      </c>
      <c r="H250" t="n">
        <v>2500</v>
      </c>
      <c r="I250" t="inlineStr">
        <is>
          <t>202009109267131309</t>
        </is>
      </c>
      <c r="J250" t="inlineStr">
        <is>
          <t>https://docquery.fec.gov/cgi-bin/fecimg/?202009109267131309</t>
        </is>
      </c>
    </row>
    <row r="251">
      <c r="A251" t="inlineStr">
        <is>
          <t>2020</t>
        </is>
      </c>
      <c r="B251" t="inlineStr">
        <is>
          <t>C00342766</t>
        </is>
      </c>
      <c r="C251" t="inlineStr">
        <is>
          <t>HF Sinclair PAC (DINO PAC; formerly HollyFrontier PAC)</t>
        </is>
      </c>
      <c r="D251" t="inlineStr">
        <is>
          <t>TUBERVILLE FOR SENATE, INC.</t>
        </is>
      </c>
      <c r="E251" t="inlineStr">
        <is>
          <t>S0AL00230</t>
        </is>
      </c>
      <c r="F251" t="inlineStr">
        <is>
          <t>REP</t>
        </is>
      </c>
      <c r="G251" t="inlineStr">
        <is>
          <t>08042020</t>
        </is>
      </c>
      <c r="H251" t="n">
        <v>1500</v>
      </c>
      <c r="I251" t="inlineStr">
        <is>
          <t>202009109267131309</t>
        </is>
      </c>
      <c r="J251" t="inlineStr">
        <is>
          <t>https://docquery.fec.gov/cgi-bin/fecimg/?202009109267131309</t>
        </is>
      </c>
    </row>
    <row r="252">
      <c r="A252" t="inlineStr">
        <is>
          <t>2020</t>
        </is>
      </c>
      <c r="B252" t="inlineStr">
        <is>
          <t>C00342766</t>
        </is>
      </c>
      <c r="C252" t="inlineStr">
        <is>
          <t>HF Sinclair PAC (DINO PAC; formerly HollyFrontier PAC)</t>
        </is>
      </c>
      <c r="D252" t="inlineStr">
        <is>
          <t>BICE FOR CONGRESS</t>
        </is>
      </c>
      <c r="E252" t="inlineStr">
        <is>
          <t>H0OK05205</t>
        </is>
      </c>
      <c r="F252" t="inlineStr">
        <is>
          <t>REP</t>
        </is>
      </c>
      <c r="G252" t="inlineStr">
        <is>
          <t>08192019</t>
        </is>
      </c>
      <c r="H252" t="n">
        <v>2500</v>
      </c>
      <c r="I252" t="inlineStr">
        <is>
          <t>201909109163214928</t>
        </is>
      </c>
      <c r="J252" t="inlineStr">
        <is>
          <t>https://docquery.fec.gov/cgi-bin/fecimg/?201909109163214928</t>
        </is>
      </c>
    </row>
    <row r="253">
      <c r="A253" t="inlineStr">
        <is>
          <t>2020</t>
        </is>
      </c>
      <c r="B253" t="inlineStr">
        <is>
          <t>C00342766</t>
        </is>
      </c>
      <c r="C253" t="inlineStr">
        <is>
          <t>HF Sinclair PAC (DINO PAC; formerly HollyFrontier PAC)</t>
        </is>
      </c>
      <c r="D253" t="inlineStr">
        <is>
          <t>MCCAUL FOR CONGRESS, INC</t>
        </is>
      </c>
      <c r="E253" t="inlineStr">
        <is>
          <t>H4TX10093</t>
        </is>
      </c>
      <c r="F253" t="inlineStr">
        <is>
          <t>REP</t>
        </is>
      </c>
      <c r="G253" t="inlineStr">
        <is>
          <t>08192019</t>
        </is>
      </c>
      <c r="H253" t="n">
        <v>2500</v>
      </c>
      <c r="I253" t="inlineStr">
        <is>
          <t>201909109163214929</t>
        </is>
      </c>
      <c r="J253" t="inlineStr">
        <is>
          <t>https://docquery.fec.gov/cgi-bin/fecimg/?201909109163214929</t>
        </is>
      </c>
    </row>
    <row r="254">
      <c r="A254" t="inlineStr">
        <is>
          <t>2020</t>
        </is>
      </c>
      <c r="B254" t="inlineStr">
        <is>
          <t>C00342766</t>
        </is>
      </c>
      <c r="C254" t="inlineStr">
        <is>
          <t>HF Sinclair PAC (DINO PAC; formerly HollyFrontier PAC)</t>
        </is>
      </c>
      <c r="D254" t="inlineStr">
        <is>
          <t>BRADY FOR CONGRESS</t>
        </is>
      </c>
      <c r="E254" t="inlineStr">
        <is>
          <t>H6TX08100</t>
        </is>
      </c>
      <c r="F254" t="inlineStr">
        <is>
          <t>REP</t>
        </is>
      </c>
      <c r="G254" t="inlineStr">
        <is>
          <t>08272019</t>
        </is>
      </c>
      <c r="H254" t="n">
        <v>2500</v>
      </c>
      <c r="I254" t="inlineStr">
        <is>
          <t>201909109163214928</t>
        </is>
      </c>
      <c r="J254" t="inlineStr">
        <is>
          <t>https://docquery.fec.gov/cgi-bin/fecimg/?201909109163214928</t>
        </is>
      </c>
    </row>
    <row r="255">
      <c r="A255" t="inlineStr">
        <is>
          <t>2020</t>
        </is>
      </c>
      <c r="B255" t="inlineStr">
        <is>
          <t>C00342766</t>
        </is>
      </c>
      <c r="C255" t="inlineStr">
        <is>
          <t>HF Sinclair PAC (DINO PAC; formerly HollyFrontier PAC)</t>
        </is>
      </c>
      <c r="D255" t="inlineStr">
        <is>
          <t>CLAIRE CHASE FOR CONGRESS</t>
        </is>
      </c>
      <c r="E255" t="inlineStr">
        <is>
          <t>H0NM02229</t>
        </is>
      </c>
      <c r="F255" t="inlineStr">
        <is>
          <t>REP</t>
        </is>
      </c>
      <c r="G255" t="inlineStr">
        <is>
          <t>08272019</t>
        </is>
      </c>
      <c r="H255" t="n">
        <v>5000</v>
      </c>
      <c r="I255" t="inlineStr">
        <is>
          <t>201909109163214928</t>
        </is>
      </c>
      <c r="J255" t="inlineStr">
        <is>
          <t>https://docquery.fec.gov/cgi-bin/fecimg/?201909109163214928</t>
        </is>
      </c>
    </row>
    <row r="256">
      <c r="A256" t="inlineStr">
        <is>
          <t>2020</t>
        </is>
      </c>
      <c r="B256" t="inlineStr">
        <is>
          <t>C00342766</t>
        </is>
      </c>
      <c r="C256" t="inlineStr">
        <is>
          <t>HF Sinclair PAC (DINO PAC; formerly HollyFrontier PAC)</t>
        </is>
      </c>
      <c r="D256" t="inlineStr">
        <is>
          <t>CHIP ROY FOR CONGRESS</t>
        </is>
      </c>
      <c r="E256" t="inlineStr">
        <is>
          <t>H8TX21307</t>
        </is>
      </c>
      <c r="F256" t="inlineStr">
        <is>
          <t>REP</t>
        </is>
      </c>
      <c r="G256" t="inlineStr">
        <is>
          <t>08272020</t>
        </is>
      </c>
      <c r="H256" t="n">
        <v>2500</v>
      </c>
      <c r="I256" t="inlineStr">
        <is>
          <t>202009109267131306</t>
        </is>
      </c>
      <c r="J256" t="inlineStr">
        <is>
          <t>https://docquery.fec.gov/cgi-bin/fecimg/?202009109267131306</t>
        </is>
      </c>
    </row>
    <row r="257">
      <c r="A257" t="inlineStr">
        <is>
          <t>2020</t>
        </is>
      </c>
      <c r="B257" t="inlineStr">
        <is>
          <t>C00342766</t>
        </is>
      </c>
      <c r="C257" t="inlineStr">
        <is>
          <t>HF Sinclair PAC (DINO PAC; formerly HollyFrontier PAC)</t>
        </is>
      </c>
      <c r="D257" t="inlineStr">
        <is>
          <t>HUNT FOR CONGRESS</t>
        </is>
      </c>
      <c r="E257" t="inlineStr">
        <is>
          <t>H0TX07170</t>
        </is>
      </c>
      <c r="F257" t="inlineStr">
        <is>
          <t>REP</t>
        </is>
      </c>
      <c r="G257" t="inlineStr">
        <is>
          <t>08282020</t>
        </is>
      </c>
      <c r="H257" t="n">
        <v>2500</v>
      </c>
      <c r="I257" t="inlineStr">
        <is>
          <t>202009109267131306</t>
        </is>
      </c>
      <c r="J257" t="inlineStr">
        <is>
          <t>https://docquery.fec.gov/cgi-bin/fecimg/?202009109267131306</t>
        </is>
      </c>
    </row>
    <row r="258">
      <c r="A258" t="inlineStr">
        <is>
          <t>2020</t>
        </is>
      </c>
      <c r="B258" t="inlineStr">
        <is>
          <t>C00342766</t>
        </is>
      </c>
      <c r="C258" t="inlineStr">
        <is>
          <t>HF Sinclair PAC (DINO PAC; formerly HollyFrontier PAC)</t>
        </is>
      </c>
      <c r="D258" t="inlineStr">
        <is>
          <t>KANSANS FOR MARSHALL</t>
        </is>
      </c>
      <c r="E258" t="inlineStr">
        <is>
          <t>S0KS00315</t>
        </is>
      </c>
      <c r="F258" t="inlineStr">
        <is>
          <t>REP</t>
        </is>
      </c>
      <c r="G258" t="inlineStr">
        <is>
          <t>08282020</t>
        </is>
      </c>
      <c r="H258" t="n">
        <v>5000</v>
      </c>
      <c r="I258" t="inlineStr">
        <is>
          <t>202009109267131307</t>
        </is>
      </c>
      <c r="J258" t="inlineStr">
        <is>
          <t>https://docquery.fec.gov/cgi-bin/fecimg/?202009109267131307</t>
        </is>
      </c>
    </row>
    <row r="259">
      <c r="A259" t="inlineStr">
        <is>
          <t>2020</t>
        </is>
      </c>
      <c r="B259" t="inlineStr">
        <is>
          <t>C00342766</t>
        </is>
      </c>
      <c r="C259" t="inlineStr">
        <is>
          <t>HF Sinclair PAC (DINO PAC; formerly HollyFrontier PAC)</t>
        </is>
      </c>
      <c r="D259" t="inlineStr">
        <is>
          <t>PERDUE FOR SENATE</t>
        </is>
      </c>
      <c r="E259" t="inlineStr">
        <is>
          <t>S4GA11285</t>
        </is>
      </c>
      <c r="F259" t="inlineStr">
        <is>
          <t>REP</t>
        </is>
      </c>
      <c r="G259" t="inlineStr">
        <is>
          <t>08282020</t>
        </is>
      </c>
      <c r="H259" t="n">
        <v>2000</v>
      </c>
      <c r="I259" t="inlineStr">
        <is>
          <t>202009109267131308</t>
        </is>
      </c>
      <c r="J259" t="inlineStr">
        <is>
          <t>https://docquery.fec.gov/cgi-bin/fecimg/?202009109267131308</t>
        </is>
      </c>
    </row>
    <row r="260">
      <c r="A260" t="inlineStr">
        <is>
          <t>2020</t>
        </is>
      </c>
      <c r="B260" t="inlineStr">
        <is>
          <t>C00342766</t>
        </is>
      </c>
      <c r="C260" t="inlineStr">
        <is>
          <t>HF Sinclair PAC (DINO PAC; formerly HollyFrontier PAC)</t>
        </is>
      </c>
      <c r="D260" t="inlineStr">
        <is>
          <t>BLAKE MOORE FOR CONGRESS</t>
        </is>
      </c>
      <c r="E260" t="inlineStr">
        <is>
          <t>H0UT01205</t>
        </is>
      </c>
      <c r="F260" t="inlineStr">
        <is>
          <t>REP</t>
        </is>
      </c>
      <c r="G260" t="inlineStr">
        <is>
          <t>08282020</t>
        </is>
      </c>
      <c r="H260" t="n">
        <v>5000</v>
      </c>
      <c r="I260" t="inlineStr">
        <is>
          <t>202009109267131305</t>
        </is>
      </c>
      <c r="J260" t="inlineStr">
        <is>
          <t>https://docquery.fec.gov/cgi-bin/fecimg/?202009109267131305</t>
        </is>
      </c>
    </row>
    <row r="261">
      <c r="A261" t="inlineStr">
        <is>
          <t>2020</t>
        </is>
      </c>
      <c r="B261" t="inlineStr">
        <is>
          <t>C00342766</t>
        </is>
      </c>
      <c r="C261" t="inlineStr">
        <is>
          <t>HF Sinclair PAC (DINO PAC; formerly HollyFrontier PAC)</t>
        </is>
      </c>
      <c r="D261" t="inlineStr">
        <is>
          <t>CURTIS FOR CONGRESS</t>
        </is>
      </c>
      <c r="E261" t="inlineStr">
        <is>
          <t>H8UT03238</t>
        </is>
      </c>
      <c r="F261" t="inlineStr">
        <is>
          <t>REP</t>
        </is>
      </c>
      <c r="G261" t="inlineStr">
        <is>
          <t>09172019</t>
        </is>
      </c>
      <c r="H261" t="n">
        <v>2500</v>
      </c>
      <c r="I261" t="inlineStr">
        <is>
          <t>201910099163772758</t>
        </is>
      </c>
      <c r="J261" t="inlineStr">
        <is>
          <t>https://docquery.fec.gov/cgi-bin/fecimg/?201910099163772758</t>
        </is>
      </c>
    </row>
    <row r="262">
      <c r="A262" t="inlineStr">
        <is>
          <t>2020</t>
        </is>
      </c>
      <c r="B262" t="inlineStr">
        <is>
          <t>C00342766</t>
        </is>
      </c>
      <c r="C262" t="inlineStr">
        <is>
          <t>HF Sinclair PAC (DINO PAC; formerly HollyFrontier PAC)</t>
        </is>
      </c>
      <c r="D262" t="inlineStr">
        <is>
          <t>STEFANIK, ELISE</t>
        </is>
      </c>
      <c r="E262" t="inlineStr">
        <is>
          <t>H4NY21079</t>
        </is>
      </c>
      <c r="F262" t="inlineStr">
        <is>
          <t>REP</t>
        </is>
      </c>
      <c r="G262" t="inlineStr">
        <is>
          <t>09172019</t>
        </is>
      </c>
      <c r="H262" t="n">
        <v>1000</v>
      </c>
      <c r="I262" t="inlineStr">
        <is>
          <t>201910099163772758</t>
        </is>
      </c>
      <c r="J262" t="inlineStr">
        <is>
          <t>https://docquery.fec.gov/cgi-bin/fecimg/?201910099163772758</t>
        </is>
      </c>
    </row>
    <row r="263">
      <c r="A263" t="inlineStr">
        <is>
          <t>2020</t>
        </is>
      </c>
      <c r="B263" t="inlineStr">
        <is>
          <t>C00342766</t>
        </is>
      </c>
      <c r="C263" t="inlineStr">
        <is>
          <t>HF Sinclair PAC (DINO PAC; formerly HollyFrontier PAC)</t>
        </is>
      </c>
      <c r="D263" t="inlineStr">
        <is>
          <t>CATHY MCMORRIS RODGERS FOR CONGRESS</t>
        </is>
      </c>
      <c r="E263" t="inlineStr">
        <is>
          <t>H4WA05077</t>
        </is>
      </c>
      <c r="F263" t="inlineStr">
        <is>
          <t>REP</t>
        </is>
      </c>
      <c r="G263" t="inlineStr">
        <is>
          <t>09252020</t>
        </is>
      </c>
      <c r="H263" t="n">
        <v>2500</v>
      </c>
      <c r="I263" t="inlineStr">
        <is>
          <t>202010089285057729</t>
        </is>
      </c>
      <c r="J263" t="inlineStr">
        <is>
          <t>https://docquery.fec.gov/cgi-bin/fecimg/?202010089285057729</t>
        </is>
      </c>
    </row>
    <row r="264">
      <c r="A264" t="inlineStr">
        <is>
          <t>2020</t>
        </is>
      </c>
      <c r="B264" t="inlineStr">
        <is>
          <t>C00342766</t>
        </is>
      </c>
      <c r="C264" t="inlineStr">
        <is>
          <t>HF Sinclair PAC (DINO PAC; formerly HollyFrontier PAC)</t>
        </is>
      </c>
      <c r="D264" t="inlineStr">
        <is>
          <t>HERN FOR CONGRESS</t>
        </is>
      </c>
      <c r="E264" t="inlineStr">
        <is>
          <t>H8OK01157</t>
        </is>
      </c>
      <c r="F264" t="inlineStr">
        <is>
          <t>REP</t>
        </is>
      </c>
      <c r="G264" t="inlineStr">
        <is>
          <t>09252020</t>
        </is>
      </c>
      <c r="H264" t="n">
        <v>2500</v>
      </c>
      <c r="I264" t="inlineStr">
        <is>
          <t>202010089285057729</t>
        </is>
      </c>
      <c r="J264" t="inlineStr">
        <is>
          <t>https://docquery.fec.gov/cgi-bin/fecimg/?202010089285057729</t>
        </is>
      </c>
    </row>
    <row r="265">
      <c r="A265" t="inlineStr">
        <is>
          <t>2020</t>
        </is>
      </c>
      <c r="B265" t="inlineStr">
        <is>
          <t>C00342766</t>
        </is>
      </c>
      <c r="C265" t="inlineStr">
        <is>
          <t>HF Sinclair PAC (DINO PAC; formerly HollyFrontier PAC)</t>
        </is>
      </c>
      <c r="D265" t="inlineStr">
        <is>
          <t>MCSALLY FOR SENATE INC</t>
        </is>
      </c>
      <c r="E265" t="inlineStr">
        <is>
          <t>S8AZ00221</t>
        </is>
      </c>
      <c r="F265" t="inlineStr">
        <is>
          <t>REP</t>
        </is>
      </c>
      <c r="G265" t="inlineStr">
        <is>
          <t>09252020</t>
        </is>
      </c>
      <c r="H265" t="n">
        <v>2500</v>
      </c>
      <c r="I265" t="inlineStr">
        <is>
          <t>202010089285057730</t>
        </is>
      </c>
      <c r="J265" t="inlineStr">
        <is>
          <t>https://docquery.fec.gov/cgi-bin/fecimg/?202010089285057730</t>
        </is>
      </c>
    </row>
    <row r="266">
      <c r="A266" t="inlineStr">
        <is>
          <t>2020</t>
        </is>
      </c>
      <c r="B266" t="inlineStr">
        <is>
          <t>C00342766</t>
        </is>
      </c>
      <c r="C266" t="inlineStr">
        <is>
          <t>HF Sinclair PAC (DINO PAC; formerly HollyFrontier PAC)</t>
        </is>
      </c>
      <c r="D266" t="inlineStr">
        <is>
          <t>RODIMER FOR CONGRESS</t>
        </is>
      </c>
      <c r="E266" t="inlineStr">
        <is>
          <t>H0NV03132</t>
        </is>
      </c>
      <c r="F266" t="inlineStr">
        <is>
          <t>REP</t>
        </is>
      </c>
      <c r="G266" t="inlineStr">
        <is>
          <t>09252020</t>
        </is>
      </c>
      <c r="H266" t="n">
        <v>2500</v>
      </c>
      <c r="I266" t="inlineStr">
        <is>
          <t>202010089285057730</t>
        </is>
      </c>
      <c r="J266" t="inlineStr">
        <is>
          <t>https://docquery.fec.gov/cgi-bin/fecimg/?202010089285057730</t>
        </is>
      </c>
    </row>
    <row r="267">
      <c r="A267" t="inlineStr">
        <is>
          <t>2020</t>
        </is>
      </c>
      <c r="B267" t="inlineStr">
        <is>
          <t>C00342766</t>
        </is>
      </c>
      <c r="C267" t="inlineStr">
        <is>
          <t>HF Sinclair PAC (DINO PAC; formerly HollyFrontier PAC)</t>
        </is>
      </c>
      <c r="D267" t="inlineStr">
        <is>
          <t>BABIN, BRIAN</t>
        </is>
      </c>
      <c r="E267" t="inlineStr">
        <is>
          <t>H6TX02079</t>
        </is>
      </c>
      <c r="F267" t="inlineStr">
        <is>
          <t>REP</t>
        </is>
      </c>
      <c r="G267" t="inlineStr">
        <is>
          <t>10032019</t>
        </is>
      </c>
      <c r="H267" t="n">
        <v>2500</v>
      </c>
      <c r="I267" t="inlineStr">
        <is>
          <t>201911079165333665</t>
        </is>
      </c>
      <c r="J267" t="inlineStr">
        <is>
          <t>https://docquery.fec.gov/cgi-bin/fecimg/?201911079165333665</t>
        </is>
      </c>
    </row>
    <row r="268">
      <c r="A268" t="inlineStr">
        <is>
          <t>2020</t>
        </is>
      </c>
      <c r="B268" t="inlineStr">
        <is>
          <t>C00342766</t>
        </is>
      </c>
      <c r="C268" t="inlineStr">
        <is>
          <t>HF Sinclair PAC (DINO PAC; formerly HollyFrontier PAC)</t>
        </is>
      </c>
      <c r="D268" t="inlineStr">
        <is>
          <t>BRADY FOR CONGRESS</t>
        </is>
      </c>
      <c r="E268" t="inlineStr">
        <is>
          <t>H6TX08100</t>
        </is>
      </c>
      <c r="F268" t="inlineStr">
        <is>
          <t>REP</t>
        </is>
      </c>
      <c r="G268" t="inlineStr">
        <is>
          <t>10032019</t>
        </is>
      </c>
      <c r="H268" t="n">
        <v>2500</v>
      </c>
      <c r="I268" t="inlineStr">
        <is>
          <t>201911079165333665</t>
        </is>
      </c>
      <c r="J268" t="inlineStr">
        <is>
          <t>https://docquery.fec.gov/cgi-bin/fecimg/?201911079165333665</t>
        </is>
      </c>
    </row>
    <row r="269">
      <c r="A269" t="inlineStr">
        <is>
          <t>2020</t>
        </is>
      </c>
      <c r="B269" t="inlineStr">
        <is>
          <t>C00342766</t>
        </is>
      </c>
      <c r="C269" t="inlineStr">
        <is>
          <t>HF Sinclair PAC (DINO PAC; formerly HollyFrontier PAC)</t>
        </is>
      </c>
      <c r="D269" t="inlineStr">
        <is>
          <t>STEVE DAINES FOR MONTANA</t>
        </is>
      </c>
      <c r="E269" t="inlineStr">
        <is>
          <t>S2MT00096</t>
        </is>
      </c>
      <c r="F269" t="inlineStr">
        <is>
          <t>REP</t>
        </is>
      </c>
      <c r="G269" t="inlineStr">
        <is>
          <t>10032019</t>
        </is>
      </c>
      <c r="H269" t="n">
        <v>2500</v>
      </c>
      <c r="I269" t="inlineStr">
        <is>
          <t>201911079165333666</t>
        </is>
      </c>
      <c r="J269" t="inlineStr">
        <is>
          <t>https://docquery.fec.gov/cgi-bin/fecimg/?201911079165333666</t>
        </is>
      </c>
    </row>
    <row r="270">
      <c r="A270" t="inlineStr">
        <is>
          <t>2020</t>
        </is>
      </c>
      <c r="B270" t="inlineStr">
        <is>
          <t>C00342766</t>
        </is>
      </c>
      <c r="C270" t="inlineStr">
        <is>
          <t>HF Sinclair PAC (DINO PAC; formerly HollyFrontier PAC)</t>
        </is>
      </c>
      <c r="D270" t="inlineStr">
        <is>
          <t>CORY GARDNER FOR SENATE</t>
        </is>
      </c>
      <c r="E270" t="inlineStr">
        <is>
          <t>S4CO00395</t>
        </is>
      </c>
      <c r="F270" t="inlineStr">
        <is>
          <t>REP</t>
        </is>
      </c>
      <c r="G270" t="inlineStr">
        <is>
          <t>10032019</t>
        </is>
      </c>
      <c r="H270" t="n">
        <v>5000</v>
      </c>
      <c r="I270" t="inlineStr">
        <is>
          <t>201911079165333666</t>
        </is>
      </c>
      <c r="J270" t="inlineStr">
        <is>
          <t>https://docquery.fec.gov/cgi-bin/fecimg/?201911079165333666</t>
        </is>
      </c>
    </row>
    <row r="271">
      <c r="A271" t="inlineStr">
        <is>
          <t>2020</t>
        </is>
      </c>
      <c r="B271" t="inlineStr">
        <is>
          <t>C00342766</t>
        </is>
      </c>
      <c r="C271" t="inlineStr">
        <is>
          <t>HF Sinclair PAC (DINO PAC; formerly HollyFrontier PAC)</t>
        </is>
      </c>
      <c r="D271" t="inlineStr">
        <is>
          <t>HERN FOR CONGRESS</t>
        </is>
      </c>
      <c r="E271" t="inlineStr">
        <is>
          <t>H8OK01157</t>
        </is>
      </c>
      <c r="F271" t="inlineStr">
        <is>
          <t>REP</t>
        </is>
      </c>
      <c r="G271" t="inlineStr">
        <is>
          <t>10032019</t>
        </is>
      </c>
      <c r="H271" t="n">
        <v>2500</v>
      </c>
      <c r="I271" t="inlineStr">
        <is>
          <t>201911079165333666</t>
        </is>
      </c>
      <c r="J271" t="inlineStr">
        <is>
          <t>https://docquery.fec.gov/cgi-bin/fecimg/?201911079165333666</t>
        </is>
      </c>
    </row>
    <row r="272">
      <c r="A272" t="inlineStr">
        <is>
          <t>2020</t>
        </is>
      </c>
      <c r="B272" t="inlineStr">
        <is>
          <t>C00342766</t>
        </is>
      </c>
      <c r="C272" t="inlineStr">
        <is>
          <t>HF Sinclair PAC (DINO PAC; formerly HollyFrontier PAC)</t>
        </is>
      </c>
      <c r="D272" t="inlineStr">
        <is>
          <t>AUGUST PFLUGER FOR CONGRESS</t>
        </is>
      </c>
      <c r="E272" t="inlineStr">
        <is>
          <t>H0TX11230</t>
        </is>
      </c>
      <c r="F272" t="inlineStr">
        <is>
          <t>REP</t>
        </is>
      </c>
      <c r="G272" t="inlineStr">
        <is>
          <t>10192020</t>
        </is>
      </c>
      <c r="H272" t="n">
        <v>1000</v>
      </c>
      <c r="I272" t="inlineStr">
        <is>
          <t>202011239337066614</t>
        </is>
      </c>
      <c r="J272" t="inlineStr">
        <is>
          <t>https://docquery.fec.gov/cgi-bin/fecimg/?202011239337066614</t>
        </is>
      </c>
    </row>
    <row r="273">
      <c r="A273" t="inlineStr">
        <is>
          <t>2020</t>
        </is>
      </c>
      <c r="B273" t="inlineStr">
        <is>
          <t>C00342766</t>
        </is>
      </c>
      <c r="C273" t="inlineStr">
        <is>
          <t>HF Sinclair PAC (DINO PAC; formerly HollyFrontier PAC)</t>
        </is>
      </c>
      <c r="D273" t="inlineStr">
        <is>
          <t>BURGESS 4 UTAH</t>
        </is>
      </c>
      <c r="E273" t="inlineStr">
        <is>
          <t>H0UT04076</t>
        </is>
      </c>
      <c r="F273" t="inlineStr">
        <is>
          <t>REP</t>
        </is>
      </c>
      <c r="G273" t="inlineStr">
        <is>
          <t>10192020</t>
        </is>
      </c>
      <c r="H273" t="n">
        <v>1000</v>
      </c>
      <c r="I273" t="inlineStr">
        <is>
          <t>202011239337066614</t>
        </is>
      </c>
      <c r="J273" t="inlineStr">
        <is>
          <t>https://docquery.fec.gov/cgi-bin/fecimg/?202011239337066614</t>
        </is>
      </c>
    </row>
    <row r="274">
      <c r="A274" t="inlineStr">
        <is>
          <t>2020</t>
        </is>
      </c>
      <c r="B274" t="inlineStr">
        <is>
          <t>C00342766</t>
        </is>
      </c>
      <c r="C274" t="inlineStr">
        <is>
          <t>HF Sinclair PAC (DINO PAC; formerly HollyFrontier PAC)</t>
        </is>
      </c>
      <c r="D274" t="inlineStr">
        <is>
          <t>MARK RONCHETTI FOR NEW MEXICO</t>
        </is>
      </c>
      <c r="E274" t="inlineStr">
        <is>
          <t>S0NM00124</t>
        </is>
      </c>
      <c r="F274" t="inlineStr">
        <is>
          <t>REP</t>
        </is>
      </c>
      <c r="G274" t="inlineStr">
        <is>
          <t>10192020</t>
        </is>
      </c>
      <c r="H274" t="n">
        <v>1000</v>
      </c>
      <c r="I274" t="inlineStr">
        <is>
          <t>202011239337066615</t>
        </is>
      </c>
      <c r="J274" t="inlineStr">
        <is>
          <t>https://docquery.fec.gov/cgi-bin/fecimg/?202011239337066615</t>
        </is>
      </c>
    </row>
    <row r="275">
      <c r="A275" t="inlineStr">
        <is>
          <t>2020</t>
        </is>
      </c>
      <c r="B275" t="inlineStr">
        <is>
          <t>C00342766</t>
        </is>
      </c>
      <c r="C275" t="inlineStr">
        <is>
          <t>HF Sinclair PAC (DINO PAC; formerly HollyFrontier PAC)</t>
        </is>
      </c>
      <c r="D275" t="inlineStr">
        <is>
          <t>GEORGIANS FOR KELLY LOEFFLER</t>
        </is>
      </c>
      <c r="E275" t="inlineStr">
        <is>
          <t>S0GA00526</t>
        </is>
      </c>
      <c r="F275" t="inlineStr">
        <is>
          <t>REP</t>
        </is>
      </c>
      <c r="G275" t="inlineStr">
        <is>
          <t>11102020</t>
        </is>
      </c>
      <c r="H275" t="n">
        <v>5000</v>
      </c>
      <c r="I275" t="inlineStr">
        <is>
          <t>202011239337066615</t>
        </is>
      </c>
      <c r="J275" t="inlineStr">
        <is>
          <t>https://docquery.fec.gov/cgi-bin/fecimg/?202011239337066615</t>
        </is>
      </c>
    </row>
    <row r="276">
      <c r="A276" t="inlineStr">
        <is>
          <t>2020</t>
        </is>
      </c>
      <c r="B276" t="inlineStr">
        <is>
          <t>C00342766</t>
        </is>
      </c>
      <c r="C276" t="inlineStr">
        <is>
          <t>HF Sinclair PAC (DINO PAC; formerly HollyFrontier PAC)</t>
        </is>
      </c>
      <c r="D276" t="inlineStr">
        <is>
          <t>PERDUE FOR SENATE</t>
        </is>
      </c>
      <c r="E276" t="inlineStr">
        <is>
          <t>S4GA11285</t>
        </is>
      </c>
      <c r="F276" t="inlineStr">
        <is>
          <t>REP</t>
        </is>
      </c>
      <c r="G276" t="inlineStr">
        <is>
          <t>11102020</t>
        </is>
      </c>
      <c r="H276" t="n">
        <v>5000</v>
      </c>
      <c r="I276" t="inlineStr">
        <is>
          <t>202011239337066616</t>
        </is>
      </c>
      <c r="J276" t="inlineStr">
        <is>
          <t>https://docquery.fec.gov/cgi-bin/fecimg/?202011239337066616</t>
        </is>
      </c>
    </row>
    <row r="277">
      <c r="A277" t="inlineStr">
        <is>
          <t>2020</t>
        </is>
      </c>
      <c r="B277" t="inlineStr">
        <is>
          <t>C00342766</t>
        </is>
      </c>
      <c r="C277" t="inlineStr">
        <is>
          <t>HF Sinclair PAC (DINO PAC; formerly HollyFrontier PAC)</t>
        </is>
      </c>
      <c r="D277" t="inlineStr">
        <is>
          <t>VICENTE GONZALEZ FOR CONGRESS</t>
        </is>
      </c>
      <c r="E277" t="inlineStr">
        <is>
          <t>H6TX15162</t>
        </is>
      </c>
      <c r="F277" t="inlineStr">
        <is>
          <t>DEM</t>
        </is>
      </c>
      <c r="G277" t="inlineStr">
        <is>
          <t>11192019</t>
        </is>
      </c>
      <c r="H277" t="n">
        <v>2500</v>
      </c>
      <c r="I277" t="inlineStr">
        <is>
          <t>201912069166160669</t>
        </is>
      </c>
      <c r="J277" t="inlineStr">
        <is>
          <t>https://docquery.fec.gov/cgi-bin/fecimg/?201912069166160669</t>
        </is>
      </c>
    </row>
    <row r="278">
      <c r="A278" t="inlineStr">
        <is>
          <t>2020</t>
        </is>
      </c>
      <c r="B278" t="inlineStr">
        <is>
          <t>C00342766</t>
        </is>
      </c>
      <c r="C278" t="inlineStr">
        <is>
          <t>HF Sinclair PAC (DINO PAC; formerly HollyFrontier PAC)</t>
        </is>
      </c>
      <c r="D278" t="inlineStr">
        <is>
          <t>RICHMOND, CEDRIC L</t>
        </is>
      </c>
      <c r="E278" t="inlineStr">
        <is>
          <t>H8LA02054</t>
        </is>
      </c>
      <c r="F278" t="inlineStr">
        <is>
          <t>DEM</t>
        </is>
      </c>
      <c r="G278" t="inlineStr">
        <is>
          <t>11282020</t>
        </is>
      </c>
      <c r="H278" t="n">
        <v>-1500</v>
      </c>
      <c r="I278" t="inlineStr">
        <is>
          <t>202101129398407864</t>
        </is>
      </c>
      <c r="J278" t="inlineStr">
        <is>
          <t>https://docquery.fec.gov/cgi-bin/fecimg/?202101129398407864</t>
        </is>
      </c>
    </row>
    <row r="279">
      <c r="A279" t="inlineStr">
        <is>
          <t>2020</t>
        </is>
      </c>
      <c r="B279" t="inlineStr">
        <is>
          <t>C00342766</t>
        </is>
      </c>
      <c r="C279" t="inlineStr">
        <is>
          <t>HF Sinclair PAC (DINO PAC; formerly HollyFrontier PAC)</t>
        </is>
      </c>
      <c r="D279" t="inlineStr">
        <is>
          <t>CINDY HYDE-SMITH FOR US SENATE</t>
        </is>
      </c>
      <c r="E279" t="inlineStr">
        <is>
          <t>S8MS00261</t>
        </is>
      </c>
      <c r="F279" t="inlineStr">
        <is>
          <t>REP</t>
        </is>
      </c>
      <c r="G279" t="inlineStr">
        <is>
          <t>12072020</t>
        </is>
      </c>
      <c r="H279" t="n">
        <v>1000</v>
      </c>
      <c r="I279" t="inlineStr">
        <is>
          <t>202101129398407863</t>
        </is>
      </c>
      <c r="J279" t="inlineStr">
        <is>
          <t>https://docquery.fec.gov/cgi-bin/fecimg/?202101129398407863</t>
        </is>
      </c>
    </row>
    <row r="280">
      <c r="A280" t="inlineStr">
        <is>
          <t>2020</t>
        </is>
      </c>
      <c r="B280" t="inlineStr">
        <is>
          <t>C00342766</t>
        </is>
      </c>
      <c r="C280" t="inlineStr">
        <is>
          <t>HF Sinclair PAC (DINO PAC; formerly HollyFrontier PAC)</t>
        </is>
      </c>
      <c r="D280" t="inlineStr">
        <is>
          <t>GEORGIANS FOR KELLY LOEFFLER</t>
        </is>
      </c>
      <c r="E280" t="inlineStr">
        <is>
          <t>S0GA00526</t>
        </is>
      </c>
      <c r="F280" t="inlineStr">
        <is>
          <t>REP</t>
        </is>
      </c>
      <c r="G280" t="inlineStr">
        <is>
          <t>12072020</t>
        </is>
      </c>
      <c r="H280" t="n">
        <v>5000</v>
      </c>
      <c r="I280" t="inlineStr">
        <is>
          <t>202101129398407863</t>
        </is>
      </c>
      <c r="J280" t="inlineStr">
        <is>
          <t>https://docquery.fec.gov/cgi-bin/fecimg/?202101129398407863</t>
        </is>
      </c>
    </row>
    <row r="281">
      <c r="A281" t="inlineStr">
        <is>
          <t>2020</t>
        </is>
      </c>
      <c r="B281" t="inlineStr">
        <is>
          <t>C00342766</t>
        </is>
      </c>
      <c r="C281" t="inlineStr">
        <is>
          <t>HF Sinclair PAC (DINO PAC; formerly HollyFrontier PAC)</t>
        </is>
      </c>
      <c r="D281" t="inlineStr">
        <is>
          <t>PERDUE FOR SENATE</t>
        </is>
      </c>
      <c r="E281" t="inlineStr">
        <is>
          <t>S4GA11285</t>
        </is>
      </c>
      <c r="F281" t="inlineStr">
        <is>
          <t>REP</t>
        </is>
      </c>
      <c r="G281" t="inlineStr">
        <is>
          <t>12072020</t>
        </is>
      </c>
      <c r="H281" t="n">
        <v>5000</v>
      </c>
      <c r="I281" t="inlineStr">
        <is>
          <t>202101129398407863</t>
        </is>
      </c>
      <c r="J281" t="inlineStr">
        <is>
          <t>https://docquery.fec.gov/cgi-bin/fecimg/?202101129398407863</t>
        </is>
      </c>
    </row>
    <row r="282">
      <c r="A282" t="inlineStr">
        <is>
          <t>2020</t>
        </is>
      </c>
      <c r="B282" t="inlineStr">
        <is>
          <t>C00342766</t>
        </is>
      </c>
      <c r="C282" t="inlineStr">
        <is>
          <t>HF Sinclair PAC (DINO PAC; formerly HollyFrontier PAC)</t>
        </is>
      </c>
      <c r="D282" t="inlineStr">
        <is>
          <t>ROGER WILLIAMS FOR U S CONGRESS COMMITTEE</t>
        </is>
      </c>
      <c r="E282" t="inlineStr">
        <is>
          <t>H2TX33040</t>
        </is>
      </c>
      <c r="F282" t="inlineStr">
        <is>
          <t>REP</t>
        </is>
      </c>
      <c r="G282" t="inlineStr">
        <is>
          <t>12162019</t>
        </is>
      </c>
      <c r="H282" t="n">
        <v>1000</v>
      </c>
      <c r="I282" t="inlineStr">
        <is>
          <t>202001139167158160</t>
        </is>
      </c>
      <c r="J282" t="inlineStr">
        <is>
          <t>https://docquery.fec.gov/cgi-bin/fecimg/?202001139167158160</t>
        </is>
      </c>
    </row>
    <row r="283">
      <c r="A283" t="inlineStr">
        <is>
          <t>2020</t>
        </is>
      </c>
      <c r="B283" t="inlineStr">
        <is>
          <t>C00342766</t>
        </is>
      </c>
      <c r="C283" t="inlineStr">
        <is>
          <t>HF Sinclair PAC (DINO PAC; formerly HollyFrontier PAC)</t>
        </is>
      </c>
      <c r="D283" t="inlineStr">
        <is>
          <t>PERDUE FOR SENATE</t>
        </is>
      </c>
      <c r="E283" t="inlineStr">
        <is>
          <t>S4GA11285</t>
        </is>
      </c>
      <c r="F283" t="inlineStr">
        <is>
          <t>REP</t>
        </is>
      </c>
      <c r="G283" t="inlineStr">
        <is>
          <t>12302020</t>
        </is>
      </c>
      <c r="H283" t="n">
        <v>-5000</v>
      </c>
      <c r="I283" t="inlineStr">
        <is>
          <t>202101129398407864</t>
        </is>
      </c>
      <c r="J283" t="inlineStr">
        <is>
          <t>https://docquery.fec.gov/cgi-bin/fecimg/?202101129398407864</t>
        </is>
      </c>
    </row>
    <row r="284">
      <c r="A284" t="inlineStr">
        <is>
          <t>2020</t>
        </is>
      </c>
      <c r="B284" t="inlineStr">
        <is>
          <t>C00342766</t>
        </is>
      </c>
      <c r="C284" t="inlineStr">
        <is>
          <t>HF Sinclair PAC (DINO PAC; formerly HollyFrontier PAC)</t>
        </is>
      </c>
      <c r="D284" t="inlineStr">
        <is>
          <t>PERDUE FOR SENATE</t>
        </is>
      </c>
      <c r="E284" t="inlineStr">
        <is>
          <t>S4GA11285</t>
        </is>
      </c>
      <c r="F284" t="inlineStr">
        <is>
          <t>REP</t>
        </is>
      </c>
      <c r="G284" t="inlineStr">
        <is>
          <t>12302020</t>
        </is>
      </c>
      <c r="H284" t="n">
        <v>5000</v>
      </c>
      <c r="I284" t="inlineStr">
        <is>
          <t>202101129398407864</t>
        </is>
      </c>
      <c r="J284" t="inlineStr">
        <is>
          <t>https://docquery.fec.gov/cgi-bin/fecimg/?202101129398407864</t>
        </is>
      </c>
    </row>
    <row r="285">
      <c r="A285" t="inlineStr">
        <is>
          <t>2020</t>
        </is>
      </c>
      <c r="B285" t="inlineStr">
        <is>
          <t>C00496307</t>
        </is>
      </c>
      <c r="C285" t="inlineStr">
        <is>
          <t>Marathon Petroleum Corp Employees PAC (MPAC)</t>
        </is>
      </c>
      <c r="D285" t="inlineStr">
        <is>
          <t>MCCONNELL SENATE COMMITTEE</t>
        </is>
      </c>
      <c r="E285" t="inlineStr">
        <is>
          <t>S2KY00012</t>
        </is>
      </c>
      <c r="F285" t="inlineStr">
        <is>
          <t>REP</t>
        </is>
      </c>
      <c r="G285" t="inlineStr">
        <is>
          <t>01242019</t>
        </is>
      </c>
      <c r="H285" t="n">
        <v>5000</v>
      </c>
      <c r="I285" t="inlineStr">
        <is>
          <t>201902199145530743</t>
        </is>
      </c>
      <c r="J285" t="inlineStr">
        <is>
          <t>https://docquery.fec.gov/cgi-bin/fecimg/?201902199145530743</t>
        </is>
      </c>
    </row>
    <row r="286">
      <c r="A286" t="inlineStr">
        <is>
          <t>2020</t>
        </is>
      </c>
      <c r="B286" t="inlineStr">
        <is>
          <t>C00496307</t>
        </is>
      </c>
      <c r="C286" t="inlineStr">
        <is>
          <t>Marathon Petroleum Corp Employees PAC (MPAC)</t>
        </is>
      </c>
      <c r="D286" t="inlineStr">
        <is>
          <t>MCCONNELL SENATE COMMITTEE</t>
        </is>
      </c>
      <c r="E286" t="inlineStr">
        <is>
          <t>S2KY00012</t>
        </is>
      </c>
      <c r="F286" t="inlineStr">
        <is>
          <t>REP</t>
        </is>
      </c>
      <c r="G286" t="inlineStr">
        <is>
          <t>01242019</t>
        </is>
      </c>
      <c r="H286" t="n">
        <v>5000</v>
      </c>
      <c r="I286" t="inlineStr">
        <is>
          <t>201902199145530744</t>
        </is>
      </c>
      <c r="J286" t="inlineStr">
        <is>
          <t>https://docquery.fec.gov/cgi-bin/fecimg/?201902199145530744</t>
        </is>
      </c>
    </row>
    <row r="287">
      <c r="A287" t="inlineStr">
        <is>
          <t>2020</t>
        </is>
      </c>
      <c r="B287" t="inlineStr">
        <is>
          <t>C00496307</t>
        </is>
      </c>
      <c r="C287" t="inlineStr">
        <is>
          <t>Marathon Petroleum Corp Employees PAC (MPAC)</t>
        </is>
      </c>
      <c r="D287" t="inlineStr">
        <is>
          <t>MIKE KELLY FOR CONGRESS</t>
        </is>
      </c>
      <c r="E287" t="inlineStr">
        <is>
          <t>H0PA03271</t>
        </is>
      </c>
      <c r="F287" t="inlineStr">
        <is>
          <t>REP</t>
        </is>
      </c>
      <c r="G287" t="inlineStr">
        <is>
          <t>01242019</t>
        </is>
      </c>
      <c r="H287" t="n">
        <v>5000</v>
      </c>
      <c r="I287" t="inlineStr">
        <is>
          <t>201902199145530744</t>
        </is>
      </c>
      <c r="J287" t="inlineStr">
        <is>
          <t>https://docquery.fec.gov/cgi-bin/fecimg/?201902199145530744</t>
        </is>
      </c>
    </row>
    <row r="288">
      <c r="A288" t="inlineStr">
        <is>
          <t>2020</t>
        </is>
      </c>
      <c r="B288" t="inlineStr">
        <is>
          <t>C00496307</t>
        </is>
      </c>
      <c r="C288" t="inlineStr">
        <is>
          <t>Marathon Petroleum Corp Employees PAC (MPAC)</t>
        </is>
      </c>
      <c r="D288" t="inlineStr">
        <is>
          <t>SCALISE FOR CONGRESS</t>
        </is>
      </c>
      <c r="E288" t="inlineStr">
        <is>
          <t>H0LA01087</t>
        </is>
      </c>
      <c r="F288" t="inlineStr">
        <is>
          <t>REP</t>
        </is>
      </c>
      <c r="G288" t="inlineStr">
        <is>
          <t>01242019</t>
        </is>
      </c>
      <c r="H288" t="n">
        <v>5000</v>
      </c>
      <c r="I288" t="inlineStr">
        <is>
          <t>201902199145530746</t>
        </is>
      </c>
      <c r="J288" t="inlineStr">
        <is>
          <t>https://docquery.fec.gov/cgi-bin/fecimg/?201902199145530746</t>
        </is>
      </c>
    </row>
    <row r="289">
      <c r="A289" t="inlineStr">
        <is>
          <t>2020</t>
        </is>
      </c>
      <c r="B289" t="inlineStr">
        <is>
          <t>C00496307</t>
        </is>
      </c>
      <c r="C289" t="inlineStr">
        <is>
          <t>Marathon Petroleum Corp Employees PAC (MPAC)</t>
        </is>
      </c>
      <c r="D289" t="inlineStr">
        <is>
          <t>KEVIN MCCARTHY FOR CONGRESS</t>
        </is>
      </c>
      <c r="E289" t="inlineStr">
        <is>
          <t>H6CA22125</t>
        </is>
      </c>
      <c r="F289" t="inlineStr">
        <is>
          <t>REP</t>
        </is>
      </c>
      <c r="G289" t="inlineStr">
        <is>
          <t>01242019</t>
        </is>
      </c>
      <c r="H289" t="n">
        <v>5000</v>
      </c>
      <c r="I289" t="inlineStr">
        <is>
          <t>201902199145530742</t>
        </is>
      </c>
      <c r="J289" t="inlineStr">
        <is>
          <t>https://docquery.fec.gov/cgi-bin/fecimg/?201902199145530742</t>
        </is>
      </c>
    </row>
    <row r="290">
      <c r="A290" t="inlineStr">
        <is>
          <t>2020</t>
        </is>
      </c>
      <c r="B290" t="inlineStr">
        <is>
          <t>C00496307</t>
        </is>
      </c>
      <c r="C290" t="inlineStr">
        <is>
          <t>Marathon Petroleum Corp Employees PAC (MPAC)</t>
        </is>
      </c>
      <c r="D290" t="inlineStr">
        <is>
          <t>KEVIN MCCARTHY FOR CONGRESS</t>
        </is>
      </c>
      <c r="E290" t="inlineStr">
        <is>
          <t>H6CA22125</t>
        </is>
      </c>
      <c r="F290" t="inlineStr">
        <is>
          <t>REP</t>
        </is>
      </c>
      <c r="G290" t="inlineStr">
        <is>
          <t>01242019</t>
        </is>
      </c>
      <c r="H290" t="n">
        <v>5000</v>
      </c>
      <c r="I290" t="inlineStr">
        <is>
          <t>201902199145530743</t>
        </is>
      </c>
      <c r="J290" t="inlineStr">
        <is>
          <t>https://docquery.fec.gov/cgi-bin/fecimg/?201902199145530743</t>
        </is>
      </c>
    </row>
    <row r="291">
      <c r="A291" t="inlineStr">
        <is>
          <t>2020</t>
        </is>
      </c>
      <c r="B291" t="inlineStr">
        <is>
          <t>C00496307</t>
        </is>
      </c>
      <c r="C291" t="inlineStr">
        <is>
          <t>Marathon Petroleum Corp Employees PAC (MPAC)</t>
        </is>
      </c>
      <c r="D291" t="inlineStr">
        <is>
          <t>CORY GARDNER FOR SENATE</t>
        </is>
      </c>
      <c r="E291" t="inlineStr">
        <is>
          <t>S4CO00395</t>
        </is>
      </c>
      <c r="F291" t="inlineStr">
        <is>
          <t>REP</t>
        </is>
      </c>
      <c r="G291" t="inlineStr">
        <is>
          <t>01242019</t>
        </is>
      </c>
      <c r="H291" t="n">
        <v>2500</v>
      </c>
      <c r="I291" t="inlineStr">
        <is>
          <t>201902199145530742</t>
        </is>
      </c>
      <c r="J291" t="inlineStr">
        <is>
          <t>https://docquery.fec.gov/cgi-bin/fecimg/?201902199145530742</t>
        </is>
      </c>
    </row>
    <row r="292">
      <c r="A292" t="inlineStr">
        <is>
          <t>2020</t>
        </is>
      </c>
      <c r="B292" t="inlineStr">
        <is>
          <t>C00496307</t>
        </is>
      </c>
      <c r="C292" t="inlineStr">
        <is>
          <t>Marathon Petroleum Corp Employees PAC (MPAC)</t>
        </is>
      </c>
      <c r="D292" t="inlineStr">
        <is>
          <t>TERRI SEWELL FOR CONGRESS</t>
        </is>
      </c>
      <c r="E292" t="inlineStr">
        <is>
          <t>H0AL07086</t>
        </is>
      </c>
      <c r="F292" t="inlineStr">
        <is>
          <t>DEM</t>
        </is>
      </c>
      <c r="G292" t="inlineStr">
        <is>
          <t>01292019</t>
        </is>
      </c>
      <c r="H292" t="n">
        <v>1500</v>
      </c>
      <c r="I292" t="inlineStr">
        <is>
          <t>201902199145530746</t>
        </is>
      </c>
      <c r="J292" t="inlineStr">
        <is>
          <t>https://docquery.fec.gov/cgi-bin/fecimg/?201902199145530746</t>
        </is>
      </c>
    </row>
    <row r="293">
      <c r="A293" t="inlineStr">
        <is>
          <t>2020</t>
        </is>
      </c>
      <c r="B293" t="inlineStr">
        <is>
          <t>C00496307</t>
        </is>
      </c>
      <c r="C293" t="inlineStr">
        <is>
          <t>Marathon Petroleum Corp Employees PAC (MPAC)</t>
        </is>
      </c>
      <c r="D293" t="inlineStr">
        <is>
          <t>DAN CRENSHAW FOR CONGRESS</t>
        </is>
      </c>
      <c r="E293" t="inlineStr">
        <is>
          <t>H8TX02166</t>
        </is>
      </c>
      <c r="F293" t="inlineStr">
        <is>
          <t>REP</t>
        </is>
      </c>
      <c r="G293" t="inlineStr">
        <is>
          <t>02082019</t>
        </is>
      </c>
      <c r="H293" t="n">
        <v>2500</v>
      </c>
      <c r="I293" t="inlineStr">
        <is>
          <t>201903199145748813</t>
        </is>
      </c>
      <c r="J293" t="inlineStr">
        <is>
          <t>https://docquery.fec.gov/cgi-bin/fecimg/?201903199145748813</t>
        </is>
      </c>
    </row>
    <row r="294">
      <c r="A294" t="inlineStr">
        <is>
          <t>2020</t>
        </is>
      </c>
      <c r="B294" t="inlineStr">
        <is>
          <t>C00496307</t>
        </is>
      </c>
      <c r="C294" t="inlineStr">
        <is>
          <t>Marathon Petroleum Corp Employees PAC (MPAC)</t>
        </is>
      </c>
      <c r="D294" t="inlineStr">
        <is>
          <t>HURD FOR CONGRESS</t>
        </is>
      </c>
      <c r="E294" t="inlineStr">
        <is>
          <t>H0TX23086</t>
        </is>
      </c>
      <c r="F294" t="inlineStr">
        <is>
          <t>REP</t>
        </is>
      </c>
      <c r="G294" t="inlineStr">
        <is>
          <t>02082019</t>
        </is>
      </c>
      <c r="H294" t="n">
        <v>2000</v>
      </c>
      <c r="I294" t="inlineStr">
        <is>
          <t>201903199145748814</t>
        </is>
      </c>
      <c r="J294" t="inlineStr">
        <is>
          <t>https://docquery.fec.gov/cgi-bin/fecimg/?201903199145748814</t>
        </is>
      </c>
    </row>
    <row r="295">
      <c r="A295" t="inlineStr">
        <is>
          <t>2020</t>
        </is>
      </c>
      <c r="B295" t="inlineStr">
        <is>
          <t>C00496307</t>
        </is>
      </c>
      <c r="C295" t="inlineStr">
        <is>
          <t>Marathon Petroleum Corp Employees PAC (MPAC)</t>
        </is>
      </c>
      <c r="D295" t="inlineStr">
        <is>
          <t>STEVE DAINES FOR MONTANA</t>
        </is>
      </c>
      <c r="E295" t="inlineStr">
        <is>
          <t>S2MT00096</t>
        </is>
      </c>
      <c r="F295" t="inlineStr">
        <is>
          <t>REP</t>
        </is>
      </c>
      <c r="G295" t="inlineStr">
        <is>
          <t>02082019</t>
        </is>
      </c>
      <c r="H295" t="n">
        <v>2500</v>
      </c>
      <c r="I295" t="inlineStr">
        <is>
          <t>201903199145748814</t>
        </is>
      </c>
      <c r="J295" t="inlineStr">
        <is>
          <t>https://docquery.fec.gov/cgi-bin/fecimg/?201903199145748814</t>
        </is>
      </c>
    </row>
    <row r="296">
      <c r="A296" t="inlineStr">
        <is>
          <t>2020</t>
        </is>
      </c>
      <c r="B296" t="inlineStr">
        <is>
          <t>C00496307</t>
        </is>
      </c>
      <c r="C296" t="inlineStr">
        <is>
          <t>Marathon Petroleum Corp Employees PAC (MPAC)</t>
        </is>
      </c>
      <c r="D296" t="inlineStr">
        <is>
          <t>VERN BUCHANAN FOR CONGRESS</t>
        </is>
      </c>
      <c r="E296" t="inlineStr">
        <is>
          <t>H6FL13148</t>
        </is>
      </c>
      <c r="F296" t="inlineStr">
        <is>
          <t>REP</t>
        </is>
      </c>
      <c r="G296" t="inlineStr">
        <is>
          <t>02082019</t>
        </is>
      </c>
      <c r="H296" t="n">
        <v>5000</v>
      </c>
      <c r="I296" t="inlineStr">
        <is>
          <t>201903199145748814</t>
        </is>
      </c>
      <c r="J296" t="inlineStr">
        <is>
          <t>https://docquery.fec.gov/cgi-bin/fecimg/?201903199145748814</t>
        </is>
      </c>
    </row>
    <row r="297">
      <c r="A297" t="inlineStr">
        <is>
          <t>2020</t>
        </is>
      </c>
      <c r="B297" t="inlineStr">
        <is>
          <t>C00496307</t>
        </is>
      </c>
      <c r="C297" t="inlineStr">
        <is>
          <t>Marathon Petroleum Corp Employees PAC (MPAC)</t>
        </is>
      </c>
      <c r="D297" t="inlineStr">
        <is>
          <t>FRIENDS OF JIM INHOFE</t>
        </is>
      </c>
      <c r="E297" t="inlineStr">
        <is>
          <t>S4OK00083</t>
        </is>
      </c>
      <c r="F297" t="inlineStr">
        <is>
          <t>REP</t>
        </is>
      </c>
      <c r="G297" t="inlineStr">
        <is>
          <t>02082019</t>
        </is>
      </c>
      <c r="H297" t="n">
        <v>2500</v>
      </c>
      <c r="I297" t="inlineStr">
        <is>
          <t>201903199145748813</t>
        </is>
      </c>
      <c r="J297" t="inlineStr">
        <is>
          <t>https://docquery.fec.gov/cgi-bin/fecimg/?201903199145748813</t>
        </is>
      </c>
    </row>
    <row r="298">
      <c r="A298" t="inlineStr">
        <is>
          <t>2020</t>
        </is>
      </c>
      <c r="B298" t="inlineStr">
        <is>
          <t>C00496307</t>
        </is>
      </c>
      <c r="C298" t="inlineStr">
        <is>
          <t>Marathon Petroleum Corp Employees PAC (MPAC)</t>
        </is>
      </c>
      <c r="D298" t="inlineStr">
        <is>
          <t>WENSTRUP FOR CONGRESS</t>
        </is>
      </c>
      <c r="E298" t="inlineStr">
        <is>
          <t>H2OH02085</t>
        </is>
      </c>
      <c r="F298" t="inlineStr">
        <is>
          <t>REP</t>
        </is>
      </c>
      <c r="G298" t="inlineStr">
        <is>
          <t>02112020</t>
        </is>
      </c>
      <c r="H298" t="n">
        <v>2500</v>
      </c>
      <c r="I298" t="inlineStr">
        <is>
          <t>202003129203826152</t>
        </is>
      </c>
      <c r="J298" t="inlineStr">
        <is>
          <t>https://docquery.fec.gov/cgi-bin/fecimg/?202003129203826152</t>
        </is>
      </c>
    </row>
    <row r="299">
      <c r="A299" t="inlineStr">
        <is>
          <t>2020</t>
        </is>
      </c>
      <c r="B299" t="inlineStr">
        <is>
          <t>C00496307</t>
        </is>
      </c>
      <c r="C299" t="inlineStr">
        <is>
          <t>Marathon Petroleum Corp Employees PAC (MPAC)</t>
        </is>
      </c>
      <c r="D299" t="inlineStr">
        <is>
          <t>FRIENDS FOR CHRIS STEWART, INC.</t>
        </is>
      </c>
      <c r="E299" t="inlineStr">
        <is>
          <t>H2UT02324</t>
        </is>
      </c>
      <c r="F299" t="inlineStr">
        <is>
          <t>REP</t>
        </is>
      </c>
      <c r="G299" t="inlineStr">
        <is>
          <t>02112020</t>
        </is>
      </c>
      <c r="H299" t="n">
        <v>2500</v>
      </c>
      <c r="I299" t="inlineStr">
        <is>
          <t>202003129203826146</t>
        </is>
      </c>
      <c r="J299" t="inlineStr">
        <is>
          <t>https://docquery.fec.gov/cgi-bin/fecimg/?202003129203826146</t>
        </is>
      </c>
    </row>
    <row r="300">
      <c r="A300" t="inlineStr">
        <is>
          <t>2020</t>
        </is>
      </c>
      <c r="B300" t="inlineStr">
        <is>
          <t>C00496307</t>
        </is>
      </c>
      <c r="C300" t="inlineStr">
        <is>
          <t>Marathon Petroleum Corp Employees PAC (MPAC)</t>
        </is>
      </c>
      <c r="D300" t="inlineStr">
        <is>
          <t>HUDSON FOR CONGRESS</t>
        </is>
      </c>
      <c r="E300" t="inlineStr">
        <is>
          <t>H2NC08185</t>
        </is>
      </c>
      <c r="F300" t="inlineStr">
        <is>
          <t>REP</t>
        </is>
      </c>
      <c r="G300" t="inlineStr">
        <is>
          <t>02112020</t>
        </is>
      </c>
      <c r="H300" t="n">
        <v>1500</v>
      </c>
      <c r="I300" t="inlineStr">
        <is>
          <t>202003129203826147</t>
        </is>
      </c>
      <c r="J300" t="inlineStr">
        <is>
          <t>https://docquery.fec.gov/cgi-bin/fecimg/?202003129203826147</t>
        </is>
      </c>
    </row>
    <row r="301">
      <c r="A301" t="inlineStr">
        <is>
          <t>2020</t>
        </is>
      </c>
      <c r="B301" t="inlineStr">
        <is>
          <t>C00496307</t>
        </is>
      </c>
      <c r="C301" t="inlineStr">
        <is>
          <t>Marathon Petroleum Corp Employees PAC (MPAC)</t>
        </is>
      </c>
      <c r="D301" t="inlineStr">
        <is>
          <t>TEXANS FOR SENATOR JOHN CORNYN INC</t>
        </is>
      </c>
      <c r="E301" t="inlineStr">
        <is>
          <t>S2TX00106</t>
        </is>
      </c>
      <c r="F301" t="inlineStr">
        <is>
          <t>REP</t>
        </is>
      </c>
      <c r="G301" t="inlineStr">
        <is>
          <t>02112020</t>
        </is>
      </c>
      <c r="H301" t="n">
        <v>1500</v>
      </c>
      <c r="I301" t="inlineStr">
        <is>
          <t>202003129203826150</t>
        </is>
      </c>
      <c r="J301" t="inlineStr">
        <is>
          <t>https://docquery.fec.gov/cgi-bin/fecimg/?202003129203826150</t>
        </is>
      </c>
    </row>
    <row r="302">
      <c r="A302" t="inlineStr">
        <is>
          <t>2020</t>
        </is>
      </c>
      <c r="B302" t="inlineStr">
        <is>
          <t>C00496307</t>
        </is>
      </c>
      <c r="C302" t="inlineStr">
        <is>
          <t>Marathon Petroleum Corp Employees PAC (MPAC)</t>
        </is>
      </c>
      <c r="D302" t="inlineStr">
        <is>
          <t>MCHENRY FOR CONGRESS</t>
        </is>
      </c>
      <c r="E302" t="inlineStr">
        <is>
          <t>H4NC10047</t>
        </is>
      </c>
      <c r="F302" t="inlineStr">
        <is>
          <t>REP</t>
        </is>
      </c>
      <c r="G302" t="inlineStr">
        <is>
          <t>02112020</t>
        </is>
      </c>
      <c r="H302" t="n">
        <v>5000</v>
      </c>
      <c r="I302" t="inlineStr">
        <is>
          <t>202003129203826150</t>
        </is>
      </c>
      <c r="J302" t="inlineStr">
        <is>
          <t>https://docquery.fec.gov/cgi-bin/fecimg/?202003129203826150</t>
        </is>
      </c>
    </row>
    <row r="303">
      <c r="A303" t="inlineStr">
        <is>
          <t>2020</t>
        </is>
      </c>
      <c r="B303" t="inlineStr">
        <is>
          <t>C00496307</t>
        </is>
      </c>
      <c r="C303" t="inlineStr">
        <is>
          <t>Marathon Petroleum Corp Employees PAC (MPAC)</t>
        </is>
      </c>
      <c r="D303" t="inlineStr">
        <is>
          <t>WALBERG FOR CONGRESS</t>
        </is>
      </c>
      <c r="E303" t="inlineStr">
        <is>
          <t>H4MI07103</t>
        </is>
      </c>
      <c r="F303" t="inlineStr">
        <is>
          <t>REP</t>
        </is>
      </c>
      <c r="G303" t="inlineStr">
        <is>
          <t>02112020</t>
        </is>
      </c>
      <c r="H303" t="n">
        <v>2500</v>
      </c>
      <c r="I303" t="inlineStr">
        <is>
          <t>202003129203826151</t>
        </is>
      </c>
      <c r="J303" t="inlineStr">
        <is>
          <t>https://docquery.fec.gov/cgi-bin/fecimg/?202003129203826151</t>
        </is>
      </c>
    </row>
    <row r="304">
      <c r="A304" t="inlineStr">
        <is>
          <t>2020</t>
        </is>
      </c>
      <c r="B304" t="inlineStr">
        <is>
          <t>C00496307</t>
        </is>
      </c>
      <c r="C304" t="inlineStr">
        <is>
          <t>Marathon Petroleum Corp Employees PAC (MPAC)</t>
        </is>
      </c>
      <c r="D304" t="inlineStr">
        <is>
          <t>WEBER FOR CONGRESS</t>
        </is>
      </c>
      <c r="E304" t="inlineStr">
        <is>
          <t>H2TX14149</t>
        </is>
      </c>
      <c r="F304" t="inlineStr">
        <is>
          <t>REP</t>
        </is>
      </c>
      <c r="G304" t="inlineStr">
        <is>
          <t>02112020</t>
        </is>
      </c>
      <c r="H304" t="n">
        <v>2500</v>
      </c>
      <c r="I304" t="inlineStr">
        <is>
          <t>202003129203826151</t>
        </is>
      </c>
      <c r="J304" t="inlineStr">
        <is>
          <t>https://docquery.fec.gov/cgi-bin/fecimg/?202003129203826151</t>
        </is>
      </c>
    </row>
    <row r="305">
      <c r="A305" t="inlineStr">
        <is>
          <t>2020</t>
        </is>
      </c>
      <c r="B305" t="inlineStr">
        <is>
          <t>C00496307</t>
        </is>
      </c>
      <c r="C305" t="inlineStr">
        <is>
          <t>Marathon Petroleum Corp Employees PAC (MPAC)</t>
        </is>
      </c>
      <c r="D305" t="inlineStr">
        <is>
          <t>JIM BANKS FOR CONGRESS, INC.</t>
        </is>
      </c>
      <c r="E305" t="inlineStr">
        <is>
          <t>H6IN03229</t>
        </is>
      </c>
      <c r="F305" t="inlineStr">
        <is>
          <t>REP</t>
        </is>
      </c>
      <c r="G305" t="inlineStr">
        <is>
          <t>02132020</t>
        </is>
      </c>
      <c r="H305" t="n">
        <v>2500</v>
      </c>
      <c r="I305" t="inlineStr">
        <is>
          <t>202003129203826147</t>
        </is>
      </c>
      <c r="J305" t="inlineStr">
        <is>
          <t>https://docquery.fec.gov/cgi-bin/fecimg/?202003129203826147</t>
        </is>
      </c>
    </row>
    <row r="306">
      <c r="A306" t="inlineStr">
        <is>
          <t>2020</t>
        </is>
      </c>
      <c r="B306" t="inlineStr">
        <is>
          <t>C00496307</t>
        </is>
      </c>
      <c r="C306" t="inlineStr">
        <is>
          <t>Marathon Petroleum Corp Employees PAC (MPAC)</t>
        </is>
      </c>
      <c r="D306" t="inlineStr">
        <is>
          <t>MIKE JOHNSON FOR LOUISIANA</t>
        </is>
      </c>
      <c r="E306" t="inlineStr">
        <is>
          <t>H6LA04138</t>
        </is>
      </c>
      <c r="F306" t="inlineStr">
        <is>
          <t>REP</t>
        </is>
      </c>
      <c r="G306" t="inlineStr">
        <is>
          <t>02132020</t>
        </is>
      </c>
      <c r="H306" t="n">
        <v>2500</v>
      </c>
      <c r="I306" t="inlineStr">
        <is>
          <t>202003129203826149</t>
        </is>
      </c>
      <c r="J306" t="inlineStr">
        <is>
          <t>https://docquery.fec.gov/cgi-bin/fecimg/?202003129203826149</t>
        </is>
      </c>
    </row>
    <row r="307">
      <c r="A307" t="inlineStr">
        <is>
          <t>2020</t>
        </is>
      </c>
      <c r="B307" t="inlineStr">
        <is>
          <t>C00496307</t>
        </is>
      </c>
      <c r="C307" t="inlineStr">
        <is>
          <t>Marathon Petroleum Corp Employees PAC (MPAC)</t>
        </is>
      </c>
      <c r="D307" t="inlineStr">
        <is>
          <t>DREW FERGUSON FOR CONGRESS INC.</t>
        </is>
      </c>
      <c r="E307" t="inlineStr">
        <is>
          <t>H6GA03113</t>
        </is>
      </c>
      <c r="F307" t="inlineStr">
        <is>
          <t>REP</t>
        </is>
      </c>
      <c r="G307" t="inlineStr">
        <is>
          <t>02132020</t>
        </is>
      </c>
      <c r="H307" t="n">
        <v>2000</v>
      </c>
      <c r="I307" t="inlineStr">
        <is>
          <t>202003129203826146</t>
        </is>
      </c>
      <c r="J307" t="inlineStr">
        <is>
          <t>https://docquery.fec.gov/cgi-bin/fecimg/?202003129203826146</t>
        </is>
      </c>
    </row>
    <row r="308">
      <c r="A308" t="inlineStr">
        <is>
          <t>2020</t>
        </is>
      </c>
      <c r="B308" t="inlineStr">
        <is>
          <t>C00496307</t>
        </is>
      </c>
      <c r="C308" t="inlineStr">
        <is>
          <t>Marathon Petroleum Corp Employees PAC (MPAC)</t>
        </is>
      </c>
      <c r="D308" t="inlineStr">
        <is>
          <t>BILL FLORES FOR CONGRESS</t>
        </is>
      </c>
      <c r="E308" t="inlineStr">
        <is>
          <t>H0TX17104</t>
        </is>
      </c>
      <c r="F308" t="inlineStr">
        <is>
          <t>REP</t>
        </is>
      </c>
      <c r="G308" t="inlineStr">
        <is>
          <t>02182020</t>
        </is>
      </c>
      <c r="H308" t="n">
        <v>-2500</v>
      </c>
      <c r="I308" t="inlineStr">
        <is>
          <t>202003129203826145</t>
        </is>
      </c>
      <c r="J308" t="inlineStr">
        <is>
          <t>https://docquery.fec.gov/cgi-bin/fecimg/?202003129203826145</t>
        </is>
      </c>
    </row>
    <row r="309">
      <c r="A309" t="inlineStr">
        <is>
          <t>2020</t>
        </is>
      </c>
      <c r="B309" t="inlineStr">
        <is>
          <t>C00496307</t>
        </is>
      </c>
      <c r="C309" t="inlineStr">
        <is>
          <t>Marathon Petroleum Corp Employees PAC (MPAC)</t>
        </is>
      </c>
      <c r="D309" t="inlineStr">
        <is>
          <t>ENZI FOR US SENATE</t>
        </is>
      </c>
      <c r="E309" t="inlineStr">
        <is>
          <t>S6WY00126</t>
        </is>
      </c>
      <c r="F309" t="inlineStr">
        <is>
          <t>REP</t>
        </is>
      </c>
      <c r="G309" t="inlineStr">
        <is>
          <t>02182020</t>
        </is>
      </c>
      <c r="H309" t="n">
        <v>-2500</v>
      </c>
      <c r="I309" t="inlineStr">
        <is>
          <t>202003129203826146</t>
        </is>
      </c>
      <c r="J309" t="inlineStr">
        <is>
          <t>https://docquery.fec.gov/cgi-bin/fecimg/?202003129203826146</t>
        </is>
      </c>
    </row>
    <row r="310">
      <c r="A310" t="inlineStr">
        <is>
          <t>2020</t>
        </is>
      </c>
      <c r="B310" t="inlineStr">
        <is>
          <t>C00496307</t>
        </is>
      </c>
      <c r="C310" t="inlineStr">
        <is>
          <t>Marathon Petroleum Corp Employees PAC (MPAC)</t>
        </is>
      </c>
      <c r="D310" t="inlineStr">
        <is>
          <t>JOHN CARTER FOR CONGRESS</t>
        </is>
      </c>
      <c r="E310" t="inlineStr">
        <is>
          <t>H2TX31044</t>
        </is>
      </c>
      <c r="F310" t="inlineStr">
        <is>
          <t>REP</t>
        </is>
      </c>
      <c r="G310" t="inlineStr">
        <is>
          <t>02252020</t>
        </is>
      </c>
      <c r="H310" t="n">
        <v>500</v>
      </c>
      <c r="I310" t="inlineStr">
        <is>
          <t>202003129203826148</t>
        </is>
      </c>
      <c r="J310" t="inlineStr">
        <is>
          <t>https://docquery.fec.gov/cgi-bin/fecimg/?202003129203826148</t>
        </is>
      </c>
    </row>
    <row r="311">
      <c r="A311" t="inlineStr">
        <is>
          <t>2020</t>
        </is>
      </c>
      <c r="B311" t="inlineStr">
        <is>
          <t>C00496307</t>
        </is>
      </c>
      <c r="C311" t="inlineStr">
        <is>
          <t>Marathon Petroleum Corp Employees PAC (MPAC)</t>
        </is>
      </c>
      <c r="D311" t="inlineStr">
        <is>
          <t>THOMAS MASSIE FOR CONGRESS</t>
        </is>
      </c>
      <c r="E311" t="inlineStr">
        <is>
          <t>H2KY04121</t>
        </is>
      </c>
      <c r="F311" t="inlineStr">
        <is>
          <t>REP</t>
        </is>
      </c>
      <c r="G311" t="inlineStr">
        <is>
          <t>02252020</t>
        </is>
      </c>
      <c r="H311" t="n">
        <v>2500</v>
      </c>
      <c r="I311" t="inlineStr">
        <is>
          <t>202003129203826151</t>
        </is>
      </c>
      <c r="J311" t="inlineStr">
        <is>
          <t>https://docquery.fec.gov/cgi-bin/fecimg/?202003129203826151</t>
        </is>
      </c>
    </row>
    <row r="312">
      <c r="A312" t="inlineStr">
        <is>
          <t>2020</t>
        </is>
      </c>
      <c r="B312" t="inlineStr">
        <is>
          <t>C00496307</t>
        </is>
      </c>
      <c r="C312" t="inlineStr">
        <is>
          <t>Marathon Petroleum Corp Employees PAC (MPAC)</t>
        </is>
      </c>
      <c r="D312" t="inlineStr">
        <is>
          <t>ROUNDS FOR SENATE</t>
        </is>
      </c>
      <c r="E312" t="inlineStr">
        <is>
          <t>S4SD00049</t>
        </is>
      </c>
      <c r="F312" t="inlineStr">
        <is>
          <t>REP</t>
        </is>
      </c>
      <c r="G312" t="inlineStr">
        <is>
          <t>03052020</t>
        </is>
      </c>
      <c r="H312" t="n">
        <v>2000</v>
      </c>
      <c r="I312" t="inlineStr">
        <is>
          <t>202004099216622778</t>
        </is>
      </c>
      <c r="J312" t="inlineStr">
        <is>
          <t>https://docquery.fec.gov/cgi-bin/fecimg/?202004099216622778</t>
        </is>
      </c>
    </row>
    <row r="313">
      <c r="A313" t="inlineStr">
        <is>
          <t>2020</t>
        </is>
      </c>
      <c r="B313" t="inlineStr">
        <is>
          <t>C00496307</t>
        </is>
      </c>
      <c r="C313" t="inlineStr">
        <is>
          <t>Marathon Petroleum Corp Employees PAC (MPAC)</t>
        </is>
      </c>
      <c r="D313" t="inlineStr">
        <is>
          <t>ROUZER FOR CONGRESS</t>
        </is>
      </c>
      <c r="E313" t="inlineStr">
        <is>
          <t>H2NC07096</t>
        </is>
      </c>
      <c r="F313" t="inlineStr">
        <is>
          <t>REP</t>
        </is>
      </c>
      <c r="G313" t="inlineStr">
        <is>
          <t>03052020</t>
        </is>
      </c>
      <c r="H313" t="n">
        <v>3000</v>
      </c>
      <c r="I313" t="inlineStr">
        <is>
          <t>202004099216622779</t>
        </is>
      </c>
      <c r="J313" t="inlineStr">
        <is>
          <t>https://docquery.fec.gov/cgi-bin/fecimg/?202004099216622779</t>
        </is>
      </c>
    </row>
    <row r="314">
      <c r="A314" t="inlineStr">
        <is>
          <t>2020</t>
        </is>
      </c>
      <c r="B314" t="inlineStr">
        <is>
          <t>C00496307</t>
        </is>
      </c>
      <c r="C314" t="inlineStr">
        <is>
          <t>Marathon Petroleum Corp Employees PAC (MPAC)</t>
        </is>
      </c>
      <c r="D314" t="inlineStr">
        <is>
          <t>SIMPSON FOR CONGRESS</t>
        </is>
      </c>
      <c r="E314" t="inlineStr">
        <is>
          <t>H8ID02064</t>
        </is>
      </c>
      <c r="F314" t="inlineStr">
        <is>
          <t>REP</t>
        </is>
      </c>
      <c r="G314" t="inlineStr">
        <is>
          <t>03052020</t>
        </is>
      </c>
      <c r="H314" t="n">
        <v>2500</v>
      </c>
      <c r="I314" t="inlineStr">
        <is>
          <t>202004099216622779</t>
        </is>
      </c>
      <c r="J314" t="inlineStr">
        <is>
          <t>https://docquery.fec.gov/cgi-bin/fecimg/?202004099216622779</t>
        </is>
      </c>
    </row>
    <row r="315">
      <c r="A315" t="inlineStr">
        <is>
          <t>2020</t>
        </is>
      </c>
      <c r="B315" t="inlineStr">
        <is>
          <t>C00496307</t>
        </is>
      </c>
      <c r="C315" t="inlineStr">
        <is>
          <t>Marathon Petroleum Corp Employees PAC (MPAC)</t>
        </is>
      </c>
      <c r="D315" t="inlineStr">
        <is>
          <t>STEVE DAINES FOR MONTANA</t>
        </is>
      </c>
      <c r="E315" t="inlineStr">
        <is>
          <t>S2MT00096</t>
        </is>
      </c>
      <c r="F315" t="inlineStr">
        <is>
          <t>REP</t>
        </is>
      </c>
      <c r="G315" t="inlineStr">
        <is>
          <t>03052020</t>
        </is>
      </c>
      <c r="H315" t="n">
        <v>5000</v>
      </c>
      <c r="I315" t="inlineStr">
        <is>
          <t>202004099216622779</t>
        </is>
      </c>
      <c r="J315" t="inlineStr">
        <is>
          <t>https://docquery.fec.gov/cgi-bin/fecimg/?202004099216622779</t>
        </is>
      </c>
    </row>
    <row r="316">
      <c r="A316" t="inlineStr">
        <is>
          <t>2020</t>
        </is>
      </c>
      <c r="B316" t="inlineStr">
        <is>
          <t>C00496307</t>
        </is>
      </c>
      <c r="C316" t="inlineStr">
        <is>
          <t>Marathon Petroleum Corp Employees PAC (MPAC)</t>
        </is>
      </c>
      <c r="D316" t="inlineStr">
        <is>
          <t>THE THOM TILLIS COMMITTEE</t>
        </is>
      </c>
      <c r="E316" t="inlineStr">
        <is>
          <t>S4NC00162</t>
        </is>
      </c>
      <c r="F316" t="inlineStr">
        <is>
          <t>REP</t>
        </is>
      </c>
      <c r="G316" t="inlineStr">
        <is>
          <t>03052020</t>
        </is>
      </c>
      <c r="H316" t="n">
        <v>4000</v>
      </c>
      <c r="I316" t="inlineStr">
        <is>
          <t>202004099216622780</t>
        </is>
      </c>
      <c r="J316" t="inlineStr">
        <is>
          <t>https://docquery.fec.gov/cgi-bin/fecimg/?202004099216622780</t>
        </is>
      </c>
    </row>
    <row r="317">
      <c r="A317" t="inlineStr">
        <is>
          <t>2020</t>
        </is>
      </c>
      <c r="B317" t="inlineStr">
        <is>
          <t>C00496307</t>
        </is>
      </c>
      <c r="C317" t="inlineStr">
        <is>
          <t>Marathon Petroleum Corp Employees PAC (MPAC)</t>
        </is>
      </c>
      <c r="D317" t="inlineStr">
        <is>
          <t>ALASKANAS FOR DAN SULLIVAN</t>
        </is>
      </c>
      <c r="E317" t="inlineStr">
        <is>
          <t>S4AK00214</t>
        </is>
      </c>
      <c r="F317" t="inlineStr">
        <is>
          <t>REP</t>
        </is>
      </c>
      <c r="G317" t="inlineStr">
        <is>
          <t>03052020</t>
        </is>
      </c>
      <c r="H317" t="n">
        <v>1000</v>
      </c>
      <c r="I317" t="inlineStr">
        <is>
          <t>202004099216622774</t>
        </is>
      </c>
      <c r="J317" t="inlineStr">
        <is>
          <t>https://docquery.fec.gov/cgi-bin/fecimg/?202004099216622774</t>
        </is>
      </c>
    </row>
    <row r="318">
      <c r="A318" t="inlineStr">
        <is>
          <t>2020</t>
        </is>
      </c>
      <c r="B318" t="inlineStr">
        <is>
          <t>C00496307</t>
        </is>
      </c>
      <c r="C318" t="inlineStr">
        <is>
          <t>Marathon Petroleum Corp Employees PAC (MPAC)</t>
        </is>
      </c>
      <c r="D318" t="inlineStr">
        <is>
          <t>ALASKANAS FOR DAN SULLIVAN</t>
        </is>
      </c>
      <c r="E318" t="inlineStr">
        <is>
          <t>S4AK00214</t>
        </is>
      </c>
      <c r="F318" t="inlineStr">
        <is>
          <t>REP</t>
        </is>
      </c>
      <c r="G318" t="inlineStr">
        <is>
          <t>03052020</t>
        </is>
      </c>
      <c r="H318" t="n">
        <v>2000</v>
      </c>
      <c r="I318" t="inlineStr">
        <is>
          <t>202004099216622774</t>
        </is>
      </c>
      <c r="J318" t="inlineStr">
        <is>
          <t>https://docquery.fec.gov/cgi-bin/fecimg/?202004099216622774</t>
        </is>
      </c>
    </row>
    <row r="319">
      <c r="A319" t="inlineStr">
        <is>
          <t>2020</t>
        </is>
      </c>
      <c r="B319" t="inlineStr">
        <is>
          <t>C00496307</t>
        </is>
      </c>
      <c r="C319" t="inlineStr">
        <is>
          <t>Marathon Petroleum Corp Employees PAC (MPAC)</t>
        </is>
      </c>
      <c r="D319" t="inlineStr">
        <is>
          <t>ELECT JIM BAIRD FOR CONGRESS</t>
        </is>
      </c>
      <c r="E319" t="inlineStr">
        <is>
          <t>H8IN04199</t>
        </is>
      </c>
      <c r="F319" t="inlineStr">
        <is>
          <t>REP</t>
        </is>
      </c>
      <c r="G319" t="inlineStr">
        <is>
          <t>03052020</t>
        </is>
      </c>
      <c r="H319" t="n">
        <v>2500</v>
      </c>
      <c r="I319" t="inlineStr">
        <is>
          <t>202004099216622774</t>
        </is>
      </c>
      <c r="J319" t="inlineStr">
        <is>
          <t>https://docquery.fec.gov/cgi-bin/fecimg/?202004099216622774</t>
        </is>
      </c>
    </row>
    <row r="320">
      <c r="A320" t="inlineStr">
        <is>
          <t>2020</t>
        </is>
      </c>
      <c r="B320" t="inlineStr">
        <is>
          <t>C00496307</t>
        </is>
      </c>
      <c r="C320" t="inlineStr">
        <is>
          <t>Marathon Petroleum Corp Employees PAC (MPAC)</t>
        </is>
      </c>
      <c r="D320" t="inlineStr">
        <is>
          <t>GIBBS FOR CONGRESS</t>
        </is>
      </c>
      <c r="E320" t="inlineStr">
        <is>
          <t>H0OH18077</t>
        </is>
      </c>
      <c r="F320" t="inlineStr">
        <is>
          <t>REP</t>
        </is>
      </c>
      <c r="G320" t="inlineStr">
        <is>
          <t>03052020</t>
        </is>
      </c>
      <c r="H320" t="n">
        <v>5000</v>
      </c>
      <c r="I320" t="inlineStr">
        <is>
          <t>202004099216622775</t>
        </is>
      </c>
      <c r="J320" t="inlineStr">
        <is>
          <t>https://docquery.fec.gov/cgi-bin/fecimg/?202004099216622775</t>
        </is>
      </c>
    </row>
    <row r="321">
      <c r="A321" t="inlineStr">
        <is>
          <t>2020</t>
        </is>
      </c>
      <c r="B321" t="inlineStr">
        <is>
          <t>C00496307</t>
        </is>
      </c>
      <c r="C321" t="inlineStr">
        <is>
          <t>Marathon Petroleum Corp Employees PAC (MPAC)</t>
        </is>
      </c>
      <c r="D321" t="inlineStr">
        <is>
          <t>RICHMOND FOR CONGRESS</t>
        </is>
      </c>
      <c r="E321" t="inlineStr">
        <is>
          <t>H8LA02054</t>
        </is>
      </c>
      <c r="F321" t="inlineStr">
        <is>
          <t>DEM</t>
        </is>
      </c>
      <c r="G321" t="inlineStr">
        <is>
          <t>03052020</t>
        </is>
      </c>
      <c r="H321" t="n">
        <v>2500</v>
      </c>
      <c r="I321" t="inlineStr">
        <is>
          <t>202004099216622778</t>
        </is>
      </c>
      <c r="J321" t="inlineStr">
        <is>
          <t>https://docquery.fec.gov/cgi-bin/fecimg/?202004099216622778</t>
        </is>
      </c>
    </row>
    <row r="322">
      <c r="A322" t="inlineStr">
        <is>
          <t>2020</t>
        </is>
      </c>
      <c r="B322" t="inlineStr">
        <is>
          <t>C00496307</t>
        </is>
      </c>
      <c r="C322" t="inlineStr">
        <is>
          <t>Marathon Petroleum Corp Employees PAC (MPAC)</t>
        </is>
      </c>
      <c r="D322" t="inlineStr">
        <is>
          <t>RON ESTES FOR CONGRESS</t>
        </is>
      </c>
      <c r="E322" t="inlineStr">
        <is>
          <t>H8KS04112</t>
        </is>
      </c>
      <c r="F322" t="inlineStr">
        <is>
          <t>REP</t>
        </is>
      </c>
      <c r="G322" t="inlineStr">
        <is>
          <t>03082019</t>
        </is>
      </c>
      <c r="H322" t="n">
        <v>1500</v>
      </c>
      <c r="I322" t="inlineStr">
        <is>
          <t>201908209162994300</t>
        </is>
      </c>
      <c r="J322" t="inlineStr">
        <is>
          <t>https://docquery.fec.gov/cgi-bin/fecimg/?201908209162994300</t>
        </is>
      </c>
    </row>
    <row r="323">
      <c r="A323" t="inlineStr">
        <is>
          <t>2020</t>
        </is>
      </c>
      <c r="B323" t="inlineStr">
        <is>
          <t>C00496307</t>
        </is>
      </c>
      <c r="C323" t="inlineStr">
        <is>
          <t>Marathon Petroleum Corp Employees PAC (MPAC)</t>
        </is>
      </c>
      <c r="D323" t="inlineStr">
        <is>
          <t>DAN CRENSHAW FOR CONGRESS</t>
        </is>
      </c>
      <c r="E323" t="inlineStr">
        <is>
          <t>H8TX02166</t>
        </is>
      </c>
      <c r="F323" t="inlineStr">
        <is>
          <t>REP</t>
        </is>
      </c>
      <c r="G323" t="inlineStr">
        <is>
          <t>03082019</t>
        </is>
      </c>
      <c r="H323" t="n">
        <v>2500</v>
      </c>
      <c r="I323" t="inlineStr">
        <is>
          <t>201908209162994292</t>
        </is>
      </c>
      <c r="J323" t="inlineStr">
        <is>
          <t>https://docquery.fec.gov/cgi-bin/fecimg/?201908209162994292</t>
        </is>
      </c>
    </row>
    <row r="324">
      <c r="A324" t="inlineStr">
        <is>
          <t>2020</t>
        </is>
      </c>
      <c r="B324" t="inlineStr">
        <is>
          <t>C00496307</t>
        </is>
      </c>
      <c r="C324" t="inlineStr">
        <is>
          <t>Marathon Petroleum Corp Employees PAC (MPAC)</t>
        </is>
      </c>
      <c r="D324" t="inlineStr">
        <is>
          <t>KATKO FOR CONGRESS</t>
        </is>
      </c>
      <c r="E324" t="inlineStr">
        <is>
          <t>H4NY24073</t>
        </is>
      </c>
      <c r="F324" t="inlineStr">
        <is>
          <t>REP</t>
        </is>
      </c>
      <c r="G324" t="inlineStr">
        <is>
          <t>03082019</t>
        </is>
      </c>
      <c r="H324" t="n">
        <v>2500</v>
      </c>
      <c r="I324" t="inlineStr">
        <is>
          <t>201908209162994297</t>
        </is>
      </c>
      <c r="J324" t="inlineStr">
        <is>
          <t>https://docquery.fec.gov/cgi-bin/fecimg/?201908209162994297</t>
        </is>
      </c>
    </row>
    <row r="325">
      <c r="A325" t="inlineStr">
        <is>
          <t>2020</t>
        </is>
      </c>
      <c r="B325" t="inlineStr">
        <is>
          <t>C00496307</t>
        </is>
      </c>
      <c r="C325" t="inlineStr">
        <is>
          <t>Marathon Petroleum Corp Employees PAC (MPAC)</t>
        </is>
      </c>
      <c r="D325" t="inlineStr">
        <is>
          <t>MCSALLY FOR SENATE INC</t>
        </is>
      </c>
      <c r="E325" t="inlineStr">
        <is>
          <t>S8AZ00221</t>
        </is>
      </c>
      <c r="F325" t="inlineStr">
        <is>
          <t>REP</t>
        </is>
      </c>
      <c r="G325" t="inlineStr">
        <is>
          <t>03082019</t>
        </is>
      </c>
      <c r="H325" t="n">
        <v>2500</v>
      </c>
      <c r="I325" t="inlineStr">
        <is>
          <t>201908209162994299</t>
        </is>
      </c>
      <c r="J325" t="inlineStr">
        <is>
          <t>https://docquery.fec.gov/cgi-bin/fecimg/?201908209162994299</t>
        </is>
      </c>
    </row>
    <row r="326">
      <c r="A326" t="inlineStr">
        <is>
          <t>2020</t>
        </is>
      </c>
      <c r="B326" t="inlineStr">
        <is>
          <t>C00496307</t>
        </is>
      </c>
      <c r="C326" t="inlineStr">
        <is>
          <t>Marathon Petroleum Corp Employees PAC (MPAC)</t>
        </is>
      </c>
      <c r="D326" t="inlineStr">
        <is>
          <t>RODNEY FOR CONGRESS</t>
        </is>
      </c>
      <c r="E326" t="inlineStr">
        <is>
          <t>H2IL13120</t>
        </is>
      </c>
      <c r="F326" t="inlineStr">
        <is>
          <t>REP</t>
        </is>
      </c>
      <c r="G326" t="inlineStr">
        <is>
          <t>03082019</t>
        </is>
      </c>
      <c r="H326" t="n">
        <v>2000</v>
      </c>
      <c r="I326" t="inlineStr">
        <is>
          <t>201908209162994300</t>
        </is>
      </c>
      <c r="J326" t="inlineStr">
        <is>
          <t>https://docquery.fec.gov/cgi-bin/fecimg/?201908209162994300</t>
        </is>
      </c>
    </row>
    <row r="327">
      <c r="A327" t="inlineStr">
        <is>
          <t>2020</t>
        </is>
      </c>
      <c r="B327" t="inlineStr">
        <is>
          <t>C00496307</t>
        </is>
      </c>
      <c r="C327" t="inlineStr">
        <is>
          <t>Marathon Petroleum Corp Employees PAC (MPAC)</t>
        </is>
      </c>
      <c r="D327" t="inlineStr">
        <is>
          <t>FRENCH HILL FOR ARKANSAS</t>
        </is>
      </c>
      <c r="E327" t="inlineStr">
        <is>
          <t>H4AR02141</t>
        </is>
      </c>
      <c r="F327" t="inlineStr">
        <is>
          <t>REP</t>
        </is>
      </c>
      <c r="G327" t="inlineStr">
        <is>
          <t>03082019</t>
        </is>
      </c>
      <c r="H327" t="n">
        <v>2000</v>
      </c>
      <c r="I327" t="inlineStr">
        <is>
          <t>201908209162994293</t>
        </is>
      </c>
      <c r="J327" t="inlineStr">
        <is>
          <t>https://docquery.fec.gov/cgi-bin/fecimg/?201908209162994293</t>
        </is>
      </c>
    </row>
    <row r="328">
      <c r="A328" t="inlineStr">
        <is>
          <t>2020</t>
        </is>
      </c>
      <c r="B328" t="inlineStr">
        <is>
          <t>C00496307</t>
        </is>
      </c>
      <c r="C328" t="inlineStr">
        <is>
          <t>Marathon Petroleum Corp Employees PAC (MPAC)</t>
        </is>
      </c>
      <c r="D328" t="inlineStr">
        <is>
          <t>GUY FOR CONGRESS</t>
        </is>
      </c>
      <c r="E328" t="inlineStr">
        <is>
          <t>H8PA18199</t>
        </is>
      </c>
      <c r="F328" t="inlineStr">
        <is>
          <t>REP</t>
        </is>
      </c>
      <c r="G328" t="inlineStr">
        <is>
          <t>03082019</t>
        </is>
      </c>
      <c r="H328" t="n">
        <v>2500</v>
      </c>
      <c r="I328" t="inlineStr">
        <is>
          <t>201908209162994295</t>
        </is>
      </c>
      <c r="J328" t="inlineStr">
        <is>
          <t>https://docquery.fec.gov/cgi-bin/fecimg/?201908209162994295</t>
        </is>
      </c>
    </row>
    <row r="329">
      <c r="A329" t="inlineStr">
        <is>
          <t>2020</t>
        </is>
      </c>
      <c r="B329" t="inlineStr">
        <is>
          <t>C00496307</t>
        </is>
      </c>
      <c r="C329" t="inlineStr">
        <is>
          <t>Marathon Petroleum Corp Employees PAC (MPAC)</t>
        </is>
      </c>
      <c r="D329" t="inlineStr">
        <is>
          <t>JIM JORDAN FOR CONGRESS</t>
        </is>
      </c>
      <c r="E329" t="inlineStr">
        <is>
          <t>H6OH04082</t>
        </is>
      </c>
      <c r="F329" t="inlineStr">
        <is>
          <t>REP</t>
        </is>
      </c>
      <c r="G329" t="inlineStr">
        <is>
          <t>03082019</t>
        </is>
      </c>
      <c r="H329" t="n">
        <v>5000</v>
      </c>
      <c r="I329" t="inlineStr">
        <is>
          <t>201908209162994296</t>
        </is>
      </c>
      <c r="J329" t="inlineStr">
        <is>
          <t>https://docquery.fec.gov/cgi-bin/fecimg/?201908209162994296</t>
        </is>
      </c>
    </row>
    <row r="330">
      <c r="A330" t="inlineStr">
        <is>
          <t>2020</t>
        </is>
      </c>
      <c r="B330" t="inlineStr">
        <is>
          <t>C00496307</t>
        </is>
      </c>
      <c r="C330" t="inlineStr">
        <is>
          <t>Marathon Petroleum Corp Employees PAC (MPAC)</t>
        </is>
      </c>
      <c r="D330" t="inlineStr">
        <is>
          <t>DR. JOHN JOYCE FOR CONGRESS</t>
        </is>
      </c>
      <c r="E330" t="inlineStr">
        <is>
          <t>H8PA13125</t>
        </is>
      </c>
      <c r="F330" t="inlineStr">
        <is>
          <t>REP</t>
        </is>
      </c>
      <c r="G330" t="inlineStr">
        <is>
          <t>03082019</t>
        </is>
      </c>
      <c r="H330" t="n">
        <v>2500</v>
      </c>
      <c r="I330" t="inlineStr">
        <is>
          <t>201908209162994293</t>
        </is>
      </c>
      <c r="J330" t="inlineStr">
        <is>
          <t>https://docquery.fec.gov/cgi-bin/fecimg/?201908209162994293</t>
        </is>
      </c>
    </row>
    <row r="331">
      <c r="A331" t="inlineStr">
        <is>
          <t>2020</t>
        </is>
      </c>
      <c r="B331" t="inlineStr">
        <is>
          <t>C00496307</t>
        </is>
      </c>
      <c r="C331" t="inlineStr">
        <is>
          <t>Marathon Petroleum Corp Employees PAC (MPAC)</t>
        </is>
      </c>
      <c r="D331" t="inlineStr">
        <is>
          <t>ANDY BARR FOR CONGRESS</t>
        </is>
      </c>
      <c r="E331" t="inlineStr">
        <is>
          <t>H0KY06104</t>
        </is>
      </c>
      <c r="F331" t="inlineStr">
        <is>
          <t>REP</t>
        </is>
      </c>
      <c r="G331" t="inlineStr">
        <is>
          <t>03082019</t>
        </is>
      </c>
      <c r="H331" t="n">
        <v>4500</v>
      </c>
      <c r="I331" t="inlineStr">
        <is>
          <t>201908209162994289</t>
        </is>
      </c>
      <c r="J331" t="inlineStr">
        <is>
          <t>https://docquery.fec.gov/cgi-bin/fecimg/?201908209162994289</t>
        </is>
      </c>
    </row>
    <row r="332">
      <c r="A332" t="inlineStr">
        <is>
          <t>2020</t>
        </is>
      </c>
      <c r="B332" t="inlineStr">
        <is>
          <t>C00496307</t>
        </is>
      </c>
      <c r="C332" t="inlineStr">
        <is>
          <t>Marathon Petroleum Corp Employees PAC (MPAC)</t>
        </is>
      </c>
      <c r="D332" t="inlineStr">
        <is>
          <t>BALDERSON FOR CONGRESS</t>
        </is>
      </c>
      <c r="E332" t="inlineStr">
        <is>
          <t>H8OH12180</t>
        </is>
      </c>
      <c r="F332" t="inlineStr">
        <is>
          <t>REP</t>
        </is>
      </c>
      <c r="G332" t="inlineStr">
        <is>
          <t>03082019</t>
        </is>
      </c>
      <c r="H332" t="n">
        <v>5000</v>
      </c>
      <c r="I332" t="inlineStr">
        <is>
          <t>201908209162994290</t>
        </is>
      </c>
      <c r="J332" t="inlineStr">
        <is>
          <t>https://docquery.fec.gov/cgi-bin/fecimg/?201908209162994290</t>
        </is>
      </c>
    </row>
    <row r="333">
      <c r="A333" t="inlineStr">
        <is>
          <t>2020</t>
        </is>
      </c>
      <c r="B333" t="inlineStr">
        <is>
          <t>C00496307</t>
        </is>
      </c>
      <c r="C333" t="inlineStr">
        <is>
          <t>Marathon Petroleum Corp Employees PAC (MPAC)</t>
        </is>
      </c>
      <c r="D333" t="inlineStr">
        <is>
          <t>CAPITO FOR WEST VIRGINIA</t>
        </is>
      </c>
      <c r="E333" t="inlineStr">
        <is>
          <t>S4WV00159</t>
        </is>
      </c>
      <c r="F333" t="inlineStr">
        <is>
          <t>REP</t>
        </is>
      </c>
      <c r="G333" t="inlineStr">
        <is>
          <t>03082019</t>
        </is>
      </c>
      <c r="H333" t="n">
        <v>1000</v>
      </c>
      <c r="I333" t="inlineStr">
        <is>
          <t>201908209162994291</t>
        </is>
      </c>
      <c r="J333" t="inlineStr">
        <is>
          <t>https://docquery.fec.gov/cgi-bin/fecimg/?201908209162994291</t>
        </is>
      </c>
    </row>
    <row r="334">
      <c r="A334" t="inlineStr">
        <is>
          <t>2020</t>
        </is>
      </c>
      <c r="B334" t="inlineStr">
        <is>
          <t>C00496307</t>
        </is>
      </c>
      <c r="C334" t="inlineStr">
        <is>
          <t>Marathon Petroleum Corp Employees PAC (MPAC)</t>
        </is>
      </c>
      <c r="D334" t="inlineStr">
        <is>
          <t>CURTIS FOR CONGRESS</t>
        </is>
      </c>
      <c r="E334" t="inlineStr">
        <is>
          <t>H8UT03238</t>
        </is>
      </c>
      <c r="F334" t="inlineStr">
        <is>
          <t>REP</t>
        </is>
      </c>
      <c r="G334" t="inlineStr">
        <is>
          <t>03082019</t>
        </is>
      </c>
      <c r="H334" t="n">
        <v>2500</v>
      </c>
      <c r="I334" t="inlineStr">
        <is>
          <t>201908209162994292</t>
        </is>
      </c>
      <c r="J334" t="inlineStr">
        <is>
          <t>https://docquery.fec.gov/cgi-bin/fecimg/?201908209162994292</t>
        </is>
      </c>
    </row>
    <row r="335">
      <c r="A335" t="inlineStr">
        <is>
          <t>2020</t>
        </is>
      </c>
      <c r="B335" t="inlineStr">
        <is>
          <t>C00496307</t>
        </is>
      </c>
      <c r="C335" t="inlineStr">
        <is>
          <t>Marathon Petroleum Corp Employees PAC (MPAC)</t>
        </is>
      </c>
      <c r="D335" t="inlineStr">
        <is>
          <t>RODNEY FOR CONGRESS</t>
        </is>
      </c>
      <c r="E335" t="inlineStr">
        <is>
          <t>H2IL13120</t>
        </is>
      </c>
      <c r="F335" t="inlineStr">
        <is>
          <t>REP</t>
        </is>
      </c>
      <c r="G335" t="inlineStr">
        <is>
          <t>03132020</t>
        </is>
      </c>
      <c r="H335" t="n">
        <v>2500</v>
      </c>
      <c r="I335" t="inlineStr">
        <is>
          <t>202004099216622778</t>
        </is>
      </c>
      <c r="J335" t="inlineStr">
        <is>
          <t>https://docquery.fec.gov/cgi-bin/fecimg/?202004099216622778</t>
        </is>
      </c>
    </row>
    <row r="336">
      <c r="A336" t="inlineStr">
        <is>
          <t>2020</t>
        </is>
      </c>
      <c r="B336" t="inlineStr">
        <is>
          <t>C00496307</t>
        </is>
      </c>
      <c r="C336" t="inlineStr">
        <is>
          <t>Marathon Petroleum Corp Employees PAC (MPAC)</t>
        </is>
      </c>
      <c r="D336" t="inlineStr">
        <is>
          <t>JIM RISCH FOR US SENATE</t>
        </is>
      </c>
      <c r="E336" t="inlineStr">
        <is>
          <t>S8ID00092</t>
        </is>
      </c>
      <c r="F336" t="inlineStr">
        <is>
          <t>REP</t>
        </is>
      </c>
      <c r="G336" t="inlineStr">
        <is>
          <t>03172020</t>
        </is>
      </c>
      <c r="H336" t="n">
        <v>2500</v>
      </c>
      <c r="I336" t="inlineStr">
        <is>
          <t>202004099216622775</t>
        </is>
      </c>
      <c r="J336" t="inlineStr">
        <is>
          <t>https://docquery.fec.gov/cgi-bin/fecimg/?202004099216622775</t>
        </is>
      </c>
    </row>
    <row r="337">
      <c r="A337" t="inlineStr">
        <is>
          <t>2020</t>
        </is>
      </c>
      <c r="B337" t="inlineStr">
        <is>
          <t>C00496307</t>
        </is>
      </c>
      <c r="C337" t="inlineStr">
        <is>
          <t>Marathon Petroleum Corp Employees PAC (MPAC)</t>
        </is>
      </c>
      <c r="D337" t="inlineStr">
        <is>
          <t>MARC VEASEY CONGRESSIONAL CAMPAIGN COMMITTEE</t>
        </is>
      </c>
      <c r="E337" t="inlineStr">
        <is>
          <t>H2TX33073</t>
        </is>
      </c>
      <c r="F337" t="inlineStr">
        <is>
          <t>DEM</t>
        </is>
      </c>
      <c r="G337" t="inlineStr">
        <is>
          <t>03172020</t>
        </is>
      </c>
      <c r="H337" t="n">
        <v>2500</v>
      </c>
      <c r="I337" t="inlineStr">
        <is>
          <t>202004099216622776</t>
        </is>
      </c>
      <c r="J337" t="inlineStr">
        <is>
          <t>https://docquery.fec.gov/cgi-bin/fecimg/?202004099216622776</t>
        </is>
      </c>
    </row>
    <row r="338">
      <c r="A338" t="inlineStr">
        <is>
          <t>2020</t>
        </is>
      </c>
      <c r="B338" t="inlineStr">
        <is>
          <t>C00496307</t>
        </is>
      </c>
      <c r="C338" t="inlineStr">
        <is>
          <t>Marathon Petroleum Corp Employees PAC (MPAC)</t>
        </is>
      </c>
      <c r="D338" t="inlineStr">
        <is>
          <t>THE THOM TILLIS COMMITTEE</t>
        </is>
      </c>
      <c r="E338" t="inlineStr">
        <is>
          <t>S4NC00162</t>
        </is>
      </c>
      <c r="F338" t="inlineStr">
        <is>
          <t>REP</t>
        </is>
      </c>
      <c r="G338" t="inlineStr">
        <is>
          <t>03182019</t>
        </is>
      </c>
      <c r="H338" t="n">
        <v>2500</v>
      </c>
      <c r="I338" t="inlineStr">
        <is>
          <t>201908209162994302</t>
        </is>
      </c>
      <c r="J338" t="inlineStr">
        <is>
          <t>https://docquery.fec.gov/cgi-bin/fecimg/?201908209162994302</t>
        </is>
      </c>
    </row>
    <row r="339">
      <c r="A339" t="inlineStr">
        <is>
          <t>2020</t>
        </is>
      </c>
      <c r="B339" t="inlineStr">
        <is>
          <t>C00496307</t>
        </is>
      </c>
      <c r="C339" t="inlineStr">
        <is>
          <t>Marathon Petroleum Corp Employees PAC (MPAC)</t>
        </is>
      </c>
      <c r="D339" t="inlineStr">
        <is>
          <t>TOM REED FOR CONGRESS</t>
        </is>
      </c>
      <c r="E339" t="inlineStr">
        <is>
          <t>H0NY29054</t>
        </is>
      </c>
      <c r="F339" t="inlineStr">
        <is>
          <t>REP</t>
        </is>
      </c>
      <c r="G339" t="inlineStr">
        <is>
          <t>03182019</t>
        </is>
      </c>
      <c r="H339" t="n">
        <v>2500</v>
      </c>
      <c r="I339" t="inlineStr">
        <is>
          <t>201908209162994303</t>
        </is>
      </c>
      <c r="J339" t="inlineStr">
        <is>
          <t>https://docquery.fec.gov/cgi-bin/fecimg/?201908209162994303</t>
        </is>
      </c>
    </row>
    <row r="340">
      <c r="A340" t="inlineStr">
        <is>
          <t>2020</t>
        </is>
      </c>
      <c r="B340" t="inlineStr">
        <is>
          <t>C00496307</t>
        </is>
      </c>
      <c r="C340" t="inlineStr">
        <is>
          <t>Marathon Petroleum Corp Employees PAC (MPAC)</t>
        </is>
      </c>
      <c r="D340" t="inlineStr">
        <is>
          <t>STIVERS FOR CONGRESS</t>
        </is>
      </c>
      <c r="E340" t="inlineStr">
        <is>
          <t>H8OH15076</t>
        </is>
      </c>
      <c r="F340" t="inlineStr">
        <is>
          <t>REP</t>
        </is>
      </c>
      <c r="G340" t="inlineStr">
        <is>
          <t>03182019</t>
        </is>
      </c>
      <c r="H340" t="n">
        <v>5000</v>
      </c>
      <c r="I340" t="inlineStr">
        <is>
          <t>201908209162994301</t>
        </is>
      </c>
      <c r="J340" t="inlineStr">
        <is>
          <t>https://docquery.fec.gov/cgi-bin/fecimg/?201908209162994301</t>
        </is>
      </c>
    </row>
    <row r="341">
      <c r="A341" t="inlineStr">
        <is>
          <t>2020</t>
        </is>
      </c>
      <c r="B341" t="inlineStr">
        <is>
          <t>C00496307</t>
        </is>
      </c>
      <c r="C341" t="inlineStr">
        <is>
          <t>Marathon Petroleum Corp Employees PAC (MPAC)</t>
        </is>
      </c>
      <c r="D341" t="inlineStr">
        <is>
          <t>TEXANS FOR HENRY CUELLAR CONGRESSIONAL CAMPAIGN</t>
        </is>
      </c>
      <c r="E341" t="inlineStr">
        <is>
          <t>H2TX23082</t>
        </is>
      </c>
      <c r="F341" t="inlineStr">
        <is>
          <t>DEM</t>
        </is>
      </c>
      <c r="G341" t="inlineStr">
        <is>
          <t>03182019</t>
        </is>
      </c>
      <c r="H341" t="n">
        <v>2500</v>
      </c>
      <c r="I341" t="inlineStr">
        <is>
          <t>201908209162994301</t>
        </is>
      </c>
      <c r="J341" t="inlineStr">
        <is>
          <t>https://docquery.fec.gov/cgi-bin/fecimg/?201908209162994301</t>
        </is>
      </c>
    </row>
    <row r="342">
      <c r="A342" t="inlineStr">
        <is>
          <t>2020</t>
        </is>
      </c>
      <c r="B342" t="inlineStr">
        <is>
          <t>C00496307</t>
        </is>
      </c>
      <c r="C342" t="inlineStr">
        <is>
          <t>Marathon Petroleum Corp Employees PAC (MPAC)</t>
        </is>
      </c>
      <c r="D342" t="inlineStr">
        <is>
          <t>JOHNSON FOR CONGRESS</t>
        </is>
      </c>
      <c r="E342" t="inlineStr">
        <is>
          <t>H0OH06189</t>
        </is>
      </c>
      <c r="F342" t="inlineStr">
        <is>
          <t>REP</t>
        </is>
      </c>
      <c r="G342" t="inlineStr">
        <is>
          <t>03182019</t>
        </is>
      </c>
      <c r="H342" t="n">
        <v>2500</v>
      </c>
      <c r="I342" t="inlineStr">
        <is>
          <t>201908209162994297</t>
        </is>
      </c>
      <c r="J342" t="inlineStr">
        <is>
          <t>https://docquery.fec.gov/cgi-bin/fecimg/?201908209162994297</t>
        </is>
      </c>
    </row>
    <row r="343">
      <c r="A343" t="inlineStr">
        <is>
          <t>2020</t>
        </is>
      </c>
      <c r="B343" t="inlineStr">
        <is>
          <t>C00496307</t>
        </is>
      </c>
      <c r="C343" t="inlineStr">
        <is>
          <t>Marathon Petroleum Corp Employees PAC (MPAC)</t>
        </is>
      </c>
      <c r="D343" t="inlineStr">
        <is>
          <t>KANSANS FOR MARSHALL</t>
        </is>
      </c>
      <c r="E343" t="inlineStr">
        <is>
          <t>H6KS01179</t>
        </is>
      </c>
      <c r="F343" t="inlineStr">
        <is>
          <t>REP</t>
        </is>
      </c>
      <c r="G343" t="inlineStr">
        <is>
          <t>03182019</t>
        </is>
      </c>
      <c r="H343" t="n">
        <v>5000</v>
      </c>
      <c r="I343" t="inlineStr">
        <is>
          <t>201908209162994297</t>
        </is>
      </c>
      <c r="J343" t="inlineStr">
        <is>
          <t>https://docquery.fec.gov/cgi-bin/fecimg/?201908209162994297</t>
        </is>
      </c>
    </row>
    <row r="344">
      <c r="A344" t="inlineStr">
        <is>
          <t>2020</t>
        </is>
      </c>
      <c r="B344" t="inlineStr">
        <is>
          <t>C00496307</t>
        </is>
      </c>
      <c r="C344" t="inlineStr">
        <is>
          <t>Marathon Petroleum Corp Employees PAC (MPAC)</t>
        </is>
      </c>
      <c r="D344" t="inlineStr">
        <is>
          <t>MAST FOR CONGRESS</t>
        </is>
      </c>
      <c r="E344" t="inlineStr">
        <is>
          <t>H6FL18097</t>
        </is>
      </c>
      <c r="F344" t="inlineStr">
        <is>
          <t>REP</t>
        </is>
      </c>
      <c r="G344" t="inlineStr">
        <is>
          <t>03182019</t>
        </is>
      </c>
      <c r="H344" t="n">
        <v>5000</v>
      </c>
      <c r="I344" t="inlineStr">
        <is>
          <t>201908209162994298</t>
        </is>
      </c>
      <c r="J344" t="inlineStr">
        <is>
          <t>https://docquery.fec.gov/cgi-bin/fecimg/?201908209162994298</t>
        </is>
      </c>
    </row>
    <row r="345">
      <c r="A345" t="inlineStr">
        <is>
          <t>2020</t>
        </is>
      </c>
      <c r="B345" t="inlineStr">
        <is>
          <t>C00496307</t>
        </is>
      </c>
      <c r="C345" t="inlineStr">
        <is>
          <t>Marathon Petroleum Corp Employees PAC (MPAC)</t>
        </is>
      </c>
      <c r="D345" t="inlineStr">
        <is>
          <t>FRIENDS OF HAGEDORN</t>
        </is>
      </c>
      <c r="E345" t="inlineStr">
        <is>
          <t>H0MN01045</t>
        </is>
      </c>
      <c r="F345" t="inlineStr">
        <is>
          <t>REP</t>
        </is>
      </c>
      <c r="G345" t="inlineStr">
        <is>
          <t>03182019</t>
        </is>
      </c>
      <c r="H345" t="n">
        <v>2500</v>
      </c>
      <c r="I345" t="inlineStr">
        <is>
          <t>201908209162994294</t>
        </is>
      </c>
      <c r="J345" t="inlineStr">
        <is>
          <t>https://docquery.fec.gov/cgi-bin/fecimg/?201908209162994294</t>
        </is>
      </c>
    </row>
    <row r="346">
      <c r="A346" t="inlineStr">
        <is>
          <t>2020</t>
        </is>
      </c>
      <c r="B346" t="inlineStr">
        <is>
          <t>C00496307</t>
        </is>
      </c>
      <c r="C346" t="inlineStr">
        <is>
          <t>Marathon Petroleum Corp Employees PAC (MPAC)</t>
        </is>
      </c>
      <c r="D346" t="inlineStr">
        <is>
          <t>HUDSON FOR CONGRESS</t>
        </is>
      </c>
      <c r="E346" t="inlineStr">
        <is>
          <t>H2NC08185</t>
        </is>
      </c>
      <c r="F346" t="inlineStr">
        <is>
          <t>REP</t>
        </is>
      </c>
      <c r="G346" t="inlineStr">
        <is>
          <t>03182019</t>
        </is>
      </c>
      <c r="H346" t="n">
        <v>2500</v>
      </c>
      <c r="I346" t="inlineStr">
        <is>
          <t>201908209162994295</t>
        </is>
      </c>
      <c r="J346" t="inlineStr">
        <is>
          <t>https://docquery.fec.gov/cgi-bin/fecimg/?201908209162994295</t>
        </is>
      </c>
    </row>
    <row r="347">
      <c r="A347" t="inlineStr">
        <is>
          <t>2020</t>
        </is>
      </c>
      <c r="B347" t="inlineStr">
        <is>
          <t>C00496307</t>
        </is>
      </c>
      <c r="C347" t="inlineStr">
        <is>
          <t>Marathon Petroleum Corp Employees PAC (MPAC)</t>
        </is>
      </c>
      <c r="D347" t="inlineStr">
        <is>
          <t>JIM BANKS FOR CONGRESS, INC.</t>
        </is>
      </c>
      <c r="E347" t="inlineStr">
        <is>
          <t>H6IN03229</t>
        </is>
      </c>
      <c r="F347" t="inlineStr">
        <is>
          <t>REP</t>
        </is>
      </c>
      <c r="G347" t="inlineStr">
        <is>
          <t>03182019</t>
        </is>
      </c>
      <c r="H347" t="n">
        <v>2500</v>
      </c>
      <c r="I347" t="inlineStr">
        <is>
          <t>201908209162994296</t>
        </is>
      </c>
      <c r="J347" t="inlineStr">
        <is>
          <t>https://docquery.fec.gov/cgi-bin/fecimg/?201908209162994296</t>
        </is>
      </c>
    </row>
    <row r="348">
      <c r="A348" t="inlineStr">
        <is>
          <t>2020</t>
        </is>
      </c>
      <c r="B348" t="inlineStr">
        <is>
          <t>C00496307</t>
        </is>
      </c>
      <c r="C348" t="inlineStr">
        <is>
          <t>Marathon Petroleum Corp Employees PAC (MPAC)</t>
        </is>
      </c>
      <c r="D348" t="inlineStr">
        <is>
          <t>ANN WAGNER FOR CONGRESS</t>
        </is>
      </c>
      <c r="E348" t="inlineStr">
        <is>
          <t>H2MO02102</t>
        </is>
      </c>
      <c r="F348" t="inlineStr">
        <is>
          <t>REP</t>
        </is>
      </c>
      <c r="G348" t="inlineStr">
        <is>
          <t>03182019</t>
        </is>
      </c>
      <c r="H348" t="n">
        <v>2000</v>
      </c>
      <c r="I348" t="inlineStr">
        <is>
          <t>201908209162994289</t>
        </is>
      </c>
      <c r="J348" t="inlineStr">
        <is>
          <t>https://docquery.fec.gov/cgi-bin/fecimg/?201908209162994289</t>
        </is>
      </c>
    </row>
    <row r="349">
      <c r="A349" t="inlineStr">
        <is>
          <t>2020</t>
        </is>
      </c>
      <c r="B349" t="inlineStr">
        <is>
          <t>C00496307</t>
        </is>
      </c>
      <c r="C349" t="inlineStr">
        <is>
          <t>Marathon Petroleum Corp Employees PAC (MPAC)</t>
        </is>
      </c>
      <c r="D349" t="inlineStr">
        <is>
          <t>BILL FLORES FOR CONGRESS</t>
        </is>
      </c>
      <c r="E349" t="inlineStr">
        <is>
          <t>H0TX17104</t>
        </is>
      </c>
      <c r="F349" t="inlineStr">
        <is>
          <t>REP</t>
        </is>
      </c>
      <c r="G349" t="inlineStr">
        <is>
          <t>03182019</t>
        </is>
      </c>
      <c r="H349" t="n">
        <v>2500</v>
      </c>
      <c r="I349" t="inlineStr">
        <is>
          <t>201908209162994290</t>
        </is>
      </c>
      <c r="J349" t="inlineStr">
        <is>
          <t>https://docquery.fec.gov/cgi-bin/fecimg/?201908209162994290</t>
        </is>
      </c>
    </row>
    <row r="350">
      <c r="A350" t="inlineStr">
        <is>
          <t>2020</t>
        </is>
      </c>
      <c r="B350" t="inlineStr">
        <is>
          <t>C00496307</t>
        </is>
      </c>
      <c r="C350" t="inlineStr">
        <is>
          <t>Marathon Petroleum Corp Employees PAC (MPAC)</t>
        </is>
      </c>
      <c r="D350" t="inlineStr">
        <is>
          <t>COMER FOR CONGRESS</t>
        </is>
      </c>
      <c r="E350" t="inlineStr">
        <is>
          <t>H6KY01110</t>
        </is>
      </c>
      <c r="F350" t="inlineStr">
        <is>
          <t>REP</t>
        </is>
      </c>
      <c r="G350" t="inlineStr">
        <is>
          <t>03182019</t>
        </is>
      </c>
      <c r="H350" t="n">
        <v>1000</v>
      </c>
      <c r="I350" t="inlineStr">
        <is>
          <t>201908209162994291</t>
        </is>
      </c>
      <c r="J350" t="inlineStr">
        <is>
          <t>https://docquery.fec.gov/cgi-bin/fecimg/?201908209162994291</t>
        </is>
      </c>
    </row>
    <row r="351">
      <c r="A351" t="inlineStr">
        <is>
          <t>2020</t>
        </is>
      </c>
      <c r="B351" t="inlineStr">
        <is>
          <t>C00496307</t>
        </is>
      </c>
      <c r="C351" t="inlineStr">
        <is>
          <t>Marathon Petroleum Corp Employees PAC (MPAC)</t>
        </is>
      </c>
      <c r="D351" t="inlineStr">
        <is>
          <t>MICHAEL BURGESS FOR CONGRESS</t>
        </is>
      </c>
      <c r="E351" t="inlineStr">
        <is>
          <t>H2TX26093</t>
        </is>
      </c>
      <c r="F351" t="inlineStr">
        <is>
          <t>REP</t>
        </is>
      </c>
      <c r="G351" t="inlineStr">
        <is>
          <t>03192020</t>
        </is>
      </c>
      <c r="H351" t="n">
        <v>3000</v>
      </c>
      <c r="I351" t="inlineStr">
        <is>
          <t>202004099216622776</t>
        </is>
      </c>
      <c r="J351" t="inlineStr">
        <is>
          <t>https://docquery.fec.gov/cgi-bin/fecimg/?202004099216622776</t>
        </is>
      </c>
    </row>
    <row r="352">
      <c r="A352" t="inlineStr">
        <is>
          <t>2020</t>
        </is>
      </c>
      <c r="B352" t="inlineStr">
        <is>
          <t>C00496307</t>
        </is>
      </c>
      <c r="C352" t="inlineStr">
        <is>
          <t>Marathon Petroleum Corp Employees PAC (MPAC)</t>
        </is>
      </c>
      <c r="D352" t="inlineStr">
        <is>
          <t>MICHAEL WALTZ FOR CONGRESS</t>
        </is>
      </c>
      <c r="E352" t="inlineStr">
        <is>
          <t>H8FL06148</t>
        </is>
      </c>
      <c r="F352" t="inlineStr">
        <is>
          <t>REP</t>
        </is>
      </c>
      <c r="G352" t="inlineStr">
        <is>
          <t>03192020</t>
        </is>
      </c>
      <c r="H352" t="n">
        <v>2500</v>
      </c>
      <c r="I352" t="inlineStr">
        <is>
          <t>202004099216622776</t>
        </is>
      </c>
      <c r="J352" t="inlineStr">
        <is>
          <t>https://docquery.fec.gov/cgi-bin/fecimg/?202004099216622776</t>
        </is>
      </c>
    </row>
    <row r="353">
      <c r="A353" t="inlineStr">
        <is>
          <t>2020</t>
        </is>
      </c>
      <c r="B353" t="inlineStr">
        <is>
          <t>C00496307</t>
        </is>
      </c>
      <c r="C353" t="inlineStr">
        <is>
          <t>Marathon Petroleum Corp Employees PAC (MPAC)</t>
        </is>
      </c>
      <c r="D353" t="inlineStr">
        <is>
          <t>TEXANS FOR JODEY ARRINGTON</t>
        </is>
      </c>
      <c r="E353" t="inlineStr">
        <is>
          <t>H6TX19099</t>
        </is>
      </c>
      <c r="F353" t="inlineStr">
        <is>
          <t>REP</t>
        </is>
      </c>
      <c r="G353" t="inlineStr">
        <is>
          <t>03252019</t>
        </is>
      </c>
      <c r="H353" t="n">
        <v>5000</v>
      </c>
      <c r="I353" t="inlineStr">
        <is>
          <t>201908209162994302</t>
        </is>
      </c>
      <c r="J353" t="inlineStr">
        <is>
          <t>https://docquery.fec.gov/cgi-bin/fecimg/?201908209162994302</t>
        </is>
      </c>
    </row>
    <row r="354">
      <c r="A354" t="inlineStr">
        <is>
          <t>2020</t>
        </is>
      </c>
      <c r="B354" t="inlineStr">
        <is>
          <t>C00496307</t>
        </is>
      </c>
      <c r="C354" t="inlineStr">
        <is>
          <t>Marathon Petroleum Corp Employees PAC (MPAC)</t>
        </is>
      </c>
      <c r="D354" t="inlineStr">
        <is>
          <t>THOMAS MASSIE FOR CONGRESS</t>
        </is>
      </c>
      <c r="E354" t="inlineStr">
        <is>
          <t>H2KY04121</t>
        </is>
      </c>
      <c r="F354" t="inlineStr">
        <is>
          <t>REP</t>
        </is>
      </c>
      <c r="G354" t="inlineStr">
        <is>
          <t>03252019</t>
        </is>
      </c>
      <c r="H354" t="n">
        <v>2500</v>
      </c>
      <c r="I354" t="inlineStr">
        <is>
          <t>201908209162994302</t>
        </is>
      </c>
      <c r="J354" t="inlineStr">
        <is>
          <t>https://docquery.fec.gov/cgi-bin/fecimg/?201908209162994302</t>
        </is>
      </c>
    </row>
    <row r="355">
      <c r="A355" t="inlineStr">
        <is>
          <t>2020</t>
        </is>
      </c>
      <c r="B355" t="inlineStr">
        <is>
          <t>C00496307</t>
        </is>
      </c>
      <c r="C355" t="inlineStr">
        <is>
          <t>Marathon Petroleum Corp Employees PAC (MPAC)</t>
        </is>
      </c>
      <c r="D355" t="inlineStr">
        <is>
          <t>VOLUNTEERS FOR SHIMKUS</t>
        </is>
      </c>
      <c r="E355" t="inlineStr">
        <is>
          <t>H2IL20042</t>
        </is>
      </c>
      <c r="F355" t="inlineStr">
        <is>
          <t>REP</t>
        </is>
      </c>
      <c r="G355" t="inlineStr">
        <is>
          <t>03252019</t>
        </is>
      </c>
      <c r="H355" t="n">
        <v>2500</v>
      </c>
      <c r="I355" t="inlineStr">
        <is>
          <t>201908209162994303</t>
        </is>
      </c>
      <c r="J355" t="inlineStr">
        <is>
          <t>https://docquery.fec.gov/cgi-bin/fecimg/?201908209162994303</t>
        </is>
      </c>
    </row>
    <row r="356">
      <c r="A356" t="inlineStr">
        <is>
          <t>2020</t>
        </is>
      </c>
      <c r="B356" t="inlineStr">
        <is>
          <t>C00496307</t>
        </is>
      </c>
      <c r="C356" t="inlineStr">
        <is>
          <t>Marathon Petroleum Corp Employees PAC (MPAC)</t>
        </is>
      </c>
      <c r="D356" t="inlineStr">
        <is>
          <t>WALBERG FOR CONGRESS</t>
        </is>
      </c>
      <c r="E356" t="inlineStr">
        <is>
          <t>H4MI07103</t>
        </is>
      </c>
      <c r="F356" t="inlineStr">
        <is>
          <t>REP</t>
        </is>
      </c>
      <c r="G356" t="inlineStr">
        <is>
          <t>03252019</t>
        </is>
      </c>
      <c r="H356" t="n">
        <v>2500</v>
      </c>
      <c r="I356" t="inlineStr">
        <is>
          <t>201908209162994303</t>
        </is>
      </c>
      <c r="J356" t="inlineStr">
        <is>
          <t>https://docquery.fec.gov/cgi-bin/fecimg/?201908209162994303</t>
        </is>
      </c>
    </row>
    <row r="357">
      <c r="A357" t="inlineStr">
        <is>
          <t>2020</t>
        </is>
      </c>
      <c r="B357" t="inlineStr">
        <is>
          <t>C00496307</t>
        </is>
      </c>
      <c r="C357" t="inlineStr">
        <is>
          <t>Marathon Petroleum Corp Employees PAC (MPAC)</t>
        </is>
      </c>
      <c r="D357" t="inlineStr">
        <is>
          <t>WALDEN FOR CONGRESS</t>
        </is>
      </c>
      <c r="E357" t="inlineStr">
        <is>
          <t>H6OR02116</t>
        </is>
      </c>
      <c r="F357" t="inlineStr">
        <is>
          <t>REP</t>
        </is>
      </c>
      <c r="G357" t="inlineStr">
        <is>
          <t>03252019</t>
        </is>
      </c>
      <c r="H357" t="n">
        <v>2500</v>
      </c>
      <c r="I357" t="inlineStr">
        <is>
          <t>201908209162994304</t>
        </is>
      </c>
      <c r="J357" t="inlineStr">
        <is>
          <t>https://docquery.fec.gov/cgi-bin/fecimg/?201908209162994304</t>
        </is>
      </c>
    </row>
    <row r="358">
      <c r="A358" t="inlineStr">
        <is>
          <t>2020</t>
        </is>
      </c>
      <c r="B358" t="inlineStr">
        <is>
          <t>C00496307</t>
        </is>
      </c>
      <c r="C358" t="inlineStr">
        <is>
          <t>Marathon Petroleum Corp Employees PAC (MPAC)</t>
        </is>
      </c>
      <c r="D358" t="inlineStr">
        <is>
          <t>SMUCKER FOR CONGRESS</t>
        </is>
      </c>
      <c r="E358" t="inlineStr">
        <is>
          <t>H6PA16320</t>
        </is>
      </c>
      <c r="F358" t="inlineStr">
        <is>
          <t>REP</t>
        </is>
      </c>
      <c r="G358" t="inlineStr">
        <is>
          <t>03252019</t>
        </is>
      </c>
      <c r="H358" t="n">
        <v>2500</v>
      </c>
      <c r="I358" t="inlineStr">
        <is>
          <t>201908209162994301</t>
        </is>
      </c>
      <c r="J358" t="inlineStr">
        <is>
          <t>https://docquery.fec.gov/cgi-bin/fecimg/?201908209162994301</t>
        </is>
      </c>
    </row>
    <row r="359">
      <c r="A359" t="inlineStr">
        <is>
          <t>2020</t>
        </is>
      </c>
      <c r="B359" t="inlineStr">
        <is>
          <t>C00496307</t>
        </is>
      </c>
      <c r="C359" t="inlineStr">
        <is>
          <t>Marathon Petroleum Corp Employees PAC (MPAC)</t>
        </is>
      </c>
      <c r="D359" t="inlineStr">
        <is>
          <t>DEVIN NUNES CAMPAIGN COMMITTEE</t>
        </is>
      </c>
      <c r="E359" t="inlineStr">
        <is>
          <t>H8CA20059</t>
        </is>
      </c>
      <c r="F359" t="inlineStr">
        <is>
          <t>REP</t>
        </is>
      </c>
      <c r="G359" t="inlineStr">
        <is>
          <t>03252019</t>
        </is>
      </c>
      <c r="H359" t="n">
        <v>2500</v>
      </c>
      <c r="I359" t="inlineStr">
        <is>
          <t>201908209162994293</t>
        </is>
      </c>
      <c r="J359" t="inlineStr">
        <is>
          <t>https://docquery.fec.gov/cgi-bin/fecimg/?201908209162994293</t>
        </is>
      </c>
    </row>
    <row r="360">
      <c r="A360" t="inlineStr">
        <is>
          <t>2020</t>
        </is>
      </c>
      <c r="B360" t="inlineStr">
        <is>
          <t>C00496307</t>
        </is>
      </c>
      <c r="C360" t="inlineStr">
        <is>
          <t>Marathon Petroleum Corp Employees PAC (MPAC)</t>
        </is>
      </c>
      <c r="D360" t="inlineStr">
        <is>
          <t>KURT SCHRADER FOR CONGRESS</t>
        </is>
      </c>
      <c r="E360" t="inlineStr">
        <is>
          <t>H8OR05107</t>
        </is>
      </c>
      <c r="F360" t="inlineStr">
        <is>
          <t>DEM</t>
        </is>
      </c>
      <c r="G360" t="inlineStr">
        <is>
          <t>03252019</t>
        </is>
      </c>
      <c r="H360" t="n">
        <v>2500</v>
      </c>
      <c r="I360" t="inlineStr">
        <is>
          <t>201908209162994298</t>
        </is>
      </c>
      <c r="J360" t="inlineStr">
        <is>
          <t>https://docquery.fec.gov/cgi-bin/fecimg/?201908209162994298</t>
        </is>
      </c>
    </row>
    <row r="361">
      <c r="A361" t="inlineStr">
        <is>
          <t>2020</t>
        </is>
      </c>
      <c r="B361" t="inlineStr">
        <is>
          <t>C00496307</t>
        </is>
      </c>
      <c r="C361" t="inlineStr">
        <is>
          <t>Marathon Petroleum Corp Employees PAC (MPAC)</t>
        </is>
      </c>
      <c r="D361" t="inlineStr">
        <is>
          <t>LAHOOD FOR CONGRESS</t>
        </is>
      </c>
      <c r="E361" t="inlineStr">
        <is>
          <t>H6IL18088</t>
        </is>
      </c>
      <c r="F361" t="inlineStr">
        <is>
          <t>REP</t>
        </is>
      </c>
      <c r="G361" t="inlineStr">
        <is>
          <t>03252019</t>
        </is>
      </c>
      <c r="H361" t="n">
        <v>5000</v>
      </c>
      <c r="I361" t="inlineStr">
        <is>
          <t>201908209162994298</t>
        </is>
      </c>
      <c r="J361" t="inlineStr">
        <is>
          <t>https://docquery.fec.gov/cgi-bin/fecimg/?201908209162994298</t>
        </is>
      </c>
    </row>
    <row r="362">
      <c r="A362" t="inlineStr">
        <is>
          <t>2020</t>
        </is>
      </c>
      <c r="B362" t="inlineStr">
        <is>
          <t>C00496307</t>
        </is>
      </c>
      <c r="C362" t="inlineStr">
        <is>
          <t>Marathon Petroleum Corp Employees PAC (MPAC)</t>
        </is>
      </c>
      <c r="D362" t="inlineStr">
        <is>
          <t>RICHMOND FOR CONGRESS</t>
        </is>
      </c>
      <c r="E362" t="inlineStr">
        <is>
          <t>H8LA02054</t>
        </is>
      </c>
      <c r="F362" t="inlineStr">
        <is>
          <t>DEM</t>
        </is>
      </c>
      <c r="G362" t="inlineStr">
        <is>
          <t>03252019</t>
        </is>
      </c>
      <c r="H362" t="n">
        <v>2500</v>
      </c>
      <c r="I362" t="inlineStr">
        <is>
          <t>201908209162994299</t>
        </is>
      </c>
      <c r="J362" t="inlineStr">
        <is>
          <t>https://docquery.fec.gov/cgi-bin/fecimg/?201908209162994299</t>
        </is>
      </c>
    </row>
    <row r="363">
      <c r="A363" t="inlineStr">
        <is>
          <t>2020</t>
        </is>
      </c>
      <c r="B363" t="inlineStr">
        <is>
          <t>C00496307</t>
        </is>
      </c>
      <c r="C363" t="inlineStr">
        <is>
          <t>Marathon Petroleum Corp Employees PAC (MPAC)</t>
        </is>
      </c>
      <c r="D363" t="inlineStr">
        <is>
          <t>ROGER WILLIAMS FOR U.S. CONGRESS COMMITTEE</t>
        </is>
      </c>
      <c r="E363" t="inlineStr">
        <is>
          <t>H2TX33040</t>
        </is>
      </c>
      <c r="F363" t="inlineStr">
        <is>
          <t>REP</t>
        </is>
      </c>
      <c r="G363" t="inlineStr">
        <is>
          <t>03252019</t>
        </is>
      </c>
      <c r="H363" t="n">
        <v>2500</v>
      </c>
      <c r="I363" t="inlineStr">
        <is>
          <t>201908209162994300</t>
        </is>
      </c>
      <c r="J363" t="inlineStr">
        <is>
          <t>https://docquery.fec.gov/cgi-bin/fecimg/?201908209162994300</t>
        </is>
      </c>
    </row>
    <row r="364">
      <c r="A364" t="inlineStr">
        <is>
          <t>2020</t>
        </is>
      </c>
      <c r="B364" t="inlineStr">
        <is>
          <t>C00496307</t>
        </is>
      </c>
      <c r="C364" t="inlineStr">
        <is>
          <t>Marathon Petroleum Corp Employees PAC (MPAC)</t>
        </is>
      </c>
      <c r="D364" t="inlineStr">
        <is>
          <t>FRIENDS OF DAVE JOYCE</t>
        </is>
      </c>
      <c r="E364" t="inlineStr">
        <is>
          <t>H2OH14064</t>
        </is>
      </c>
      <c r="F364" t="inlineStr">
        <is>
          <t>REP</t>
        </is>
      </c>
      <c r="G364" t="inlineStr">
        <is>
          <t>03252019</t>
        </is>
      </c>
      <c r="H364" t="n">
        <v>5000</v>
      </c>
      <c r="I364" t="inlineStr">
        <is>
          <t>201908209162994294</t>
        </is>
      </c>
      <c r="J364" t="inlineStr">
        <is>
          <t>https://docquery.fec.gov/cgi-bin/fecimg/?201908209162994294</t>
        </is>
      </c>
    </row>
    <row r="365">
      <c r="A365" t="inlineStr">
        <is>
          <t>2020</t>
        </is>
      </c>
      <c r="B365" t="inlineStr">
        <is>
          <t>C00496307</t>
        </is>
      </c>
      <c r="C365" t="inlineStr">
        <is>
          <t>Marathon Petroleum Corp Employees PAC (MPAC)</t>
        </is>
      </c>
      <c r="D365" t="inlineStr">
        <is>
          <t>GRAVES FOR CONGRESS</t>
        </is>
      </c>
      <c r="E365" t="inlineStr">
        <is>
          <t>H0GA09030</t>
        </is>
      </c>
      <c r="F365" t="inlineStr">
        <is>
          <t>REP</t>
        </is>
      </c>
      <c r="G365" t="inlineStr">
        <is>
          <t>03252019</t>
        </is>
      </c>
      <c r="H365" t="n">
        <v>2500</v>
      </c>
      <c r="I365" t="inlineStr">
        <is>
          <t>201908209162994294</t>
        </is>
      </c>
      <c r="J365" t="inlineStr">
        <is>
          <t>https://docquery.fec.gov/cgi-bin/fecimg/?201908209162994294</t>
        </is>
      </c>
    </row>
    <row r="366">
      <c r="A366" t="inlineStr">
        <is>
          <t>2020</t>
        </is>
      </c>
      <c r="B366" t="inlineStr">
        <is>
          <t>C00496307</t>
        </is>
      </c>
      <c r="C366" t="inlineStr">
        <is>
          <t>Marathon Petroleum Corp Employees PAC (MPAC)</t>
        </is>
      </c>
      <c r="D366" t="inlineStr">
        <is>
          <t>HERN FOR CONGRESS</t>
        </is>
      </c>
      <c r="E366" t="inlineStr">
        <is>
          <t>H8OK01157</t>
        </is>
      </c>
      <c r="F366" t="inlineStr">
        <is>
          <t>REP</t>
        </is>
      </c>
      <c r="G366" t="inlineStr">
        <is>
          <t>03252019</t>
        </is>
      </c>
      <c r="H366" t="n">
        <v>2500</v>
      </c>
      <c r="I366" t="inlineStr">
        <is>
          <t>201908209162994295</t>
        </is>
      </c>
      <c r="J366" t="inlineStr">
        <is>
          <t>https://docquery.fec.gov/cgi-bin/fecimg/?201908209162994295</t>
        </is>
      </c>
    </row>
    <row r="367">
      <c r="A367" t="inlineStr">
        <is>
          <t>2020</t>
        </is>
      </c>
      <c r="B367" t="inlineStr">
        <is>
          <t>C00496307</t>
        </is>
      </c>
      <c r="C367" t="inlineStr">
        <is>
          <t>Marathon Petroleum Corp Employees PAC (MPAC)</t>
        </is>
      </c>
      <c r="D367" t="inlineStr">
        <is>
          <t>JIM COSTA FOR CONGRESS</t>
        </is>
      </c>
      <c r="E367" t="inlineStr">
        <is>
          <t>H4CA20082</t>
        </is>
      </c>
      <c r="F367" t="inlineStr">
        <is>
          <t>DEM</t>
        </is>
      </c>
      <c r="G367" t="inlineStr">
        <is>
          <t>03252019</t>
        </is>
      </c>
      <c r="H367" t="n">
        <v>2500</v>
      </c>
      <c r="I367" t="inlineStr">
        <is>
          <t>201908209162994296</t>
        </is>
      </c>
      <c r="J367" t="inlineStr">
        <is>
          <t>https://docquery.fec.gov/cgi-bin/fecimg/?201908209162994296</t>
        </is>
      </c>
    </row>
    <row r="368">
      <c r="A368" t="inlineStr">
        <is>
          <t>2020</t>
        </is>
      </c>
      <c r="B368" t="inlineStr">
        <is>
          <t>C00496307</t>
        </is>
      </c>
      <c r="C368" t="inlineStr">
        <is>
          <t>Marathon Petroleum Corp Employees PAC (MPAC)</t>
        </is>
      </c>
      <c r="D368" t="inlineStr">
        <is>
          <t>ANTHONY GONZALEZ FOR CONGRESS</t>
        </is>
      </c>
      <c r="E368" t="inlineStr">
        <is>
          <t>H8OH16124</t>
        </is>
      </c>
      <c r="F368" t="inlineStr">
        <is>
          <t>REP</t>
        </is>
      </c>
      <c r="G368" t="inlineStr">
        <is>
          <t>03252019</t>
        </is>
      </c>
      <c r="H368" t="n">
        <v>2500</v>
      </c>
      <c r="I368" t="inlineStr">
        <is>
          <t>201908209162994289</t>
        </is>
      </c>
      <c r="J368" t="inlineStr">
        <is>
          <t>https://docquery.fec.gov/cgi-bin/fecimg/?201908209162994289</t>
        </is>
      </c>
    </row>
    <row r="369">
      <c r="A369" t="inlineStr">
        <is>
          <t>2020</t>
        </is>
      </c>
      <c r="B369" t="inlineStr">
        <is>
          <t>C00496307</t>
        </is>
      </c>
      <c r="C369" t="inlineStr">
        <is>
          <t>Marathon Petroleum Corp Employees PAC (MPAC)</t>
        </is>
      </c>
      <c r="D369" t="inlineStr">
        <is>
          <t>BYRNE FOR CONGRESS</t>
        </is>
      </c>
      <c r="E369" t="inlineStr">
        <is>
          <t>H4AL01123</t>
        </is>
      </c>
      <c r="F369" t="inlineStr">
        <is>
          <t>REP</t>
        </is>
      </c>
      <c r="G369" t="inlineStr">
        <is>
          <t>03252019</t>
        </is>
      </c>
      <c r="H369" t="n">
        <v>1000</v>
      </c>
      <c r="I369" t="inlineStr">
        <is>
          <t>201908209162994290</t>
        </is>
      </c>
      <c r="J369" t="inlineStr">
        <is>
          <t>https://docquery.fec.gov/cgi-bin/fecimg/?201908209162994290</t>
        </is>
      </c>
    </row>
    <row r="370">
      <c r="A370" t="inlineStr">
        <is>
          <t>2020</t>
        </is>
      </c>
      <c r="B370" t="inlineStr">
        <is>
          <t>C00496307</t>
        </is>
      </c>
      <c r="C370" t="inlineStr">
        <is>
          <t>Marathon Petroleum Corp Employees PAC (MPAC)</t>
        </is>
      </c>
      <c r="D370" t="inlineStr">
        <is>
          <t>CORY GARDNER FOR SENATE</t>
        </is>
      </c>
      <c r="E370" t="inlineStr">
        <is>
          <t>S4CO00395</t>
        </is>
      </c>
      <c r="F370" t="inlineStr">
        <is>
          <t>REP</t>
        </is>
      </c>
      <c r="G370" t="inlineStr">
        <is>
          <t>03252019</t>
        </is>
      </c>
      <c r="H370" t="n">
        <v>2500</v>
      </c>
      <c r="I370" t="inlineStr">
        <is>
          <t>201908209162994292</t>
        </is>
      </c>
      <c r="J370" t="inlineStr">
        <is>
          <t>https://docquery.fec.gov/cgi-bin/fecimg/?201908209162994292</t>
        </is>
      </c>
    </row>
    <row r="371">
      <c r="A371" t="inlineStr">
        <is>
          <t>2020</t>
        </is>
      </c>
      <c r="B371" t="inlineStr">
        <is>
          <t>C00496307</t>
        </is>
      </c>
      <c r="C371" t="inlineStr">
        <is>
          <t>Marathon Petroleum Corp Employees PAC (MPAC)</t>
        </is>
      </c>
      <c r="D371" t="inlineStr">
        <is>
          <t>FRIENDS FOR CHRIS STEWART, INC.</t>
        </is>
      </c>
      <c r="E371" t="inlineStr">
        <is>
          <t>H2UT02324</t>
        </is>
      </c>
      <c r="F371" t="inlineStr">
        <is>
          <t>REP</t>
        </is>
      </c>
      <c r="G371" t="inlineStr">
        <is>
          <t>04162020</t>
        </is>
      </c>
      <c r="H371" t="n">
        <v>2500</v>
      </c>
      <c r="I371" t="inlineStr">
        <is>
          <t>202005189232794941</t>
        </is>
      </c>
      <c r="J371" t="inlineStr">
        <is>
          <t>https://docquery.fec.gov/cgi-bin/fecimg/?202005189232794941</t>
        </is>
      </c>
    </row>
    <row r="372">
      <c r="A372" t="inlineStr">
        <is>
          <t>2020</t>
        </is>
      </c>
      <c r="B372" t="inlineStr">
        <is>
          <t>C00496307</t>
        </is>
      </c>
      <c r="C372" t="inlineStr">
        <is>
          <t>Marathon Petroleum Corp Employees PAC (MPAC)</t>
        </is>
      </c>
      <c r="D372" t="inlineStr">
        <is>
          <t>FRIENDS FOR CHRIS STEWART, INC.</t>
        </is>
      </c>
      <c r="E372" t="inlineStr">
        <is>
          <t>H2UT02324</t>
        </is>
      </c>
      <c r="F372" t="inlineStr">
        <is>
          <t>REP</t>
        </is>
      </c>
      <c r="G372" t="inlineStr">
        <is>
          <t>05112020</t>
        </is>
      </c>
      <c r="H372" t="n">
        <v>-2500</v>
      </c>
      <c r="I372" t="inlineStr">
        <is>
          <t>202006159239781476</t>
        </is>
      </c>
      <c r="J372" t="inlineStr">
        <is>
          <t>https://docquery.fec.gov/cgi-bin/fecimg/?202006159239781476</t>
        </is>
      </c>
    </row>
    <row r="373">
      <c r="A373" t="inlineStr">
        <is>
          <t>2020</t>
        </is>
      </c>
      <c r="B373" t="inlineStr">
        <is>
          <t>C00496307</t>
        </is>
      </c>
      <c r="C373" t="inlineStr">
        <is>
          <t>Marathon Petroleum Corp Employees PAC (MPAC)</t>
        </is>
      </c>
      <c r="D373" t="inlineStr">
        <is>
          <t>BILLY LONG FOR CONGRESS</t>
        </is>
      </c>
      <c r="E373" t="inlineStr">
        <is>
          <t>H0MO07113</t>
        </is>
      </c>
      <c r="F373" t="inlineStr">
        <is>
          <t>REP</t>
        </is>
      </c>
      <c r="G373" t="inlineStr">
        <is>
          <t>05312019</t>
        </is>
      </c>
      <c r="H373" t="n">
        <v>5000</v>
      </c>
      <c r="I373" t="inlineStr">
        <is>
          <t>201906189150088235</t>
        </is>
      </c>
      <c r="J373" t="inlineStr">
        <is>
          <t>https://docquery.fec.gov/cgi-bin/fecimg/?201906189150088235</t>
        </is>
      </c>
    </row>
    <row r="374">
      <c r="A374" t="inlineStr">
        <is>
          <t>2020</t>
        </is>
      </c>
      <c r="B374" t="inlineStr">
        <is>
          <t>C00496307</t>
        </is>
      </c>
      <c r="C374" t="inlineStr">
        <is>
          <t>Marathon Petroleum Corp Employees PAC (MPAC)</t>
        </is>
      </c>
      <c r="D374" t="inlineStr">
        <is>
          <t>BRADY FOR CONGRESS</t>
        </is>
      </c>
      <c r="E374" t="inlineStr">
        <is>
          <t>H6TX08100</t>
        </is>
      </c>
      <c r="F374" t="inlineStr">
        <is>
          <t>REP</t>
        </is>
      </c>
      <c r="G374" t="inlineStr">
        <is>
          <t>05312019</t>
        </is>
      </c>
      <c r="H374" t="n">
        <v>5000</v>
      </c>
      <c r="I374" t="inlineStr">
        <is>
          <t>201906189150088235</t>
        </is>
      </c>
      <c r="J374" t="inlineStr">
        <is>
          <t>https://docquery.fec.gov/cgi-bin/fecimg/?201906189150088235</t>
        </is>
      </c>
    </row>
    <row r="375">
      <c r="A375" t="inlineStr">
        <is>
          <t>2020</t>
        </is>
      </c>
      <c r="B375" t="inlineStr">
        <is>
          <t>C00496307</t>
        </is>
      </c>
      <c r="C375" t="inlineStr">
        <is>
          <t>Marathon Petroleum Corp Employees PAC (MPAC)</t>
        </is>
      </c>
      <c r="D375" t="inlineStr">
        <is>
          <t>CISNEROS FOR CONGRESS</t>
        </is>
      </c>
      <c r="E375" t="inlineStr">
        <is>
          <t>H8CA39174</t>
        </is>
      </c>
      <c r="F375" t="inlineStr">
        <is>
          <t>DEM</t>
        </is>
      </c>
      <c r="G375" t="inlineStr">
        <is>
          <t>05312019</t>
        </is>
      </c>
      <c r="H375" t="n">
        <v>1000</v>
      </c>
      <c r="I375" t="inlineStr">
        <is>
          <t>201906189150088236</t>
        </is>
      </c>
      <c r="J375" t="inlineStr">
        <is>
          <t>https://docquery.fec.gov/cgi-bin/fecimg/?201906189150088236</t>
        </is>
      </c>
    </row>
    <row r="376">
      <c r="A376" t="inlineStr">
        <is>
          <t>2020</t>
        </is>
      </c>
      <c r="B376" t="inlineStr">
        <is>
          <t>C00496307</t>
        </is>
      </c>
      <c r="C376" t="inlineStr">
        <is>
          <t>Marathon Petroleum Corp Employees PAC (MPAC)</t>
        </is>
      </c>
      <c r="D376" t="inlineStr">
        <is>
          <t>COLE FOR CONGRESS</t>
        </is>
      </c>
      <c r="E376" t="inlineStr">
        <is>
          <t>H2OK04055</t>
        </is>
      </c>
      <c r="F376" t="inlineStr">
        <is>
          <t>REP</t>
        </is>
      </c>
      <c r="G376" t="inlineStr">
        <is>
          <t>05312019</t>
        </is>
      </c>
      <c r="H376" t="n">
        <v>2500</v>
      </c>
      <c r="I376" t="inlineStr">
        <is>
          <t>201906189150088236</t>
        </is>
      </c>
      <c r="J376" t="inlineStr">
        <is>
          <t>https://docquery.fec.gov/cgi-bin/fecimg/?201906189150088236</t>
        </is>
      </c>
    </row>
    <row r="377">
      <c r="A377" t="inlineStr">
        <is>
          <t>2020</t>
        </is>
      </c>
      <c r="B377" t="inlineStr">
        <is>
          <t>C00496307</t>
        </is>
      </c>
      <c r="C377" t="inlineStr">
        <is>
          <t>Marathon Petroleum Corp Employees PAC (MPAC)</t>
        </is>
      </c>
      <c r="D377" t="inlineStr">
        <is>
          <t>GARRET GRAVES FOR CONGRESS</t>
        </is>
      </c>
      <c r="E377" t="inlineStr">
        <is>
          <t>H4LA06153</t>
        </is>
      </c>
      <c r="F377" t="inlineStr">
        <is>
          <t>REP</t>
        </is>
      </c>
      <c r="G377" t="inlineStr">
        <is>
          <t>05312019</t>
        </is>
      </c>
      <c r="H377" t="n">
        <v>2500</v>
      </c>
      <c r="I377" t="inlineStr">
        <is>
          <t>201906189150088237</t>
        </is>
      </c>
      <c r="J377" t="inlineStr">
        <is>
          <t>https://docquery.fec.gov/cgi-bin/fecimg/?201906189150088237</t>
        </is>
      </c>
    </row>
    <row r="378">
      <c r="A378" t="inlineStr">
        <is>
          <t>2020</t>
        </is>
      </c>
      <c r="B378" t="inlineStr">
        <is>
          <t>C00496307</t>
        </is>
      </c>
      <c r="C378" t="inlineStr">
        <is>
          <t>Marathon Petroleum Corp Employees PAC (MPAC)</t>
        </is>
      </c>
      <c r="D378" t="inlineStr">
        <is>
          <t>PETE STAUBER FOR CONGRESS</t>
        </is>
      </c>
      <c r="E378" t="inlineStr">
        <is>
          <t>H8MN08043</t>
        </is>
      </c>
      <c r="F378" t="inlineStr">
        <is>
          <t>REP</t>
        </is>
      </c>
      <c r="G378" t="inlineStr">
        <is>
          <t>05312019</t>
        </is>
      </c>
      <c r="H378" t="n">
        <v>5000</v>
      </c>
      <c r="I378" t="inlineStr">
        <is>
          <t>201906189150088239</t>
        </is>
      </c>
      <c r="J378" t="inlineStr">
        <is>
          <t>https://docquery.fec.gov/cgi-bin/fecimg/?201906189150088239</t>
        </is>
      </c>
    </row>
    <row r="379">
      <c r="A379" t="inlineStr">
        <is>
          <t>2020</t>
        </is>
      </c>
      <c r="B379" t="inlineStr">
        <is>
          <t>C00496307</t>
        </is>
      </c>
      <c r="C379" t="inlineStr">
        <is>
          <t>Marathon Petroleum Corp Employees PAC (MPAC)</t>
        </is>
      </c>
      <c r="D379" t="inlineStr">
        <is>
          <t>VAN TAYLOR CAMPAIGN</t>
        </is>
      </c>
      <c r="E379" t="inlineStr">
        <is>
          <t>H8TX03123</t>
        </is>
      </c>
      <c r="F379" t="inlineStr">
        <is>
          <t>REP</t>
        </is>
      </c>
      <c r="G379" t="inlineStr">
        <is>
          <t>05312019</t>
        </is>
      </c>
      <c r="H379" t="n">
        <v>5000</v>
      </c>
      <c r="I379" t="inlineStr">
        <is>
          <t>201906189150088240</t>
        </is>
      </c>
      <c r="J379" t="inlineStr">
        <is>
          <t>https://docquery.fec.gov/cgi-bin/fecimg/?201906189150088240</t>
        </is>
      </c>
    </row>
    <row r="380">
      <c r="A380" t="inlineStr">
        <is>
          <t>2020</t>
        </is>
      </c>
      <c r="B380" t="inlineStr">
        <is>
          <t>C00496307</t>
        </is>
      </c>
      <c r="C380" t="inlineStr">
        <is>
          <t>Marathon Petroleum Corp Employees PAC (MPAC)</t>
        </is>
      </c>
      <c r="D380" t="inlineStr">
        <is>
          <t>TEXANS FOR HENRY CUELLAR CONGRESSIONAL CAMPAIGN</t>
        </is>
      </c>
      <c r="E380" t="inlineStr">
        <is>
          <t>H2TX23082</t>
        </is>
      </c>
      <c r="F380" t="inlineStr">
        <is>
          <t>DEM</t>
        </is>
      </c>
      <c r="G380" t="inlineStr">
        <is>
          <t>05312019</t>
        </is>
      </c>
      <c r="H380" t="n">
        <v>2500</v>
      </c>
      <c r="I380" t="inlineStr">
        <is>
          <t>201906189150088239</t>
        </is>
      </c>
      <c r="J380" t="inlineStr">
        <is>
          <t>https://docquery.fec.gov/cgi-bin/fecimg/?201906189150088239</t>
        </is>
      </c>
    </row>
    <row r="381">
      <c r="A381" t="inlineStr">
        <is>
          <t>2020</t>
        </is>
      </c>
      <c r="B381" t="inlineStr">
        <is>
          <t>C00496307</t>
        </is>
      </c>
      <c r="C381" t="inlineStr">
        <is>
          <t>Marathon Petroleum Corp Employees PAC (MPAC)</t>
        </is>
      </c>
      <c r="D381" t="inlineStr">
        <is>
          <t>TOM REED FOR CONGRESS</t>
        </is>
      </c>
      <c r="E381" t="inlineStr">
        <is>
          <t>H0NY29054</t>
        </is>
      </c>
      <c r="F381" t="inlineStr">
        <is>
          <t>REP</t>
        </is>
      </c>
      <c r="G381" t="inlineStr">
        <is>
          <t>05312019</t>
        </is>
      </c>
      <c r="H381" t="n">
        <v>2500</v>
      </c>
      <c r="I381" t="inlineStr">
        <is>
          <t>201906189150088240</t>
        </is>
      </c>
      <c r="J381" t="inlineStr">
        <is>
          <t>https://docquery.fec.gov/cgi-bin/fecimg/?201906189150088240</t>
        </is>
      </c>
    </row>
    <row r="382">
      <c r="A382" t="inlineStr">
        <is>
          <t>2020</t>
        </is>
      </c>
      <c r="B382" t="inlineStr">
        <is>
          <t>C00496307</t>
        </is>
      </c>
      <c r="C382" t="inlineStr">
        <is>
          <t>Marathon Petroleum Corp Employees PAC (MPAC)</t>
        </is>
      </c>
      <c r="D382" t="inlineStr">
        <is>
          <t>TREY FOR CONGRESS</t>
        </is>
      </c>
      <c r="E382" t="inlineStr">
        <is>
          <t>H6IN09176</t>
        </is>
      </c>
      <c r="F382" t="inlineStr">
        <is>
          <t>REP</t>
        </is>
      </c>
      <c r="G382" t="inlineStr">
        <is>
          <t>05312019</t>
        </is>
      </c>
      <c r="H382" t="n">
        <v>2000</v>
      </c>
      <c r="I382" t="inlineStr">
        <is>
          <t>201906189150088240</t>
        </is>
      </c>
      <c r="J382" t="inlineStr">
        <is>
          <t>https://docquery.fec.gov/cgi-bin/fecimg/?201906189150088240</t>
        </is>
      </c>
    </row>
    <row r="383">
      <c r="A383" t="inlineStr">
        <is>
          <t>2020</t>
        </is>
      </c>
      <c r="B383" t="inlineStr">
        <is>
          <t>C00496307</t>
        </is>
      </c>
      <c r="C383" t="inlineStr">
        <is>
          <t>Marathon Petroleum Corp Employees PAC (MPAC)</t>
        </is>
      </c>
      <c r="D383" t="inlineStr">
        <is>
          <t>WALORSKI FOR CONGRESS</t>
        </is>
      </c>
      <c r="E383" t="inlineStr">
        <is>
          <t>H0IN02190</t>
        </is>
      </c>
      <c r="F383" t="inlineStr">
        <is>
          <t>REP</t>
        </is>
      </c>
      <c r="G383" t="inlineStr">
        <is>
          <t>05312019</t>
        </is>
      </c>
      <c r="H383" t="n">
        <v>2500</v>
      </c>
      <c r="I383" t="inlineStr">
        <is>
          <t>201906189150088241</t>
        </is>
      </c>
      <c r="J383" t="inlineStr">
        <is>
          <t>https://docquery.fec.gov/cgi-bin/fecimg/?201906189150088241</t>
        </is>
      </c>
    </row>
    <row r="384">
      <c r="A384" t="inlineStr">
        <is>
          <t>2020</t>
        </is>
      </c>
      <c r="B384" t="inlineStr">
        <is>
          <t>C00496307</t>
        </is>
      </c>
      <c r="C384" t="inlineStr">
        <is>
          <t>Marathon Petroleum Corp Employees PAC (MPAC)</t>
        </is>
      </c>
      <c r="D384" t="inlineStr">
        <is>
          <t>WESTERMAN FOR CONGRESS</t>
        </is>
      </c>
      <c r="E384" t="inlineStr">
        <is>
          <t>H4AR04048</t>
        </is>
      </c>
      <c r="F384" t="inlineStr">
        <is>
          <t>REP</t>
        </is>
      </c>
      <c r="G384" t="inlineStr">
        <is>
          <t>05312019</t>
        </is>
      </c>
      <c r="H384" t="n">
        <v>1000</v>
      </c>
      <c r="I384" t="inlineStr">
        <is>
          <t>201906189150088241</t>
        </is>
      </c>
      <c r="J384" t="inlineStr">
        <is>
          <t>https://docquery.fec.gov/cgi-bin/fecimg/?201906189150088241</t>
        </is>
      </c>
    </row>
    <row r="385">
      <c r="A385" t="inlineStr">
        <is>
          <t>2020</t>
        </is>
      </c>
      <c r="B385" t="inlineStr">
        <is>
          <t>C00496307</t>
        </is>
      </c>
      <c r="C385" t="inlineStr">
        <is>
          <t>Marathon Petroleum Corp Employees PAC (MPAC)</t>
        </is>
      </c>
      <c r="D385" t="inlineStr">
        <is>
          <t>ZELDIN FOR CONGRESS</t>
        </is>
      </c>
      <c r="E385" t="inlineStr">
        <is>
          <t>H8NY01148</t>
        </is>
      </c>
      <c r="F385" t="inlineStr">
        <is>
          <t>REP</t>
        </is>
      </c>
      <c r="G385" t="inlineStr">
        <is>
          <t>05312019</t>
        </is>
      </c>
      <c r="H385" t="n">
        <v>2000</v>
      </c>
      <c r="I385" t="inlineStr">
        <is>
          <t>201906189150088241</t>
        </is>
      </c>
      <c r="J385" t="inlineStr">
        <is>
          <t>https://docquery.fec.gov/cgi-bin/fecimg/?201906189150088241</t>
        </is>
      </c>
    </row>
    <row r="386">
      <c r="A386" t="inlineStr">
        <is>
          <t>2020</t>
        </is>
      </c>
      <c r="B386" t="inlineStr">
        <is>
          <t>C00496307</t>
        </is>
      </c>
      <c r="C386" t="inlineStr">
        <is>
          <t>Marathon Petroleum Corp Employees PAC (MPAC)</t>
        </is>
      </c>
      <c r="D386" t="inlineStr">
        <is>
          <t>GEORGE HOLDING FOR CONGRESS</t>
        </is>
      </c>
      <c r="E386" t="inlineStr">
        <is>
          <t>H2NC13110</t>
        </is>
      </c>
      <c r="F386" t="inlineStr">
        <is>
          <t>REP</t>
        </is>
      </c>
      <c r="G386" t="inlineStr">
        <is>
          <t>05312019</t>
        </is>
      </c>
      <c r="H386" t="n">
        <v>2500</v>
      </c>
      <c r="I386" t="inlineStr">
        <is>
          <t>201906189150088237</t>
        </is>
      </c>
      <c r="J386" t="inlineStr">
        <is>
          <t>https://docquery.fec.gov/cgi-bin/fecimg/?201906189150088237</t>
        </is>
      </c>
    </row>
    <row r="387">
      <c r="A387" t="inlineStr">
        <is>
          <t>2020</t>
        </is>
      </c>
      <c r="B387" t="inlineStr">
        <is>
          <t>C00496307</t>
        </is>
      </c>
      <c r="C387" t="inlineStr">
        <is>
          <t>Marathon Petroleum Corp Employees PAC (MPAC)</t>
        </is>
      </c>
      <c r="D387" t="inlineStr">
        <is>
          <t>GUTHRIE FOR CONGRESS</t>
        </is>
      </c>
      <c r="E387" t="inlineStr">
        <is>
          <t>H8KY02031</t>
        </is>
      </c>
      <c r="F387" t="inlineStr">
        <is>
          <t>REP</t>
        </is>
      </c>
      <c r="G387" t="inlineStr">
        <is>
          <t>05312019</t>
        </is>
      </c>
      <c r="H387" t="n">
        <v>2500</v>
      </c>
      <c r="I387" t="inlineStr">
        <is>
          <t>201906189150088237</t>
        </is>
      </c>
      <c r="J387" t="inlineStr">
        <is>
          <t>https://docquery.fec.gov/cgi-bin/fecimg/?201906189150088237</t>
        </is>
      </c>
    </row>
    <row r="388">
      <c r="A388" t="inlineStr">
        <is>
          <t>2020</t>
        </is>
      </c>
      <c r="B388" t="inlineStr">
        <is>
          <t>C00496307</t>
        </is>
      </c>
      <c r="C388" t="inlineStr">
        <is>
          <t>Marathon Petroleum Corp Employees PAC (MPAC)</t>
        </is>
      </c>
      <c r="D388" t="inlineStr">
        <is>
          <t>JOHNSON FOR CONGRESS</t>
        </is>
      </c>
      <c r="E388" t="inlineStr">
        <is>
          <t>H0OH06189</t>
        </is>
      </c>
      <c r="F388" t="inlineStr">
        <is>
          <t>REP</t>
        </is>
      </c>
      <c r="G388" t="inlineStr">
        <is>
          <t>05312019</t>
        </is>
      </c>
      <c r="H388" t="n">
        <v>2500</v>
      </c>
      <c r="I388" t="inlineStr">
        <is>
          <t>201906189150088238</t>
        </is>
      </c>
      <c r="J388" t="inlineStr">
        <is>
          <t>https://docquery.fec.gov/cgi-bin/fecimg/?201906189150088238</t>
        </is>
      </c>
    </row>
    <row r="389">
      <c r="A389" t="inlineStr">
        <is>
          <t>2020</t>
        </is>
      </c>
      <c r="B389" t="inlineStr">
        <is>
          <t>C00496307</t>
        </is>
      </c>
      <c r="C389" t="inlineStr">
        <is>
          <t>Marathon Petroleum Corp Employees PAC (MPAC)</t>
        </is>
      </c>
      <c r="D389" t="inlineStr">
        <is>
          <t>OLSON FOR CONGRESS COMMITTEE</t>
        </is>
      </c>
      <c r="E389" t="inlineStr">
        <is>
          <t>H8TX22107</t>
        </is>
      </c>
      <c r="F389" t="inlineStr">
        <is>
          <t>REP</t>
        </is>
      </c>
      <c r="G389" t="inlineStr">
        <is>
          <t>05312019</t>
        </is>
      </c>
      <c r="H389" t="n">
        <v>2500</v>
      </c>
      <c r="I389" t="inlineStr">
        <is>
          <t>201906189150088238</t>
        </is>
      </c>
      <c r="J389" t="inlineStr">
        <is>
          <t>https://docquery.fec.gov/cgi-bin/fecimg/?201906189150088238</t>
        </is>
      </c>
    </row>
    <row r="390">
      <c r="A390" t="inlineStr">
        <is>
          <t>2020</t>
        </is>
      </c>
      <c r="B390" t="inlineStr">
        <is>
          <t>C00496307</t>
        </is>
      </c>
      <c r="C390" t="inlineStr">
        <is>
          <t>Marathon Petroleum Corp Employees PAC (MPAC)</t>
        </is>
      </c>
      <c r="D390" t="inlineStr">
        <is>
          <t>OLSON FOR CONGRESS COMMITTEE</t>
        </is>
      </c>
      <c r="E390" t="inlineStr">
        <is>
          <t>H8TX22107</t>
        </is>
      </c>
      <c r="F390" t="inlineStr">
        <is>
          <t>REP</t>
        </is>
      </c>
      <c r="G390" t="inlineStr">
        <is>
          <t>05312019</t>
        </is>
      </c>
      <c r="H390" t="n">
        <v>2500</v>
      </c>
      <c r="I390" t="inlineStr">
        <is>
          <t>201906189150088238</t>
        </is>
      </c>
      <c r="J390" t="inlineStr">
        <is>
          <t>https://docquery.fec.gov/cgi-bin/fecimg/?201906189150088238</t>
        </is>
      </c>
    </row>
    <row r="391">
      <c r="A391" t="inlineStr">
        <is>
          <t>2020</t>
        </is>
      </c>
      <c r="B391" t="inlineStr">
        <is>
          <t>C00496307</t>
        </is>
      </c>
      <c r="C391" t="inlineStr">
        <is>
          <t>Marathon Petroleum Corp Employees PAC (MPAC)</t>
        </is>
      </c>
      <c r="D391" t="inlineStr">
        <is>
          <t>MCCAUL FOR CONGRESS</t>
        </is>
      </c>
      <c r="E391" t="inlineStr">
        <is>
          <t>H4TX10093</t>
        </is>
      </c>
      <c r="F391" t="inlineStr">
        <is>
          <t>REP</t>
        </is>
      </c>
      <c r="G391" t="inlineStr">
        <is>
          <t>06112019</t>
        </is>
      </c>
      <c r="H391" t="n">
        <v>2000</v>
      </c>
      <c r="I391" t="inlineStr">
        <is>
          <t>201907099150531549</t>
        </is>
      </c>
      <c r="J391" t="inlineStr">
        <is>
          <t>https://docquery.fec.gov/cgi-bin/fecimg/?201907099150531549</t>
        </is>
      </c>
    </row>
    <row r="392">
      <c r="A392" t="inlineStr">
        <is>
          <t>2020</t>
        </is>
      </c>
      <c r="B392" t="inlineStr">
        <is>
          <t>C00496307</t>
        </is>
      </c>
      <c r="C392" t="inlineStr">
        <is>
          <t>Marathon Petroleum Corp Employees PAC (MPAC)</t>
        </is>
      </c>
      <c r="D392" t="inlineStr">
        <is>
          <t>MCSALLY FOR SENATE INC</t>
        </is>
      </c>
      <c r="E392" t="inlineStr">
        <is>
          <t>S8AZ00221</t>
        </is>
      </c>
      <c r="F392" t="inlineStr">
        <is>
          <t>REP</t>
        </is>
      </c>
      <c r="G392" t="inlineStr">
        <is>
          <t>06112019</t>
        </is>
      </c>
      <c r="H392" t="n">
        <v>2500</v>
      </c>
      <c r="I392" t="inlineStr">
        <is>
          <t>201907099150531549</t>
        </is>
      </c>
      <c r="J392" t="inlineStr">
        <is>
          <t>https://docquery.fec.gov/cgi-bin/fecimg/?201907099150531549</t>
        </is>
      </c>
    </row>
    <row r="393">
      <c r="A393" t="inlineStr">
        <is>
          <t>2020</t>
        </is>
      </c>
      <c r="B393" t="inlineStr">
        <is>
          <t>C00496307</t>
        </is>
      </c>
      <c r="C393" t="inlineStr">
        <is>
          <t>Marathon Petroleum Corp Employees PAC (MPAC)</t>
        </is>
      </c>
      <c r="D393" t="inlineStr">
        <is>
          <t>MULLIN FOR CONGRESS</t>
        </is>
      </c>
      <c r="E393" t="inlineStr">
        <is>
          <t>H2OK02083</t>
        </is>
      </c>
      <c r="F393" t="inlineStr">
        <is>
          <t>REP</t>
        </is>
      </c>
      <c r="G393" t="inlineStr">
        <is>
          <t>06112019</t>
        </is>
      </c>
      <c r="H393" t="n">
        <v>2500</v>
      </c>
      <c r="I393" t="inlineStr">
        <is>
          <t>201907099150531550</t>
        </is>
      </c>
      <c r="J393" t="inlineStr">
        <is>
          <t>https://docquery.fec.gov/cgi-bin/fecimg/?201907099150531550</t>
        </is>
      </c>
    </row>
    <row r="394">
      <c r="A394" t="inlineStr">
        <is>
          <t>2020</t>
        </is>
      </c>
      <c r="B394" t="inlineStr">
        <is>
          <t>C00496307</t>
        </is>
      </c>
      <c r="C394" t="inlineStr">
        <is>
          <t>Marathon Petroleum Corp Employees PAC (MPAC)</t>
        </is>
      </c>
      <c r="D394" t="inlineStr">
        <is>
          <t>TEXANS FOR SENATOR JOHN CORNYN INC</t>
        </is>
      </c>
      <c r="E394" t="inlineStr">
        <is>
          <t>S2TX00106</t>
        </is>
      </c>
      <c r="F394" t="inlineStr">
        <is>
          <t>REP</t>
        </is>
      </c>
      <c r="G394" t="inlineStr">
        <is>
          <t>06112019</t>
        </is>
      </c>
      <c r="H394" t="n">
        <v>2500</v>
      </c>
      <c r="I394" t="inlineStr">
        <is>
          <t>201907099150531552</t>
        </is>
      </c>
      <c r="J394" t="inlineStr">
        <is>
          <t>https://docquery.fec.gov/cgi-bin/fecimg/?201907099150531552</t>
        </is>
      </c>
    </row>
    <row r="395">
      <c r="A395" t="inlineStr">
        <is>
          <t>2020</t>
        </is>
      </c>
      <c r="B395" t="inlineStr">
        <is>
          <t>C00496307</t>
        </is>
      </c>
      <c r="C395" t="inlineStr">
        <is>
          <t>Marathon Petroleum Corp Employees PAC (MPAC)</t>
        </is>
      </c>
      <c r="D395" t="inlineStr">
        <is>
          <t>TEXANS FOR SENATOR JOHN CORNYN INC</t>
        </is>
      </c>
      <c r="E395" t="inlineStr">
        <is>
          <t>S2TX00106</t>
        </is>
      </c>
      <c r="F395" t="inlineStr">
        <is>
          <t>REP</t>
        </is>
      </c>
      <c r="G395" t="inlineStr">
        <is>
          <t>06112019</t>
        </is>
      </c>
      <c r="H395" t="n">
        <v>1000</v>
      </c>
      <c r="I395" t="inlineStr">
        <is>
          <t>201907099150531552</t>
        </is>
      </c>
      <c r="J395" t="inlineStr">
        <is>
          <t>https://docquery.fec.gov/cgi-bin/fecimg/?201907099150531552</t>
        </is>
      </c>
    </row>
    <row r="396">
      <c r="A396" t="inlineStr">
        <is>
          <t>2020</t>
        </is>
      </c>
      <c r="B396" t="inlineStr">
        <is>
          <t>C00496307</t>
        </is>
      </c>
      <c r="C396" t="inlineStr">
        <is>
          <t>Marathon Petroleum Corp Employees PAC (MPAC)</t>
        </is>
      </c>
      <c r="D396" t="inlineStr">
        <is>
          <t>UPTON FOR ALL OF US</t>
        </is>
      </c>
      <c r="E396" t="inlineStr">
        <is>
          <t>H6MI04113</t>
        </is>
      </c>
      <c r="F396" t="inlineStr">
        <is>
          <t>REP</t>
        </is>
      </c>
      <c r="G396" t="inlineStr">
        <is>
          <t>06112019</t>
        </is>
      </c>
      <c r="H396" t="n">
        <v>2000</v>
      </c>
      <c r="I396" t="inlineStr">
        <is>
          <t>201907099150531553</t>
        </is>
      </c>
      <c r="J396" t="inlineStr">
        <is>
          <t>https://docquery.fec.gov/cgi-bin/fecimg/?201907099150531553</t>
        </is>
      </c>
    </row>
    <row r="397">
      <c r="A397" t="inlineStr">
        <is>
          <t>2020</t>
        </is>
      </c>
      <c r="B397" t="inlineStr">
        <is>
          <t>C00496307</t>
        </is>
      </c>
      <c r="C397" t="inlineStr">
        <is>
          <t>Marathon Petroleum Corp Employees PAC (MPAC)</t>
        </is>
      </c>
      <c r="D397" t="inlineStr">
        <is>
          <t>WEBER FOR CONGRESS</t>
        </is>
      </c>
      <c r="E397" t="inlineStr">
        <is>
          <t>H2TX14149</t>
        </is>
      </c>
      <c r="F397" t="inlineStr">
        <is>
          <t>REP</t>
        </is>
      </c>
      <c r="G397" t="inlineStr">
        <is>
          <t>06112019</t>
        </is>
      </c>
      <c r="H397" t="n">
        <v>2500</v>
      </c>
      <c r="I397" t="inlineStr">
        <is>
          <t>201907099150531554</t>
        </is>
      </c>
      <c r="J397" t="inlineStr">
        <is>
          <t>https://docquery.fec.gov/cgi-bin/fecimg/?201907099150531554</t>
        </is>
      </c>
    </row>
    <row r="398">
      <c r="A398" t="inlineStr">
        <is>
          <t>2020</t>
        </is>
      </c>
      <c r="B398" t="inlineStr">
        <is>
          <t>C00496307</t>
        </is>
      </c>
      <c r="C398" t="inlineStr">
        <is>
          <t>Marathon Petroleum Corp Employees PAC (MPAC)</t>
        </is>
      </c>
      <c r="D398" t="inlineStr">
        <is>
          <t>ARMSTRONG FOR CONGRESS</t>
        </is>
      </c>
      <c r="E398" t="inlineStr">
        <is>
          <t>H8ND00096</t>
        </is>
      </c>
      <c r="F398" t="inlineStr">
        <is>
          <t>REP</t>
        </is>
      </c>
      <c r="G398" t="inlineStr">
        <is>
          <t>06112019</t>
        </is>
      </c>
      <c r="H398" t="n">
        <v>2500</v>
      </c>
      <c r="I398" t="inlineStr">
        <is>
          <t>201907099150531537</t>
        </is>
      </c>
      <c r="J398" t="inlineStr">
        <is>
          <t>https://docquery.fec.gov/cgi-bin/fecimg/?201907099150531537</t>
        </is>
      </c>
    </row>
    <row r="399">
      <c r="A399" t="inlineStr">
        <is>
          <t>2020</t>
        </is>
      </c>
      <c r="B399" t="inlineStr">
        <is>
          <t>C00496307</t>
        </is>
      </c>
      <c r="C399" t="inlineStr">
        <is>
          <t>Marathon Petroleum Corp Employees PAC (MPAC)</t>
        </is>
      </c>
      <c r="D399" t="inlineStr">
        <is>
          <t>BEN SASSE FOR US SENATE INC</t>
        </is>
      </c>
      <c r="E399" t="inlineStr">
        <is>
          <t>S4NE00090</t>
        </is>
      </c>
      <c r="F399" t="inlineStr">
        <is>
          <t>REP</t>
        </is>
      </c>
      <c r="G399" t="inlineStr">
        <is>
          <t>06112019</t>
        </is>
      </c>
      <c r="H399" t="n">
        <v>1000</v>
      </c>
      <c r="I399" t="inlineStr">
        <is>
          <t>201907099150531537</t>
        </is>
      </c>
      <c r="J399" t="inlineStr">
        <is>
          <t>https://docquery.fec.gov/cgi-bin/fecimg/?201907099150531537</t>
        </is>
      </c>
    </row>
    <row r="400">
      <c r="A400" t="inlineStr">
        <is>
          <t>2020</t>
        </is>
      </c>
      <c r="B400" t="inlineStr">
        <is>
          <t>C00496307</t>
        </is>
      </c>
      <c r="C400" t="inlineStr">
        <is>
          <t>Marathon Petroleum Corp Employees PAC (MPAC)</t>
        </is>
      </c>
      <c r="D400" t="inlineStr">
        <is>
          <t>BILL CASSIDY FOR US SENATE</t>
        </is>
      </c>
      <c r="E400" t="inlineStr">
        <is>
          <t>S4LA00107</t>
        </is>
      </c>
      <c r="F400" t="inlineStr">
        <is>
          <t>REP</t>
        </is>
      </c>
      <c r="G400" t="inlineStr">
        <is>
          <t>06112019</t>
        </is>
      </c>
      <c r="H400" t="n">
        <v>2500</v>
      </c>
      <c r="I400" t="inlineStr">
        <is>
          <t>201907099150531538</t>
        </is>
      </c>
      <c r="J400" t="inlineStr">
        <is>
          <t>https://docquery.fec.gov/cgi-bin/fecimg/?201907099150531538</t>
        </is>
      </c>
    </row>
    <row r="401">
      <c r="A401" t="inlineStr">
        <is>
          <t>2020</t>
        </is>
      </c>
      <c r="B401" t="inlineStr">
        <is>
          <t>C00496307</t>
        </is>
      </c>
      <c r="C401" t="inlineStr">
        <is>
          <t>Marathon Petroleum Corp Employees PAC (MPAC)</t>
        </is>
      </c>
      <c r="D401" t="inlineStr">
        <is>
          <t>ANTHONY GONZALEZ FOR CONGRESS</t>
        </is>
      </c>
      <c r="E401" t="inlineStr">
        <is>
          <t>H8OH16124</t>
        </is>
      </c>
      <c r="F401" t="inlineStr">
        <is>
          <t>REP</t>
        </is>
      </c>
      <c r="G401" t="inlineStr">
        <is>
          <t>06112019</t>
        </is>
      </c>
      <c r="H401" t="n">
        <v>2000</v>
      </c>
      <c r="I401" t="inlineStr">
        <is>
          <t>201907099150531537</t>
        </is>
      </c>
      <c r="J401" t="inlineStr">
        <is>
          <t>https://docquery.fec.gov/cgi-bin/fecimg/?201907099150531537</t>
        </is>
      </c>
    </row>
    <row r="402">
      <c r="A402" t="inlineStr">
        <is>
          <t>2020</t>
        </is>
      </c>
      <c r="B402" t="inlineStr">
        <is>
          <t>C00496307</t>
        </is>
      </c>
      <c r="C402" t="inlineStr">
        <is>
          <t>Marathon Petroleum Corp Employees PAC (MPAC)</t>
        </is>
      </c>
      <c r="D402" t="inlineStr">
        <is>
          <t>BILL FLORES FOR CONGRESS</t>
        </is>
      </c>
      <c r="E402" t="inlineStr">
        <is>
          <t>H0TX17104</t>
        </is>
      </c>
      <c r="F402" t="inlineStr">
        <is>
          <t>REP</t>
        </is>
      </c>
      <c r="G402" t="inlineStr">
        <is>
          <t>06112019</t>
        </is>
      </c>
      <c r="H402" t="n">
        <v>2500</v>
      </c>
      <c r="I402" t="inlineStr">
        <is>
          <t>201907099150531539</t>
        </is>
      </c>
      <c r="J402" t="inlineStr">
        <is>
          <t>https://docquery.fec.gov/cgi-bin/fecimg/?201907099150531539</t>
        </is>
      </c>
    </row>
    <row r="403">
      <c r="A403" t="inlineStr">
        <is>
          <t>2020</t>
        </is>
      </c>
      <c r="B403" t="inlineStr">
        <is>
          <t>C00496307</t>
        </is>
      </c>
      <c r="C403" t="inlineStr">
        <is>
          <t>Marathon Petroleum Corp Employees PAC (MPAC)</t>
        </is>
      </c>
      <c r="D403" t="inlineStr">
        <is>
          <t>BUDDY CARTER FOR CONGRESS</t>
        </is>
      </c>
      <c r="E403" t="inlineStr">
        <is>
          <t>H4GA01039</t>
        </is>
      </c>
      <c r="F403" t="inlineStr">
        <is>
          <t>REP</t>
        </is>
      </c>
      <c r="G403" t="inlineStr">
        <is>
          <t>06112019</t>
        </is>
      </c>
      <c r="H403" t="n">
        <v>2000</v>
      </c>
      <c r="I403" t="inlineStr">
        <is>
          <t>201907099150531539</t>
        </is>
      </c>
      <c r="J403" t="inlineStr">
        <is>
          <t>https://docquery.fec.gov/cgi-bin/fecimg/?201907099150531539</t>
        </is>
      </c>
    </row>
    <row r="404">
      <c r="A404" t="inlineStr">
        <is>
          <t>2020</t>
        </is>
      </c>
      <c r="B404" t="inlineStr">
        <is>
          <t>C00496307</t>
        </is>
      </c>
      <c r="C404" t="inlineStr">
        <is>
          <t>Marathon Petroleum Corp Employees PAC (MPAC)</t>
        </is>
      </c>
      <c r="D404" t="inlineStr">
        <is>
          <t>FRIENDS OF DAVID SCHWEIKERT</t>
        </is>
      </c>
      <c r="E404" t="inlineStr">
        <is>
          <t>H4AZ06045</t>
        </is>
      </c>
      <c r="F404" t="inlineStr">
        <is>
          <t>REP</t>
        </is>
      </c>
      <c r="G404" t="inlineStr">
        <is>
          <t>06112019</t>
        </is>
      </c>
      <c r="H404" t="n">
        <v>2500</v>
      </c>
      <c r="I404" t="inlineStr">
        <is>
          <t>201907099150531544</t>
        </is>
      </c>
      <c r="J404" t="inlineStr">
        <is>
          <t>https://docquery.fec.gov/cgi-bin/fecimg/?201907099150531544</t>
        </is>
      </c>
    </row>
    <row r="405">
      <c r="A405" t="inlineStr">
        <is>
          <t>2020</t>
        </is>
      </c>
      <c r="B405" t="inlineStr">
        <is>
          <t>C00496307</t>
        </is>
      </c>
      <c r="C405" t="inlineStr">
        <is>
          <t>Marathon Petroleum Corp Employees PAC (MPAC)</t>
        </is>
      </c>
      <c r="D405" t="inlineStr">
        <is>
          <t>CONAWAY FOR CONGRESS</t>
        </is>
      </c>
      <c r="E405" t="inlineStr">
        <is>
          <t>H4TX19136</t>
        </is>
      </c>
      <c r="F405" t="inlineStr">
        <is>
          <t>REP</t>
        </is>
      </c>
      <c r="G405" t="inlineStr">
        <is>
          <t>06112019</t>
        </is>
      </c>
      <c r="H405" t="n">
        <v>2500</v>
      </c>
      <c r="I405" t="inlineStr">
        <is>
          <t>201907099150531542</t>
        </is>
      </c>
      <c r="J405" t="inlineStr">
        <is>
          <t>https://docquery.fec.gov/cgi-bin/fecimg/?201907099150531542</t>
        </is>
      </c>
    </row>
    <row r="406">
      <c r="A406" t="inlineStr">
        <is>
          <t>2020</t>
        </is>
      </c>
      <c r="B406" t="inlineStr">
        <is>
          <t>C00496307</t>
        </is>
      </c>
      <c r="C406" t="inlineStr">
        <is>
          <t>Marathon Petroleum Corp Employees PAC (MPAC)</t>
        </is>
      </c>
      <c r="D406" t="inlineStr">
        <is>
          <t>CAPITO FOR WEST VIRGINIA</t>
        </is>
      </c>
      <c r="E406" t="inlineStr">
        <is>
          <t>S4WV00159</t>
        </is>
      </c>
      <c r="F406" t="inlineStr">
        <is>
          <t>REP</t>
        </is>
      </c>
      <c r="G406" t="inlineStr">
        <is>
          <t>06112019</t>
        </is>
      </c>
      <c r="H406" t="n">
        <v>2500</v>
      </c>
      <c r="I406" t="inlineStr">
        <is>
          <t>201907099150531540</t>
        </is>
      </c>
      <c r="J406" t="inlineStr">
        <is>
          <t>https://docquery.fec.gov/cgi-bin/fecimg/?201907099150531540</t>
        </is>
      </c>
    </row>
    <row r="407">
      <c r="A407" t="inlineStr">
        <is>
          <t>2020</t>
        </is>
      </c>
      <c r="B407" t="inlineStr">
        <is>
          <t>C00496307</t>
        </is>
      </c>
      <c r="C407" t="inlineStr">
        <is>
          <t>Marathon Petroleum Corp Employees PAC (MPAC)</t>
        </is>
      </c>
      <c r="D407" t="inlineStr">
        <is>
          <t>CISNEROS FOR CONGRESS</t>
        </is>
      </c>
      <c r="E407" t="inlineStr">
        <is>
          <t>H8CA39174</t>
        </is>
      </c>
      <c r="F407" t="inlineStr">
        <is>
          <t>DEM</t>
        </is>
      </c>
      <c r="G407" t="inlineStr">
        <is>
          <t>06112019</t>
        </is>
      </c>
      <c r="H407" t="n">
        <v>-1000</v>
      </c>
      <c r="I407" t="inlineStr">
        <is>
          <t>201907099150531541</t>
        </is>
      </c>
      <c r="J407" t="inlineStr">
        <is>
          <t>https://docquery.fec.gov/cgi-bin/fecimg/?201907099150531541</t>
        </is>
      </c>
    </row>
    <row r="408">
      <c r="A408" t="inlineStr">
        <is>
          <t>2020</t>
        </is>
      </c>
      <c r="B408" t="inlineStr">
        <is>
          <t>C00496307</t>
        </is>
      </c>
      <c r="C408" t="inlineStr">
        <is>
          <t>Marathon Petroleum Corp Employees PAC (MPAC)</t>
        </is>
      </c>
      <c r="D408" t="inlineStr">
        <is>
          <t>COMMITTEE TO ELECT STEVE WATKINS</t>
        </is>
      </c>
      <c r="E408" t="inlineStr">
        <is>
          <t>H8KS02199</t>
        </is>
      </c>
      <c r="F408" t="inlineStr">
        <is>
          <t>REP</t>
        </is>
      </c>
      <c r="G408" t="inlineStr">
        <is>
          <t>06112019</t>
        </is>
      </c>
      <c r="H408" t="n">
        <v>2500</v>
      </c>
      <c r="I408" t="inlineStr">
        <is>
          <t>201907099150531542</t>
        </is>
      </c>
      <c r="J408" t="inlineStr">
        <is>
          <t>https://docquery.fec.gov/cgi-bin/fecimg/?201907099150531542</t>
        </is>
      </c>
    </row>
    <row r="409">
      <c r="A409" t="inlineStr">
        <is>
          <t>2020</t>
        </is>
      </c>
      <c r="B409" t="inlineStr">
        <is>
          <t>C00496307</t>
        </is>
      </c>
      <c r="C409" t="inlineStr">
        <is>
          <t>Marathon Petroleum Corp Employees PAC (MPAC)</t>
        </is>
      </c>
      <c r="D409" t="inlineStr">
        <is>
          <t>DAN CRENSHAW FOR CONGRESS</t>
        </is>
      </c>
      <c r="E409" t="inlineStr">
        <is>
          <t>H8TX02166</t>
        </is>
      </c>
      <c r="F409" t="inlineStr">
        <is>
          <t>REP</t>
        </is>
      </c>
      <c r="G409" t="inlineStr">
        <is>
          <t>06112019</t>
        </is>
      </c>
      <c r="H409" t="n">
        <v>1000</v>
      </c>
      <c r="I409" t="inlineStr">
        <is>
          <t>201907099150531542</t>
        </is>
      </c>
      <c r="J409" t="inlineStr">
        <is>
          <t>https://docquery.fec.gov/cgi-bin/fecimg/?201907099150531542</t>
        </is>
      </c>
    </row>
    <row r="410">
      <c r="A410" t="inlineStr">
        <is>
          <t>2020</t>
        </is>
      </c>
      <c r="B410" t="inlineStr">
        <is>
          <t>C00496307</t>
        </is>
      </c>
      <c r="C410" t="inlineStr">
        <is>
          <t>Marathon Petroleum Corp Employees PAC (MPAC)</t>
        </is>
      </c>
      <c r="D410" t="inlineStr">
        <is>
          <t>GARRET GRAVES FOR CONGRESS</t>
        </is>
      </c>
      <c r="E410" t="inlineStr">
        <is>
          <t>H4LA06153</t>
        </is>
      </c>
      <c r="F410" t="inlineStr">
        <is>
          <t>REP</t>
        </is>
      </c>
      <c r="G410" t="inlineStr">
        <is>
          <t>06112019</t>
        </is>
      </c>
      <c r="H410" t="n">
        <v>2500</v>
      </c>
      <c r="I410" t="inlineStr">
        <is>
          <t>201907099150531545</t>
        </is>
      </c>
      <c r="J410" t="inlineStr">
        <is>
          <t>https://docquery.fec.gov/cgi-bin/fecimg/?201907099150531545</t>
        </is>
      </c>
    </row>
    <row r="411">
      <c r="A411" t="inlineStr">
        <is>
          <t>2020</t>
        </is>
      </c>
      <c r="B411" t="inlineStr">
        <is>
          <t>C00496307</t>
        </is>
      </c>
      <c r="C411" t="inlineStr">
        <is>
          <t>Marathon Petroleum Corp Employees PAC (MPAC)</t>
        </is>
      </c>
      <c r="D411" t="inlineStr">
        <is>
          <t>GRAVES FOR CONGRESS</t>
        </is>
      </c>
      <c r="E411" t="inlineStr">
        <is>
          <t>H0MO06073</t>
        </is>
      </c>
      <c r="F411" t="inlineStr">
        <is>
          <t>REP</t>
        </is>
      </c>
      <c r="G411" t="inlineStr">
        <is>
          <t>06112019</t>
        </is>
      </c>
      <c r="H411" t="n">
        <v>2500</v>
      </c>
      <c r="I411" t="inlineStr">
        <is>
          <t>201907099150531546</t>
        </is>
      </c>
      <c r="J411" t="inlineStr">
        <is>
          <t>https://docquery.fec.gov/cgi-bin/fecimg/?201907099150531546</t>
        </is>
      </c>
    </row>
    <row r="412">
      <c r="A412" t="inlineStr">
        <is>
          <t>2020</t>
        </is>
      </c>
      <c r="B412" t="inlineStr">
        <is>
          <t>C00496307</t>
        </is>
      </c>
      <c r="C412" t="inlineStr">
        <is>
          <t>Marathon Petroleum Corp Employees PAC (MPAC)</t>
        </is>
      </c>
      <c r="D412" t="inlineStr">
        <is>
          <t>HUDSON FOR CONGRESS</t>
        </is>
      </c>
      <c r="E412" t="inlineStr">
        <is>
          <t>H2NC08185</t>
        </is>
      </c>
      <c r="F412" t="inlineStr">
        <is>
          <t>REP</t>
        </is>
      </c>
      <c r="G412" t="inlineStr">
        <is>
          <t>06112019</t>
        </is>
      </c>
      <c r="H412" t="n">
        <v>2500</v>
      </c>
      <c r="I412" t="inlineStr">
        <is>
          <t>201907099150531546</t>
        </is>
      </c>
      <c r="J412" t="inlineStr">
        <is>
          <t>https://docquery.fec.gov/cgi-bin/fecimg/?201907099150531546</t>
        </is>
      </c>
    </row>
    <row r="413">
      <c r="A413" t="inlineStr">
        <is>
          <t>2020</t>
        </is>
      </c>
      <c r="B413" t="inlineStr">
        <is>
          <t>C00496307</t>
        </is>
      </c>
      <c r="C413" t="inlineStr">
        <is>
          <t>Marathon Petroleum Corp Employees PAC (MPAC)</t>
        </is>
      </c>
      <c r="D413" t="inlineStr">
        <is>
          <t>JAIME FOR CONGRESS</t>
        </is>
      </c>
      <c r="E413" t="inlineStr">
        <is>
          <t>H0WA03187</t>
        </is>
      </c>
      <c r="F413" t="inlineStr">
        <is>
          <t>REP</t>
        </is>
      </c>
      <c r="G413" t="inlineStr">
        <is>
          <t>06112019</t>
        </is>
      </c>
      <c r="H413" t="n">
        <v>2000</v>
      </c>
      <c r="I413" t="inlineStr">
        <is>
          <t>201907099150531546</t>
        </is>
      </c>
      <c r="J413" t="inlineStr">
        <is>
          <t>https://docquery.fec.gov/cgi-bin/fecimg/?201907099150531546</t>
        </is>
      </c>
    </row>
    <row r="414">
      <c r="A414" t="inlineStr">
        <is>
          <t>2020</t>
        </is>
      </c>
      <c r="B414" t="inlineStr">
        <is>
          <t>C00496307</t>
        </is>
      </c>
      <c r="C414" t="inlineStr">
        <is>
          <t>Marathon Petroleum Corp Employees PAC (MPAC)</t>
        </is>
      </c>
      <c r="D414" t="inlineStr">
        <is>
          <t>JASON SMITH FOR CONGRESS</t>
        </is>
      </c>
      <c r="E414" t="inlineStr">
        <is>
          <t>H4MO08162</t>
        </is>
      </c>
      <c r="F414" t="inlineStr">
        <is>
          <t>REP</t>
        </is>
      </c>
      <c r="G414" t="inlineStr">
        <is>
          <t>06112019</t>
        </is>
      </c>
      <c r="H414" t="n">
        <v>5000</v>
      </c>
      <c r="I414" t="inlineStr">
        <is>
          <t>201907099150531547</t>
        </is>
      </c>
      <c r="J414" t="inlineStr">
        <is>
          <t>https://docquery.fec.gov/cgi-bin/fecimg/?201907099150531547</t>
        </is>
      </c>
    </row>
    <row r="415">
      <c r="A415" t="inlineStr">
        <is>
          <t>2020</t>
        </is>
      </c>
      <c r="B415" t="inlineStr">
        <is>
          <t>C00496307</t>
        </is>
      </c>
      <c r="C415" t="inlineStr">
        <is>
          <t>Marathon Petroleum Corp Employees PAC (MPAC)</t>
        </is>
      </c>
      <c r="D415" t="inlineStr">
        <is>
          <t>KANSANS FOR MARSHALL</t>
        </is>
      </c>
      <c r="E415" t="inlineStr">
        <is>
          <t>H6KS01179</t>
        </is>
      </c>
      <c r="F415" t="inlineStr">
        <is>
          <t>REP</t>
        </is>
      </c>
      <c r="G415" t="inlineStr">
        <is>
          <t>06112019</t>
        </is>
      </c>
      <c r="H415" t="n">
        <v>2500</v>
      </c>
      <c r="I415" t="inlineStr">
        <is>
          <t>201907099150531548</t>
        </is>
      </c>
      <c r="J415" t="inlineStr">
        <is>
          <t>https://docquery.fec.gov/cgi-bin/fecimg/?201907099150531548</t>
        </is>
      </c>
    </row>
    <row r="416">
      <c r="A416" t="inlineStr">
        <is>
          <t>2020</t>
        </is>
      </c>
      <c r="B416" t="inlineStr">
        <is>
          <t>C00496307</t>
        </is>
      </c>
      <c r="C416" t="inlineStr">
        <is>
          <t>Marathon Petroleum Corp Employees PAC (MPAC)</t>
        </is>
      </c>
      <c r="D416" t="inlineStr">
        <is>
          <t>KATKO FOR CONGRESS</t>
        </is>
      </c>
      <c r="E416" t="inlineStr">
        <is>
          <t>H4NY24073</t>
        </is>
      </c>
      <c r="F416" t="inlineStr">
        <is>
          <t>REP</t>
        </is>
      </c>
      <c r="G416" t="inlineStr">
        <is>
          <t>06112019</t>
        </is>
      </c>
      <c r="H416" t="n">
        <v>2000</v>
      </c>
      <c r="I416" t="inlineStr">
        <is>
          <t>201907099150531548</t>
        </is>
      </c>
      <c r="J416" t="inlineStr">
        <is>
          <t>https://docquery.fec.gov/cgi-bin/fecimg/?201907099150531548</t>
        </is>
      </c>
    </row>
    <row r="417">
      <c r="A417" t="inlineStr">
        <is>
          <t>2020</t>
        </is>
      </c>
      <c r="B417" t="inlineStr">
        <is>
          <t>C00496307</t>
        </is>
      </c>
      <c r="C417" t="inlineStr">
        <is>
          <t>Marathon Petroleum Corp Employees PAC (MPAC)</t>
        </is>
      </c>
      <c r="D417" t="inlineStr">
        <is>
          <t>CINDY HYDE-SMITH FOR US SENATE</t>
        </is>
      </c>
      <c r="E417" t="inlineStr">
        <is>
          <t>S8MS00261</t>
        </is>
      </c>
      <c r="F417" t="inlineStr">
        <is>
          <t>REP</t>
        </is>
      </c>
      <c r="G417" t="inlineStr">
        <is>
          <t>06122019</t>
        </is>
      </c>
      <c r="H417" t="n">
        <v>2500</v>
      </c>
      <c r="I417" t="inlineStr">
        <is>
          <t>201907099150531541</t>
        </is>
      </c>
      <c r="J417" t="inlineStr">
        <is>
          <t>https://docquery.fec.gov/cgi-bin/fecimg/?201907099150531541</t>
        </is>
      </c>
    </row>
    <row r="418">
      <c r="A418" t="inlineStr">
        <is>
          <t>2020</t>
        </is>
      </c>
      <c r="B418" t="inlineStr">
        <is>
          <t>C00496307</t>
        </is>
      </c>
      <c r="C418" t="inlineStr">
        <is>
          <t>Marathon Petroleum Corp Employees PAC (MPAC)</t>
        </is>
      </c>
      <c r="D418" t="inlineStr">
        <is>
          <t>RICHMOND FOR CONGRESS</t>
        </is>
      </c>
      <c r="E418" t="inlineStr">
        <is>
          <t>H8LA02054</t>
        </is>
      </c>
      <c r="F418" t="inlineStr">
        <is>
          <t>DEM</t>
        </is>
      </c>
      <c r="G418" t="inlineStr">
        <is>
          <t>06192019</t>
        </is>
      </c>
      <c r="H418" t="n">
        <v>2500</v>
      </c>
      <c r="I418" t="inlineStr">
        <is>
          <t>201907099150531550</t>
        </is>
      </c>
      <c r="J418" t="inlineStr">
        <is>
          <t>https://docquery.fec.gov/cgi-bin/fecimg/?201907099150531550</t>
        </is>
      </c>
    </row>
    <row r="419">
      <c r="A419" t="inlineStr">
        <is>
          <t>2020</t>
        </is>
      </c>
      <c r="B419" t="inlineStr">
        <is>
          <t>C00496307</t>
        </is>
      </c>
      <c r="C419" t="inlineStr">
        <is>
          <t>Marathon Petroleum Corp Employees PAC (MPAC)</t>
        </is>
      </c>
      <c r="D419" t="inlineStr">
        <is>
          <t>RODNEY FOR CONGRESS</t>
        </is>
      </c>
      <c r="E419" t="inlineStr">
        <is>
          <t>H2IL13120</t>
        </is>
      </c>
      <c r="F419" t="inlineStr">
        <is>
          <t>REP</t>
        </is>
      </c>
      <c r="G419" t="inlineStr">
        <is>
          <t>06192019</t>
        </is>
      </c>
      <c r="H419" t="n">
        <v>2500</v>
      </c>
      <c r="I419" t="inlineStr">
        <is>
          <t>201907099150531551</t>
        </is>
      </c>
      <c r="J419" t="inlineStr">
        <is>
          <t>https://docquery.fec.gov/cgi-bin/fecimg/?201907099150531551</t>
        </is>
      </c>
    </row>
    <row r="420">
      <c r="A420" t="inlineStr">
        <is>
          <t>2020</t>
        </is>
      </c>
      <c r="B420" t="inlineStr">
        <is>
          <t>C00496307</t>
        </is>
      </c>
      <c r="C420" t="inlineStr">
        <is>
          <t>Marathon Petroleum Corp Employees PAC (MPAC)</t>
        </is>
      </c>
      <c r="D420" t="inlineStr">
        <is>
          <t>ROUNDS FOR SENATE</t>
        </is>
      </c>
      <c r="E420" t="inlineStr">
        <is>
          <t>S4SD00049</t>
        </is>
      </c>
      <c r="F420" t="inlineStr">
        <is>
          <t>REP</t>
        </is>
      </c>
      <c r="G420" t="inlineStr">
        <is>
          <t>06192019</t>
        </is>
      </c>
      <c r="H420" t="n">
        <v>2500</v>
      </c>
      <c r="I420" t="inlineStr">
        <is>
          <t>201907099150531551</t>
        </is>
      </c>
      <c r="J420" t="inlineStr">
        <is>
          <t>https://docquery.fec.gov/cgi-bin/fecimg/?201907099150531551</t>
        </is>
      </c>
    </row>
    <row r="421">
      <c r="A421" t="inlineStr">
        <is>
          <t>2020</t>
        </is>
      </c>
      <c r="B421" t="inlineStr">
        <is>
          <t>C00496307</t>
        </is>
      </c>
      <c r="C421" t="inlineStr">
        <is>
          <t>Marathon Petroleum Corp Employees PAC (MPAC)</t>
        </is>
      </c>
      <c r="D421" t="inlineStr">
        <is>
          <t>SYLVIA GARCIA FOR CONGRESS</t>
        </is>
      </c>
      <c r="E421" t="inlineStr">
        <is>
          <t>H8TX29052</t>
        </is>
      </c>
      <c r="F421" t="inlineStr">
        <is>
          <t>DEM</t>
        </is>
      </c>
      <c r="G421" t="inlineStr">
        <is>
          <t>06192019</t>
        </is>
      </c>
      <c r="H421" t="n">
        <v>2500</v>
      </c>
      <c r="I421" t="inlineStr">
        <is>
          <t>201907099150531551</t>
        </is>
      </c>
      <c r="J421" t="inlineStr">
        <is>
          <t>https://docquery.fec.gov/cgi-bin/fecimg/?201907099150531551</t>
        </is>
      </c>
    </row>
    <row r="422">
      <c r="A422" t="inlineStr">
        <is>
          <t>2020</t>
        </is>
      </c>
      <c r="B422" t="inlineStr">
        <is>
          <t>C00496307</t>
        </is>
      </c>
      <c r="C422" t="inlineStr">
        <is>
          <t>Marathon Petroleum Corp Employees PAC (MPAC)</t>
        </is>
      </c>
      <c r="D422" t="inlineStr">
        <is>
          <t>TEXANS FOR JODEY ARRINGTON</t>
        </is>
      </c>
      <c r="E422" t="inlineStr">
        <is>
          <t>H6TX19099</t>
        </is>
      </c>
      <c r="F422" t="inlineStr">
        <is>
          <t>REP</t>
        </is>
      </c>
      <c r="G422" t="inlineStr">
        <is>
          <t>06192019</t>
        </is>
      </c>
      <c r="H422" t="n">
        <v>2500</v>
      </c>
      <c r="I422" t="inlineStr">
        <is>
          <t>201907099150531552</t>
        </is>
      </c>
      <c r="J422" t="inlineStr">
        <is>
          <t>https://docquery.fec.gov/cgi-bin/fecimg/?201907099150531552</t>
        </is>
      </c>
    </row>
    <row r="423">
      <c r="A423" t="inlineStr">
        <is>
          <t>2020</t>
        </is>
      </c>
      <c r="B423" t="inlineStr">
        <is>
          <t>C00496307</t>
        </is>
      </c>
      <c r="C423" t="inlineStr">
        <is>
          <t>Marathon Petroleum Corp Employees PAC (MPAC)</t>
        </is>
      </c>
      <c r="D423" t="inlineStr">
        <is>
          <t>TEXANS FOR SENATOR JOHN CORNYN INC</t>
        </is>
      </c>
      <c r="E423" t="inlineStr">
        <is>
          <t>S2TX00106</t>
        </is>
      </c>
      <c r="F423" t="inlineStr">
        <is>
          <t>REP</t>
        </is>
      </c>
      <c r="G423" t="inlineStr">
        <is>
          <t>06192019</t>
        </is>
      </c>
      <c r="H423" t="n">
        <v>2500</v>
      </c>
      <c r="I423" t="inlineStr">
        <is>
          <t>201907099150531553</t>
        </is>
      </c>
      <c r="J423" t="inlineStr">
        <is>
          <t>https://docquery.fec.gov/cgi-bin/fecimg/?201907099150531553</t>
        </is>
      </c>
    </row>
    <row r="424">
      <c r="A424" t="inlineStr">
        <is>
          <t>2020</t>
        </is>
      </c>
      <c r="B424" t="inlineStr">
        <is>
          <t>C00496307</t>
        </is>
      </c>
      <c r="C424" t="inlineStr">
        <is>
          <t>Marathon Petroleum Corp Employees PAC (MPAC)</t>
        </is>
      </c>
      <c r="D424" t="inlineStr">
        <is>
          <t>VOLUNTEERS FOR SHIMKUS</t>
        </is>
      </c>
      <c r="E424" t="inlineStr">
        <is>
          <t>H2IL20042</t>
        </is>
      </c>
      <c r="F424" t="inlineStr">
        <is>
          <t>REP</t>
        </is>
      </c>
      <c r="G424" t="inlineStr">
        <is>
          <t>06192019</t>
        </is>
      </c>
      <c r="H424" t="n">
        <v>2500</v>
      </c>
      <c r="I424" t="inlineStr">
        <is>
          <t>201907099150531553</t>
        </is>
      </c>
      <c r="J424" t="inlineStr">
        <is>
          <t>https://docquery.fec.gov/cgi-bin/fecimg/?201907099150531553</t>
        </is>
      </c>
    </row>
    <row r="425">
      <c r="A425" t="inlineStr">
        <is>
          <t>2020</t>
        </is>
      </c>
      <c r="B425" t="inlineStr">
        <is>
          <t>C00496307</t>
        </is>
      </c>
      <c r="C425" t="inlineStr">
        <is>
          <t>Marathon Petroleum Corp Employees PAC (MPAC)</t>
        </is>
      </c>
      <c r="D425" t="inlineStr">
        <is>
          <t>VOLUNTEERS FOR SHIMKUS</t>
        </is>
      </c>
      <c r="E425" t="inlineStr">
        <is>
          <t>H2IL20042</t>
        </is>
      </c>
      <c r="F425" t="inlineStr">
        <is>
          <t>REP</t>
        </is>
      </c>
      <c r="G425" t="inlineStr">
        <is>
          <t>06192019</t>
        </is>
      </c>
      <c r="H425" t="n">
        <v>2500</v>
      </c>
      <c r="I425" t="inlineStr">
        <is>
          <t>201907099150531554</t>
        </is>
      </c>
      <c r="J425" t="inlineStr">
        <is>
          <t>https://docquery.fec.gov/cgi-bin/fecimg/?201907099150531554</t>
        </is>
      </c>
    </row>
    <row r="426">
      <c r="A426" t="inlineStr">
        <is>
          <t>2020</t>
        </is>
      </c>
      <c r="B426" t="inlineStr">
        <is>
          <t>C00496307</t>
        </is>
      </c>
      <c r="C426" t="inlineStr">
        <is>
          <t>Marathon Petroleum Corp Employees PAC (MPAC)</t>
        </is>
      </c>
      <c r="D426" t="inlineStr">
        <is>
          <t>BEN SASSE FOR US SENATE INC</t>
        </is>
      </c>
      <c r="E426" t="inlineStr">
        <is>
          <t>S4NE00090</t>
        </is>
      </c>
      <c r="F426" t="inlineStr">
        <is>
          <t>REP</t>
        </is>
      </c>
      <c r="G426" t="inlineStr">
        <is>
          <t>06192019</t>
        </is>
      </c>
      <c r="H426" t="n">
        <v>2500</v>
      </c>
      <c r="I426" t="inlineStr">
        <is>
          <t>201907099150531538</t>
        </is>
      </c>
      <c r="J426" t="inlineStr">
        <is>
          <t>https://docquery.fec.gov/cgi-bin/fecimg/?201907099150531538</t>
        </is>
      </c>
    </row>
    <row r="427">
      <c r="A427" t="inlineStr">
        <is>
          <t>2020</t>
        </is>
      </c>
      <c r="B427" t="inlineStr">
        <is>
          <t>C00496307</t>
        </is>
      </c>
      <c r="C427" t="inlineStr">
        <is>
          <t>Marathon Petroleum Corp Employees PAC (MPAC)</t>
        </is>
      </c>
      <c r="D427" t="inlineStr">
        <is>
          <t>BUDDY CARTER FOR CONGRESS</t>
        </is>
      </c>
      <c r="E427" t="inlineStr">
        <is>
          <t>H4GA01039</t>
        </is>
      </c>
      <c r="F427" t="inlineStr">
        <is>
          <t>REP</t>
        </is>
      </c>
      <c r="G427" t="inlineStr">
        <is>
          <t>06192019</t>
        </is>
      </c>
      <c r="H427" t="n">
        <v>2500</v>
      </c>
      <c r="I427" t="inlineStr">
        <is>
          <t>201907099150531540</t>
        </is>
      </c>
      <c r="J427" t="inlineStr">
        <is>
          <t>https://docquery.fec.gov/cgi-bin/fecimg/?201907099150531540</t>
        </is>
      </c>
    </row>
    <row r="428">
      <c r="A428" t="inlineStr">
        <is>
          <t>2020</t>
        </is>
      </c>
      <c r="B428" t="inlineStr">
        <is>
          <t>C00496307</t>
        </is>
      </c>
      <c r="C428" t="inlineStr">
        <is>
          <t>Marathon Petroleum Corp Employees PAC (MPAC)</t>
        </is>
      </c>
      <c r="D428" t="inlineStr">
        <is>
          <t>BILL CASSIDY FOR US SENATE</t>
        </is>
      </c>
      <c r="E428" t="inlineStr">
        <is>
          <t>S4LA00107</t>
        </is>
      </c>
      <c r="F428" t="inlineStr">
        <is>
          <t>REP</t>
        </is>
      </c>
      <c r="G428" t="inlineStr">
        <is>
          <t>06192019</t>
        </is>
      </c>
      <c r="H428" t="n">
        <v>2500</v>
      </c>
      <c r="I428" t="inlineStr">
        <is>
          <t>201907099150531538</t>
        </is>
      </c>
      <c r="J428" t="inlineStr">
        <is>
          <t>https://docquery.fec.gov/cgi-bin/fecimg/?201907099150531538</t>
        </is>
      </c>
    </row>
    <row r="429">
      <c r="A429" t="inlineStr">
        <is>
          <t>2020</t>
        </is>
      </c>
      <c r="B429" t="inlineStr">
        <is>
          <t>C00496307</t>
        </is>
      </c>
      <c r="C429" t="inlineStr">
        <is>
          <t>Marathon Petroleum Corp Employees PAC (MPAC)</t>
        </is>
      </c>
      <c r="D429" t="inlineStr">
        <is>
          <t>BILL FLORES FOR CONGRESS</t>
        </is>
      </c>
      <c r="E429" t="inlineStr">
        <is>
          <t>H0TX17104</t>
        </is>
      </c>
      <c r="F429" t="inlineStr">
        <is>
          <t>REP</t>
        </is>
      </c>
      <c r="G429" t="inlineStr">
        <is>
          <t>06192019</t>
        </is>
      </c>
      <c r="H429" t="n">
        <v>2500</v>
      </c>
      <c r="I429" t="inlineStr">
        <is>
          <t>201907099150531539</t>
        </is>
      </c>
      <c r="J429" t="inlineStr">
        <is>
          <t>https://docquery.fec.gov/cgi-bin/fecimg/?201907099150531539</t>
        </is>
      </c>
    </row>
    <row r="430">
      <c r="A430" t="inlineStr">
        <is>
          <t>2020</t>
        </is>
      </c>
      <c r="B430" t="inlineStr">
        <is>
          <t>C00496307</t>
        </is>
      </c>
      <c r="C430" t="inlineStr">
        <is>
          <t>Marathon Petroleum Corp Employees PAC (MPAC)</t>
        </is>
      </c>
      <c r="D430" t="inlineStr">
        <is>
          <t>FRIENDS OF DAVE JOYCE</t>
        </is>
      </c>
      <c r="E430" t="inlineStr">
        <is>
          <t>H2OH14064</t>
        </is>
      </c>
      <c r="F430" t="inlineStr">
        <is>
          <t>REP</t>
        </is>
      </c>
      <c r="G430" t="inlineStr">
        <is>
          <t>06192019</t>
        </is>
      </c>
      <c r="H430" t="n">
        <v>2500</v>
      </c>
      <c r="I430" t="inlineStr">
        <is>
          <t>201907099150531544</t>
        </is>
      </c>
      <c r="J430" t="inlineStr">
        <is>
          <t>https://docquery.fec.gov/cgi-bin/fecimg/?201907099150531544</t>
        </is>
      </c>
    </row>
    <row r="431">
      <c r="A431" t="inlineStr">
        <is>
          <t>2020</t>
        </is>
      </c>
      <c r="B431" t="inlineStr">
        <is>
          <t>C00496307</t>
        </is>
      </c>
      <c r="C431" t="inlineStr">
        <is>
          <t>Marathon Petroleum Corp Employees PAC (MPAC)</t>
        </is>
      </c>
      <c r="D431" t="inlineStr">
        <is>
          <t>FRIENDS OF DENVER RIGGLEMAN, INC.</t>
        </is>
      </c>
      <c r="E431" t="inlineStr">
        <is>
          <t>H8VA05171</t>
        </is>
      </c>
      <c r="F431" t="inlineStr">
        <is>
          <t>REP</t>
        </is>
      </c>
      <c r="G431" t="inlineStr">
        <is>
          <t>06192019</t>
        </is>
      </c>
      <c r="H431" t="n">
        <v>4500</v>
      </c>
      <c r="I431" t="inlineStr">
        <is>
          <t>201907099150531544</t>
        </is>
      </c>
      <c r="J431" t="inlineStr">
        <is>
          <t>https://docquery.fec.gov/cgi-bin/fecimg/?201907099150531544</t>
        </is>
      </c>
    </row>
    <row r="432">
      <c r="A432" t="inlineStr">
        <is>
          <t>2020</t>
        </is>
      </c>
      <c r="B432" t="inlineStr">
        <is>
          <t>C00496307</t>
        </is>
      </c>
      <c r="C432" t="inlineStr">
        <is>
          <t>Marathon Petroleum Corp Employees PAC (MPAC)</t>
        </is>
      </c>
      <c r="D432" t="inlineStr">
        <is>
          <t>FRIENDS OF DUSTY JOHNSON</t>
        </is>
      </c>
      <c r="E432" t="inlineStr">
        <is>
          <t>H8SD01055</t>
        </is>
      </c>
      <c r="F432" t="inlineStr">
        <is>
          <t>REP</t>
        </is>
      </c>
      <c r="G432" t="inlineStr">
        <is>
          <t>06192019</t>
        </is>
      </c>
      <c r="H432" t="n">
        <v>1000</v>
      </c>
      <c r="I432" t="inlineStr">
        <is>
          <t>201907099150531545</t>
        </is>
      </c>
      <c r="J432" t="inlineStr">
        <is>
          <t>https://docquery.fec.gov/cgi-bin/fecimg/?201907099150531545</t>
        </is>
      </c>
    </row>
    <row r="433">
      <c r="A433" t="inlineStr">
        <is>
          <t>2020</t>
        </is>
      </c>
      <c r="B433" t="inlineStr">
        <is>
          <t>C00496307</t>
        </is>
      </c>
      <c r="C433" t="inlineStr">
        <is>
          <t>Marathon Petroleum Corp Employees PAC (MPAC)</t>
        </is>
      </c>
      <c r="D433" t="inlineStr">
        <is>
          <t>FRIENDS OF JIM INHOFE</t>
        </is>
      </c>
      <c r="E433" t="inlineStr">
        <is>
          <t>S4OK00083</t>
        </is>
      </c>
      <c r="F433" t="inlineStr">
        <is>
          <t>REP</t>
        </is>
      </c>
      <c r="G433" t="inlineStr">
        <is>
          <t>06192019</t>
        </is>
      </c>
      <c r="H433" t="n">
        <v>2500</v>
      </c>
      <c r="I433" t="inlineStr">
        <is>
          <t>201907099150531545</t>
        </is>
      </c>
      <c r="J433" t="inlineStr">
        <is>
          <t>https://docquery.fec.gov/cgi-bin/fecimg/?201907099150531545</t>
        </is>
      </c>
    </row>
    <row r="434">
      <c r="A434" t="inlineStr">
        <is>
          <t>2020</t>
        </is>
      </c>
      <c r="B434" t="inlineStr">
        <is>
          <t>C00496307</t>
        </is>
      </c>
      <c r="C434" t="inlineStr">
        <is>
          <t>Marathon Petroleum Corp Employees PAC (MPAC)</t>
        </is>
      </c>
      <c r="D434" t="inlineStr">
        <is>
          <t>CAPITO FOR WEST VIRGINIA</t>
        </is>
      </c>
      <c r="E434" t="inlineStr">
        <is>
          <t>S4WV00159</t>
        </is>
      </c>
      <c r="F434" t="inlineStr">
        <is>
          <t>REP</t>
        </is>
      </c>
      <c r="G434" t="inlineStr">
        <is>
          <t>06192019</t>
        </is>
      </c>
      <c r="H434" t="n">
        <v>2500</v>
      </c>
      <c r="I434" t="inlineStr">
        <is>
          <t>201907099150531540</t>
        </is>
      </c>
      <c r="J434" t="inlineStr">
        <is>
          <t>https://docquery.fec.gov/cgi-bin/fecimg/?201907099150531540</t>
        </is>
      </c>
    </row>
    <row r="435">
      <c r="A435" t="inlineStr">
        <is>
          <t>2020</t>
        </is>
      </c>
      <c r="B435" t="inlineStr">
        <is>
          <t>C00496307</t>
        </is>
      </c>
      <c r="C435" t="inlineStr">
        <is>
          <t>Marathon Petroleum Corp Employees PAC (MPAC)</t>
        </is>
      </c>
      <c r="D435" t="inlineStr">
        <is>
          <t>CAROL FOR CONGRESS</t>
        </is>
      </c>
      <c r="E435" t="inlineStr">
        <is>
          <t>H8WV03097</t>
        </is>
      </c>
      <c r="F435" t="inlineStr">
        <is>
          <t>REP</t>
        </is>
      </c>
      <c r="G435" t="inlineStr">
        <is>
          <t>06192019</t>
        </is>
      </c>
      <c r="H435" t="n">
        <v>2500</v>
      </c>
      <c r="I435" t="inlineStr">
        <is>
          <t>201907099150531541</t>
        </is>
      </c>
      <c r="J435" t="inlineStr">
        <is>
          <t>https://docquery.fec.gov/cgi-bin/fecimg/?201907099150531541</t>
        </is>
      </c>
    </row>
    <row r="436">
      <c r="A436" t="inlineStr">
        <is>
          <t>2020</t>
        </is>
      </c>
      <c r="B436" t="inlineStr">
        <is>
          <t>C00496307</t>
        </is>
      </c>
      <c r="C436" t="inlineStr">
        <is>
          <t>Marathon Petroleum Corp Employees PAC (MPAC)</t>
        </is>
      </c>
      <c r="D436" t="inlineStr">
        <is>
          <t>DREW FERGUSON FOR CONGRESS INC.</t>
        </is>
      </c>
      <c r="E436" t="inlineStr">
        <is>
          <t>H6GA03113</t>
        </is>
      </c>
      <c r="F436" t="inlineStr">
        <is>
          <t>REP</t>
        </is>
      </c>
      <c r="G436" t="inlineStr">
        <is>
          <t>06192019</t>
        </is>
      </c>
      <c r="H436" t="n">
        <v>2500</v>
      </c>
      <c r="I436" t="inlineStr">
        <is>
          <t>201907099150531543</t>
        </is>
      </c>
      <c r="J436" t="inlineStr">
        <is>
          <t>https://docquery.fec.gov/cgi-bin/fecimg/?201907099150531543</t>
        </is>
      </c>
    </row>
    <row r="437">
      <c r="A437" t="inlineStr">
        <is>
          <t>2020</t>
        </is>
      </c>
      <c r="B437" t="inlineStr">
        <is>
          <t>C00496307</t>
        </is>
      </c>
      <c r="C437" t="inlineStr">
        <is>
          <t>Marathon Petroleum Corp Employees PAC (MPAC)</t>
        </is>
      </c>
      <c r="D437" t="inlineStr">
        <is>
          <t>ELIZABETH PANNILL FLETCHER FOR CONGRESS</t>
        </is>
      </c>
      <c r="E437" t="inlineStr">
        <is>
          <t>H8TX07140</t>
        </is>
      </c>
      <c r="F437" t="inlineStr">
        <is>
          <t>DEM</t>
        </is>
      </c>
      <c r="G437" t="inlineStr">
        <is>
          <t>06192019</t>
        </is>
      </c>
      <c r="H437" t="n">
        <v>2500</v>
      </c>
      <c r="I437" t="inlineStr">
        <is>
          <t>201907099150531543</t>
        </is>
      </c>
      <c r="J437" t="inlineStr">
        <is>
          <t>https://docquery.fec.gov/cgi-bin/fecimg/?201907099150531543</t>
        </is>
      </c>
    </row>
    <row r="438">
      <c r="A438" t="inlineStr">
        <is>
          <t>2020</t>
        </is>
      </c>
      <c r="B438" t="inlineStr">
        <is>
          <t>C00496307</t>
        </is>
      </c>
      <c r="C438" t="inlineStr">
        <is>
          <t>Marathon Petroleum Corp Employees PAC (MPAC)</t>
        </is>
      </c>
      <c r="D438" t="inlineStr">
        <is>
          <t>ENZI FOR US SENATE</t>
        </is>
      </c>
      <c r="E438" t="inlineStr">
        <is>
          <t>S6WY00126</t>
        </is>
      </c>
      <c r="F438" t="inlineStr">
        <is>
          <t>REP</t>
        </is>
      </c>
      <c r="G438" t="inlineStr">
        <is>
          <t>06192019</t>
        </is>
      </c>
      <c r="H438" t="n">
        <v>2500</v>
      </c>
      <c r="I438" t="inlineStr">
        <is>
          <t>201907099150531543</t>
        </is>
      </c>
      <c r="J438" t="inlineStr">
        <is>
          <t>https://docquery.fec.gov/cgi-bin/fecimg/?201907099150531543</t>
        </is>
      </c>
    </row>
    <row r="439">
      <c r="A439" t="inlineStr">
        <is>
          <t>2020</t>
        </is>
      </c>
      <c r="B439" t="inlineStr">
        <is>
          <t>C00496307</t>
        </is>
      </c>
      <c r="C439" t="inlineStr">
        <is>
          <t>Marathon Petroleum Corp Employees PAC (MPAC)</t>
        </is>
      </c>
      <c r="D439" t="inlineStr">
        <is>
          <t>JEFF DUNCAN FOR CONGRESS</t>
        </is>
      </c>
      <c r="E439" t="inlineStr">
        <is>
          <t>H0SC03077</t>
        </is>
      </c>
      <c r="F439" t="inlineStr">
        <is>
          <t>REP</t>
        </is>
      </c>
      <c r="G439" t="inlineStr">
        <is>
          <t>06192019</t>
        </is>
      </c>
      <c r="H439" t="n">
        <v>1000</v>
      </c>
      <c r="I439" t="inlineStr">
        <is>
          <t>201907099150531547</t>
        </is>
      </c>
      <c r="J439" t="inlineStr">
        <is>
          <t>https://docquery.fec.gov/cgi-bin/fecimg/?201907099150531547</t>
        </is>
      </c>
    </row>
    <row r="440">
      <c r="A440" t="inlineStr">
        <is>
          <t>2020</t>
        </is>
      </c>
      <c r="B440" t="inlineStr">
        <is>
          <t>C00496307</t>
        </is>
      </c>
      <c r="C440" t="inlineStr">
        <is>
          <t>Marathon Petroleum Corp Employees PAC (MPAC)</t>
        </is>
      </c>
      <c r="D440" t="inlineStr">
        <is>
          <t>LANCE GOODEN FOR CONGRESS</t>
        </is>
      </c>
      <c r="E440" t="inlineStr">
        <is>
          <t>H8TX05144</t>
        </is>
      </c>
      <c r="F440" t="inlineStr">
        <is>
          <t>REP</t>
        </is>
      </c>
      <c r="G440" t="inlineStr">
        <is>
          <t>06192019</t>
        </is>
      </c>
      <c r="H440" t="n">
        <v>5000</v>
      </c>
      <c r="I440" t="inlineStr">
        <is>
          <t>201907099150531548</t>
        </is>
      </c>
      <c r="J440" t="inlineStr">
        <is>
          <t>https://docquery.fec.gov/cgi-bin/fecimg/?201907099150531548</t>
        </is>
      </c>
    </row>
    <row r="441">
      <c r="A441" t="inlineStr">
        <is>
          <t>2020</t>
        </is>
      </c>
      <c r="B441" t="inlineStr">
        <is>
          <t>C00496307</t>
        </is>
      </c>
      <c r="C441" t="inlineStr">
        <is>
          <t>Marathon Petroleum Corp Employees PAC (MPAC)</t>
        </is>
      </c>
      <c r="D441" t="inlineStr">
        <is>
          <t>MULLIN FOR CONGRESS</t>
        </is>
      </c>
      <c r="E441" t="inlineStr">
        <is>
          <t>H2OK02083</t>
        </is>
      </c>
      <c r="F441" t="inlineStr">
        <is>
          <t>REP</t>
        </is>
      </c>
      <c r="G441" t="inlineStr">
        <is>
          <t>06232020</t>
        </is>
      </c>
      <c r="H441" t="n">
        <v>2500</v>
      </c>
      <c r="I441" t="inlineStr">
        <is>
          <t>202007149244548621</t>
        </is>
      </c>
      <c r="J441" t="inlineStr">
        <is>
          <t>https://docquery.fec.gov/cgi-bin/fecimg/?202007149244548621</t>
        </is>
      </c>
    </row>
    <row r="442">
      <c r="A442" t="inlineStr">
        <is>
          <t>2020</t>
        </is>
      </c>
      <c r="B442" t="inlineStr">
        <is>
          <t>C00496307</t>
        </is>
      </c>
      <c r="C442" t="inlineStr">
        <is>
          <t>Marathon Petroleum Corp Employees PAC (MPAC)</t>
        </is>
      </c>
      <c r="D442" t="inlineStr">
        <is>
          <t>ALASKANAS FOR DAN SULLIVAN</t>
        </is>
      </c>
      <c r="E442" t="inlineStr">
        <is>
          <t>S4AK00214</t>
        </is>
      </c>
      <c r="F442" t="inlineStr">
        <is>
          <t>REP</t>
        </is>
      </c>
      <c r="G442" t="inlineStr">
        <is>
          <t>06232020</t>
        </is>
      </c>
      <c r="H442" t="n">
        <v>3000</v>
      </c>
      <c r="I442" t="inlineStr">
        <is>
          <t>202007149244548616</t>
        </is>
      </c>
      <c r="J442" t="inlineStr">
        <is>
          <t>https://docquery.fec.gov/cgi-bin/fecimg/?202007149244548616</t>
        </is>
      </c>
    </row>
    <row r="443">
      <c r="A443" t="inlineStr">
        <is>
          <t>2020</t>
        </is>
      </c>
      <c r="B443" t="inlineStr">
        <is>
          <t>C00496307</t>
        </is>
      </c>
      <c r="C443" t="inlineStr">
        <is>
          <t>Marathon Petroleum Corp Employees PAC (MPAC)</t>
        </is>
      </c>
      <c r="D443" t="inlineStr">
        <is>
          <t>ANTHONY GONZALEZ FOR CONGRESS</t>
        </is>
      </c>
      <c r="E443" t="inlineStr">
        <is>
          <t>H8OH16124</t>
        </is>
      </c>
      <c r="F443" t="inlineStr">
        <is>
          <t>REP</t>
        </is>
      </c>
      <c r="G443" t="inlineStr">
        <is>
          <t>06232020</t>
        </is>
      </c>
      <c r="H443" t="n">
        <v>3000</v>
      </c>
      <c r="I443" t="inlineStr">
        <is>
          <t>202007149244548616</t>
        </is>
      </c>
      <c r="J443" t="inlineStr">
        <is>
          <t>https://docquery.fec.gov/cgi-bin/fecimg/?202007149244548616</t>
        </is>
      </c>
    </row>
    <row r="444">
      <c r="A444" t="inlineStr">
        <is>
          <t>2020</t>
        </is>
      </c>
      <c r="B444" t="inlineStr">
        <is>
          <t>C00496307</t>
        </is>
      </c>
      <c r="C444" t="inlineStr">
        <is>
          <t>Marathon Petroleum Corp Employees PAC (MPAC)</t>
        </is>
      </c>
      <c r="D444" t="inlineStr">
        <is>
          <t>CATHY MCMORRIS RODGERS FOR CONGRESS</t>
        </is>
      </c>
      <c r="E444" t="inlineStr">
        <is>
          <t>H4WA05077</t>
        </is>
      </c>
      <c r="F444" t="inlineStr">
        <is>
          <t>REP</t>
        </is>
      </c>
      <c r="G444" t="inlineStr">
        <is>
          <t>06232020</t>
        </is>
      </c>
      <c r="H444" t="n">
        <v>5000</v>
      </c>
      <c r="I444" t="inlineStr">
        <is>
          <t>202007149244548617</t>
        </is>
      </c>
      <c r="J444" t="inlineStr">
        <is>
          <t>https://docquery.fec.gov/cgi-bin/fecimg/?202007149244548617</t>
        </is>
      </c>
    </row>
    <row r="445">
      <c r="A445" t="inlineStr">
        <is>
          <t>2020</t>
        </is>
      </c>
      <c r="B445" t="inlineStr">
        <is>
          <t>C00496307</t>
        </is>
      </c>
      <c r="C445" t="inlineStr">
        <is>
          <t>Marathon Petroleum Corp Employees PAC (MPAC)</t>
        </is>
      </c>
      <c r="D445" t="inlineStr">
        <is>
          <t>DAVIDSON FOR CONGRESS</t>
        </is>
      </c>
      <c r="E445" t="inlineStr">
        <is>
          <t>H6OH08315</t>
        </is>
      </c>
      <c r="F445" t="inlineStr">
        <is>
          <t>REP</t>
        </is>
      </c>
      <c r="G445" t="inlineStr">
        <is>
          <t>06232020</t>
        </is>
      </c>
      <c r="H445" t="n">
        <v>2500</v>
      </c>
      <c r="I445" t="inlineStr">
        <is>
          <t>202007149244548617</t>
        </is>
      </c>
      <c r="J445" t="inlineStr">
        <is>
          <t>https://docquery.fec.gov/cgi-bin/fecimg/?202007149244548617</t>
        </is>
      </c>
    </row>
    <row r="446">
      <c r="A446" t="inlineStr">
        <is>
          <t>2020</t>
        </is>
      </c>
      <c r="B446" t="inlineStr">
        <is>
          <t>C00496307</t>
        </is>
      </c>
      <c r="C446" t="inlineStr">
        <is>
          <t>Marathon Petroleum Corp Employees PAC (MPAC)</t>
        </is>
      </c>
      <c r="D446" t="inlineStr">
        <is>
          <t>EMMER FOR CONGRESS</t>
        </is>
      </c>
      <c r="E446" t="inlineStr">
        <is>
          <t>H4MN06087</t>
        </is>
      </c>
      <c r="F446" t="inlineStr">
        <is>
          <t>REP</t>
        </is>
      </c>
      <c r="G446" t="inlineStr">
        <is>
          <t>06232020</t>
        </is>
      </c>
      <c r="H446" t="n">
        <v>5000</v>
      </c>
      <c r="I446" t="inlineStr">
        <is>
          <t>202007149244548617</t>
        </is>
      </c>
      <c r="J446" t="inlineStr">
        <is>
          <t>https://docquery.fec.gov/cgi-bin/fecimg/?202007149244548617</t>
        </is>
      </c>
    </row>
    <row r="447">
      <c r="A447" t="inlineStr">
        <is>
          <t>2020</t>
        </is>
      </c>
      <c r="B447" t="inlineStr">
        <is>
          <t>C00496307</t>
        </is>
      </c>
      <c r="C447" t="inlineStr">
        <is>
          <t>Marathon Petroleum Corp Employees PAC (MPAC)</t>
        </is>
      </c>
      <c r="D447" t="inlineStr">
        <is>
          <t>FRIENDS OF MICHAEL GUEST</t>
        </is>
      </c>
      <c r="E447" t="inlineStr">
        <is>
          <t>H8MS03125</t>
        </is>
      </c>
      <c r="F447" t="inlineStr">
        <is>
          <t>REP</t>
        </is>
      </c>
      <c r="G447" t="inlineStr">
        <is>
          <t>06232020</t>
        </is>
      </c>
      <c r="H447" t="n">
        <v>2500</v>
      </c>
      <c r="I447" t="inlineStr">
        <is>
          <t>202007149244548618</t>
        </is>
      </c>
      <c r="J447" t="inlineStr">
        <is>
          <t>https://docquery.fec.gov/cgi-bin/fecimg/?202007149244548618</t>
        </is>
      </c>
    </row>
    <row r="448">
      <c r="A448" t="inlineStr">
        <is>
          <t>2020</t>
        </is>
      </c>
      <c r="B448" t="inlineStr">
        <is>
          <t>C00496307</t>
        </is>
      </c>
      <c r="C448" t="inlineStr">
        <is>
          <t>Marathon Petroleum Corp Employees PAC (MPAC)</t>
        </is>
      </c>
      <c r="D448" t="inlineStr">
        <is>
          <t>GUY FOR CONGRESS</t>
        </is>
      </c>
      <c r="E448" t="inlineStr">
        <is>
          <t>H8PA18199</t>
        </is>
      </c>
      <c r="F448" t="inlineStr">
        <is>
          <t>REP</t>
        </is>
      </c>
      <c r="G448" t="inlineStr">
        <is>
          <t>06232020</t>
        </is>
      </c>
      <c r="H448" t="n">
        <v>2500</v>
      </c>
      <c r="I448" t="inlineStr">
        <is>
          <t>202007149244548618</t>
        </is>
      </c>
      <c r="J448" t="inlineStr">
        <is>
          <t>https://docquery.fec.gov/cgi-bin/fecimg/?202007149244548618</t>
        </is>
      </c>
    </row>
    <row r="449">
      <c r="A449" t="inlineStr">
        <is>
          <t>2020</t>
        </is>
      </c>
      <c r="B449" t="inlineStr">
        <is>
          <t>C00496307</t>
        </is>
      </c>
      <c r="C449" t="inlineStr">
        <is>
          <t>Marathon Petroleum Corp Employees PAC (MPAC)</t>
        </is>
      </c>
      <c r="D449" t="inlineStr">
        <is>
          <t>HUDSON FOR CONGRESS</t>
        </is>
      </c>
      <c r="E449" t="inlineStr">
        <is>
          <t>H2NC08185</t>
        </is>
      </c>
      <c r="F449" t="inlineStr">
        <is>
          <t>REP</t>
        </is>
      </c>
      <c r="G449" t="inlineStr">
        <is>
          <t>06232020</t>
        </is>
      </c>
      <c r="H449" t="n">
        <v>1000</v>
      </c>
      <c r="I449" t="inlineStr">
        <is>
          <t>202007149244548619</t>
        </is>
      </c>
      <c r="J449" t="inlineStr">
        <is>
          <t>https://docquery.fec.gov/cgi-bin/fecimg/?202007149244548619</t>
        </is>
      </c>
    </row>
    <row r="450">
      <c r="A450" t="inlineStr">
        <is>
          <t>2020</t>
        </is>
      </c>
      <c r="B450" t="inlineStr">
        <is>
          <t>C00496307</t>
        </is>
      </c>
      <c r="C450" t="inlineStr">
        <is>
          <t>Marathon Petroleum Corp Employees PAC (MPAC)</t>
        </is>
      </c>
      <c r="D450" t="inlineStr">
        <is>
          <t>JAIME FOR CONGRESS</t>
        </is>
      </c>
      <c r="E450" t="inlineStr">
        <is>
          <t>H0WA03187</t>
        </is>
      </c>
      <c r="F450" t="inlineStr">
        <is>
          <t>REP</t>
        </is>
      </c>
      <c r="G450" t="inlineStr">
        <is>
          <t>06232020</t>
        </is>
      </c>
      <c r="H450" t="n">
        <v>3000</v>
      </c>
      <c r="I450" t="inlineStr">
        <is>
          <t>202007149244548619</t>
        </is>
      </c>
      <c r="J450" t="inlineStr">
        <is>
          <t>https://docquery.fec.gov/cgi-bin/fecimg/?202007149244548619</t>
        </is>
      </c>
    </row>
    <row r="451">
      <c r="A451" t="inlineStr">
        <is>
          <t>2020</t>
        </is>
      </c>
      <c r="B451" t="inlineStr">
        <is>
          <t>C00496307</t>
        </is>
      </c>
      <c r="C451" t="inlineStr">
        <is>
          <t>Marathon Petroleum Corp Employees PAC (MPAC)</t>
        </is>
      </c>
      <c r="D451" t="inlineStr">
        <is>
          <t>LUCAS FOR CONGRESS</t>
        </is>
      </c>
      <c r="E451" t="inlineStr">
        <is>
          <t>H4OK06056</t>
        </is>
      </c>
      <c r="F451" t="inlineStr">
        <is>
          <t>REP</t>
        </is>
      </c>
      <c r="G451" t="inlineStr">
        <is>
          <t>06232020</t>
        </is>
      </c>
      <c r="H451" t="n">
        <v>2500</v>
      </c>
      <c r="I451" t="inlineStr">
        <is>
          <t>202007149244548620</t>
        </is>
      </c>
      <c r="J451" t="inlineStr">
        <is>
          <t>https://docquery.fec.gov/cgi-bin/fecimg/?202007149244548620</t>
        </is>
      </c>
    </row>
    <row r="452">
      <c r="A452" t="inlineStr">
        <is>
          <t>2020</t>
        </is>
      </c>
      <c r="B452" t="inlineStr">
        <is>
          <t>C00496307</t>
        </is>
      </c>
      <c r="C452" t="inlineStr">
        <is>
          <t>Marathon Petroleum Corp Employees PAC (MPAC)</t>
        </is>
      </c>
      <c r="D452" t="inlineStr">
        <is>
          <t>MCCAUL FOR CONGRESS</t>
        </is>
      </c>
      <c r="E452" t="inlineStr">
        <is>
          <t>H4TX10093</t>
        </is>
      </c>
      <c r="F452" t="inlineStr">
        <is>
          <t>REP</t>
        </is>
      </c>
      <c r="G452" t="inlineStr">
        <is>
          <t>06242020</t>
        </is>
      </c>
      <c r="H452" t="n">
        <v>2000</v>
      </c>
      <c r="I452" t="inlineStr">
        <is>
          <t>202007149244548620</t>
        </is>
      </c>
      <c r="J452" t="inlineStr">
        <is>
          <t>https://docquery.fec.gov/cgi-bin/fecimg/?202007149244548620</t>
        </is>
      </c>
    </row>
    <row r="453">
      <c r="A453" t="inlineStr">
        <is>
          <t>2020</t>
        </is>
      </c>
      <c r="B453" t="inlineStr">
        <is>
          <t>C00496307</t>
        </is>
      </c>
      <c r="C453" t="inlineStr">
        <is>
          <t>Marathon Petroleum Corp Employees PAC (MPAC)</t>
        </is>
      </c>
      <c r="D453" t="inlineStr">
        <is>
          <t>SYLVIA GARCIA FOR CONGRESS</t>
        </is>
      </c>
      <c r="E453" t="inlineStr">
        <is>
          <t>H8TX29052</t>
        </is>
      </c>
      <c r="F453" t="inlineStr">
        <is>
          <t>DEM</t>
        </is>
      </c>
      <c r="G453" t="inlineStr">
        <is>
          <t>06242020</t>
        </is>
      </c>
      <c r="H453" t="n">
        <v>1000</v>
      </c>
      <c r="I453" t="inlineStr">
        <is>
          <t>202007149244548621</t>
        </is>
      </c>
      <c r="J453" t="inlineStr">
        <is>
          <t>https://docquery.fec.gov/cgi-bin/fecimg/?202007149244548621</t>
        </is>
      </c>
    </row>
    <row r="454">
      <c r="A454" t="inlineStr">
        <is>
          <t>2020</t>
        </is>
      </c>
      <c r="B454" t="inlineStr">
        <is>
          <t>C00496307</t>
        </is>
      </c>
      <c r="C454" t="inlineStr">
        <is>
          <t>Marathon Petroleum Corp Employees PAC (MPAC)</t>
        </is>
      </c>
      <c r="D454" t="inlineStr">
        <is>
          <t>BETH VAN DUYNE FOR CONGRESS</t>
        </is>
      </c>
      <c r="E454" t="inlineStr">
        <is>
          <t>H0TX24209</t>
        </is>
      </c>
      <c r="F454" t="inlineStr">
        <is>
          <t>REP</t>
        </is>
      </c>
      <c r="G454" t="inlineStr">
        <is>
          <t>06242020</t>
        </is>
      </c>
      <c r="H454" t="n">
        <v>5000</v>
      </c>
      <c r="I454" t="inlineStr">
        <is>
          <t>202007149244548616</t>
        </is>
      </c>
      <c r="J454" t="inlineStr">
        <is>
          <t>https://docquery.fec.gov/cgi-bin/fecimg/?202007149244548616</t>
        </is>
      </c>
    </row>
    <row r="455">
      <c r="A455" t="inlineStr">
        <is>
          <t>2020</t>
        </is>
      </c>
      <c r="B455" t="inlineStr">
        <is>
          <t>C00496307</t>
        </is>
      </c>
      <c r="C455" t="inlineStr">
        <is>
          <t>Marathon Petroleum Corp Employees PAC (MPAC)</t>
        </is>
      </c>
      <c r="D455" t="inlineStr">
        <is>
          <t>KATKO FOR CONGRESS</t>
        </is>
      </c>
      <c r="E455" t="inlineStr">
        <is>
          <t>H4NY24073</t>
        </is>
      </c>
      <c r="F455" t="inlineStr">
        <is>
          <t>REP</t>
        </is>
      </c>
      <c r="G455" t="inlineStr">
        <is>
          <t>06242020</t>
        </is>
      </c>
      <c r="H455" t="n">
        <v>2000</v>
      </c>
      <c r="I455" t="inlineStr">
        <is>
          <t>202007149244548619</t>
        </is>
      </c>
      <c r="J455" t="inlineStr">
        <is>
          <t>https://docquery.fec.gov/cgi-bin/fecimg/?202007149244548619</t>
        </is>
      </c>
    </row>
    <row r="456">
      <c r="A456" t="inlineStr">
        <is>
          <t>2020</t>
        </is>
      </c>
      <c r="B456" t="inlineStr">
        <is>
          <t>C00496307</t>
        </is>
      </c>
      <c r="C456" t="inlineStr">
        <is>
          <t>Marathon Petroleum Corp Employees PAC (MPAC)</t>
        </is>
      </c>
      <c r="D456" t="inlineStr">
        <is>
          <t>LUMMIS FOR WYOMING</t>
        </is>
      </c>
      <c r="E456" t="inlineStr">
        <is>
          <t>H8WY00148</t>
        </is>
      </c>
      <c r="F456" t="inlineStr">
        <is>
          <t>REP</t>
        </is>
      </c>
      <c r="G456" t="inlineStr">
        <is>
          <t>06242020</t>
        </is>
      </c>
      <c r="H456" t="n">
        <v>2500</v>
      </c>
      <c r="I456" t="inlineStr">
        <is>
          <t>202007149244548620</t>
        </is>
      </c>
      <c r="J456" t="inlineStr">
        <is>
          <t>https://docquery.fec.gov/cgi-bin/fecimg/?202007149244548620</t>
        </is>
      </c>
    </row>
    <row r="457">
      <c r="A457" t="inlineStr">
        <is>
          <t>2020</t>
        </is>
      </c>
      <c r="B457" t="inlineStr">
        <is>
          <t>C00496307</t>
        </is>
      </c>
      <c r="C457" t="inlineStr">
        <is>
          <t>Marathon Petroleum Corp Employees PAC (MPAC)</t>
        </is>
      </c>
      <c r="D457" t="inlineStr">
        <is>
          <t>JOHN CARTER FOR CONGRESS</t>
        </is>
      </c>
      <c r="E457" t="inlineStr">
        <is>
          <t>H2TX31044</t>
        </is>
      </c>
      <c r="F457" t="inlineStr">
        <is>
          <t>REP</t>
        </is>
      </c>
      <c r="G457" t="inlineStr">
        <is>
          <t>06272019</t>
        </is>
      </c>
      <c r="H457" t="n">
        <v>2000</v>
      </c>
      <c r="I457" t="inlineStr">
        <is>
          <t>201907099150531547</t>
        </is>
      </c>
      <c r="J457" t="inlineStr">
        <is>
          <t>https://docquery.fec.gov/cgi-bin/fecimg/?201907099150531547</t>
        </is>
      </c>
    </row>
    <row r="458">
      <c r="A458" t="inlineStr">
        <is>
          <t>2020</t>
        </is>
      </c>
      <c r="B458" t="inlineStr">
        <is>
          <t>C00496307</t>
        </is>
      </c>
      <c r="C458" t="inlineStr">
        <is>
          <t>Marathon Petroleum Corp Employees PAC (MPAC)</t>
        </is>
      </c>
      <c r="D458" t="inlineStr">
        <is>
          <t>KANSANS FOR MARSHALL</t>
        </is>
      </c>
      <c r="E458" t="inlineStr">
        <is>
          <t>H6KS01179</t>
        </is>
      </c>
      <c r="F458" t="inlineStr">
        <is>
          <t>REP</t>
        </is>
      </c>
      <c r="G458" t="inlineStr">
        <is>
          <t>07172019</t>
        </is>
      </c>
      <c r="H458" t="n">
        <v>2500</v>
      </c>
      <c r="I458" t="inlineStr">
        <is>
          <t>201908209162995422</t>
        </is>
      </c>
      <c r="J458" t="inlineStr">
        <is>
          <t>https://docquery.fec.gov/cgi-bin/fecimg/?201908209162995422</t>
        </is>
      </c>
    </row>
    <row r="459">
      <c r="A459" t="inlineStr">
        <is>
          <t>2020</t>
        </is>
      </c>
      <c r="B459" t="inlineStr">
        <is>
          <t>C00496307</t>
        </is>
      </c>
      <c r="C459" t="inlineStr">
        <is>
          <t>Marathon Petroleum Corp Employees PAC (MPAC)</t>
        </is>
      </c>
      <c r="D459" t="inlineStr">
        <is>
          <t>KATKO FOR CONGRESS</t>
        </is>
      </c>
      <c r="E459" t="inlineStr">
        <is>
          <t>H4NY24073</t>
        </is>
      </c>
      <c r="F459" t="inlineStr">
        <is>
          <t>REP</t>
        </is>
      </c>
      <c r="G459" t="inlineStr">
        <is>
          <t>07172019</t>
        </is>
      </c>
      <c r="H459" t="n">
        <v>2000</v>
      </c>
      <c r="I459" t="inlineStr">
        <is>
          <t>201908209162995423</t>
        </is>
      </c>
      <c r="J459" t="inlineStr">
        <is>
          <t>https://docquery.fec.gov/cgi-bin/fecimg/?201908209162995423</t>
        </is>
      </c>
    </row>
    <row r="460">
      <c r="A460" t="inlineStr">
        <is>
          <t>2020</t>
        </is>
      </c>
      <c r="B460" t="inlineStr">
        <is>
          <t>C00496307</t>
        </is>
      </c>
      <c r="C460" t="inlineStr">
        <is>
          <t>Marathon Petroleum Corp Employees PAC (MPAC)</t>
        </is>
      </c>
      <c r="D460" t="inlineStr">
        <is>
          <t>LUCAS FOR CONGRESS</t>
        </is>
      </c>
      <c r="E460" t="inlineStr">
        <is>
          <t>H4OK06056</t>
        </is>
      </c>
      <c r="F460" t="inlineStr">
        <is>
          <t>REP</t>
        </is>
      </c>
      <c r="G460" t="inlineStr">
        <is>
          <t>07172019</t>
        </is>
      </c>
      <c r="H460" t="n">
        <v>2500</v>
      </c>
      <c r="I460" t="inlineStr">
        <is>
          <t>201908209162995424</t>
        </is>
      </c>
      <c r="J460" t="inlineStr">
        <is>
          <t>https://docquery.fec.gov/cgi-bin/fecimg/?201908209162995424</t>
        </is>
      </c>
    </row>
    <row r="461">
      <c r="A461" t="inlineStr">
        <is>
          <t>2020</t>
        </is>
      </c>
      <c r="B461" t="inlineStr">
        <is>
          <t>C00496307</t>
        </is>
      </c>
      <c r="C461" t="inlineStr">
        <is>
          <t>Marathon Petroleum Corp Employees PAC (MPAC)</t>
        </is>
      </c>
      <c r="D461" t="inlineStr">
        <is>
          <t>DAN CRENSHAW FOR CONGRESS</t>
        </is>
      </c>
      <c r="E461" t="inlineStr">
        <is>
          <t>H8TX02166</t>
        </is>
      </c>
      <c r="F461" t="inlineStr">
        <is>
          <t>REP</t>
        </is>
      </c>
      <c r="G461" t="inlineStr">
        <is>
          <t>07172019</t>
        </is>
      </c>
      <c r="H461" t="n">
        <v>2500</v>
      </c>
      <c r="I461" t="inlineStr">
        <is>
          <t>201908209162995419</t>
        </is>
      </c>
      <c r="J461" t="inlineStr">
        <is>
          <t>https://docquery.fec.gov/cgi-bin/fecimg/?201908209162995419</t>
        </is>
      </c>
    </row>
    <row r="462">
      <c r="A462" t="inlineStr">
        <is>
          <t>2020</t>
        </is>
      </c>
      <c r="B462" t="inlineStr">
        <is>
          <t>C00496307</t>
        </is>
      </c>
      <c r="C462" t="inlineStr">
        <is>
          <t>Marathon Petroleum Corp Employees PAC (MPAC)</t>
        </is>
      </c>
      <c r="D462" t="inlineStr">
        <is>
          <t>FRIENDS OF BILL POSEY</t>
        </is>
      </c>
      <c r="E462" t="inlineStr">
        <is>
          <t>H8FL15107</t>
        </is>
      </c>
      <c r="F462" t="inlineStr">
        <is>
          <t>REP</t>
        </is>
      </c>
      <c r="G462" t="inlineStr">
        <is>
          <t>07172019</t>
        </is>
      </c>
      <c r="H462" t="n">
        <v>1000</v>
      </c>
      <c r="I462" t="inlineStr">
        <is>
          <t>201908209162995421</t>
        </is>
      </c>
      <c r="J462" t="inlineStr">
        <is>
          <t>https://docquery.fec.gov/cgi-bin/fecimg/?201908209162995421</t>
        </is>
      </c>
    </row>
    <row r="463">
      <c r="A463" t="inlineStr">
        <is>
          <t>2020</t>
        </is>
      </c>
      <c r="B463" t="inlineStr">
        <is>
          <t>C00496307</t>
        </is>
      </c>
      <c r="C463" t="inlineStr">
        <is>
          <t>Marathon Petroleum Corp Employees PAC (MPAC)</t>
        </is>
      </c>
      <c r="D463" t="inlineStr">
        <is>
          <t>VICENTE GONZALEZ FOR CONGRESS</t>
        </is>
      </c>
      <c r="E463" t="inlineStr">
        <is>
          <t>H6TX15162</t>
        </is>
      </c>
      <c r="F463" t="inlineStr">
        <is>
          <t>DEM</t>
        </is>
      </c>
      <c r="G463" t="inlineStr">
        <is>
          <t>07172019</t>
        </is>
      </c>
      <c r="H463" t="n">
        <v>2500</v>
      </c>
      <c r="I463" t="inlineStr">
        <is>
          <t>201908209162995427</t>
        </is>
      </c>
      <c r="J463" t="inlineStr">
        <is>
          <t>https://docquery.fec.gov/cgi-bin/fecimg/?201908209162995427</t>
        </is>
      </c>
    </row>
    <row r="464">
      <c r="A464" t="inlineStr">
        <is>
          <t>2020</t>
        </is>
      </c>
      <c r="B464" t="inlineStr">
        <is>
          <t>C00496307</t>
        </is>
      </c>
      <c r="C464" t="inlineStr">
        <is>
          <t>Marathon Petroleum Corp Employees PAC (MPAC)</t>
        </is>
      </c>
      <c r="D464" t="inlineStr">
        <is>
          <t>WALDEN FOR CONGRESS</t>
        </is>
      </c>
      <c r="E464" t="inlineStr">
        <is>
          <t>H6OR02116</t>
        </is>
      </c>
      <c r="F464" t="inlineStr">
        <is>
          <t>REP</t>
        </is>
      </c>
      <c r="G464" t="inlineStr">
        <is>
          <t>07172019</t>
        </is>
      </c>
      <c r="H464" t="n">
        <v>2500</v>
      </c>
      <c r="I464" t="inlineStr">
        <is>
          <t>201908209162995428</t>
        </is>
      </c>
      <c r="J464" t="inlineStr">
        <is>
          <t>https://docquery.fec.gov/cgi-bin/fecimg/?201908209162995428</t>
        </is>
      </c>
    </row>
    <row r="465">
      <c r="A465" t="inlineStr">
        <is>
          <t>2020</t>
        </is>
      </c>
      <c r="B465" t="inlineStr">
        <is>
          <t>C00496307</t>
        </is>
      </c>
      <c r="C465" t="inlineStr">
        <is>
          <t>Marathon Petroleum Corp Employees PAC (MPAC)</t>
        </is>
      </c>
      <c r="D465" t="inlineStr">
        <is>
          <t>JIM RISCH FOR US SENATE</t>
        </is>
      </c>
      <c r="E465" t="inlineStr">
        <is>
          <t>S8ID00092</t>
        </is>
      </c>
      <c r="F465" t="inlineStr">
        <is>
          <t>REP</t>
        </is>
      </c>
      <c r="G465" t="inlineStr">
        <is>
          <t>07172020</t>
        </is>
      </c>
      <c r="H465" t="n">
        <v>5000</v>
      </c>
      <c r="I465" t="inlineStr">
        <is>
          <t>202008179261327627</t>
        </is>
      </c>
      <c r="J465" t="inlineStr">
        <is>
          <t>https://docquery.fec.gov/cgi-bin/fecimg/?202008179261327627</t>
        </is>
      </c>
    </row>
    <row r="466">
      <c r="A466" t="inlineStr">
        <is>
          <t>2020</t>
        </is>
      </c>
      <c r="B466" t="inlineStr">
        <is>
          <t>C00496307</t>
        </is>
      </c>
      <c r="C466" t="inlineStr">
        <is>
          <t>Marathon Petroleum Corp Employees PAC (MPAC)</t>
        </is>
      </c>
      <c r="D466" t="inlineStr">
        <is>
          <t>JOHNSON FOR CONGRESS</t>
        </is>
      </c>
      <c r="E466" t="inlineStr">
        <is>
          <t>H0OH06189</t>
        </is>
      </c>
      <c r="F466" t="inlineStr">
        <is>
          <t>REP</t>
        </is>
      </c>
      <c r="G466" t="inlineStr">
        <is>
          <t>07172020</t>
        </is>
      </c>
      <c r="H466" t="n">
        <v>5000</v>
      </c>
      <c r="I466" t="inlineStr">
        <is>
          <t>202008179261327627</t>
        </is>
      </c>
      <c r="J466" t="inlineStr">
        <is>
          <t>https://docquery.fec.gov/cgi-bin/fecimg/?202008179261327627</t>
        </is>
      </c>
    </row>
    <row r="467">
      <c r="A467" t="inlineStr">
        <is>
          <t>2020</t>
        </is>
      </c>
      <c r="B467" t="inlineStr">
        <is>
          <t>C00496307</t>
        </is>
      </c>
      <c r="C467" t="inlineStr">
        <is>
          <t>Marathon Petroleum Corp Employees PAC (MPAC)</t>
        </is>
      </c>
      <c r="D467" t="inlineStr">
        <is>
          <t>STIVERS FOR CONGRESS</t>
        </is>
      </c>
      <c r="E467" t="inlineStr">
        <is>
          <t>H8OH15076</t>
        </is>
      </c>
      <c r="F467" t="inlineStr">
        <is>
          <t>REP</t>
        </is>
      </c>
      <c r="G467" t="inlineStr">
        <is>
          <t>07172020</t>
        </is>
      </c>
      <c r="H467" t="n">
        <v>2500</v>
      </c>
      <c r="I467" t="inlineStr">
        <is>
          <t>202008179261327630</t>
        </is>
      </c>
      <c r="J467" t="inlineStr">
        <is>
          <t>https://docquery.fec.gov/cgi-bin/fecimg/?202008179261327630</t>
        </is>
      </c>
    </row>
    <row r="468">
      <c r="A468" t="inlineStr">
        <is>
          <t>2020</t>
        </is>
      </c>
      <c r="B468" t="inlineStr">
        <is>
          <t>C00496307</t>
        </is>
      </c>
      <c r="C468" t="inlineStr">
        <is>
          <t>Marathon Petroleum Corp Employees PAC (MPAC)</t>
        </is>
      </c>
      <c r="D468" t="inlineStr">
        <is>
          <t>TEAM GRAHAM INC.</t>
        </is>
      </c>
      <c r="E468" t="inlineStr">
        <is>
          <t>S0SC00149</t>
        </is>
      </c>
      <c r="F468" t="inlineStr">
        <is>
          <t>REP</t>
        </is>
      </c>
      <c r="G468" t="inlineStr">
        <is>
          <t>07172020</t>
        </is>
      </c>
      <c r="H468" t="n">
        <v>5000</v>
      </c>
      <c r="I468" t="inlineStr">
        <is>
          <t>202008179261327630</t>
        </is>
      </c>
      <c r="J468" t="inlineStr">
        <is>
          <t>https://docquery.fec.gov/cgi-bin/fecimg/?202008179261327630</t>
        </is>
      </c>
    </row>
    <row r="469">
      <c r="A469" t="inlineStr">
        <is>
          <t>2020</t>
        </is>
      </c>
      <c r="B469" t="inlineStr">
        <is>
          <t>C00496307</t>
        </is>
      </c>
      <c r="C469" t="inlineStr">
        <is>
          <t>Marathon Petroleum Corp Employees PAC (MPAC)</t>
        </is>
      </c>
      <c r="D469" t="inlineStr">
        <is>
          <t>ARMSTRONG FOR CONGRESS</t>
        </is>
      </c>
      <c r="E469" t="inlineStr">
        <is>
          <t>H8ND00096</t>
        </is>
      </c>
      <c r="F469" t="inlineStr">
        <is>
          <t>REP</t>
        </is>
      </c>
      <c r="G469" t="inlineStr">
        <is>
          <t>07172020</t>
        </is>
      </c>
      <c r="H469" t="n">
        <v>2500</v>
      </c>
      <c r="I469" t="inlineStr">
        <is>
          <t>202008179261327624</t>
        </is>
      </c>
      <c r="J469" t="inlineStr">
        <is>
          <t>https://docquery.fec.gov/cgi-bin/fecimg/?202008179261327624</t>
        </is>
      </c>
    </row>
    <row r="470">
      <c r="A470" t="inlineStr">
        <is>
          <t>2020</t>
        </is>
      </c>
      <c r="B470" t="inlineStr">
        <is>
          <t>C00496307</t>
        </is>
      </c>
      <c r="C470" t="inlineStr">
        <is>
          <t>Marathon Petroleum Corp Employees PAC (MPAC)</t>
        </is>
      </c>
      <c r="D470" t="inlineStr">
        <is>
          <t>CAPITO FOR WEST VIRGINIA</t>
        </is>
      </c>
      <c r="E470" t="inlineStr">
        <is>
          <t>S4WV00159</t>
        </is>
      </c>
      <c r="F470" t="inlineStr">
        <is>
          <t>REP</t>
        </is>
      </c>
      <c r="G470" t="inlineStr">
        <is>
          <t>07172020</t>
        </is>
      </c>
      <c r="H470" t="n">
        <v>4000</v>
      </c>
      <c r="I470" t="inlineStr">
        <is>
          <t>202008179261327624</t>
        </is>
      </c>
      <c r="J470" t="inlineStr">
        <is>
          <t>https://docquery.fec.gov/cgi-bin/fecimg/?202008179261327624</t>
        </is>
      </c>
    </row>
    <row r="471">
      <c r="A471" t="inlineStr">
        <is>
          <t>2020</t>
        </is>
      </c>
      <c r="B471" t="inlineStr">
        <is>
          <t>C00496307</t>
        </is>
      </c>
      <c r="C471" t="inlineStr">
        <is>
          <t>Marathon Petroleum Corp Employees PAC (MPAC)</t>
        </is>
      </c>
      <c r="D471" t="inlineStr">
        <is>
          <t>UPTON FOR ALL OF US</t>
        </is>
      </c>
      <c r="E471" t="inlineStr">
        <is>
          <t>H6MI04113</t>
        </is>
      </c>
      <c r="F471" t="inlineStr">
        <is>
          <t>REP</t>
        </is>
      </c>
      <c r="G471" t="inlineStr">
        <is>
          <t>07172020</t>
        </is>
      </c>
      <c r="H471" t="n">
        <v>3000</v>
      </c>
      <c r="I471" t="inlineStr">
        <is>
          <t>202008179261327631</t>
        </is>
      </c>
      <c r="J471" t="inlineStr">
        <is>
          <t>https://docquery.fec.gov/cgi-bin/fecimg/?202008179261327631</t>
        </is>
      </c>
    </row>
    <row r="472">
      <c r="A472" t="inlineStr">
        <is>
          <t>2020</t>
        </is>
      </c>
      <c r="B472" t="inlineStr">
        <is>
          <t>C00496307</t>
        </is>
      </c>
      <c r="C472" t="inlineStr">
        <is>
          <t>Marathon Petroleum Corp Employees PAC (MPAC)</t>
        </is>
      </c>
      <c r="D472" t="inlineStr">
        <is>
          <t>MARC VEASEY CONGRESSIONAL CAMPAIGN COMMITTEE</t>
        </is>
      </c>
      <c r="E472" t="inlineStr">
        <is>
          <t>H2TX33073</t>
        </is>
      </c>
      <c r="F472" t="inlineStr">
        <is>
          <t>DEM</t>
        </is>
      </c>
      <c r="G472" t="inlineStr">
        <is>
          <t>07232019</t>
        </is>
      </c>
      <c r="H472" t="n">
        <v>2500</v>
      </c>
      <c r="I472" t="inlineStr">
        <is>
          <t>201908209162995424</t>
        </is>
      </c>
      <c r="J472" t="inlineStr">
        <is>
          <t>https://docquery.fec.gov/cgi-bin/fecimg/?201908209162995424</t>
        </is>
      </c>
    </row>
    <row r="473">
      <c r="A473" t="inlineStr">
        <is>
          <t>2020</t>
        </is>
      </c>
      <c r="B473" t="inlineStr">
        <is>
          <t>C00496307</t>
        </is>
      </c>
      <c r="C473" t="inlineStr">
        <is>
          <t>Marathon Petroleum Corp Employees PAC (MPAC)</t>
        </is>
      </c>
      <c r="D473" t="inlineStr">
        <is>
          <t>ROGER WILLIAMS FOR U.S. CONGRESS COMMITTEE</t>
        </is>
      </c>
      <c r="E473" t="inlineStr">
        <is>
          <t>H2TX33040</t>
        </is>
      </c>
      <c r="F473" t="inlineStr">
        <is>
          <t>REP</t>
        </is>
      </c>
      <c r="G473" t="inlineStr">
        <is>
          <t>07232019</t>
        </is>
      </c>
      <c r="H473" t="n">
        <v>2500</v>
      </c>
      <c r="I473" t="inlineStr">
        <is>
          <t>201908209162995425</t>
        </is>
      </c>
      <c r="J473" t="inlineStr">
        <is>
          <t>https://docquery.fec.gov/cgi-bin/fecimg/?201908209162995425</t>
        </is>
      </c>
    </row>
    <row r="474">
      <c r="A474" t="inlineStr">
        <is>
          <t>2020</t>
        </is>
      </c>
      <c r="B474" t="inlineStr">
        <is>
          <t>C00496307</t>
        </is>
      </c>
      <c r="C474" t="inlineStr">
        <is>
          <t>Marathon Petroleum Corp Employees PAC (MPAC)</t>
        </is>
      </c>
      <c r="D474" t="inlineStr">
        <is>
          <t>SIMPSON FOR CONGRESS</t>
        </is>
      </c>
      <c r="E474" t="inlineStr">
        <is>
          <t>H8ID02064</t>
        </is>
      </c>
      <c r="F474" t="inlineStr">
        <is>
          <t>REP</t>
        </is>
      </c>
      <c r="G474" t="inlineStr">
        <is>
          <t>07232019</t>
        </is>
      </c>
      <c r="H474" t="n">
        <v>2500</v>
      </c>
      <c r="I474" t="inlineStr">
        <is>
          <t>201908209162995425</t>
        </is>
      </c>
      <c r="J474" t="inlineStr">
        <is>
          <t>https://docquery.fec.gov/cgi-bin/fecimg/?201908209162995425</t>
        </is>
      </c>
    </row>
    <row r="475">
      <c r="A475" t="inlineStr">
        <is>
          <t>2020</t>
        </is>
      </c>
      <c r="B475" t="inlineStr">
        <is>
          <t>C00496307</t>
        </is>
      </c>
      <c r="C475" t="inlineStr">
        <is>
          <t>Marathon Petroleum Corp Employees PAC (MPAC)</t>
        </is>
      </c>
      <c r="D475" t="inlineStr">
        <is>
          <t>WALBERG FOR CONGRESS</t>
        </is>
      </c>
      <c r="E475" t="inlineStr">
        <is>
          <t>H4MI07103</t>
        </is>
      </c>
      <c r="F475" t="inlineStr">
        <is>
          <t>REP</t>
        </is>
      </c>
      <c r="G475" t="inlineStr">
        <is>
          <t>07232019</t>
        </is>
      </c>
      <c r="H475" t="n">
        <v>2500</v>
      </c>
      <c r="I475" t="inlineStr">
        <is>
          <t>201908209162995427</t>
        </is>
      </c>
      <c r="J475" t="inlineStr">
        <is>
          <t>https://docquery.fec.gov/cgi-bin/fecimg/?201908209162995427</t>
        </is>
      </c>
    </row>
    <row r="476">
      <c r="A476" t="inlineStr">
        <is>
          <t>2020</t>
        </is>
      </c>
      <c r="B476" t="inlineStr">
        <is>
          <t>C00496307</t>
        </is>
      </c>
      <c r="C476" t="inlineStr">
        <is>
          <t>Marathon Petroleum Corp Employees PAC (MPAC)</t>
        </is>
      </c>
      <c r="D476" t="inlineStr">
        <is>
          <t>FRIENDS OF DENVER RIGGLEMAN, INC.</t>
        </is>
      </c>
      <c r="E476" t="inlineStr">
        <is>
          <t>H8VA05171</t>
        </is>
      </c>
      <c r="F476" t="inlineStr">
        <is>
          <t>REP</t>
        </is>
      </c>
      <c r="G476" t="inlineStr">
        <is>
          <t>07242019</t>
        </is>
      </c>
      <c r="H476" t="n">
        <v>2500</v>
      </c>
      <c r="I476" t="inlineStr">
        <is>
          <t>201908209162995421</t>
        </is>
      </c>
      <c r="J476" t="inlineStr">
        <is>
          <t>https://docquery.fec.gov/cgi-bin/fecimg/?201908209162995421</t>
        </is>
      </c>
    </row>
    <row r="477">
      <c r="A477" t="inlineStr">
        <is>
          <t>2020</t>
        </is>
      </c>
      <c r="B477" t="inlineStr">
        <is>
          <t>C00496307</t>
        </is>
      </c>
      <c r="C477" t="inlineStr">
        <is>
          <t>Marathon Petroleum Corp Employees PAC (MPAC)</t>
        </is>
      </c>
      <c r="D477" t="inlineStr">
        <is>
          <t>JASON SMITH FOR CONGRESS</t>
        </is>
      </c>
      <c r="E477" t="inlineStr">
        <is>
          <t>H4MO08162</t>
        </is>
      </c>
      <c r="F477" t="inlineStr">
        <is>
          <t>REP</t>
        </is>
      </c>
      <c r="G477" t="inlineStr">
        <is>
          <t>07242019</t>
        </is>
      </c>
      <c r="H477" t="n">
        <v>2500</v>
      </c>
      <c r="I477" t="inlineStr">
        <is>
          <t>201908209162995421</t>
        </is>
      </c>
      <c r="J477" t="inlineStr">
        <is>
          <t>https://docquery.fec.gov/cgi-bin/fecimg/?201908209162995421</t>
        </is>
      </c>
    </row>
    <row r="478">
      <c r="A478" t="inlineStr">
        <is>
          <t>2020</t>
        </is>
      </c>
      <c r="B478" t="inlineStr">
        <is>
          <t>C00496307</t>
        </is>
      </c>
      <c r="C478" t="inlineStr">
        <is>
          <t>Marathon Petroleum Corp Employees PAC (MPAC)</t>
        </is>
      </c>
      <c r="D478" t="inlineStr">
        <is>
          <t>KURT SCHRADER FOR CONGRESS</t>
        </is>
      </c>
      <c r="E478" t="inlineStr">
        <is>
          <t>H8OR05107</t>
        </is>
      </c>
      <c r="F478" t="inlineStr">
        <is>
          <t>DEM</t>
        </is>
      </c>
      <c r="G478" t="inlineStr">
        <is>
          <t>07242019</t>
        </is>
      </c>
      <c r="H478" t="n">
        <v>2500</v>
      </c>
      <c r="I478" t="inlineStr">
        <is>
          <t>201908209162995423</t>
        </is>
      </c>
      <c r="J478" t="inlineStr">
        <is>
          <t>https://docquery.fec.gov/cgi-bin/fecimg/?201908209162995423</t>
        </is>
      </c>
    </row>
    <row r="479">
      <c r="A479" t="inlineStr">
        <is>
          <t>2020</t>
        </is>
      </c>
      <c r="B479" t="inlineStr">
        <is>
          <t>C00496307</t>
        </is>
      </c>
      <c r="C479" t="inlineStr">
        <is>
          <t>Marathon Petroleum Corp Employees PAC (MPAC)</t>
        </is>
      </c>
      <c r="D479" t="inlineStr">
        <is>
          <t>LIZ CHENEY FOR WYOMING</t>
        </is>
      </c>
      <c r="E479" t="inlineStr">
        <is>
          <t>H6WY00159</t>
        </is>
      </c>
      <c r="F479" t="inlineStr">
        <is>
          <t>REP</t>
        </is>
      </c>
      <c r="G479" t="inlineStr">
        <is>
          <t>07242019</t>
        </is>
      </c>
      <c r="H479" t="n">
        <v>2500</v>
      </c>
      <c r="I479" t="inlineStr">
        <is>
          <t>201908209162995423</t>
        </is>
      </c>
      <c r="J479" t="inlineStr">
        <is>
          <t>https://docquery.fec.gov/cgi-bin/fecimg/?201908209162995423</t>
        </is>
      </c>
    </row>
    <row r="480">
      <c r="A480" t="inlineStr">
        <is>
          <t>2020</t>
        </is>
      </c>
      <c r="B480" t="inlineStr">
        <is>
          <t>C00496307</t>
        </is>
      </c>
      <c r="C480" t="inlineStr">
        <is>
          <t>Marathon Petroleum Corp Employees PAC (MPAC)</t>
        </is>
      </c>
      <c r="D480" t="inlineStr">
        <is>
          <t>MCCAUL FOR CONGRESS</t>
        </is>
      </c>
      <c r="E480" t="inlineStr">
        <is>
          <t>H4TX10093</t>
        </is>
      </c>
      <c r="F480" t="inlineStr">
        <is>
          <t>REP</t>
        </is>
      </c>
      <c r="G480" t="inlineStr">
        <is>
          <t>07242019</t>
        </is>
      </c>
      <c r="H480" t="n">
        <v>1000</v>
      </c>
      <c r="I480" t="inlineStr">
        <is>
          <t>201908209162995424</t>
        </is>
      </c>
      <c r="J480" t="inlineStr">
        <is>
          <t>https://docquery.fec.gov/cgi-bin/fecimg/?201908209162995424</t>
        </is>
      </c>
    </row>
    <row r="481">
      <c r="A481" t="inlineStr">
        <is>
          <t>2020</t>
        </is>
      </c>
      <c r="B481" t="inlineStr">
        <is>
          <t>C00496307</t>
        </is>
      </c>
      <c r="C481" t="inlineStr">
        <is>
          <t>Marathon Petroleum Corp Employees PAC (MPAC)</t>
        </is>
      </c>
      <c r="D481" t="inlineStr">
        <is>
          <t>MEUSER FOR CONGRESS</t>
        </is>
      </c>
      <c r="E481" t="inlineStr">
        <is>
          <t>H8PA10147</t>
        </is>
      </c>
      <c r="F481" t="inlineStr">
        <is>
          <t>REP</t>
        </is>
      </c>
      <c r="G481" t="inlineStr">
        <is>
          <t>07242019</t>
        </is>
      </c>
      <c r="H481" t="n">
        <v>2500</v>
      </c>
      <c r="I481" t="inlineStr">
        <is>
          <t>201908209162995425</t>
        </is>
      </c>
      <c r="J481" t="inlineStr">
        <is>
          <t>https://docquery.fec.gov/cgi-bin/fecimg/?201908209162995425</t>
        </is>
      </c>
    </row>
    <row r="482">
      <c r="A482" t="inlineStr">
        <is>
          <t>2020</t>
        </is>
      </c>
      <c r="B482" t="inlineStr">
        <is>
          <t>C00496307</t>
        </is>
      </c>
      <c r="C482" t="inlineStr">
        <is>
          <t>Marathon Petroleum Corp Employees PAC (MPAC)</t>
        </is>
      </c>
      <c r="D482" t="inlineStr">
        <is>
          <t>ANDY BARR FOR CONGRESS</t>
        </is>
      </c>
      <c r="E482" t="inlineStr">
        <is>
          <t>H0KY06104</t>
        </is>
      </c>
      <c r="F482" t="inlineStr">
        <is>
          <t>REP</t>
        </is>
      </c>
      <c r="G482" t="inlineStr">
        <is>
          <t>07242019</t>
        </is>
      </c>
      <c r="H482" t="n">
        <v>500</v>
      </c>
      <c r="I482" t="inlineStr">
        <is>
          <t>201908209162995418</t>
        </is>
      </c>
      <c r="J482" t="inlineStr">
        <is>
          <t>https://docquery.fec.gov/cgi-bin/fecimg/?201908209162995418</t>
        </is>
      </c>
    </row>
    <row r="483">
      <c r="A483" t="inlineStr">
        <is>
          <t>2020</t>
        </is>
      </c>
      <c r="B483" t="inlineStr">
        <is>
          <t>C00496307</t>
        </is>
      </c>
      <c r="C483" t="inlineStr">
        <is>
          <t>Marathon Petroleum Corp Employees PAC (MPAC)</t>
        </is>
      </c>
      <c r="D483" t="inlineStr">
        <is>
          <t>ANDY BARR FOR CONGRESS</t>
        </is>
      </c>
      <c r="E483" t="inlineStr">
        <is>
          <t>H0KY06104</t>
        </is>
      </c>
      <c r="F483" t="inlineStr">
        <is>
          <t>REP</t>
        </is>
      </c>
      <c r="G483" t="inlineStr">
        <is>
          <t>07242019</t>
        </is>
      </c>
      <c r="H483" t="n">
        <v>2500</v>
      </c>
      <c r="I483" t="inlineStr">
        <is>
          <t>201908209162995418</t>
        </is>
      </c>
      <c r="J483" t="inlineStr">
        <is>
          <t>https://docquery.fec.gov/cgi-bin/fecimg/?201908209162995418</t>
        </is>
      </c>
    </row>
    <row r="484">
      <c r="A484" t="inlineStr">
        <is>
          <t>2020</t>
        </is>
      </c>
      <c r="B484" t="inlineStr">
        <is>
          <t>C00496307</t>
        </is>
      </c>
      <c r="C484" t="inlineStr">
        <is>
          <t>Marathon Petroleum Corp Employees PAC (MPAC)</t>
        </is>
      </c>
      <c r="D484" t="inlineStr">
        <is>
          <t>DREW FERGUSON FOR CONGRESS INC.</t>
        </is>
      </c>
      <c r="E484" t="inlineStr">
        <is>
          <t>H6GA03113</t>
        </is>
      </c>
      <c r="F484" t="inlineStr">
        <is>
          <t>REP</t>
        </is>
      </c>
      <c r="G484" t="inlineStr">
        <is>
          <t>07242019</t>
        </is>
      </c>
      <c r="H484" t="n">
        <v>2500</v>
      </c>
      <c r="I484" t="inlineStr">
        <is>
          <t>201908209162995419</t>
        </is>
      </c>
      <c r="J484" t="inlineStr">
        <is>
          <t>https://docquery.fec.gov/cgi-bin/fecimg/?201908209162995419</t>
        </is>
      </c>
    </row>
    <row r="485">
      <c r="A485" t="inlineStr">
        <is>
          <t>2020</t>
        </is>
      </c>
      <c r="B485" t="inlineStr">
        <is>
          <t>C00496307</t>
        </is>
      </c>
      <c r="C485" t="inlineStr">
        <is>
          <t>Marathon Petroleum Corp Employees PAC (MPAC)</t>
        </is>
      </c>
      <c r="D485" t="inlineStr">
        <is>
          <t>DUFFY FOR WISCONSIN</t>
        </is>
      </c>
      <c r="E485" t="inlineStr">
        <is>
          <t>H0WI07051</t>
        </is>
      </c>
      <c r="F485" t="inlineStr">
        <is>
          <t>REP</t>
        </is>
      </c>
      <c r="G485" t="inlineStr">
        <is>
          <t>07242019</t>
        </is>
      </c>
      <c r="H485" t="n">
        <v>1000</v>
      </c>
      <c r="I485" t="inlineStr">
        <is>
          <t>201908209162995420</t>
        </is>
      </c>
      <c r="J485" t="inlineStr">
        <is>
          <t>https://docquery.fec.gov/cgi-bin/fecimg/?201908209162995420</t>
        </is>
      </c>
    </row>
    <row r="486">
      <c r="A486" t="inlineStr">
        <is>
          <t>2020</t>
        </is>
      </c>
      <c r="B486" t="inlineStr">
        <is>
          <t>C00496307</t>
        </is>
      </c>
      <c r="C486" t="inlineStr">
        <is>
          <t>Marathon Petroleum Corp Employees PAC (MPAC)</t>
        </is>
      </c>
      <c r="D486" t="inlineStr">
        <is>
          <t>FRIENDS FOR CHRIS STEWART, INC.</t>
        </is>
      </c>
      <c r="E486" t="inlineStr">
        <is>
          <t>H2UT02324</t>
        </is>
      </c>
      <c r="F486" t="inlineStr">
        <is>
          <t>REP</t>
        </is>
      </c>
      <c r="G486" t="inlineStr">
        <is>
          <t>07242019</t>
        </is>
      </c>
      <c r="H486" t="n">
        <v>2500</v>
      </c>
      <c r="I486" t="inlineStr">
        <is>
          <t>201908209162995420</t>
        </is>
      </c>
      <c r="J486" t="inlineStr">
        <is>
          <t>https://docquery.fec.gov/cgi-bin/fecimg/?201908209162995420</t>
        </is>
      </c>
    </row>
    <row r="487">
      <c r="A487" t="inlineStr">
        <is>
          <t>2020</t>
        </is>
      </c>
      <c r="B487" t="inlineStr">
        <is>
          <t>C00496307</t>
        </is>
      </c>
      <c r="C487" t="inlineStr">
        <is>
          <t>Marathon Petroleum Corp Employees PAC (MPAC)</t>
        </is>
      </c>
      <c r="D487" t="inlineStr">
        <is>
          <t>STEIL FOR WISCONSIN, INC.</t>
        </is>
      </c>
      <c r="E487" t="inlineStr">
        <is>
          <t>H8WI01156</t>
        </is>
      </c>
      <c r="F487" t="inlineStr">
        <is>
          <t>REP</t>
        </is>
      </c>
      <c r="G487" t="inlineStr">
        <is>
          <t>07242019</t>
        </is>
      </c>
      <c r="H487" t="n">
        <v>2000</v>
      </c>
      <c r="I487" t="inlineStr">
        <is>
          <t>201908209162995426</t>
        </is>
      </c>
      <c r="J487" t="inlineStr">
        <is>
          <t>https://docquery.fec.gov/cgi-bin/fecimg/?201908209162995426</t>
        </is>
      </c>
    </row>
    <row r="488">
      <c r="A488" t="inlineStr">
        <is>
          <t>2020</t>
        </is>
      </c>
      <c r="B488" t="inlineStr">
        <is>
          <t>C00496307</t>
        </is>
      </c>
      <c r="C488" t="inlineStr">
        <is>
          <t>Marathon Petroleum Corp Employees PAC (MPAC)</t>
        </is>
      </c>
      <c r="D488" t="inlineStr">
        <is>
          <t>AMODEI FOR NEVADA</t>
        </is>
      </c>
      <c r="E488" t="inlineStr">
        <is>
          <t>H2NV02395</t>
        </is>
      </c>
      <c r="F488" t="inlineStr">
        <is>
          <t>REP</t>
        </is>
      </c>
      <c r="G488" t="inlineStr">
        <is>
          <t>07242019</t>
        </is>
      </c>
      <c r="H488" t="n">
        <v>2000</v>
      </c>
      <c r="I488" t="inlineStr">
        <is>
          <t>201908209162995418</t>
        </is>
      </c>
      <c r="J488" t="inlineStr">
        <is>
          <t>https://docquery.fec.gov/cgi-bin/fecimg/?201908209162995418</t>
        </is>
      </c>
    </row>
    <row r="489">
      <c r="A489" t="inlineStr">
        <is>
          <t>2020</t>
        </is>
      </c>
      <c r="B489" t="inlineStr">
        <is>
          <t>C00496307</t>
        </is>
      </c>
      <c r="C489" t="inlineStr">
        <is>
          <t>Marathon Petroleum Corp Employees PAC (MPAC)</t>
        </is>
      </c>
      <c r="D489" t="inlineStr">
        <is>
          <t>TOM REED FOR CONGRESS</t>
        </is>
      </c>
      <c r="E489" t="inlineStr">
        <is>
          <t>H0NY29054</t>
        </is>
      </c>
      <c r="F489" t="inlineStr">
        <is>
          <t>REP</t>
        </is>
      </c>
      <c r="G489" t="inlineStr">
        <is>
          <t>07242019</t>
        </is>
      </c>
      <c r="H489" t="n">
        <v>2500</v>
      </c>
      <c r="I489" t="inlineStr">
        <is>
          <t>201908209162995427</t>
        </is>
      </c>
      <c r="J489" t="inlineStr">
        <is>
          <t>https://docquery.fec.gov/cgi-bin/fecimg/?201908209162995427</t>
        </is>
      </c>
    </row>
    <row r="490">
      <c r="A490" t="inlineStr">
        <is>
          <t>2020</t>
        </is>
      </c>
      <c r="B490" t="inlineStr">
        <is>
          <t>C00496307</t>
        </is>
      </c>
      <c r="C490" t="inlineStr">
        <is>
          <t>Marathon Petroleum Corp Employees PAC (MPAC)</t>
        </is>
      </c>
      <c r="D490" t="inlineStr">
        <is>
          <t>JIM RISCH FOR US SENATE</t>
        </is>
      </c>
      <c r="E490" t="inlineStr">
        <is>
          <t>S8ID00092</t>
        </is>
      </c>
      <c r="F490" t="inlineStr">
        <is>
          <t>REP</t>
        </is>
      </c>
      <c r="G490" t="inlineStr">
        <is>
          <t>07252019</t>
        </is>
      </c>
      <c r="H490" t="n">
        <v>2500</v>
      </c>
      <c r="I490" t="inlineStr">
        <is>
          <t>201908209162995422</t>
        </is>
      </c>
      <c r="J490" t="inlineStr">
        <is>
          <t>https://docquery.fec.gov/cgi-bin/fecimg/?201908209162995422</t>
        </is>
      </c>
    </row>
    <row r="491">
      <c r="A491" t="inlineStr">
        <is>
          <t>2020</t>
        </is>
      </c>
      <c r="B491" t="inlineStr">
        <is>
          <t>C00496307</t>
        </is>
      </c>
      <c r="C491" t="inlineStr">
        <is>
          <t>Marathon Petroleum Corp Employees PAC (MPAC)</t>
        </is>
      </c>
      <c r="D491" t="inlineStr">
        <is>
          <t>COTTON FOR SENATE</t>
        </is>
      </c>
      <c r="E491" t="inlineStr">
        <is>
          <t>S4AR00103</t>
        </is>
      </c>
      <c r="F491" t="inlineStr">
        <is>
          <t>REP</t>
        </is>
      </c>
      <c r="G491" t="inlineStr">
        <is>
          <t>07252019</t>
        </is>
      </c>
      <c r="H491" t="n">
        <v>2500</v>
      </c>
      <c r="I491" t="inlineStr">
        <is>
          <t>201908209162995419</t>
        </is>
      </c>
      <c r="J491" t="inlineStr">
        <is>
          <t>https://docquery.fec.gov/cgi-bin/fecimg/?201908209162995419</t>
        </is>
      </c>
    </row>
    <row r="492">
      <c r="A492" t="inlineStr">
        <is>
          <t>2020</t>
        </is>
      </c>
      <c r="B492" t="inlineStr">
        <is>
          <t>C00496307</t>
        </is>
      </c>
      <c r="C492" t="inlineStr">
        <is>
          <t>Marathon Petroleum Corp Employees PAC (MPAC)</t>
        </is>
      </c>
      <c r="D492" t="inlineStr">
        <is>
          <t>THE THOM TILLIS COMMITTEE</t>
        </is>
      </c>
      <c r="E492" t="inlineStr">
        <is>
          <t>S4NC00162</t>
        </is>
      </c>
      <c r="F492" t="inlineStr">
        <is>
          <t>REP</t>
        </is>
      </c>
      <c r="G492" t="inlineStr">
        <is>
          <t>07252019</t>
        </is>
      </c>
      <c r="H492" t="n">
        <v>1000</v>
      </c>
      <c r="I492" t="inlineStr">
        <is>
          <t>201908209162995426</t>
        </is>
      </c>
      <c r="J492" t="inlineStr">
        <is>
          <t>https://docquery.fec.gov/cgi-bin/fecimg/?201908209162995426</t>
        </is>
      </c>
    </row>
    <row r="493">
      <c r="A493" t="inlineStr">
        <is>
          <t>2020</t>
        </is>
      </c>
      <c r="B493" t="inlineStr">
        <is>
          <t>C00496307</t>
        </is>
      </c>
      <c r="C493" t="inlineStr">
        <is>
          <t>Marathon Petroleum Corp Employees PAC (MPAC)</t>
        </is>
      </c>
      <c r="D493" t="inlineStr">
        <is>
          <t>THE THOM TILLIS COMMITTEE</t>
        </is>
      </c>
      <c r="E493" t="inlineStr">
        <is>
          <t>S4NC00162</t>
        </is>
      </c>
      <c r="F493" t="inlineStr">
        <is>
          <t>REP</t>
        </is>
      </c>
      <c r="G493" t="inlineStr">
        <is>
          <t>07252019</t>
        </is>
      </c>
      <c r="H493" t="n">
        <v>1500</v>
      </c>
      <c r="I493" t="inlineStr">
        <is>
          <t>201908209162995426</t>
        </is>
      </c>
      <c r="J493" t="inlineStr">
        <is>
          <t>https://docquery.fec.gov/cgi-bin/fecimg/?201908209162995426</t>
        </is>
      </c>
    </row>
    <row r="494">
      <c r="A494" t="inlineStr">
        <is>
          <t>2020</t>
        </is>
      </c>
      <c r="B494" t="inlineStr">
        <is>
          <t>C00496307</t>
        </is>
      </c>
      <c r="C494" t="inlineStr">
        <is>
          <t>Marathon Petroleum Corp Employees PAC (MPAC)</t>
        </is>
      </c>
      <c r="D494" t="inlineStr">
        <is>
          <t>TERRI SEWELL FOR CONGRESS</t>
        </is>
      </c>
      <c r="E494" t="inlineStr">
        <is>
          <t>H0AL07086</t>
        </is>
      </c>
      <c r="F494" t="inlineStr">
        <is>
          <t>DEM</t>
        </is>
      </c>
      <c r="G494" t="inlineStr">
        <is>
          <t>07282020</t>
        </is>
      </c>
      <c r="H494" t="n">
        <v>1000</v>
      </c>
      <c r="I494" t="inlineStr">
        <is>
          <t>202008179261327630</t>
        </is>
      </c>
      <c r="J494" t="inlineStr">
        <is>
          <t>https://docquery.fec.gov/cgi-bin/fecimg/?202008179261327630</t>
        </is>
      </c>
    </row>
    <row r="495">
      <c r="A495" t="inlineStr">
        <is>
          <t>2020</t>
        </is>
      </c>
      <c r="B495" t="inlineStr">
        <is>
          <t>C00496307</t>
        </is>
      </c>
      <c r="C495" t="inlineStr">
        <is>
          <t>Marathon Petroleum Corp Employees PAC (MPAC)</t>
        </is>
      </c>
      <c r="D495" t="inlineStr">
        <is>
          <t>FRED KELLER FOR CONGRESS</t>
        </is>
      </c>
      <c r="E495" t="inlineStr">
        <is>
          <t>H0PA12181</t>
        </is>
      </c>
      <c r="F495" t="inlineStr">
        <is>
          <t>REP</t>
        </is>
      </c>
      <c r="G495" t="inlineStr">
        <is>
          <t>07282020</t>
        </is>
      </c>
      <c r="H495" t="n">
        <v>2500</v>
      </c>
      <c r="I495" t="inlineStr">
        <is>
          <t>202008179261327626</t>
        </is>
      </c>
      <c r="J495" t="inlineStr">
        <is>
          <t>https://docquery.fec.gov/cgi-bin/fecimg/?202008179261327626</t>
        </is>
      </c>
    </row>
    <row r="496">
      <c r="A496" t="inlineStr">
        <is>
          <t>2020</t>
        </is>
      </c>
      <c r="B496" t="inlineStr">
        <is>
          <t>C00496307</t>
        </is>
      </c>
      <c r="C496" t="inlineStr">
        <is>
          <t>Marathon Petroleum Corp Employees PAC (MPAC)</t>
        </is>
      </c>
      <c r="D496" t="inlineStr">
        <is>
          <t>HUIZENGA FOR CONGRESS</t>
        </is>
      </c>
      <c r="E496" t="inlineStr">
        <is>
          <t>H0MI02094</t>
        </is>
      </c>
      <c r="F496" t="inlineStr">
        <is>
          <t>REP</t>
        </is>
      </c>
      <c r="G496" t="inlineStr">
        <is>
          <t>07282020</t>
        </is>
      </c>
      <c r="H496" t="n">
        <v>5000</v>
      </c>
      <c r="I496" t="inlineStr">
        <is>
          <t>202008179261327627</t>
        </is>
      </c>
      <c r="J496" t="inlineStr">
        <is>
          <t>https://docquery.fec.gov/cgi-bin/fecimg/?202008179261327627</t>
        </is>
      </c>
    </row>
    <row r="497">
      <c r="A497" t="inlineStr">
        <is>
          <t>2020</t>
        </is>
      </c>
      <c r="B497" t="inlineStr">
        <is>
          <t>C00496307</t>
        </is>
      </c>
      <c r="C497" t="inlineStr">
        <is>
          <t>Marathon Petroleum Corp Employees PAC (MPAC)</t>
        </is>
      </c>
      <c r="D497" t="inlineStr">
        <is>
          <t>LATTA FOR CONGRESS</t>
        </is>
      </c>
      <c r="E497" t="inlineStr">
        <is>
          <t>H8OH05036</t>
        </is>
      </c>
      <c r="F497" t="inlineStr">
        <is>
          <t>REP</t>
        </is>
      </c>
      <c r="G497" t="inlineStr">
        <is>
          <t>07282020</t>
        </is>
      </c>
      <c r="H497" t="n">
        <v>4000</v>
      </c>
      <c r="I497" t="inlineStr">
        <is>
          <t>202008179261327628</t>
        </is>
      </c>
      <c r="J497" t="inlineStr">
        <is>
          <t>https://docquery.fec.gov/cgi-bin/fecimg/?202008179261327628</t>
        </is>
      </c>
    </row>
    <row r="498">
      <c r="A498" t="inlineStr">
        <is>
          <t>2020</t>
        </is>
      </c>
      <c r="B498" t="inlineStr">
        <is>
          <t>C00496307</t>
        </is>
      </c>
      <c r="C498" t="inlineStr">
        <is>
          <t>Marathon Petroleum Corp Employees PAC (MPAC)</t>
        </is>
      </c>
      <c r="D498" t="inlineStr">
        <is>
          <t>LIZ CHENEY FOR WYOMING</t>
        </is>
      </c>
      <c r="E498" t="inlineStr">
        <is>
          <t>H6WY00159</t>
        </is>
      </c>
      <c r="F498" t="inlineStr">
        <is>
          <t>REP</t>
        </is>
      </c>
      <c r="G498" t="inlineStr">
        <is>
          <t>07282020</t>
        </is>
      </c>
      <c r="H498" t="n">
        <v>2500</v>
      </c>
      <c r="I498" t="inlineStr">
        <is>
          <t>202008179261327628</t>
        </is>
      </c>
      <c r="J498" t="inlineStr">
        <is>
          <t>https://docquery.fec.gov/cgi-bin/fecimg/?202008179261327628</t>
        </is>
      </c>
    </row>
    <row r="499">
      <c r="A499" t="inlineStr">
        <is>
          <t>2020</t>
        </is>
      </c>
      <c r="B499" t="inlineStr">
        <is>
          <t>C00496307</t>
        </is>
      </c>
      <c r="C499" t="inlineStr">
        <is>
          <t>Marathon Petroleum Corp Employees PAC (MPAC)</t>
        </is>
      </c>
      <c r="D499" t="inlineStr">
        <is>
          <t>PEOPLE FOR DEREK KILMER</t>
        </is>
      </c>
      <c r="E499" t="inlineStr">
        <is>
          <t>H2WA06129</t>
        </is>
      </c>
      <c r="F499" t="inlineStr">
        <is>
          <t>DEM</t>
        </is>
      </c>
      <c r="G499" t="inlineStr">
        <is>
          <t>07282020</t>
        </is>
      </c>
      <c r="H499" t="n">
        <v>5000</v>
      </c>
      <c r="I499" t="inlineStr">
        <is>
          <t>202008179261327628</t>
        </is>
      </c>
      <c r="J499" t="inlineStr">
        <is>
          <t>https://docquery.fec.gov/cgi-bin/fecimg/?202008179261327628</t>
        </is>
      </c>
    </row>
    <row r="500">
      <c r="A500" t="inlineStr">
        <is>
          <t>2020</t>
        </is>
      </c>
      <c r="B500" t="inlineStr">
        <is>
          <t>C00496307</t>
        </is>
      </c>
      <c r="C500" t="inlineStr">
        <is>
          <t>Marathon Petroleum Corp Employees PAC (MPAC)</t>
        </is>
      </c>
      <c r="D500" t="inlineStr">
        <is>
          <t>PETE STAUBER FOR CONGRESS</t>
        </is>
      </c>
      <c r="E500" t="inlineStr">
        <is>
          <t>H8MN08043</t>
        </is>
      </c>
      <c r="F500" t="inlineStr">
        <is>
          <t>REP</t>
        </is>
      </c>
      <c r="G500" t="inlineStr">
        <is>
          <t>07282020</t>
        </is>
      </c>
      <c r="H500" t="n">
        <v>2500</v>
      </c>
      <c r="I500" t="inlineStr">
        <is>
          <t>202008179261327629</t>
        </is>
      </c>
      <c r="J500" t="inlineStr">
        <is>
          <t>https://docquery.fec.gov/cgi-bin/fecimg/?202008179261327629</t>
        </is>
      </c>
    </row>
    <row r="501">
      <c r="A501" t="inlineStr">
        <is>
          <t>2020</t>
        </is>
      </c>
      <c r="B501" t="inlineStr">
        <is>
          <t>C00496307</t>
        </is>
      </c>
      <c r="C501" t="inlineStr">
        <is>
          <t>Marathon Petroleum Corp Employees PAC (MPAC)</t>
        </is>
      </c>
      <c r="D501" t="inlineStr">
        <is>
          <t>PETERSON FOR CONGRESS</t>
        </is>
      </c>
      <c r="E501" t="inlineStr">
        <is>
          <t>H2MN07014</t>
        </is>
      </c>
      <c r="F501" t="inlineStr">
        <is>
          <t>DEM</t>
        </is>
      </c>
      <c r="G501" t="inlineStr">
        <is>
          <t>07282020</t>
        </is>
      </c>
      <c r="H501" t="n">
        <v>5000</v>
      </c>
      <c r="I501" t="inlineStr">
        <is>
          <t>202008179261327629</t>
        </is>
      </c>
      <c r="J501" t="inlineStr">
        <is>
          <t>https://docquery.fec.gov/cgi-bin/fecimg/?202008179261327629</t>
        </is>
      </c>
    </row>
    <row r="502">
      <c r="A502" t="inlineStr">
        <is>
          <t>2020</t>
        </is>
      </c>
      <c r="B502" t="inlineStr">
        <is>
          <t>C00496307</t>
        </is>
      </c>
      <c r="C502" t="inlineStr">
        <is>
          <t>Marathon Petroleum Corp Employees PAC (MPAC)</t>
        </is>
      </c>
      <c r="D502" t="inlineStr">
        <is>
          <t>BICE FOR CONGRESS</t>
        </is>
      </c>
      <c r="E502" t="inlineStr">
        <is>
          <t>H0OK05205</t>
        </is>
      </c>
      <c r="F502" t="inlineStr">
        <is>
          <t>REP</t>
        </is>
      </c>
      <c r="G502" t="inlineStr">
        <is>
          <t>07282020</t>
        </is>
      </c>
      <c r="H502" t="n">
        <v>2000</v>
      </c>
      <c r="I502" t="inlineStr">
        <is>
          <t>202008179261327624</t>
        </is>
      </c>
      <c r="J502" t="inlineStr">
        <is>
          <t>https://docquery.fec.gov/cgi-bin/fecimg/?202008179261327624</t>
        </is>
      </c>
    </row>
    <row r="503">
      <c r="A503" t="inlineStr">
        <is>
          <t>2020</t>
        </is>
      </c>
      <c r="B503" t="inlineStr">
        <is>
          <t>C00496307</t>
        </is>
      </c>
      <c r="C503" t="inlineStr">
        <is>
          <t>Marathon Petroleum Corp Employees PAC (MPAC)</t>
        </is>
      </c>
      <c r="D503" t="inlineStr">
        <is>
          <t>CATHY MCMORRIS RODGERS FOR CONGRESS</t>
        </is>
      </c>
      <c r="E503" t="inlineStr">
        <is>
          <t>H4WA05077</t>
        </is>
      </c>
      <c r="F503" t="inlineStr">
        <is>
          <t>REP</t>
        </is>
      </c>
      <c r="G503" t="inlineStr">
        <is>
          <t>07282020</t>
        </is>
      </c>
      <c r="H503" t="n">
        <v>2500</v>
      </c>
      <c r="I503" t="inlineStr">
        <is>
          <t>202008179261327625</t>
        </is>
      </c>
      <c r="J503" t="inlineStr">
        <is>
          <t>https://docquery.fec.gov/cgi-bin/fecimg/?202008179261327625</t>
        </is>
      </c>
    </row>
    <row r="504">
      <c r="A504" t="inlineStr">
        <is>
          <t>2020</t>
        </is>
      </c>
      <c r="B504" t="inlineStr">
        <is>
          <t>C00496307</t>
        </is>
      </c>
      <c r="C504" t="inlineStr">
        <is>
          <t>Marathon Petroleum Corp Employees PAC (MPAC)</t>
        </is>
      </c>
      <c r="D504" t="inlineStr">
        <is>
          <t>CHIP ROY FOR CONGRESS</t>
        </is>
      </c>
      <c r="E504" t="inlineStr">
        <is>
          <t>H8TX21307</t>
        </is>
      </c>
      <c r="F504" t="inlineStr">
        <is>
          <t>REP</t>
        </is>
      </c>
      <c r="G504" t="inlineStr">
        <is>
          <t>07282020</t>
        </is>
      </c>
      <c r="H504" t="n">
        <v>1000</v>
      </c>
      <c r="I504" t="inlineStr">
        <is>
          <t>202008179261327625</t>
        </is>
      </c>
      <c r="J504" t="inlineStr">
        <is>
          <t>https://docquery.fec.gov/cgi-bin/fecimg/?202008179261327625</t>
        </is>
      </c>
    </row>
    <row r="505">
      <c r="A505" t="inlineStr">
        <is>
          <t>2020</t>
        </is>
      </c>
      <c r="B505" t="inlineStr">
        <is>
          <t>C00496307</t>
        </is>
      </c>
      <c r="C505" t="inlineStr">
        <is>
          <t>Marathon Petroleum Corp Employees PAC (MPAC)</t>
        </is>
      </c>
      <c r="D505" t="inlineStr">
        <is>
          <t>CITIZENS TO ELECT RICK LARSEN</t>
        </is>
      </c>
      <c r="E505" t="inlineStr">
        <is>
          <t>H0WA02080</t>
        </is>
      </c>
      <c r="F505" t="inlineStr">
        <is>
          <t>DEM</t>
        </is>
      </c>
      <c r="G505" t="inlineStr">
        <is>
          <t>07282020</t>
        </is>
      </c>
      <c r="H505" t="n">
        <v>5000</v>
      </c>
      <c r="I505" t="inlineStr">
        <is>
          <t>202008179261327625</t>
        </is>
      </c>
      <c r="J505" t="inlineStr">
        <is>
          <t>https://docquery.fec.gov/cgi-bin/fecimg/?202008179261327625</t>
        </is>
      </c>
    </row>
    <row r="506">
      <c r="A506" t="inlineStr">
        <is>
          <t>2020</t>
        </is>
      </c>
      <c r="B506" t="inlineStr">
        <is>
          <t>C00496307</t>
        </is>
      </c>
      <c r="C506" t="inlineStr">
        <is>
          <t>Marathon Petroleum Corp Employees PAC (MPAC)</t>
        </is>
      </c>
      <c r="D506" t="inlineStr">
        <is>
          <t>JIM BANKS FOR CONGRESS, INC.</t>
        </is>
      </c>
      <c r="E506" t="inlineStr">
        <is>
          <t>H6IN03229</t>
        </is>
      </c>
      <c r="F506" t="inlineStr">
        <is>
          <t>REP</t>
        </is>
      </c>
      <c r="G506" t="inlineStr">
        <is>
          <t>07312019</t>
        </is>
      </c>
      <c r="H506" t="n">
        <v>2500</v>
      </c>
      <c r="I506" t="inlineStr">
        <is>
          <t>201908209162995422</t>
        </is>
      </c>
      <c r="J506" t="inlineStr">
        <is>
          <t>https://docquery.fec.gov/cgi-bin/fecimg/?201908209162995422</t>
        </is>
      </c>
    </row>
    <row r="507">
      <c r="A507" t="inlineStr">
        <is>
          <t>2020</t>
        </is>
      </c>
      <c r="B507" t="inlineStr">
        <is>
          <t>C00496307</t>
        </is>
      </c>
      <c r="C507" t="inlineStr">
        <is>
          <t>Marathon Petroleum Corp Employees PAC (MPAC)</t>
        </is>
      </c>
      <c r="D507" t="inlineStr">
        <is>
          <t>PEOPLE FOR DEREK KILMER</t>
        </is>
      </c>
      <c r="E507" t="inlineStr">
        <is>
          <t>H2WA06129</t>
        </is>
      </c>
      <c r="F507" t="inlineStr">
        <is>
          <t>DEM</t>
        </is>
      </c>
      <c r="G507" t="inlineStr">
        <is>
          <t>07312020</t>
        </is>
      </c>
      <c r="H507" t="n">
        <v>-5000</v>
      </c>
      <c r="I507" t="inlineStr">
        <is>
          <t>202008179261327629</t>
        </is>
      </c>
      <c r="J507" t="inlineStr">
        <is>
          <t>https://docquery.fec.gov/cgi-bin/fecimg/?202008179261327629</t>
        </is>
      </c>
    </row>
    <row r="508">
      <c r="A508" t="inlineStr">
        <is>
          <t>2020</t>
        </is>
      </c>
      <c r="B508" t="inlineStr">
        <is>
          <t>C00496307</t>
        </is>
      </c>
      <c r="C508" t="inlineStr">
        <is>
          <t>Marathon Petroleum Corp Employees PAC (MPAC)</t>
        </is>
      </c>
      <c r="D508" t="inlineStr">
        <is>
          <t>BALDERSON FOR CONGRESS</t>
        </is>
      </c>
      <c r="E508" t="inlineStr">
        <is>
          <t>H8OH12180</t>
        </is>
      </c>
      <c r="F508" t="inlineStr">
        <is>
          <t>REP</t>
        </is>
      </c>
      <c r="G508" t="inlineStr">
        <is>
          <t>08102020</t>
        </is>
      </c>
      <c r="H508" t="n">
        <v>5000</v>
      </c>
      <c r="I508" t="inlineStr">
        <is>
          <t>202009159267186228</t>
        </is>
      </c>
      <c r="J508" t="inlineStr">
        <is>
          <t>https://docquery.fec.gov/cgi-bin/fecimg/?202009159267186228</t>
        </is>
      </c>
    </row>
    <row r="509">
      <c r="A509" t="inlineStr">
        <is>
          <t>2020</t>
        </is>
      </c>
      <c r="B509" t="inlineStr">
        <is>
          <t>C00496307</t>
        </is>
      </c>
      <c r="C509" t="inlineStr">
        <is>
          <t>Marathon Petroleum Corp Employees PAC (MPAC)</t>
        </is>
      </c>
      <c r="D509" t="inlineStr">
        <is>
          <t>LUMMIS FOR WYOMING</t>
        </is>
      </c>
      <c r="E509" t="inlineStr">
        <is>
          <t>S0WY00137</t>
        </is>
      </c>
      <c r="F509" t="inlineStr">
        <is>
          <t>REP</t>
        </is>
      </c>
      <c r="G509" t="inlineStr">
        <is>
          <t>08102020</t>
        </is>
      </c>
      <c r="H509" t="n">
        <v>2500</v>
      </c>
      <c r="I509" t="inlineStr">
        <is>
          <t>202009159267186230</t>
        </is>
      </c>
      <c r="J509" t="inlineStr">
        <is>
          <t>https://docquery.fec.gov/cgi-bin/fecimg/?202009159267186230</t>
        </is>
      </c>
    </row>
    <row r="510">
      <c r="A510" t="inlineStr">
        <is>
          <t>2020</t>
        </is>
      </c>
      <c r="B510" t="inlineStr">
        <is>
          <t>C00496307</t>
        </is>
      </c>
      <c r="C510" t="inlineStr">
        <is>
          <t>Marathon Petroleum Corp Employees PAC (MPAC)</t>
        </is>
      </c>
      <c r="D510" t="inlineStr">
        <is>
          <t>BILIRAKIS FOR CONGRESS</t>
        </is>
      </c>
      <c r="E510" t="inlineStr">
        <is>
          <t>H6FL09070</t>
        </is>
      </c>
      <c r="F510" t="inlineStr">
        <is>
          <t>REP</t>
        </is>
      </c>
      <c r="G510" t="inlineStr">
        <is>
          <t>08142020</t>
        </is>
      </c>
      <c r="H510" t="n">
        <v>2500</v>
      </c>
      <c r="I510" t="inlineStr">
        <is>
          <t>202009159267186228</t>
        </is>
      </c>
      <c r="J510" t="inlineStr">
        <is>
          <t>https://docquery.fec.gov/cgi-bin/fecimg/?202009159267186228</t>
        </is>
      </c>
    </row>
    <row r="511">
      <c r="A511" t="inlineStr">
        <is>
          <t>2020</t>
        </is>
      </c>
      <c r="B511" t="inlineStr">
        <is>
          <t>C00496307</t>
        </is>
      </c>
      <c r="C511" t="inlineStr">
        <is>
          <t>Marathon Petroleum Corp Employees PAC (MPAC)</t>
        </is>
      </c>
      <c r="D511" t="inlineStr">
        <is>
          <t>LAHOOD FOR CONGRESS</t>
        </is>
      </c>
      <c r="E511" t="inlineStr">
        <is>
          <t>H6IL18088</t>
        </is>
      </c>
      <c r="F511" t="inlineStr">
        <is>
          <t>REP</t>
        </is>
      </c>
      <c r="G511" t="inlineStr">
        <is>
          <t>08142020</t>
        </is>
      </c>
      <c r="H511" t="n">
        <v>2500</v>
      </c>
      <c r="I511" t="inlineStr">
        <is>
          <t>202009159267186230</t>
        </is>
      </c>
      <c r="J511" t="inlineStr">
        <is>
          <t>https://docquery.fec.gov/cgi-bin/fecimg/?202009159267186230</t>
        </is>
      </c>
    </row>
    <row r="512">
      <c r="A512" t="inlineStr">
        <is>
          <t>2020</t>
        </is>
      </c>
      <c r="B512" t="inlineStr">
        <is>
          <t>C00496307</t>
        </is>
      </c>
      <c r="C512" t="inlineStr">
        <is>
          <t>Marathon Petroleum Corp Employees PAC (MPAC)</t>
        </is>
      </c>
      <c r="D512" t="inlineStr">
        <is>
          <t>AMERICANS FOR PARNELL COMMITTEE</t>
        </is>
      </c>
      <c r="E512" t="inlineStr">
        <is>
          <t>H0PA17115</t>
        </is>
      </c>
      <c r="F512" t="inlineStr">
        <is>
          <t>REP</t>
        </is>
      </c>
      <c r="G512" t="inlineStr">
        <is>
          <t>08172020</t>
        </is>
      </c>
      <c r="H512" t="n">
        <v>2500</v>
      </c>
      <c r="I512" t="inlineStr">
        <is>
          <t>202009159267186228</t>
        </is>
      </c>
      <c r="J512" t="inlineStr">
        <is>
          <t>https://docquery.fec.gov/cgi-bin/fecimg/?202009159267186228</t>
        </is>
      </c>
    </row>
    <row r="513">
      <c r="A513" t="inlineStr">
        <is>
          <t>2020</t>
        </is>
      </c>
      <c r="B513" t="inlineStr">
        <is>
          <t>C00496307</t>
        </is>
      </c>
      <c r="C513" t="inlineStr">
        <is>
          <t>Marathon Petroleum Corp Employees PAC (MPAC)</t>
        </is>
      </c>
      <c r="D513" t="inlineStr">
        <is>
          <t>RALPH ABRAHAM FOR CONGRESS</t>
        </is>
      </c>
      <c r="E513" t="inlineStr">
        <is>
          <t>H4LA05221</t>
        </is>
      </c>
      <c r="F513" t="inlineStr">
        <is>
          <t>REP</t>
        </is>
      </c>
      <c r="G513" t="inlineStr">
        <is>
          <t>08222019</t>
        </is>
      </c>
      <c r="H513" t="n">
        <v>5000</v>
      </c>
      <c r="I513" t="inlineStr">
        <is>
          <t>201909139163322459</t>
        </is>
      </c>
      <c r="J513" t="inlineStr">
        <is>
          <t>https://docquery.fec.gov/cgi-bin/fecimg/?201909139163322459</t>
        </is>
      </c>
    </row>
    <row r="514">
      <c r="A514" t="inlineStr">
        <is>
          <t>2020</t>
        </is>
      </c>
      <c r="B514" t="inlineStr">
        <is>
          <t>C00496307</t>
        </is>
      </c>
      <c r="C514" t="inlineStr">
        <is>
          <t>Marathon Petroleum Corp Employees PAC (MPAC)</t>
        </is>
      </c>
      <c r="D514" t="inlineStr">
        <is>
          <t>FRIENDS OF DAVID SCHWEIKERT</t>
        </is>
      </c>
      <c r="E514" t="inlineStr">
        <is>
          <t>H4AZ06045</t>
        </is>
      </c>
      <c r="F514" t="inlineStr">
        <is>
          <t>REP</t>
        </is>
      </c>
      <c r="G514" t="inlineStr">
        <is>
          <t>08252020</t>
        </is>
      </c>
      <c r="H514" t="n">
        <v>2500</v>
      </c>
      <c r="I514" t="inlineStr">
        <is>
          <t>202009159267186229</t>
        </is>
      </c>
      <c r="J514" t="inlineStr">
        <is>
          <t>https://docquery.fec.gov/cgi-bin/fecimg/?202009159267186229</t>
        </is>
      </c>
    </row>
    <row r="515">
      <c r="A515" t="inlineStr">
        <is>
          <t>2020</t>
        </is>
      </c>
      <c r="B515" t="inlineStr">
        <is>
          <t>C00496307</t>
        </is>
      </c>
      <c r="C515" t="inlineStr">
        <is>
          <t>Marathon Petroleum Corp Employees PAC (MPAC)</t>
        </is>
      </c>
      <c r="D515" t="inlineStr">
        <is>
          <t>DEVIN NUNES CAMPAIGN COMMITTEE</t>
        </is>
      </c>
      <c r="E515" t="inlineStr">
        <is>
          <t>H8CA20059</t>
        </is>
      </c>
      <c r="F515" t="inlineStr">
        <is>
          <t>REP</t>
        </is>
      </c>
      <c r="G515" t="inlineStr">
        <is>
          <t>09102020</t>
        </is>
      </c>
      <c r="H515" t="n">
        <v>5000</v>
      </c>
      <c r="I515" t="inlineStr">
        <is>
          <t>202010149285880815</t>
        </is>
      </c>
      <c r="J515" t="inlineStr">
        <is>
          <t>https://docquery.fec.gov/cgi-bin/fecimg/?202010149285880815</t>
        </is>
      </c>
    </row>
    <row r="516">
      <c r="A516" t="inlineStr">
        <is>
          <t>2020</t>
        </is>
      </c>
      <c r="B516" t="inlineStr">
        <is>
          <t>C00496307</t>
        </is>
      </c>
      <c r="C516" t="inlineStr">
        <is>
          <t>Marathon Petroleum Corp Employees PAC (MPAC)</t>
        </is>
      </c>
      <c r="D516" t="inlineStr">
        <is>
          <t>BEN SASSE FOR US SENATE INC</t>
        </is>
      </c>
      <c r="E516" t="inlineStr">
        <is>
          <t>S4NE00090</t>
        </is>
      </c>
      <c r="F516" t="inlineStr">
        <is>
          <t>REP</t>
        </is>
      </c>
      <c r="G516" t="inlineStr">
        <is>
          <t>09102020</t>
        </is>
      </c>
      <c r="H516" t="n">
        <v>5000</v>
      </c>
      <c r="I516" t="inlineStr">
        <is>
          <t>202010149285880810</t>
        </is>
      </c>
      <c r="J516" t="inlineStr">
        <is>
          <t>https://docquery.fec.gov/cgi-bin/fecimg/?202010149285880810</t>
        </is>
      </c>
    </row>
    <row r="517">
      <c r="A517" t="inlineStr">
        <is>
          <t>2020</t>
        </is>
      </c>
      <c r="B517" t="inlineStr">
        <is>
          <t>C00496307</t>
        </is>
      </c>
      <c r="C517" t="inlineStr">
        <is>
          <t>Marathon Petroleum Corp Employees PAC (MPAC)</t>
        </is>
      </c>
      <c r="D517" t="inlineStr">
        <is>
          <t>BRADY FOR CONGRESS</t>
        </is>
      </c>
      <c r="E517" t="inlineStr">
        <is>
          <t>H6TX08100</t>
        </is>
      </c>
      <c r="F517" t="inlineStr">
        <is>
          <t>REP</t>
        </is>
      </c>
      <c r="G517" t="inlineStr">
        <is>
          <t>09102020</t>
        </is>
      </c>
      <c r="H517" t="n">
        <v>5000</v>
      </c>
      <c r="I517" t="inlineStr">
        <is>
          <t>202010149285880811</t>
        </is>
      </c>
      <c r="J517" t="inlineStr">
        <is>
          <t>https://docquery.fec.gov/cgi-bin/fecimg/?202010149285880811</t>
        </is>
      </c>
    </row>
    <row r="518">
      <c r="A518" t="inlineStr">
        <is>
          <t>2020</t>
        </is>
      </c>
      <c r="B518" t="inlineStr">
        <is>
          <t>C00496307</t>
        </is>
      </c>
      <c r="C518" t="inlineStr">
        <is>
          <t>Marathon Petroleum Corp Employees PAC (MPAC)</t>
        </is>
      </c>
      <c r="D518" t="inlineStr">
        <is>
          <t>CITIZENS TO ELECT RICK LARSEN</t>
        </is>
      </c>
      <c r="E518" t="inlineStr">
        <is>
          <t>H0WA02080</t>
        </is>
      </c>
      <c r="F518" t="inlineStr">
        <is>
          <t>DEM</t>
        </is>
      </c>
      <c r="G518" t="inlineStr">
        <is>
          <t>09102020</t>
        </is>
      </c>
      <c r="H518" t="n">
        <v>5000</v>
      </c>
      <c r="I518" t="inlineStr">
        <is>
          <t>202010149285880813</t>
        </is>
      </c>
      <c r="J518" t="inlineStr">
        <is>
          <t>https://docquery.fec.gov/cgi-bin/fecimg/?202010149285880813</t>
        </is>
      </c>
    </row>
    <row r="519">
      <c r="A519" t="inlineStr">
        <is>
          <t>2020</t>
        </is>
      </c>
      <c r="B519" t="inlineStr">
        <is>
          <t>C00496307</t>
        </is>
      </c>
      <c r="C519" t="inlineStr">
        <is>
          <t>Marathon Petroleum Corp Employees PAC (MPAC)</t>
        </is>
      </c>
      <c r="D519" t="inlineStr">
        <is>
          <t>FRIENDS FOR CHRIS STEWART, INC.</t>
        </is>
      </c>
      <c r="E519" t="inlineStr">
        <is>
          <t>H2UT02324</t>
        </is>
      </c>
      <c r="F519" t="inlineStr">
        <is>
          <t>REP</t>
        </is>
      </c>
      <c r="G519" t="inlineStr">
        <is>
          <t>09102020</t>
        </is>
      </c>
      <c r="H519" t="n">
        <v>2500</v>
      </c>
      <c r="I519" t="inlineStr">
        <is>
          <t>202010149285880816</t>
        </is>
      </c>
      <c r="J519" t="inlineStr">
        <is>
          <t>https://docquery.fec.gov/cgi-bin/fecimg/?202010149285880816</t>
        </is>
      </c>
    </row>
    <row r="520">
      <c r="A520" t="inlineStr">
        <is>
          <t>2020</t>
        </is>
      </c>
      <c r="B520" t="inlineStr">
        <is>
          <t>C00496307</t>
        </is>
      </c>
      <c r="C520" t="inlineStr">
        <is>
          <t>Marathon Petroleum Corp Employees PAC (MPAC)</t>
        </is>
      </c>
      <c r="D520" t="inlineStr">
        <is>
          <t>GREG PENCE FOR CONGRESS</t>
        </is>
      </c>
      <c r="E520" t="inlineStr">
        <is>
          <t>H8IN06129</t>
        </is>
      </c>
      <c r="F520" t="inlineStr">
        <is>
          <t>REP</t>
        </is>
      </c>
      <c r="G520" t="inlineStr">
        <is>
          <t>09102020</t>
        </is>
      </c>
      <c r="H520" t="n">
        <v>5000</v>
      </c>
      <c r="I520" t="inlineStr">
        <is>
          <t>202010149285880816</t>
        </is>
      </c>
      <c r="J520" t="inlineStr">
        <is>
          <t>https://docquery.fec.gov/cgi-bin/fecimg/?202010149285880816</t>
        </is>
      </c>
    </row>
    <row r="521">
      <c r="A521" t="inlineStr">
        <is>
          <t>2020</t>
        </is>
      </c>
      <c r="B521" t="inlineStr">
        <is>
          <t>C00496307</t>
        </is>
      </c>
      <c r="C521" t="inlineStr">
        <is>
          <t>Marathon Petroleum Corp Employees PAC (MPAC)</t>
        </is>
      </c>
      <c r="D521" t="inlineStr">
        <is>
          <t>MULLIN FOR CONGRESS</t>
        </is>
      </c>
      <c r="E521" t="inlineStr">
        <is>
          <t>H2OK02083</t>
        </is>
      </c>
      <c r="F521" t="inlineStr">
        <is>
          <t>REP</t>
        </is>
      </c>
      <c r="G521" t="inlineStr">
        <is>
          <t>09102020</t>
        </is>
      </c>
      <c r="H521" t="n">
        <v>2500</v>
      </c>
      <c r="I521" t="inlineStr">
        <is>
          <t>202010149285880822</t>
        </is>
      </c>
      <c r="J521" t="inlineStr">
        <is>
          <t>https://docquery.fec.gov/cgi-bin/fecimg/?202010149285880822</t>
        </is>
      </c>
    </row>
    <row r="522">
      <c r="A522" t="inlineStr">
        <is>
          <t>2020</t>
        </is>
      </c>
      <c r="B522" t="inlineStr">
        <is>
          <t>C00496307</t>
        </is>
      </c>
      <c r="C522" t="inlineStr">
        <is>
          <t>Marathon Petroleum Corp Employees PAC (MPAC)</t>
        </is>
      </c>
      <c r="D522" t="inlineStr">
        <is>
          <t>GUY FOR CONGRESS</t>
        </is>
      </c>
      <c r="E522" t="inlineStr">
        <is>
          <t>H8PA18199</t>
        </is>
      </c>
      <c r="F522" t="inlineStr">
        <is>
          <t>REP</t>
        </is>
      </c>
      <c r="G522" t="inlineStr">
        <is>
          <t>09102020</t>
        </is>
      </c>
      <c r="H522" t="n">
        <v>2500</v>
      </c>
      <c r="I522" t="inlineStr">
        <is>
          <t>202010149285880817</t>
        </is>
      </c>
      <c r="J522" t="inlineStr">
        <is>
          <t>https://docquery.fec.gov/cgi-bin/fecimg/?202010149285880817</t>
        </is>
      </c>
    </row>
    <row r="523">
      <c r="A523" t="inlineStr">
        <is>
          <t>2020</t>
        </is>
      </c>
      <c r="B523" t="inlineStr">
        <is>
          <t>C00496307</t>
        </is>
      </c>
      <c r="C523" t="inlineStr">
        <is>
          <t>Marathon Petroleum Corp Employees PAC (MPAC)</t>
        </is>
      </c>
      <c r="D523" t="inlineStr">
        <is>
          <t>LIZ CHENEY FOR WYOMING</t>
        </is>
      </c>
      <c r="E523" t="inlineStr">
        <is>
          <t>H6WY00159</t>
        </is>
      </c>
      <c r="F523" t="inlineStr">
        <is>
          <t>REP</t>
        </is>
      </c>
      <c r="G523" t="inlineStr">
        <is>
          <t>09102020</t>
        </is>
      </c>
      <c r="H523" t="n">
        <v>5000</v>
      </c>
      <c r="I523" t="inlineStr">
        <is>
          <t>202010149285880819</t>
        </is>
      </c>
      <c r="J523" t="inlineStr">
        <is>
          <t>https://docquery.fec.gov/cgi-bin/fecimg/?202010149285880819</t>
        </is>
      </c>
    </row>
    <row r="524">
      <c r="A524" t="inlineStr">
        <is>
          <t>2020</t>
        </is>
      </c>
      <c r="B524" t="inlineStr">
        <is>
          <t>C00496307</t>
        </is>
      </c>
      <c r="C524" t="inlineStr">
        <is>
          <t>Marathon Petroleum Corp Employees PAC (MPAC)</t>
        </is>
      </c>
      <c r="D524" t="inlineStr">
        <is>
          <t>TOM REED FOR CONGRESS</t>
        </is>
      </c>
      <c r="E524" t="inlineStr">
        <is>
          <t>H0NY29054</t>
        </is>
      </c>
      <c r="F524" t="inlineStr">
        <is>
          <t>REP</t>
        </is>
      </c>
      <c r="G524" t="inlineStr">
        <is>
          <t>09102020</t>
        </is>
      </c>
      <c r="H524" t="n">
        <v>2500</v>
      </c>
      <c r="I524" t="inlineStr">
        <is>
          <t>202010149285880827</t>
        </is>
      </c>
      <c r="J524" t="inlineStr">
        <is>
          <t>https://docquery.fec.gov/cgi-bin/fecimg/?202010149285880827</t>
        </is>
      </c>
    </row>
    <row r="525">
      <c r="A525" t="inlineStr">
        <is>
          <t>2020</t>
        </is>
      </c>
      <c r="B525" t="inlineStr">
        <is>
          <t>C00496307</t>
        </is>
      </c>
      <c r="C525" t="inlineStr">
        <is>
          <t>Marathon Petroleum Corp Employees PAC (MPAC)</t>
        </is>
      </c>
      <c r="D525" t="inlineStr">
        <is>
          <t>VICENTE GONZALEZ FOR CONGRESS</t>
        </is>
      </c>
      <c r="E525" t="inlineStr">
        <is>
          <t>H6TX15162</t>
        </is>
      </c>
      <c r="F525" t="inlineStr">
        <is>
          <t>DEM</t>
        </is>
      </c>
      <c r="G525" t="inlineStr">
        <is>
          <t>09102020</t>
        </is>
      </c>
      <c r="H525" t="n">
        <v>5000</v>
      </c>
      <c r="I525" t="inlineStr">
        <is>
          <t>202010149285880827</t>
        </is>
      </c>
      <c r="J525" t="inlineStr">
        <is>
          <t>https://docquery.fec.gov/cgi-bin/fecimg/?202010149285880827</t>
        </is>
      </c>
    </row>
    <row r="526">
      <c r="A526" t="inlineStr">
        <is>
          <t>2020</t>
        </is>
      </c>
      <c r="B526" t="inlineStr">
        <is>
          <t>C00496307</t>
        </is>
      </c>
      <c r="C526" t="inlineStr">
        <is>
          <t>Marathon Petroleum Corp Employees PAC (MPAC)</t>
        </is>
      </c>
      <c r="D526" t="inlineStr">
        <is>
          <t>WEBER FOR CONGRESS</t>
        </is>
      </c>
      <c r="E526" t="inlineStr">
        <is>
          <t>H2TX14149</t>
        </is>
      </c>
      <c r="F526" t="inlineStr">
        <is>
          <t>REP</t>
        </is>
      </c>
      <c r="G526" t="inlineStr">
        <is>
          <t>09102020</t>
        </is>
      </c>
      <c r="H526" t="n">
        <v>5000</v>
      </c>
      <c r="I526" t="inlineStr">
        <is>
          <t>202010149285880828</t>
        </is>
      </c>
      <c r="J526" t="inlineStr">
        <is>
          <t>https://docquery.fec.gov/cgi-bin/fecimg/?202010149285880828</t>
        </is>
      </c>
    </row>
    <row r="527">
      <c r="A527" t="inlineStr">
        <is>
          <t>2020</t>
        </is>
      </c>
      <c r="B527" t="inlineStr">
        <is>
          <t>C00496307</t>
        </is>
      </c>
      <c r="C527" t="inlineStr">
        <is>
          <t>Marathon Petroleum Corp Employees PAC (MPAC)</t>
        </is>
      </c>
      <c r="D527" t="inlineStr">
        <is>
          <t>COLLINS FOR SENATOR</t>
        </is>
      </c>
      <c r="E527" t="inlineStr">
        <is>
          <t>S6ME00159</t>
        </is>
      </c>
      <c r="F527" t="inlineStr">
        <is>
          <t>REP</t>
        </is>
      </c>
      <c r="G527" t="inlineStr">
        <is>
          <t>09112020</t>
        </is>
      </c>
      <c r="H527" t="n">
        <v>5000</v>
      </c>
      <c r="I527" t="inlineStr">
        <is>
          <t>202010149285880813</t>
        </is>
      </c>
      <c r="J527" t="inlineStr">
        <is>
          <t>https://docquery.fec.gov/cgi-bin/fecimg/?202010149285880813</t>
        </is>
      </c>
    </row>
    <row r="528">
      <c r="A528" t="inlineStr">
        <is>
          <t>2020</t>
        </is>
      </c>
      <c r="B528" t="inlineStr">
        <is>
          <t>C00496307</t>
        </is>
      </c>
      <c r="C528" t="inlineStr">
        <is>
          <t>Marathon Petroleum Corp Employees PAC (MPAC)</t>
        </is>
      </c>
      <c r="D528" t="inlineStr">
        <is>
          <t>COMER FOR CONGRESS</t>
        </is>
      </c>
      <c r="E528" t="inlineStr">
        <is>
          <t>H6KY01110</t>
        </is>
      </c>
      <c r="F528" t="inlineStr">
        <is>
          <t>REP</t>
        </is>
      </c>
      <c r="G528" t="inlineStr">
        <is>
          <t>09112020</t>
        </is>
      </c>
      <c r="H528" t="n">
        <v>4000</v>
      </c>
      <c r="I528" t="inlineStr">
        <is>
          <t>202010149285880814</t>
        </is>
      </c>
      <c r="J528" t="inlineStr">
        <is>
          <t>https://docquery.fec.gov/cgi-bin/fecimg/?202010149285880814</t>
        </is>
      </c>
    </row>
    <row r="529">
      <c r="A529" t="inlineStr">
        <is>
          <t>2020</t>
        </is>
      </c>
      <c r="B529" t="inlineStr">
        <is>
          <t>C00496307</t>
        </is>
      </c>
      <c r="C529" t="inlineStr">
        <is>
          <t>Marathon Petroleum Corp Employees PAC (MPAC)</t>
        </is>
      </c>
      <c r="D529" t="inlineStr">
        <is>
          <t>AUGUST PFLUGER FOR CONGRESS</t>
        </is>
      </c>
      <c r="E529" t="inlineStr">
        <is>
          <t>H0TX11230</t>
        </is>
      </c>
      <c r="F529" t="inlineStr">
        <is>
          <t>REP</t>
        </is>
      </c>
      <c r="G529" t="inlineStr">
        <is>
          <t>09112020</t>
        </is>
      </c>
      <c r="H529" t="n">
        <v>5000</v>
      </c>
      <c r="I529" t="inlineStr">
        <is>
          <t>202010149285880809</t>
        </is>
      </c>
      <c r="J529" t="inlineStr">
        <is>
          <t>https://docquery.fec.gov/cgi-bin/fecimg/?202010149285880809</t>
        </is>
      </c>
    </row>
    <row r="530">
      <c r="A530" t="inlineStr">
        <is>
          <t>2020</t>
        </is>
      </c>
      <c r="B530" t="inlineStr">
        <is>
          <t>C00496307</t>
        </is>
      </c>
      <c r="C530" t="inlineStr">
        <is>
          <t>Marathon Petroleum Corp Employees PAC (MPAC)</t>
        </is>
      </c>
      <c r="D530" t="inlineStr">
        <is>
          <t>CHIP ROY FOR CONGRESS</t>
        </is>
      </c>
      <c r="E530" t="inlineStr">
        <is>
          <t>H8TX21307</t>
        </is>
      </c>
      <c r="F530" t="inlineStr">
        <is>
          <t>REP</t>
        </is>
      </c>
      <c r="G530" t="inlineStr">
        <is>
          <t>09112020</t>
        </is>
      </c>
      <c r="H530" t="n">
        <v>4000</v>
      </c>
      <c r="I530" t="inlineStr">
        <is>
          <t>202010149285880812</t>
        </is>
      </c>
      <c r="J530" t="inlineStr">
        <is>
          <t>https://docquery.fec.gov/cgi-bin/fecimg/?202010149285880812</t>
        </is>
      </c>
    </row>
    <row r="531">
      <c r="A531" t="inlineStr">
        <is>
          <t>2020</t>
        </is>
      </c>
      <c r="B531" t="inlineStr">
        <is>
          <t>C00496307</t>
        </is>
      </c>
      <c r="C531" t="inlineStr">
        <is>
          <t>Marathon Petroleum Corp Employees PAC (MPAC)</t>
        </is>
      </c>
      <c r="D531" t="inlineStr">
        <is>
          <t>JOHN CARTER FOR CONGRESS</t>
        </is>
      </c>
      <c r="E531" t="inlineStr">
        <is>
          <t>H2TX31044</t>
        </is>
      </c>
      <c r="F531" t="inlineStr">
        <is>
          <t>REP</t>
        </is>
      </c>
      <c r="G531" t="inlineStr">
        <is>
          <t>09112020</t>
        </is>
      </c>
      <c r="H531" t="n">
        <v>2500</v>
      </c>
      <c r="I531" t="inlineStr">
        <is>
          <t>202010149285880818</t>
        </is>
      </c>
      <c r="J531" t="inlineStr">
        <is>
          <t>https://docquery.fec.gov/cgi-bin/fecimg/?202010149285880818</t>
        </is>
      </c>
    </row>
    <row r="532">
      <c r="A532" t="inlineStr">
        <is>
          <t>2020</t>
        </is>
      </c>
      <c r="B532" t="inlineStr">
        <is>
          <t>C00496307</t>
        </is>
      </c>
      <c r="C532" t="inlineStr">
        <is>
          <t>Marathon Petroleum Corp Employees PAC (MPAC)</t>
        </is>
      </c>
      <c r="D532" t="inlineStr">
        <is>
          <t>WESTERMAN FOR CONGRESS</t>
        </is>
      </c>
      <c r="E532" t="inlineStr">
        <is>
          <t>H4AR04048</t>
        </is>
      </c>
      <c r="F532" t="inlineStr">
        <is>
          <t>REP</t>
        </is>
      </c>
      <c r="G532" t="inlineStr">
        <is>
          <t>09112020</t>
        </is>
      </c>
      <c r="H532" t="n">
        <v>3000</v>
      </c>
      <c r="I532" t="inlineStr">
        <is>
          <t>202010149285880828</t>
        </is>
      </c>
      <c r="J532" t="inlineStr">
        <is>
          <t>https://docquery.fec.gov/cgi-bin/fecimg/?202010149285880828</t>
        </is>
      </c>
    </row>
    <row r="533">
      <c r="A533" t="inlineStr">
        <is>
          <t>2020</t>
        </is>
      </c>
      <c r="B533" t="inlineStr">
        <is>
          <t>C00496307</t>
        </is>
      </c>
      <c r="C533" t="inlineStr">
        <is>
          <t>Marathon Petroleum Corp Employees PAC (MPAC)</t>
        </is>
      </c>
      <c r="D533" t="inlineStr">
        <is>
          <t>VOLUNTEERS FOR SHIMKUS</t>
        </is>
      </c>
      <c r="E533" t="inlineStr">
        <is>
          <t>H2IL20042</t>
        </is>
      </c>
      <c r="F533" t="inlineStr">
        <is>
          <t>REP</t>
        </is>
      </c>
      <c r="G533" t="inlineStr">
        <is>
          <t>09132019</t>
        </is>
      </c>
      <c r="H533" t="n">
        <v>-2500</v>
      </c>
      <c r="I533" t="inlineStr">
        <is>
          <t>201910119163821749</t>
        </is>
      </c>
      <c r="J533" t="inlineStr">
        <is>
          <t>https://docquery.fec.gov/cgi-bin/fecimg/?201910119163821749</t>
        </is>
      </c>
    </row>
    <row r="534">
      <c r="A534" t="inlineStr">
        <is>
          <t>2020</t>
        </is>
      </c>
      <c r="B534" t="inlineStr">
        <is>
          <t>C00496307</t>
        </is>
      </c>
      <c r="C534" t="inlineStr">
        <is>
          <t>Marathon Petroleum Corp Employees PAC (MPAC)</t>
        </is>
      </c>
      <c r="D534" t="inlineStr">
        <is>
          <t>RON ESTES FOR CONGRESS</t>
        </is>
      </c>
      <c r="E534" t="inlineStr">
        <is>
          <t>H8KS04112</t>
        </is>
      </c>
      <c r="F534" t="inlineStr">
        <is>
          <t>REP</t>
        </is>
      </c>
      <c r="G534" t="inlineStr">
        <is>
          <t>09182019</t>
        </is>
      </c>
      <c r="H534" t="n">
        <v>2500</v>
      </c>
      <c r="I534" t="inlineStr">
        <is>
          <t>201910119163821759</t>
        </is>
      </c>
      <c r="J534" t="inlineStr">
        <is>
          <t>https://docquery.fec.gov/cgi-bin/fecimg/?201910119163821759</t>
        </is>
      </c>
    </row>
    <row r="535">
      <c r="A535" t="inlineStr">
        <is>
          <t>2020</t>
        </is>
      </c>
      <c r="B535" t="inlineStr">
        <is>
          <t>C00496307</t>
        </is>
      </c>
      <c r="C535" t="inlineStr">
        <is>
          <t>Marathon Petroleum Corp Employees PAC (MPAC)</t>
        </is>
      </c>
      <c r="D535" t="inlineStr">
        <is>
          <t>MULLIN FOR CONGRESS</t>
        </is>
      </c>
      <c r="E535" t="inlineStr">
        <is>
          <t>H2OK02083</t>
        </is>
      </c>
      <c r="F535" t="inlineStr">
        <is>
          <t>REP</t>
        </is>
      </c>
      <c r="G535" t="inlineStr">
        <is>
          <t>09182019</t>
        </is>
      </c>
      <c r="H535" t="n">
        <v>2500</v>
      </c>
      <c r="I535" t="inlineStr">
        <is>
          <t>201910119163821758</t>
        </is>
      </c>
      <c r="J535" t="inlineStr">
        <is>
          <t>https://docquery.fec.gov/cgi-bin/fecimg/?201910119163821758</t>
        </is>
      </c>
    </row>
    <row r="536">
      <c r="A536" t="inlineStr">
        <is>
          <t>2020</t>
        </is>
      </c>
      <c r="B536" t="inlineStr">
        <is>
          <t>C00496307</t>
        </is>
      </c>
      <c r="C536" t="inlineStr">
        <is>
          <t>Marathon Petroleum Corp Employees PAC (MPAC)</t>
        </is>
      </c>
      <c r="D536" t="inlineStr">
        <is>
          <t>SCALISE FOR CONGRESS</t>
        </is>
      </c>
      <c r="E536" t="inlineStr">
        <is>
          <t>H0LA01087</t>
        </is>
      </c>
      <c r="F536" t="inlineStr">
        <is>
          <t>REP</t>
        </is>
      </c>
      <c r="G536" t="inlineStr">
        <is>
          <t>09182019</t>
        </is>
      </c>
      <c r="H536" t="n">
        <v>2500</v>
      </c>
      <c r="I536" t="inlineStr">
        <is>
          <t>201910119163821760</t>
        </is>
      </c>
      <c r="J536" t="inlineStr">
        <is>
          <t>https://docquery.fec.gov/cgi-bin/fecimg/?201910119163821760</t>
        </is>
      </c>
    </row>
    <row r="537">
      <c r="A537" t="inlineStr">
        <is>
          <t>2020</t>
        </is>
      </c>
      <c r="B537" t="inlineStr">
        <is>
          <t>C00496307</t>
        </is>
      </c>
      <c r="C537" t="inlineStr">
        <is>
          <t>Marathon Petroleum Corp Employees PAC (MPAC)</t>
        </is>
      </c>
      <c r="D537" t="inlineStr">
        <is>
          <t>STIVERS FOR CONGRESS</t>
        </is>
      </c>
      <c r="E537" t="inlineStr">
        <is>
          <t>H8OH15076</t>
        </is>
      </c>
      <c r="F537" t="inlineStr">
        <is>
          <t>REP</t>
        </is>
      </c>
      <c r="G537" t="inlineStr">
        <is>
          <t>09182019</t>
        </is>
      </c>
      <c r="H537" t="n">
        <v>2500</v>
      </c>
      <c r="I537" t="inlineStr">
        <is>
          <t>201910119163821760</t>
        </is>
      </c>
      <c r="J537" t="inlineStr">
        <is>
          <t>https://docquery.fec.gov/cgi-bin/fecimg/?201910119163821760</t>
        </is>
      </c>
    </row>
    <row r="538">
      <c r="A538" t="inlineStr">
        <is>
          <t>2020</t>
        </is>
      </c>
      <c r="B538" t="inlineStr">
        <is>
          <t>C00496307</t>
        </is>
      </c>
      <c r="C538" t="inlineStr">
        <is>
          <t>Marathon Petroleum Corp Employees PAC (MPAC)</t>
        </is>
      </c>
      <c r="D538" t="inlineStr">
        <is>
          <t>TED BUDD FOR CONGRESS</t>
        </is>
      </c>
      <c r="E538" t="inlineStr">
        <is>
          <t>H6NC13129</t>
        </is>
      </c>
      <c r="F538" t="inlineStr">
        <is>
          <t>REP</t>
        </is>
      </c>
      <c r="G538" t="inlineStr">
        <is>
          <t>09182019</t>
        </is>
      </c>
      <c r="H538" t="n">
        <v>2000</v>
      </c>
      <c r="I538" t="inlineStr">
        <is>
          <t>201910119163821760</t>
        </is>
      </c>
      <c r="J538" t="inlineStr">
        <is>
          <t>https://docquery.fec.gov/cgi-bin/fecimg/?201910119163821760</t>
        </is>
      </c>
    </row>
    <row r="539">
      <c r="A539" t="inlineStr">
        <is>
          <t>2020</t>
        </is>
      </c>
      <c r="B539" t="inlineStr">
        <is>
          <t>C00496307</t>
        </is>
      </c>
      <c r="C539" t="inlineStr">
        <is>
          <t>Marathon Petroleum Corp Employees PAC (MPAC)</t>
        </is>
      </c>
      <c r="D539" t="inlineStr">
        <is>
          <t>MORGAN GRIFFITH FOR CONGRESS</t>
        </is>
      </c>
      <c r="E539" t="inlineStr">
        <is>
          <t>H0VA09055</t>
        </is>
      </c>
      <c r="F539" t="inlineStr">
        <is>
          <t>REP</t>
        </is>
      </c>
      <c r="G539" t="inlineStr">
        <is>
          <t>09182019</t>
        </is>
      </c>
      <c r="H539" t="n">
        <v>2500</v>
      </c>
      <c r="I539" t="inlineStr">
        <is>
          <t>201910119163821758</t>
        </is>
      </c>
      <c r="J539" t="inlineStr">
        <is>
          <t>https://docquery.fec.gov/cgi-bin/fecimg/?201910119163821758</t>
        </is>
      </c>
    </row>
    <row r="540">
      <c r="A540" t="inlineStr">
        <is>
          <t>2020</t>
        </is>
      </c>
      <c r="B540" t="inlineStr">
        <is>
          <t>C00496307</t>
        </is>
      </c>
      <c r="C540" t="inlineStr">
        <is>
          <t>Marathon Petroleum Corp Employees PAC (MPAC)</t>
        </is>
      </c>
      <c r="D540" t="inlineStr">
        <is>
          <t>KINZINGER FOR CONGRESS</t>
        </is>
      </c>
      <c r="E540" t="inlineStr">
        <is>
          <t>H0IL11052</t>
        </is>
      </c>
      <c r="F540" t="inlineStr">
        <is>
          <t>REP</t>
        </is>
      </c>
      <c r="G540" t="inlineStr">
        <is>
          <t>09182019</t>
        </is>
      </c>
      <c r="H540" t="n">
        <v>2500</v>
      </c>
      <c r="I540" t="inlineStr">
        <is>
          <t>201910119163821756</t>
        </is>
      </c>
      <c r="J540" t="inlineStr">
        <is>
          <t>https://docquery.fec.gov/cgi-bin/fecimg/?201910119163821756</t>
        </is>
      </c>
    </row>
    <row r="541">
      <c r="A541" t="inlineStr">
        <is>
          <t>2020</t>
        </is>
      </c>
      <c r="B541" t="inlineStr">
        <is>
          <t>C00496307</t>
        </is>
      </c>
      <c r="C541" t="inlineStr">
        <is>
          <t>Marathon Petroleum Corp Employees PAC (MPAC)</t>
        </is>
      </c>
      <c r="D541" t="inlineStr">
        <is>
          <t>PERDUE FOR SENATE</t>
        </is>
      </c>
      <c r="E541" t="inlineStr">
        <is>
          <t>S4GA11285</t>
        </is>
      </c>
      <c r="F541" t="inlineStr">
        <is>
          <t>REP</t>
        </is>
      </c>
      <c r="G541" t="inlineStr">
        <is>
          <t>09182019</t>
        </is>
      </c>
      <c r="H541" t="n">
        <v>2500</v>
      </c>
      <c r="I541" t="inlineStr">
        <is>
          <t>201910119163821750</t>
        </is>
      </c>
      <c r="J541" t="inlineStr">
        <is>
          <t>https://docquery.fec.gov/cgi-bin/fecimg/?201910119163821750</t>
        </is>
      </c>
    </row>
    <row r="542">
      <c r="A542" t="inlineStr">
        <is>
          <t>2020</t>
        </is>
      </c>
      <c r="B542" t="inlineStr">
        <is>
          <t>C00496307</t>
        </is>
      </c>
      <c r="C542" t="inlineStr">
        <is>
          <t>Marathon Petroleum Corp Employees PAC (MPAC)</t>
        </is>
      </c>
      <c r="D542" t="inlineStr">
        <is>
          <t>ANTHONY GONZALEZ FOR CONGRESS</t>
        </is>
      </c>
      <c r="E542" t="inlineStr">
        <is>
          <t>H8OH16124</t>
        </is>
      </c>
      <c r="F542" t="inlineStr">
        <is>
          <t>REP</t>
        </is>
      </c>
      <c r="G542" t="inlineStr">
        <is>
          <t>09182019</t>
        </is>
      </c>
      <c r="H542" t="n">
        <v>2500</v>
      </c>
      <c r="I542" t="inlineStr">
        <is>
          <t>201910119163821751</t>
        </is>
      </c>
      <c r="J542" t="inlineStr">
        <is>
          <t>https://docquery.fec.gov/cgi-bin/fecimg/?201910119163821751</t>
        </is>
      </c>
    </row>
    <row r="543">
      <c r="A543" t="inlineStr">
        <is>
          <t>2020</t>
        </is>
      </c>
      <c r="B543" t="inlineStr">
        <is>
          <t>C00496307</t>
        </is>
      </c>
      <c r="C543" t="inlineStr">
        <is>
          <t>Marathon Petroleum Corp Employees PAC (MPAC)</t>
        </is>
      </c>
      <c r="D543" t="inlineStr">
        <is>
          <t>ARMSTRONG FOR CONGRESS</t>
        </is>
      </c>
      <c r="E543" t="inlineStr">
        <is>
          <t>H8ND00096</t>
        </is>
      </c>
      <c r="F543" t="inlineStr">
        <is>
          <t>REP</t>
        </is>
      </c>
      <c r="G543" t="inlineStr">
        <is>
          <t>09182019</t>
        </is>
      </c>
      <c r="H543" t="n">
        <v>2500</v>
      </c>
      <c r="I543" t="inlineStr">
        <is>
          <t>201910119163821751</t>
        </is>
      </c>
      <c r="J543" t="inlineStr">
        <is>
          <t>https://docquery.fec.gov/cgi-bin/fecimg/?201910119163821751</t>
        </is>
      </c>
    </row>
    <row r="544">
      <c r="A544" t="inlineStr">
        <is>
          <t>2020</t>
        </is>
      </c>
      <c r="B544" t="inlineStr">
        <is>
          <t>C00496307</t>
        </is>
      </c>
      <c r="C544" t="inlineStr">
        <is>
          <t>Marathon Petroleum Corp Employees PAC (MPAC)</t>
        </is>
      </c>
      <c r="D544" t="inlineStr">
        <is>
          <t>CURTIS FOR CONGRESS</t>
        </is>
      </c>
      <c r="E544" t="inlineStr">
        <is>
          <t>H8UT03238</t>
        </is>
      </c>
      <c r="F544" t="inlineStr">
        <is>
          <t>REP</t>
        </is>
      </c>
      <c r="G544" t="inlineStr">
        <is>
          <t>09182019</t>
        </is>
      </c>
      <c r="H544" t="n">
        <v>2500</v>
      </c>
      <c r="I544" t="inlineStr">
        <is>
          <t>201910119163821751</t>
        </is>
      </c>
      <c r="J544" t="inlineStr">
        <is>
          <t>https://docquery.fec.gov/cgi-bin/fecimg/?201910119163821751</t>
        </is>
      </c>
    </row>
    <row r="545">
      <c r="A545" t="inlineStr">
        <is>
          <t>2020</t>
        </is>
      </c>
      <c r="B545" t="inlineStr">
        <is>
          <t>C00496307</t>
        </is>
      </c>
      <c r="C545" t="inlineStr">
        <is>
          <t>Marathon Petroleum Corp Employees PAC (MPAC)</t>
        </is>
      </c>
      <c r="D545" t="inlineStr">
        <is>
          <t>DR. JOHN JOYCE FOR CONGRESS</t>
        </is>
      </c>
      <c r="E545" t="inlineStr">
        <is>
          <t>H8PA13125</t>
        </is>
      </c>
      <c r="F545" t="inlineStr">
        <is>
          <t>REP</t>
        </is>
      </c>
      <c r="G545" t="inlineStr">
        <is>
          <t>09182019</t>
        </is>
      </c>
      <c r="H545" t="n">
        <v>2500</v>
      </c>
      <c r="I545" t="inlineStr">
        <is>
          <t>201910119163821752</t>
        </is>
      </c>
      <c r="J545" t="inlineStr">
        <is>
          <t>https://docquery.fec.gov/cgi-bin/fecimg/?201910119163821752</t>
        </is>
      </c>
    </row>
    <row r="546">
      <c r="A546" t="inlineStr">
        <is>
          <t>2020</t>
        </is>
      </c>
      <c r="B546" t="inlineStr">
        <is>
          <t>C00496307</t>
        </is>
      </c>
      <c r="C546" t="inlineStr">
        <is>
          <t>Marathon Petroleum Corp Employees PAC (MPAC)</t>
        </is>
      </c>
      <c r="D546" t="inlineStr">
        <is>
          <t>GARRET GRAVES FOR CONGRESS</t>
        </is>
      </c>
      <c r="E546" t="inlineStr">
        <is>
          <t>H4LA06153</t>
        </is>
      </c>
      <c r="F546" t="inlineStr">
        <is>
          <t>REP</t>
        </is>
      </c>
      <c r="G546" t="inlineStr">
        <is>
          <t>09182019</t>
        </is>
      </c>
      <c r="H546" t="n">
        <v>5000</v>
      </c>
      <c r="I546" t="inlineStr">
        <is>
          <t>201910119163821753</t>
        </is>
      </c>
      <c r="J546" t="inlineStr">
        <is>
          <t>https://docquery.fec.gov/cgi-bin/fecimg/?201910119163821753</t>
        </is>
      </c>
    </row>
    <row r="547">
      <c r="A547" t="inlineStr">
        <is>
          <t>2020</t>
        </is>
      </c>
      <c r="B547" t="inlineStr">
        <is>
          <t>C00496307</t>
        </is>
      </c>
      <c r="C547" t="inlineStr">
        <is>
          <t>Marathon Petroleum Corp Employees PAC (MPAC)</t>
        </is>
      </c>
      <c r="D547" t="inlineStr">
        <is>
          <t>COLE FOR CONGRESS</t>
        </is>
      </c>
      <c r="E547" t="inlineStr">
        <is>
          <t>H2OK04055</t>
        </is>
      </c>
      <c r="F547" t="inlineStr">
        <is>
          <t>REP</t>
        </is>
      </c>
      <c r="G547" t="inlineStr">
        <is>
          <t>09222020</t>
        </is>
      </c>
      <c r="H547" t="n">
        <v>2500</v>
      </c>
      <c r="I547" t="inlineStr">
        <is>
          <t>202010149285880813</t>
        </is>
      </c>
      <c r="J547" t="inlineStr">
        <is>
          <t>https://docquery.fec.gov/cgi-bin/fecimg/?202010149285880813</t>
        </is>
      </c>
    </row>
    <row r="548">
      <c r="A548" t="inlineStr">
        <is>
          <t>2020</t>
        </is>
      </c>
      <c r="B548" t="inlineStr">
        <is>
          <t>C00496307</t>
        </is>
      </c>
      <c r="C548" t="inlineStr">
        <is>
          <t>Marathon Petroleum Corp Employees PAC (MPAC)</t>
        </is>
      </c>
      <c r="D548" t="inlineStr">
        <is>
          <t>COTTON FOR SENATE</t>
        </is>
      </c>
      <c r="E548" t="inlineStr">
        <is>
          <t>S4AR00103</t>
        </is>
      </c>
      <c r="F548" t="inlineStr">
        <is>
          <t>REP</t>
        </is>
      </c>
      <c r="G548" t="inlineStr">
        <is>
          <t>09222020</t>
        </is>
      </c>
      <c r="H548" t="n">
        <v>2500</v>
      </c>
      <c r="I548" t="inlineStr">
        <is>
          <t>202010149285880814</t>
        </is>
      </c>
      <c r="J548" t="inlineStr">
        <is>
          <t>https://docquery.fec.gov/cgi-bin/fecimg/?202010149285880814</t>
        </is>
      </c>
    </row>
    <row r="549">
      <c r="A549" t="inlineStr">
        <is>
          <t>2020</t>
        </is>
      </c>
      <c r="B549" t="inlineStr">
        <is>
          <t>C00496307</t>
        </is>
      </c>
      <c r="C549" t="inlineStr">
        <is>
          <t>Marathon Petroleum Corp Employees PAC (MPAC)</t>
        </is>
      </c>
      <c r="D549" t="inlineStr">
        <is>
          <t>BILL CASSIDY FOR US SENATE</t>
        </is>
      </c>
      <c r="E549" t="inlineStr">
        <is>
          <t>S4LA00107</t>
        </is>
      </c>
      <c r="F549" t="inlineStr">
        <is>
          <t>REP</t>
        </is>
      </c>
      <c r="G549" t="inlineStr">
        <is>
          <t>09222020</t>
        </is>
      </c>
      <c r="H549" t="n">
        <v>5000</v>
      </c>
      <c r="I549" t="inlineStr">
        <is>
          <t>202010149285880810</t>
        </is>
      </c>
      <c r="J549" t="inlineStr">
        <is>
          <t>https://docquery.fec.gov/cgi-bin/fecimg/?202010149285880810</t>
        </is>
      </c>
    </row>
    <row r="550">
      <c r="A550" t="inlineStr">
        <is>
          <t>2020</t>
        </is>
      </c>
      <c r="B550" t="inlineStr">
        <is>
          <t>C00496307</t>
        </is>
      </c>
      <c r="C550" t="inlineStr">
        <is>
          <t>Marathon Petroleum Corp Employees PAC (MPAC)</t>
        </is>
      </c>
      <c r="D550" t="inlineStr">
        <is>
          <t>GUTHRIE FOR CONGRESS</t>
        </is>
      </c>
      <c r="E550" t="inlineStr">
        <is>
          <t>H8KY02031</t>
        </is>
      </c>
      <c r="F550" t="inlineStr">
        <is>
          <t>REP</t>
        </is>
      </c>
      <c r="G550" t="inlineStr">
        <is>
          <t>09222020</t>
        </is>
      </c>
      <c r="H550" t="n">
        <v>5000</v>
      </c>
      <c r="I550" t="inlineStr">
        <is>
          <t>202010149285880816</t>
        </is>
      </c>
      <c r="J550" t="inlineStr">
        <is>
          <t>https://docquery.fec.gov/cgi-bin/fecimg/?202010149285880816</t>
        </is>
      </c>
    </row>
    <row r="551">
      <c r="A551" t="inlineStr">
        <is>
          <t>2020</t>
        </is>
      </c>
      <c r="B551" t="inlineStr">
        <is>
          <t>C00496307</t>
        </is>
      </c>
      <c r="C551" t="inlineStr">
        <is>
          <t>Marathon Petroleum Corp Employees PAC (MPAC)</t>
        </is>
      </c>
      <c r="D551" t="inlineStr">
        <is>
          <t>JIM JORDAN FOR CONGRESS</t>
        </is>
      </c>
      <c r="E551" t="inlineStr">
        <is>
          <t>H6OH04082</t>
        </is>
      </c>
      <c r="F551" t="inlineStr">
        <is>
          <t>REP</t>
        </is>
      </c>
      <c r="G551" t="inlineStr">
        <is>
          <t>09222020</t>
        </is>
      </c>
      <c r="H551" t="n">
        <v>5000</v>
      </c>
      <c r="I551" t="inlineStr">
        <is>
          <t>202010149285880818</t>
        </is>
      </c>
      <c r="J551" t="inlineStr">
        <is>
          <t>https://docquery.fec.gov/cgi-bin/fecimg/?202010149285880818</t>
        </is>
      </c>
    </row>
    <row r="552">
      <c r="A552" t="inlineStr">
        <is>
          <t>2020</t>
        </is>
      </c>
      <c r="B552" t="inlineStr">
        <is>
          <t>C00496307</t>
        </is>
      </c>
      <c r="C552" t="inlineStr">
        <is>
          <t>Marathon Petroleum Corp Employees PAC (MPAC)</t>
        </is>
      </c>
      <c r="D552" t="inlineStr">
        <is>
          <t>HAL ROGERS FOR CONGRESS</t>
        </is>
      </c>
      <c r="E552" t="inlineStr">
        <is>
          <t>H0KY05015</t>
        </is>
      </c>
      <c r="F552" t="inlineStr">
        <is>
          <t>REP</t>
        </is>
      </c>
      <c r="G552" t="inlineStr">
        <is>
          <t>09222020</t>
        </is>
      </c>
      <c r="H552" t="n">
        <v>2500</v>
      </c>
      <c r="I552" t="inlineStr">
        <is>
          <t>202010149285880817</t>
        </is>
      </c>
      <c r="J552" t="inlineStr">
        <is>
          <t>https://docquery.fec.gov/cgi-bin/fecimg/?202010149285880817</t>
        </is>
      </c>
    </row>
    <row r="553">
      <c r="A553" t="inlineStr">
        <is>
          <t>2020</t>
        </is>
      </c>
      <c r="B553" t="inlineStr">
        <is>
          <t>C00496307</t>
        </is>
      </c>
      <c r="C553" t="inlineStr">
        <is>
          <t>Marathon Petroleum Corp Employees PAC (MPAC)</t>
        </is>
      </c>
      <c r="D553" t="inlineStr">
        <is>
          <t>JOHN JAMES FOR SENATE INC.</t>
        </is>
      </c>
      <c r="E553" t="inlineStr">
        <is>
          <t>S8MI00372</t>
        </is>
      </c>
      <c r="F553" t="inlineStr">
        <is>
          <t>REP</t>
        </is>
      </c>
      <c r="G553" t="inlineStr">
        <is>
          <t>09222020</t>
        </is>
      </c>
      <c r="H553" t="n">
        <v>5000</v>
      </c>
      <c r="I553" t="inlineStr">
        <is>
          <t>202010149285880819</t>
        </is>
      </c>
      <c r="J553" t="inlineStr">
        <is>
          <t>https://docquery.fec.gov/cgi-bin/fecimg/?202010149285880819</t>
        </is>
      </c>
    </row>
    <row r="554">
      <c r="A554" t="inlineStr">
        <is>
          <t>2020</t>
        </is>
      </c>
      <c r="B554" t="inlineStr">
        <is>
          <t>C00496307</t>
        </is>
      </c>
      <c r="C554" t="inlineStr">
        <is>
          <t>Marathon Petroleum Corp Employees PAC (MPAC)</t>
        </is>
      </c>
      <c r="D554" t="inlineStr">
        <is>
          <t>MARIO DIAZ-BALART FOR CONGRESS</t>
        </is>
      </c>
      <c r="E554" t="inlineStr">
        <is>
          <t>H2FL25018</t>
        </is>
      </c>
      <c r="F554" t="inlineStr">
        <is>
          <t>REP</t>
        </is>
      </c>
      <c r="G554" t="inlineStr">
        <is>
          <t>09222020</t>
        </is>
      </c>
      <c r="H554" t="n">
        <v>2500</v>
      </c>
      <c r="I554" t="inlineStr">
        <is>
          <t>202010149285880820</t>
        </is>
      </c>
      <c r="J554" t="inlineStr">
        <is>
          <t>https://docquery.fec.gov/cgi-bin/fecimg/?202010149285880820</t>
        </is>
      </c>
    </row>
    <row r="555">
      <c r="A555" t="inlineStr">
        <is>
          <t>2020</t>
        </is>
      </c>
      <c r="B555" t="inlineStr">
        <is>
          <t>C00496307</t>
        </is>
      </c>
      <c r="C555" t="inlineStr">
        <is>
          <t>Marathon Petroleum Corp Employees PAC (MPAC)</t>
        </is>
      </c>
      <c r="D555" t="inlineStr">
        <is>
          <t>KEN CALVERT FOR CONGRESS COMMITTEE</t>
        </is>
      </c>
      <c r="E555" t="inlineStr">
        <is>
          <t>H2CA37023</t>
        </is>
      </c>
      <c r="F555" t="inlineStr">
        <is>
          <t>REP</t>
        </is>
      </c>
      <c r="G555" t="inlineStr">
        <is>
          <t>09222020</t>
        </is>
      </c>
      <c r="H555" t="n">
        <v>2500</v>
      </c>
      <c r="I555" t="inlineStr">
        <is>
          <t>202010149285880819</t>
        </is>
      </c>
      <c r="J555" t="inlineStr">
        <is>
          <t>https://docquery.fec.gov/cgi-bin/fecimg/?202010149285880819</t>
        </is>
      </c>
    </row>
    <row r="556">
      <c r="A556" t="inlineStr">
        <is>
          <t>2020</t>
        </is>
      </c>
      <c r="B556" t="inlineStr">
        <is>
          <t>C00496307</t>
        </is>
      </c>
      <c r="C556" t="inlineStr">
        <is>
          <t>Marathon Petroleum Corp Employees PAC (MPAC)</t>
        </is>
      </c>
      <c r="D556" t="inlineStr">
        <is>
          <t>MCKINLEY FOR CONGRESS</t>
        </is>
      </c>
      <c r="E556" t="inlineStr">
        <is>
          <t>H0WV01072</t>
        </is>
      </c>
      <c r="F556" t="inlineStr">
        <is>
          <t>REP</t>
        </is>
      </c>
      <c r="G556" t="inlineStr">
        <is>
          <t>09222020</t>
        </is>
      </c>
      <c r="H556" t="n">
        <v>5000</v>
      </c>
      <c r="I556" t="inlineStr">
        <is>
          <t>202010149285880820</t>
        </is>
      </c>
      <c r="J556" t="inlineStr">
        <is>
          <t>https://docquery.fec.gov/cgi-bin/fecimg/?202010149285880820</t>
        </is>
      </c>
    </row>
    <row r="557">
      <c r="A557" t="inlineStr">
        <is>
          <t>2020</t>
        </is>
      </c>
      <c r="B557" t="inlineStr">
        <is>
          <t>C00496307</t>
        </is>
      </c>
      <c r="C557" t="inlineStr">
        <is>
          <t>Marathon Petroleum Corp Employees PAC (MPAC)</t>
        </is>
      </c>
      <c r="D557" t="inlineStr">
        <is>
          <t>MIKE GARCIA FOR CONGRESS</t>
        </is>
      </c>
      <c r="E557" t="inlineStr">
        <is>
          <t>H0CA25105</t>
        </is>
      </c>
      <c r="F557" t="inlineStr">
        <is>
          <t>REP</t>
        </is>
      </c>
      <c r="G557" t="inlineStr">
        <is>
          <t>09222020</t>
        </is>
      </c>
      <c r="H557" t="n">
        <v>5000</v>
      </c>
      <c r="I557" t="inlineStr">
        <is>
          <t>202010149285880821</t>
        </is>
      </c>
      <c r="J557" t="inlineStr">
        <is>
          <t>https://docquery.fec.gov/cgi-bin/fecimg/?202010149285880821</t>
        </is>
      </c>
    </row>
    <row r="558">
      <c r="A558" t="inlineStr">
        <is>
          <t>2020</t>
        </is>
      </c>
      <c r="B558" t="inlineStr">
        <is>
          <t>C00496307</t>
        </is>
      </c>
      <c r="C558" t="inlineStr">
        <is>
          <t>Marathon Petroleum Corp Employees PAC (MPAC)</t>
        </is>
      </c>
      <c r="D558" t="inlineStr">
        <is>
          <t>MIKE KELLY FOR CONGRESS</t>
        </is>
      </c>
      <c r="E558" t="inlineStr">
        <is>
          <t>H0PA03271</t>
        </is>
      </c>
      <c r="F558" t="inlineStr">
        <is>
          <t>REP</t>
        </is>
      </c>
      <c r="G558" t="inlineStr">
        <is>
          <t>09222020</t>
        </is>
      </c>
      <c r="H558" t="n">
        <v>5000</v>
      </c>
      <c r="I558" t="inlineStr">
        <is>
          <t>202010149285880821</t>
        </is>
      </c>
      <c r="J558" t="inlineStr">
        <is>
          <t>https://docquery.fec.gov/cgi-bin/fecimg/?202010149285880821</t>
        </is>
      </c>
    </row>
    <row r="559">
      <c r="A559" t="inlineStr">
        <is>
          <t>2020</t>
        </is>
      </c>
      <c r="B559" t="inlineStr">
        <is>
          <t>C00496307</t>
        </is>
      </c>
      <c r="C559" t="inlineStr">
        <is>
          <t>Marathon Petroleum Corp Employees PAC (MPAC)</t>
        </is>
      </c>
      <c r="D559" t="inlineStr">
        <is>
          <t>SMUCKER FOR CONGRESS</t>
        </is>
      </c>
      <c r="E559" t="inlineStr">
        <is>
          <t>H6PA16320</t>
        </is>
      </c>
      <c r="F559" t="inlineStr">
        <is>
          <t>REP</t>
        </is>
      </c>
      <c r="G559" t="inlineStr">
        <is>
          <t>09222020</t>
        </is>
      </c>
      <c r="H559" t="n">
        <v>5000</v>
      </c>
      <c r="I559" t="inlineStr">
        <is>
          <t>202010149285880825</t>
        </is>
      </c>
      <c r="J559" t="inlineStr">
        <is>
          <t>https://docquery.fec.gov/cgi-bin/fecimg/?202010149285880825</t>
        </is>
      </c>
    </row>
    <row r="560">
      <c r="A560" t="inlineStr">
        <is>
          <t>2020</t>
        </is>
      </c>
      <c r="B560" t="inlineStr">
        <is>
          <t>C00496307</t>
        </is>
      </c>
      <c r="C560" t="inlineStr">
        <is>
          <t>Marathon Petroleum Corp Employees PAC (MPAC)</t>
        </is>
      </c>
      <c r="D560" t="inlineStr">
        <is>
          <t>STEIL FOR WISCONSIN, INC.</t>
        </is>
      </c>
      <c r="E560" t="inlineStr">
        <is>
          <t>H8WI01156</t>
        </is>
      </c>
      <c r="F560" t="inlineStr">
        <is>
          <t>REP</t>
        </is>
      </c>
      <c r="G560" t="inlineStr">
        <is>
          <t>09222020</t>
        </is>
      </c>
      <c r="H560" t="n">
        <v>500</v>
      </c>
      <c r="I560" t="inlineStr">
        <is>
          <t>202010149285880825</t>
        </is>
      </c>
      <c r="J560" t="inlineStr">
        <is>
          <t>https://docquery.fec.gov/cgi-bin/fecimg/?202010149285880825</t>
        </is>
      </c>
    </row>
    <row r="561">
      <c r="A561" t="inlineStr">
        <is>
          <t>2020</t>
        </is>
      </c>
      <c r="B561" t="inlineStr">
        <is>
          <t>C00496307</t>
        </is>
      </c>
      <c r="C561" t="inlineStr">
        <is>
          <t>Marathon Petroleum Corp Employees PAC (MPAC)</t>
        </is>
      </c>
      <c r="D561" t="inlineStr">
        <is>
          <t>TEXANS FOR RONNY JACKSON</t>
        </is>
      </c>
      <c r="E561" t="inlineStr">
        <is>
          <t>H0TX13228</t>
        </is>
      </c>
      <c r="F561" t="inlineStr">
        <is>
          <t>REP</t>
        </is>
      </c>
      <c r="G561" t="inlineStr">
        <is>
          <t>09222020</t>
        </is>
      </c>
      <c r="H561" t="n">
        <v>2500</v>
      </c>
      <c r="I561" t="inlineStr">
        <is>
          <t>202010149285880826</t>
        </is>
      </c>
      <c r="J561" t="inlineStr">
        <is>
          <t>https://docquery.fec.gov/cgi-bin/fecimg/?202010149285880826</t>
        </is>
      </c>
    </row>
    <row r="562">
      <c r="A562" t="inlineStr">
        <is>
          <t>2020</t>
        </is>
      </c>
      <c r="B562" t="inlineStr">
        <is>
          <t>C00496307</t>
        </is>
      </c>
      <c r="C562" t="inlineStr">
        <is>
          <t>Marathon Petroleum Corp Employees PAC (MPAC)</t>
        </is>
      </c>
      <c r="D562" t="inlineStr">
        <is>
          <t>TEXANS FOR HENRY CUELLAR CONGRESSIONAL CAMPAIGN</t>
        </is>
      </c>
      <c r="E562" t="inlineStr">
        <is>
          <t>H2TX23082</t>
        </is>
      </c>
      <c r="F562" t="inlineStr">
        <is>
          <t>DEM</t>
        </is>
      </c>
      <c r="G562" t="inlineStr">
        <is>
          <t>09222020</t>
        </is>
      </c>
      <c r="H562" t="n">
        <v>2500</v>
      </c>
      <c r="I562" t="inlineStr">
        <is>
          <t>202010149285880826</t>
        </is>
      </c>
      <c r="J562" t="inlineStr">
        <is>
          <t>https://docquery.fec.gov/cgi-bin/fecimg/?202010149285880826</t>
        </is>
      </c>
    </row>
    <row r="563">
      <c r="A563" t="inlineStr">
        <is>
          <t>2020</t>
        </is>
      </c>
      <c r="B563" t="inlineStr">
        <is>
          <t>C00496307</t>
        </is>
      </c>
      <c r="C563" t="inlineStr">
        <is>
          <t>Marathon Petroleum Corp Employees PAC (MPAC)</t>
        </is>
      </c>
      <c r="D563" t="inlineStr">
        <is>
          <t>TONY GONZALES FOR CONGRESS</t>
        </is>
      </c>
      <c r="E563" t="inlineStr">
        <is>
          <t>H0TX35015</t>
        </is>
      </c>
      <c r="F563" t="inlineStr">
        <is>
          <t>REP</t>
        </is>
      </c>
      <c r="G563" t="inlineStr">
        <is>
          <t>09222020</t>
        </is>
      </c>
      <c r="H563" t="n">
        <v>5000</v>
      </c>
      <c r="I563" t="inlineStr">
        <is>
          <t>202010149285880827</t>
        </is>
      </c>
      <c r="J563" t="inlineStr">
        <is>
          <t>https://docquery.fec.gov/cgi-bin/fecimg/?202010149285880827</t>
        </is>
      </c>
    </row>
    <row r="564">
      <c r="A564" t="inlineStr">
        <is>
          <t>2020</t>
        </is>
      </c>
      <c r="B564" t="inlineStr">
        <is>
          <t>C00496307</t>
        </is>
      </c>
      <c r="C564" t="inlineStr">
        <is>
          <t>Marathon Petroleum Corp Employees PAC (MPAC)</t>
        </is>
      </c>
      <c r="D564" t="inlineStr">
        <is>
          <t>WENSTRUP FOR CONGRESS</t>
        </is>
      </c>
      <c r="E564" t="inlineStr">
        <is>
          <t>H2OH02085</t>
        </is>
      </c>
      <c r="F564" t="inlineStr">
        <is>
          <t>REP</t>
        </is>
      </c>
      <c r="G564" t="inlineStr">
        <is>
          <t>09222020</t>
        </is>
      </c>
      <c r="H564" t="n">
        <v>5000</v>
      </c>
      <c r="I564" t="inlineStr">
        <is>
          <t>202010149285880828</t>
        </is>
      </c>
      <c r="J564" t="inlineStr">
        <is>
          <t>https://docquery.fec.gov/cgi-bin/fecimg/?202010149285880828</t>
        </is>
      </c>
    </row>
    <row r="565">
      <c r="A565" t="inlineStr">
        <is>
          <t>2020</t>
        </is>
      </c>
      <c r="B565" t="inlineStr">
        <is>
          <t>C00496307</t>
        </is>
      </c>
      <c r="C565" t="inlineStr">
        <is>
          <t>Marathon Petroleum Corp Employees PAC (MPAC)</t>
        </is>
      </c>
      <c r="D565" t="inlineStr">
        <is>
          <t>WOMACK FOR CONGRESS</t>
        </is>
      </c>
      <c r="E565" t="inlineStr">
        <is>
          <t>H0AR03055</t>
        </is>
      </c>
      <c r="F565" t="inlineStr">
        <is>
          <t>REP</t>
        </is>
      </c>
      <c r="G565" t="inlineStr">
        <is>
          <t>09222020</t>
        </is>
      </c>
      <c r="H565" t="n">
        <v>2500</v>
      </c>
      <c r="I565" t="inlineStr">
        <is>
          <t>202010149285880829</t>
        </is>
      </c>
      <c r="J565" t="inlineStr">
        <is>
          <t>https://docquery.fec.gov/cgi-bin/fecimg/?202010149285880829</t>
        </is>
      </c>
    </row>
    <row r="566">
      <c r="A566" t="inlineStr">
        <is>
          <t>2020</t>
        </is>
      </c>
      <c r="B566" t="inlineStr">
        <is>
          <t>C00496307</t>
        </is>
      </c>
      <c r="C566" t="inlineStr">
        <is>
          <t>Marathon Petroleum Corp Employees PAC (MPAC)</t>
        </is>
      </c>
      <c r="D566" t="inlineStr">
        <is>
          <t>ALASKANS FOR DON YOUNG INC.</t>
        </is>
      </c>
      <c r="E566" t="inlineStr">
        <is>
          <t>H6AK00045</t>
        </is>
      </c>
      <c r="F566" t="inlineStr">
        <is>
          <t>REP</t>
        </is>
      </c>
      <c r="G566" t="inlineStr">
        <is>
          <t>09232019</t>
        </is>
      </c>
      <c r="H566" t="n">
        <v>5000</v>
      </c>
      <c r="I566" t="inlineStr">
        <is>
          <t>201910119163821750</t>
        </is>
      </c>
      <c r="J566" t="inlineStr">
        <is>
          <t>https://docquery.fec.gov/cgi-bin/fecimg/?201910119163821750</t>
        </is>
      </c>
    </row>
    <row r="567">
      <c r="A567" t="inlineStr">
        <is>
          <t>2020</t>
        </is>
      </c>
      <c r="B567" t="inlineStr">
        <is>
          <t>C00496307</t>
        </is>
      </c>
      <c r="C567" t="inlineStr">
        <is>
          <t>Marathon Petroleum Corp Employees PAC (MPAC)</t>
        </is>
      </c>
      <c r="D567" t="inlineStr">
        <is>
          <t>SAM GRAVES FOR CONGRESS</t>
        </is>
      </c>
      <c r="E567" t="inlineStr">
        <is>
          <t>H0MO06073</t>
        </is>
      </c>
      <c r="F567" t="inlineStr">
        <is>
          <t>REP</t>
        </is>
      </c>
      <c r="G567" t="inlineStr">
        <is>
          <t>09232019</t>
        </is>
      </c>
      <c r="H567" t="n">
        <v>2500</v>
      </c>
      <c r="I567" t="inlineStr">
        <is>
          <t>201910119163821759</t>
        </is>
      </c>
      <c r="J567" t="inlineStr">
        <is>
          <t>https://docquery.fec.gov/cgi-bin/fecimg/?201910119163821759</t>
        </is>
      </c>
    </row>
    <row r="568">
      <c r="A568" t="inlineStr">
        <is>
          <t>2020</t>
        </is>
      </c>
      <c r="B568" t="inlineStr">
        <is>
          <t>C00496307</t>
        </is>
      </c>
      <c r="C568" t="inlineStr">
        <is>
          <t>Marathon Petroleum Corp Employees PAC (MPAC)</t>
        </is>
      </c>
      <c r="D568" t="inlineStr">
        <is>
          <t>TEXANS FOR HENRY CUELLAR CONGRESSIONAL CAMPAIGN</t>
        </is>
      </c>
      <c r="E568" t="inlineStr">
        <is>
          <t>H2TX23082</t>
        </is>
      </c>
      <c r="F568" t="inlineStr">
        <is>
          <t>DEM</t>
        </is>
      </c>
      <c r="G568" t="inlineStr">
        <is>
          <t>09232019</t>
        </is>
      </c>
      <c r="H568" t="n">
        <v>2500</v>
      </c>
      <c r="I568" t="inlineStr">
        <is>
          <t>201910119163821761</t>
        </is>
      </c>
      <c r="J568" t="inlineStr">
        <is>
          <t>https://docquery.fec.gov/cgi-bin/fecimg/?201910119163821761</t>
        </is>
      </c>
    </row>
    <row r="569">
      <c r="A569" t="inlineStr">
        <is>
          <t>2020</t>
        </is>
      </c>
      <c r="B569" t="inlineStr">
        <is>
          <t>C00496307</t>
        </is>
      </c>
      <c r="C569" t="inlineStr">
        <is>
          <t>Marathon Petroleum Corp Employees PAC (MPAC)</t>
        </is>
      </c>
      <c r="D569" t="inlineStr">
        <is>
          <t>MAST FOR CONGRESS</t>
        </is>
      </c>
      <c r="E569" t="inlineStr">
        <is>
          <t>H6FL18097</t>
        </is>
      </c>
      <c r="F569" t="inlineStr">
        <is>
          <t>REP</t>
        </is>
      </c>
      <c r="G569" t="inlineStr">
        <is>
          <t>09232019</t>
        </is>
      </c>
      <c r="H569" t="n">
        <v>5000</v>
      </c>
      <c r="I569" t="inlineStr">
        <is>
          <t>201910119163821757</t>
        </is>
      </c>
      <c r="J569" t="inlineStr">
        <is>
          <t>https://docquery.fec.gov/cgi-bin/fecimg/?201910119163821757</t>
        </is>
      </c>
    </row>
    <row r="570">
      <c r="A570" t="inlineStr">
        <is>
          <t>2020</t>
        </is>
      </c>
      <c r="B570" t="inlineStr">
        <is>
          <t>C00496307</t>
        </is>
      </c>
      <c r="C570" t="inlineStr">
        <is>
          <t>Marathon Petroleum Corp Employees PAC (MPAC)</t>
        </is>
      </c>
      <c r="D570" t="inlineStr">
        <is>
          <t>TEXANS FOR JODEY ARRINGTON</t>
        </is>
      </c>
      <c r="E570" t="inlineStr">
        <is>
          <t>H6TX19099</t>
        </is>
      </c>
      <c r="F570" t="inlineStr">
        <is>
          <t>REP</t>
        </is>
      </c>
      <c r="G570" t="inlineStr">
        <is>
          <t>09232019</t>
        </is>
      </c>
      <c r="H570" t="n">
        <v>2500</v>
      </c>
      <c r="I570" t="inlineStr">
        <is>
          <t>201910119163821761</t>
        </is>
      </c>
      <c r="J570" t="inlineStr">
        <is>
          <t>https://docquery.fec.gov/cgi-bin/fecimg/?201910119163821761</t>
        </is>
      </c>
    </row>
    <row r="571">
      <c r="A571" t="inlineStr">
        <is>
          <t>2020</t>
        </is>
      </c>
      <c r="B571" t="inlineStr">
        <is>
          <t>C00496307</t>
        </is>
      </c>
      <c r="C571" t="inlineStr">
        <is>
          <t>Marathon Petroleum Corp Employees PAC (MPAC)</t>
        </is>
      </c>
      <c r="D571" t="inlineStr">
        <is>
          <t>TEXANS FOR SENATOR JOHN CORNYN INC</t>
        </is>
      </c>
      <c r="E571" t="inlineStr">
        <is>
          <t>S2TX00106</t>
        </is>
      </c>
      <c r="F571" t="inlineStr">
        <is>
          <t>REP</t>
        </is>
      </c>
      <c r="G571" t="inlineStr">
        <is>
          <t>09232019</t>
        </is>
      </c>
      <c r="H571" t="n">
        <v>2500</v>
      </c>
      <c r="I571" t="inlineStr">
        <is>
          <t>201910119163821761</t>
        </is>
      </c>
      <c r="J571" t="inlineStr">
        <is>
          <t>https://docquery.fec.gov/cgi-bin/fecimg/?201910119163821761</t>
        </is>
      </c>
    </row>
    <row r="572">
      <c r="A572" t="inlineStr">
        <is>
          <t>2020</t>
        </is>
      </c>
      <c r="B572" t="inlineStr">
        <is>
          <t>C00496307</t>
        </is>
      </c>
      <c r="C572" t="inlineStr">
        <is>
          <t>Marathon Petroleum Corp Employees PAC (MPAC)</t>
        </is>
      </c>
      <c r="D572" t="inlineStr">
        <is>
          <t>JASON SMITH FOR CONGRESS</t>
        </is>
      </c>
      <c r="E572" t="inlineStr">
        <is>
          <t>H4MO08162</t>
        </is>
      </c>
      <c r="F572" t="inlineStr">
        <is>
          <t>REP</t>
        </is>
      </c>
      <c r="G572" t="inlineStr">
        <is>
          <t>09232019</t>
        </is>
      </c>
      <c r="H572" t="n">
        <v>2500</v>
      </c>
      <c r="I572" t="inlineStr">
        <is>
          <t>201910119163821755</t>
        </is>
      </c>
      <c r="J572" t="inlineStr">
        <is>
          <t>https://docquery.fec.gov/cgi-bin/fecimg/?201910119163821755</t>
        </is>
      </c>
    </row>
    <row r="573">
      <c r="A573" t="inlineStr">
        <is>
          <t>2020</t>
        </is>
      </c>
      <c r="B573" t="inlineStr">
        <is>
          <t>C00496307</t>
        </is>
      </c>
      <c r="C573" t="inlineStr">
        <is>
          <t>Marathon Petroleum Corp Employees PAC (MPAC)</t>
        </is>
      </c>
      <c r="D573" t="inlineStr">
        <is>
          <t>JIM COSTA FOR CONGRESS</t>
        </is>
      </c>
      <c r="E573" t="inlineStr">
        <is>
          <t>H4CA20082</t>
        </is>
      </c>
      <c r="F573" t="inlineStr">
        <is>
          <t>DEM</t>
        </is>
      </c>
      <c r="G573" t="inlineStr">
        <is>
          <t>09232019</t>
        </is>
      </c>
      <c r="H573" t="n">
        <v>2500</v>
      </c>
      <c r="I573" t="inlineStr">
        <is>
          <t>201910119163821755</t>
        </is>
      </c>
      <c r="J573" t="inlineStr">
        <is>
          <t>https://docquery.fec.gov/cgi-bin/fecimg/?201910119163821755</t>
        </is>
      </c>
    </row>
    <row r="574">
      <c r="A574" t="inlineStr">
        <is>
          <t>2020</t>
        </is>
      </c>
      <c r="B574" t="inlineStr">
        <is>
          <t>C00496307</t>
        </is>
      </c>
      <c r="C574" t="inlineStr">
        <is>
          <t>Marathon Petroleum Corp Employees PAC (MPAC)</t>
        </is>
      </c>
      <c r="D574" t="inlineStr">
        <is>
          <t>LATTA FOR CONGRESS</t>
        </is>
      </c>
      <c r="E574" t="inlineStr">
        <is>
          <t>H8OH05036</t>
        </is>
      </c>
      <c r="F574" t="inlineStr">
        <is>
          <t>REP</t>
        </is>
      </c>
      <c r="G574" t="inlineStr">
        <is>
          <t>09232019</t>
        </is>
      </c>
      <c r="H574" t="n">
        <v>5000</v>
      </c>
      <c r="I574" t="inlineStr">
        <is>
          <t>201910119163821756</t>
        </is>
      </c>
      <c r="J574" t="inlineStr">
        <is>
          <t>https://docquery.fec.gov/cgi-bin/fecimg/?201910119163821756</t>
        </is>
      </c>
    </row>
    <row r="575">
      <c r="A575" t="inlineStr">
        <is>
          <t>2020</t>
        </is>
      </c>
      <c r="B575" t="inlineStr">
        <is>
          <t>C00496307</t>
        </is>
      </c>
      <c r="C575" t="inlineStr">
        <is>
          <t>Marathon Petroleum Corp Employees PAC (MPAC)</t>
        </is>
      </c>
      <c r="D575" t="inlineStr">
        <is>
          <t>LOU CORREA FOR CONGRESS</t>
        </is>
      </c>
      <c r="E575" t="inlineStr">
        <is>
          <t>H6CA46116</t>
        </is>
      </c>
      <c r="F575" t="inlineStr">
        <is>
          <t>DEM</t>
        </is>
      </c>
      <c r="G575" t="inlineStr">
        <is>
          <t>09232019</t>
        </is>
      </c>
      <c r="H575" t="n">
        <v>2500</v>
      </c>
      <c r="I575" t="inlineStr">
        <is>
          <t>201910119163821756</t>
        </is>
      </c>
      <c r="J575" t="inlineStr">
        <is>
          <t>https://docquery.fec.gov/cgi-bin/fecimg/?201910119163821756</t>
        </is>
      </c>
    </row>
    <row r="576">
      <c r="A576" t="inlineStr">
        <is>
          <t>2020</t>
        </is>
      </c>
      <c r="B576" t="inlineStr">
        <is>
          <t>C00496307</t>
        </is>
      </c>
      <c r="C576" t="inlineStr">
        <is>
          <t>Marathon Petroleum Corp Employees PAC (MPAC)</t>
        </is>
      </c>
      <c r="D576" t="inlineStr">
        <is>
          <t>ANDY BARR FOR CONGRESS</t>
        </is>
      </c>
      <c r="E576" t="inlineStr">
        <is>
          <t>H0KY06104</t>
        </is>
      </c>
      <c r="F576" t="inlineStr">
        <is>
          <t>REP</t>
        </is>
      </c>
      <c r="G576" t="inlineStr">
        <is>
          <t>09232019</t>
        </is>
      </c>
      <c r="H576" t="n">
        <v>2500</v>
      </c>
      <c r="I576" t="inlineStr">
        <is>
          <t>201910119163821750</t>
        </is>
      </c>
      <c r="J576" t="inlineStr">
        <is>
          <t>https://docquery.fec.gov/cgi-bin/fecimg/?201910119163821750</t>
        </is>
      </c>
    </row>
    <row r="577">
      <c r="A577" t="inlineStr">
        <is>
          <t>2020</t>
        </is>
      </c>
      <c r="B577" t="inlineStr">
        <is>
          <t>C00496307</t>
        </is>
      </c>
      <c r="C577" t="inlineStr">
        <is>
          <t>Marathon Petroleum Corp Employees PAC (MPAC)</t>
        </is>
      </c>
      <c r="D577" t="inlineStr">
        <is>
          <t>HUDSON FOR CONGRESS</t>
        </is>
      </c>
      <c r="E577" t="inlineStr">
        <is>
          <t>H2NC08185</t>
        </is>
      </c>
      <c r="F577" t="inlineStr">
        <is>
          <t>REP</t>
        </is>
      </c>
      <c r="G577" t="inlineStr">
        <is>
          <t>09232019</t>
        </is>
      </c>
      <c r="H577" t="n">
        <v>2500</v>
      </c>
      <c r="I577" t="inlineStr">
        <is>
          <t>201910119163821755</t>
        </is>
      </c>
      <c r="J577" t="inlineStr">
        <is>
          <t>https://docquery.fec.gov/cgi-bin/fecimg/?201910119163821755</t>
        </is>
      </c>
    </row>
    <row r="578">
      <c r="A578" t="inlineStr">
        <is>
          <t>2020</t>
        </is>
      </c>
      <c r="B578" t="inlineStr">
        <is>
          <t>C00496307</t>
        </is>
      </c>
      <c r="C578" t="inlineStr">
        <is>
          <t>Marathon Petroleum Corp Employees PAC (MPAC)</t>
        </is>
      </c>
      <c r="D578" t="inlineStr">
        <is>
          <t>FRIENDS OF HAGEDORN</t>
        </is>
      </c>
      <c r="E578" t="inlineStr">
        <is>
          <t>H0MN01045</t>
        </is>
      </c>
      <c r="F578" t="inlineStr">
        <is>
          <t>REP</t>
        </is>
      </c>
      <c r="G578" t="inlineStr">
        <is>
          <t>09232019</t>
        </is>
      </c>
      <c r="H578" t="n">
        <v>2500</v>
      </c>
      <c r="I578" t="inlineStr">
        <is>
          <t>201910119163821753</t>
        </is>
      </c>
      <c r="J578" t="inlineStr">
        <is>
          <t>https://docquery.fec.gov/cgi-bin/fecimg/?201910119163821753</t>
        </is>
      </c>
    </row>
    <row r="579">
      <c r="A579" t="inlineStr">
        <is>
          <t>2020</t>
        </is>
      </c>
      <c r="B579" t="inlineStr">
        <is>
          <t>C00496307</t>
        </is>
      </c>
      <c r="C579" t="inlineStr">
        <is>
          <t>Marathon Petroleum Corp Employees PAC (MPAC)</t>
        </is>
      </c>
      <c r="D579" t="inlineStr">
        <is>
          <t>GEORGE HOLDING FOR CONGRESS</t>
        </is>
      </c>
      <c r="E579" t="inlineStr">
        <is>
          <t>H2NC13110</t>
        </is>
      </c>
      <c r="F579" t="inlineStr">
        <is>
          <t>REP</t>
        </is>
      </c>
      <c r="G579" t="inlineStr">
        <is>
          <t>09232019</t>
        </is>
      </c>
      <c r="H579" t="n">
        <v>2000</v>
      </c>
      <c r="I579" t="inlineStr">
        <is>
          <t>201910119163821754</t>
        </is>
      </c>
      <c r="J579" t="inlineStr">
        <is>
          <t>https://docquery.fec.gov/cgi-bin/fecimg/?201910119163821754</t>
        </is>
      </c>
    </row>
    <row r="580">
      <c r="A580" t="inlineStr">
        <is>
          <t>2020</t>
        </is>
      </c>
      <c r="B580" t="inlineStr">
        <is>
          <t>C00496307</t>
        </is>
      </c>
      <c r="C580" t="inlineStr">
        <is>
          <t>Marathon Petroleum Corp Employees PAC (MPAC)</t>
        </is>
      </c>
      <c r="D580" t="inlineStr">
        <is>
          <t>GIBBS FOR CONGRESS</t>
        </is>
      </c>
      <c r="E580" t="inlineStr">
        <is>
          <t>H0OH18077</t>
        </is>
      </c>
      <c r="F580" t="inlineStr">
        <is>
          <t>REP</t>
        </is>
      </c>
      <c r="G580" t="inlineStr">
        <is>
          <t>09232019</t>
        </is>
      </c>
      <c r="H580" t="n">
        <v>5000</v>
      </c>
      <c r="I580" t="inlineStr">
        <is>
          <t>201910119163821754</t>
        </is>
      </c>
      <c r="J580" t="inlineStr">
        <is>
          <t>https://docquery.fec.gov/cgi-bin/fecimg/?201910119163821754</t>
        </is>
      </c>
    </row>
    <row r="581">
      <c r="A581" t="inlineStr">
        <is>
          <t>2020</t>
        </is>
      </c>
      <c r="B581" t="inlineStr">
        <is>
          <t>C00496307</t>
        </is>
      </c>
      <c r="C581" t="inlineStr">
        <is>
          <t>Marathon Petroleum Corp Employees PAC (MPAC)</t>
        </is>
      </c>
      <c r="D581" t="inlineStr">
        <is>
          <t>RODNEY FOR CONGRESS</t>
        </is>
      </c>
      <c r="E581" t="inlineStr">
        <is>
          <t>H2IL13120</t>
        </is>
      </c>
      <c r="F581" t="inlineStr">
        <is>
          <t>REP</t>
        </is>
      </c>
      <c r="G581" t="inlineStr">
        <is>
          <t>09252019</t>
        </is>
      </c>
      <c r="H581" t="n">
        <v>1000</v>
      </c>
      <c r="I581" t="inlineStr">
        <is>
          <t>201910119163821759</t>
        </is>
      </c>
      <c r="J581" t="inlineStr">
        <is>
          <t>https://docquery.fec.gov/cgi-bin/fecimg/?201910119163821759</t>
        </is>
      </c>
    </row>
    <row r="582">
      <c r="A582" t="inlineStr">
        <is>
          <t>2020</t>
        </is>
      </c>
      <c r="B582" t="inlineStr">
        <is>
          <t>C00496307</t>
        </is>
      </c>
      <c r="C582" t="inlineStr">
        <is>
          <t>Marathon Petroleum Corp Employees PAC (MPAC)</t>
        </is>
      </c>
      <c r="D582" t="inlineStr">
        <is>
          <t>ELIZABETH PANNILL FLETCHER FOR CONGRESS</t>
        </is>
      </c>
      <c r="E582" t="inlineStr">
        <is>
          <t>H8TX07140</t>
        </is>
      </c>
      <c r="F582" t="inlineStr">
        <is>
          <t>DEM</t>
        </is>
      </c>
      <c r="G582" t="inlineStr">
        <is>
          <t>09252019</t>
        </is>
      </c>
      <c r="H582" t="n">
        <v>1000</v>
      </c>
      <c r="I582" t="inlineStr">
        <is>
          <t>201910119163821752</t>
        </is>
      </c>
      <c r="J582" t="inlineStr">
        <is>
          <t>https://docquery.fec.gov/cgi-bin/fecimg/?201910119163821752</t>
        </is>
      </c>
    </row>
    <row r="583">
      <c r="A583" t="inlineStr">
        <is>
          <t>2020</t>
        </is>
      </c>
      <c r="B583" t="inlineStr">
        <is>
          <t>C00496307</t>
        </is>
      </c>
      <c r="C583" t="inlineStr">
        <is>
          <t>Marathon Petroleum Corp Employees PAC (MPAC)</t>
        </is>
      </c>
      <c r="D583" t="inlineStr">
        <is>
          <t>BICE FOR CONGRESS</t>
        </is>
      </c>
      <c r="E583" t="inlineStr">
        <is>
          <t>H0OK05205</t>
        </is>
      </c>
      <c r="F583" t="inlineStr">
        <is>
          <t>REP</t>
        </is>
      </c>
      <c r="G583" t="inlineStr">
        <is>
          <t>09252020</t>
        </is>
      </c>
      <c r="H583" t="n">
        <v>2500</v>
      </c>
      <c r="I583" t="inlineStr">
        <is>
          <t>202010149285880810</t>
        </is>
      </c>
      <c r="J583" t="inlineStr">
        <is>
          <t>https://docquery.fec.gov/cgi-bin/fecimg/?202010149285880810</t>
        </is>
      </c>
    </row>
    <row r="584">
      <c r="A584" t="inlineStr">
        <is>
          <t>2020</t>
        </is>
      </c>
      <c r="B584" t="inlineStr">
        <is>
          <t>C00496307</t>
        </is>
      </c>
      <c r="C584" t="inlineStr">
        <is>
          <t>Marathon Petroleum Corp Employees PAC (MPAC)</t>
        </is>
      </c>
      <c r="D584" t="inlineStr">
        <is>
          <t>BLAKE MOORE FOR CONGRESS</t>
        </is>
      </c>
      <c r="E584" t="inlineStr">
        <is>
          <t>H0UT01205</t>
        </is>
      </c>
      <c r="F584" t="inlineStr">
        <is>
          <t>REP</t>
        </is>
      </c>
      <c r="G584" t="inlineStr">
        <is>
          <t>09252020</t>
        </is>
      </c>
      <c r="H584" t="n">
        <v>2500</v>
      </c>
      <c r="I584" t="inlineStr">
        <is>
          <t>202010149285880811</t>
        </is>
      </c>
      <c r="J584" t="inlineStr">
        <is>
          <t>https://docquery.fec.gov/cgi-bin/fecimg/?202010149285880811</t>
        </is>
      </c>
    </row>
    <row r="585">
      <c r="A585" t="inlineStr">
        <is>
          <t>2020</t>
        </is>
      </c>
      <c r="B585" t="inlineStr">
        <is>
          <t>C00496307</t>
        </is>
      </c>
      <c r="C585" t="inlineStr">
        <is>
          <t>Marathon Petroleum Corp Employees PAC (MPAC)</t>
        </is>
      </c>
      <c r="D585" t="inlineStr">
        <is>
          <t>BYRON DONALDS FOR CONGRESS</t>
        </is>
      </c>
      <c r="E585" t="inlineStr">
        <is>
          <t>H2FL14186</t>
        </is>
      </c>
      <c r="G585" t="inlineStr">
        <is>
          <t>09252020</t>
        </is>
      </c>
      <c r="H585" t="n">
        <v>2500</v>
      </c>
      <c r="I585" t="inlineStr">
        <is>
          <t>202010149285880812</t>
        </is>
      </c>
      <c r="J585" t="inlineStr">
        <is>
          <t>https://docquery.fec.gov/cgi-bin/fecimg/?202010149285880812</t>
        </is>
      </c>
    </row>
    <row r="586">
      <c r="A586" t="inlineStr">
        <is>
          <t>2020</t>
        </is>
      </c>
      <c r="B586" t="inlineStr">
        <is>
          <t>C00496307</t>
        </is>
      </c>
      <c r="C586" t="inlineStr">
        <is>
          <t>Marathon Petroleum Corp Employees PAC (MPAC)</t>
        </is>
      </c>
      <c r="D586" t="inlineStr">
        <is>
          <t>NEHLS FOR CONGRESS</t>
        </is>
      </c>
      <c r="E586" t="inlineStr">
        <is>
          <t>H0TX22302</t>
        </is>
      </c>
      <c r="F586" t="inlineStr">
        <is>
          <t>REP</t>
        </is>
      </c>
      <c r="G586" t="inlineStr">
        <is>
          <t>09252020</t>
        </is>
      </c>
      <c r="H586" t="n">
        <v>2500</v>
      </c>
      <c r="I586" t="inlineStr">
        <is>
          <t>202010149285880823</t>
        </is>
      </c>
      <c r="J586" t="inlineStr">
        <is>
          <t>https://docquery.fec.gov/cgi-bin/fecimg/?202010149285880823</t>
        </is>
      </c>
    </row>
    <row r="587">
      <c r="A587" t="inlineStr">
        <is>
          <t>2020</t>
        </is>
      </c>
      <c r="B587" t="inlineStr">
        <is>
          <t>C00496307</t>
        </is>
      </c>
      <c r="C587" t="inlineStr">
        <is>
          <t>Marathon Petroleum Corp Employees PAC (MPAC)</t>
        </is>
      </c>
      <c r="D587" t="inlineStr">
        <is>
          <t>ROGER WILLIAMS FOR U.S. CONGRESS COMMITTEE</t>
        </is>
      </c>
      <c r="E587" t="inlineStr">
        <is>
          <t>H2TX33040</t>
        </is>
      </c>
      <c r="F587" t="inlineStr">
        <is>
          <t>REP</t>
        </is>
      </c>
      <c r="G587" t="inlineStr">
        <is>
          <t>09252020</t>
        </is>
      </c>
      <c r="H587" t="n">
        <v>5000</v>
      </c>
      <c r="I587" t="inlineStr">
        <is>
          <t>202010149285880824</t>
        </is>
      </c>
      <c r="J587" t="inlineStr">
        <is>
          <t>https://docquery.fec.gov/cgi-bin/fecimg/?202010149285880824</t>
        </is>
      </c>
    </row>
    <row r="588">
      <c r="A588" t="inlineStr">
        <is>
          <t>2020</t>
        </is>
      </c>
      <c r="B588" t="inlineStr">
        <is>
          <t>C00496307</t>
        </is>
      </c>
      <c r="C588" t="inlineStr">
        <is>
          <t>Marathon Petroleum Corp Employees PAC (MPAC)</t>
        </is>
      </c>
      <c r="D588" t="inlineStr">
        <is>
          <t>MORGAN GRIFFITH FOR CONGRESS</t>
        </is>
      </c>
      <c r="E588" t="inlineStr">
        <is>
          <t>H0VA09055</t>
        </is>
      </c>
      <c r="F588" t="inlineStr">
        <is>
          <t>REP</t>
        </is>
      </c>
      <c r="G588" t="inlineStr">
        <is>
          <t>09252020</t>
        </is>
      </c>
      <c r="H588" t="n">
        <v>2500</v>
      </c>
      <c r="I588" t="inlineStr">
        <is>
          <t>202010149285880822</t>
        </is>
      </c>
      <c r="J588" t="inlineStr">
        <is>
          <t>https://docquery.fec.gov/cgi-bin/fecimg/?202010149285880822</t>
        </is>
      </c>
    </row>
    <row r="589">
      <c r="A589" t="inlineStr">
        <is>
          <t>2020</t>
        </is>
      </c>
      <c r="B589" t="inlineStr">
        <is>
          <t>C00496307</t>
        </is>
      </c>
      <c r="C589" t="inlineStr">
        <is>
          <t>Marathon Petroleum Corp Employees PAC (MPAC)</t>
        </is>
      </c>
      <c r="D589" t="inlineStr">
        <is>
          <t>TEAM HAGERTY</t>
        </is>
      </c>
      <c r="E589" t="inlineStr">
        <is>
          <t>S0TN00169</t>
        </is>
      </c>
      <c r="F589" t="inlineStr">
        <is>
          <t>REP</t>
        </is>
      </c>
      <c r="G589" t="inlineStr">
        <is>
          <t>09252020</t>
        </is>
      </c>
      <c r="H589" t="n">
        <v>5000</v>
      </c>
      <c r="I589" t="inlineStr">
        <is>
          <t>202010149285880825</t>
        </is>
      </c>
      <c r="J589" t="inlineStr">
        <is>
          <t>https://docquery.fec.gov/cgi-bin/fecimg/?202010149285880825</t>
        </is>
      </c>
    </row>
    <row r="590">
      <c r="A590" t="inlineStr">
        <is>
          <t>2020</t>
        </is>
      </c>
      <c r="B590" t="inlineStr">
        <is>
          <t>C00496307</t>
        </is>
      </c>
      <c r="C590" t="inlineStr">
        <is>
          <t>Marathon Petroleum Corp Employees PAC (MPAC)</t>
        </is>
      </c>
      <c r="D590" t="inlineStr">
        <is>
          <t>FRIENDS FOR CHRIS STEWART, INC.</t>
        </is>
      </c>
      <c r="E590" t="inlineStr">
        <is>
          <t>H2UT02324</t>
        </is>
      </c>
      <c r="F590" t="inlineStr">
        <is>
          <t>REP</t>
        </is>
      </c>
      <c r="G590" t="inlineStr">
        <is>
          <t>09272019</t>
        </is>
      </c>
      <c r="H590" t="n">
        <v>2500</v>
      </c>
      <c r="I590" t="inlineStr">
        <is>
          <t>201910119163821752</t>
        </is>
      </c>
      <c r="J590" t="inlineStr">
        <is>
          <t>https://docquery.fec.gov/cgi-bin/fecimg/?201910119163821752</t>
        </is>
      </c>
    </row>
    <row r="591">
      <c r="A591" t="inlineStr">
        <is>
          <t>2020</t>
        </is>
      </c>
      <c r="B591" t="inlineStr">
        <is>
          <t>C00496307</t>
        </is>
      </c>
      <c r="C591" t="inlineStr">
        <is>
          <t>Marathon Petroleum Corp Employees PAC (MPAC)</t>
        </is>
      </c>
      <c r="D591" t="inlineStr">
        <is>
          <t>FRIENDS FOR CHRIS STEWART, INC.</t>
        </is>
      </c>
      <c r="E591" t="inlineStr">
        <is>
          <t>H2UT02324</t>
        </is>
      </c>
      <c r="F591" t="inlineStr">
        <is>
          <t>REP</t>
        </is>
      </c>
      <c r="G591" t="inlineStr">
        <is>
          <t>09272019</t>
        </is>
      </c>
      <c r="H591" t="n">
        <v>-2500</v>
      </c>
      <c r="I591" t="inlineStr">
        <is>
          <t>201910119163821753</t>
        </is>
      </c>
      <c r="J591" t="inlineStr">
        <is>
          <t>https://docquery.fec.gov/cgi-bin/fecimg/?201910119163821753</t>
        </is>
      </c>
    </row>
    <row r="592">
      <c r="A592" t="inlineStr">
        <is>
          <t>2020</t>
        </is>
      </c>
      <c r="B592" t="inlineStr">
        <is>
          <t>C00496307</t>
        </is>
      </c>
      <c r="C592" t="inlineStr">
        <is>
          <t>Marathon Petroleum Corp Employees PAC (MPAC)</t>
        </is>
      </c>
      <c r="D592" t="inlineStr">
        <is>
          <t>DUFFY FOR WISCONSIN</t>
        </is>
      </c>
      <c r="E592" t="inlineStr">
        <is>
          <t>H0WI07051</t>
        </is>
      </c>
      <c r="F592" t="inlineStr">
        <is>
          <t>REP</t>
        </is>
      </c>
      <c r="G592" t="inlineStr">
        <is>
          <t>10012019</t>
        </is>
      </c>
      <c r="H592" t="n">
        <v>-1000</v>
      </c>
      <c r="I592" t="inlineStr">
        <is>
          <t>201911129165357812</t>
        </is>
      </c>
      <c r="J592" t="inlineStr">
        <is>
          <t>https://docquery.fec.gov/cgi-bin/fecimg/?201911129165357812</t>
        </is>
      </c>
    </row>
    <row r="593">
      <c r="A593" t="inlineStr">
        <is>
          <t>2020</t>
        </is>
      </c>
      <c r="B593" t="inlineStr">
        <is>
          <t>C00496307</t>
        </is>
      </c>
      <c r="C593" t="inlineStr">
        <is>
          <t>Marathon Petroleum Corp Employees PAC (MPAC)</t>
        </is>
      </c>
      <c r="D593" t="inlineStr">
        <is>
          <t>COMMITTEE TO ELECT STEVE WATKINS</t>
        </is>
      </c>
      <c r="E593" t="inlineStr">
        <is>
          <t>H8KS02199</t>
        </is>
      </c>
      <c r="F593" t="inlineStr">
        <is>
          <t>REP</t>
        </is>
      </c>
      <c r="G593" t="inlineStr">
        <is>
          <t>10012020</t>
        </is>
      </c>
      <c r="H593" t="n">
        <v>-2500</v>
      </c>
      <c r="I593" t="inlineStr">
        <is>
          <t>202010229332811490</t>
        </is>
      </c>
      <c r="J593" t="inlineStr">
        <is>
          <t>https://docquery.fec.gov/cgi-bin/fecimg/?202010229332811490</t>
        </is>
      </c>
    </row>
    <row r="594">
      <c r="A594" t="inlineStr">
        <is>
          <t>2020</t>
        </is>
      </c>
      <c r="B594" t="inlineStr">
        <is>
          <t>C00496307</t>
        </is>
      </c>
      <c r="C594" t="inlineStr">
        <is>
          <t>Marathon Petroleum Corp Employees PAC (MPAC)</t>
        </is>
      </c>
      <c r="D594" t="inlineStr">
        <is>
          <t>GRAVES FOR CONGRESS</t>
        </is>
      </c>
      <c r="E594" t="inlineStr">
        <is>
          <t>H0GA09030</t>
        </is>
      </c>
      <c r="F594" t="inlineStr">
        <is>
          <t>REP</t>
        </is>
      </c>
      <c r="G594" t="inlineStr">
        <is>
          <t>10012020</t>
        </is>
      </c>
      <c r="H594" t="n">
        <v>-2500</v>
      </c>
      <c r="I594" t="inlineStr">
        <is>
          <t>202010229332811490</t>
        </is>
      </c>
      <c r="J594" t="inlineStr">
        <is>
          <t>https://docquery.fec.gov/cgi-bin/fecimg/?202010229332811490</t>
        </is>
      </c>
    </row>
    <row r="595">
      <c r="A595" t="inlineStr">
        <is>
          <t>2020</t>
        </is>
      </c>
      <c r="B595" t="inlineStr">
        <is>
          <t>C00496307</t>
        </is>
      </c>
      <c r="C595" t="inlineStr">
        <is>
          <t>Marathon Petroleum Corp Employees PAC (MPAC)</t>
        </is>
      </c>
      <c r="D595" t="inlineStr">
        <is>
          <t>GUTHRIE FOR CONGRESS</t>
        </is>
      </c>
      <c r="E595" t="inlineStr">
        <is>
          <t>H8KY02031</t>
        </is>
      </c>
      <c r="F595" t="inlineStr">
        <is>
          <t>REP</t>
        </is>
      </c>
      <c r="G595" t="inlineStr">
        <is>
          <t>10052020</t>
        </is>
      </c>
      <c r="H595" t="n">
        <v>-5000</v>
      </c>
      <c r="I595" t="inlineStr">
        <is>
          <t>202010229332811491</t>
        </is>
      </c>
      <c r="J595" t="inlineStr">
        <is>
          <t>https://docquery.fec.gov/cgi-bin/fecimg/?202010229332811491</t>
        </is>
      </c>
    </row>
    <row r="596">
      <c r="A596" t="inlineStr">
        <is>
          <t>2020</t>
        </is>
      </c>
      <c r="B596" t="inlineStr">
        <is>
          <t>C00496307</t>
        </is>
      </c>
      <c r="C596" t="inlineStr">
        <is>
          <t>Marathon Petroleum Corp Employees PAC (MPAC)</t>
        </is>
      </c>
      <c r="D596" t="inlineStr">
        <is>
          <t>GUY FOR CONGRESS</t>
        </is>
      </c>
      <c r="E596" t="inlineStr">
        <is>
          <t>H8PA18199</t>
        </is>
      </c>
      <c r="F596" t="inlineStr">
        <is>
          <t>REP</t>
        </is>
      </c>
      <c r="G596" t="inlineStr">
        <is>
          <t>10052020</t>
        </is>
      </c>
      <c r="H596" t="n">
        <v>-2500</v>
      </c>
      <c r="I596" t="inlineStr">
        <is>
          <t>202010229332811491</t>
        </is>
      </c>
      <c r="J596" t="inlineStr">
        <is>
          <t>https://docquery.fec.gov/cgi-bin/fecimg/?202010229332811491</t>
        </is>
      </c>
    </row>
    <row r="597">
      <c r="A597" t="inlineStr">
        <is>
          <t>2020</t>
        </is>
      </c>
      <c r="B597" t="inlineStr">
        <is>
          <t>C00496307</t>
        </is>
      </c>
      <c r="C597" t="inlineStr">
        <is>
          <t>Marathon Petroleum Corp Employees PAC (MPAC)</t>
        </is>
      </c>
      <c r="D597" t="inlineStr">
        <is>
          <t>GUY FOR CONGRESS</t>
        </is>
      </c>
      <c r="E597" t="inlineStr">
        <is>
          <t>H8PA18199</t>
        </is>
      </c>
      <c r="F597" t="inlineStr">
        <is>
          <t>REP</t>
        </is>
      </c>
      <c r="G597" t="inlineStr">
        <is>
          <t>10052020</t>
        </is>
      </c>
      <c r="H597" t="n">
        <v>-2500</v>
      </c>
      <c r="I597" t="inlineStr">
        <is>
          <t>202010229332811492</t>
        </is>
      </c>
      <c r="J597" t="inlineStr">
        <is>
          <t>https://docquery.fec.gov/cgi-bin/fecimg/?202010229332811492</t>
        </is>
      </c>
    </row>
    <row r="598">
      <c r="A598" t="inlineStr">
        <is>
          <t>2020</t>
        </is>
      </c>
      <c r="B598" t="inlineStr">
        <is>
          <t>C00496307</t>
        </is>
      </c>
      <c r="C598" t="inlineStr">
        <is>
          <t>Marathon Petroleum Corp Employees PAC (MPAC)</t>
        </is>
      </c>
      <c r="D598" t="inlineStr">
        <is>
          <t>GUTHRIE FOR CONGRESS</t>
        </is>
      </c>
      <c r="E598" t="inlineStr">
        <is>
          <t>H8KY02031</t>
        </is>
      </c>
      <c r="F598" t="inlineStr">
        <is>
          <t>REP</t>
        </is>
      </c>
      <c r="G598" t="inlineStr">
        <is>
          <t>10062020</t>
        </is>
      </c>
      <c r="H598" t="n">
        <v>5000</v>
      </c>
      <c r="I598" t="inlineStr">
        <is>
          <t>202010229332811491</t>
        </is>
      </c>
      <c r="J598" t="inlineStr">
        <is>
          <t>https://docquery.fec.gov/cgi-bin/fecimg/?202010229332811491</t>
        </is>
      </c>
    </row>
    <row r="599">
      <c r="A599" t="inlineStr">
        <is>
          <t>2020</t>
        </is>
      </c>
      <c r="B599" t="inlineStr">
        <is>
          <t>C00496307</t>
        </is>
      </c>
      <c r="C599" t="inlineStr">
        <is>
          <t>Marathon Petroleum Corp Employees PAC (MPAC)</t>
        </is>
      </c>
      <c r="D599" t="inlineStr">
        <is>
          <t>GUY FOR CONGRESS</t>
        </is>
      </c>
      <c r="E599" t="inlineStr">
        <is>
          <t>H8PA18199</t>
        </is>
      </c>
      <c r="F599" t="inlineStr">
        <is>
          <t>REP</t>
        </is>
      </c>
      <c r="G599" t="inlineStr">
        <is>
          <t>10062020</t>
        </is>
      </c>
      <c r="H599" t="n">
        <v>2500</v>
      </c>
      <c r="I599" t="inlineStr">
        <is>
          <t>202010229332811492</t>
        </is>
      </c>
      <c r="J599" t="inlineStr">
        <is>
          <t>https://docquery.fec.gov/cgi-bin/fecimg/?202010229332811492</t>
        </is>
      </c>
    </row>
    <row r="600">
      <c r="A600" t="inlineStr">
        <is>
          <t>2020</t>
        </is>
      </c>
      <c r="B600" t="inlineStr">
        <is>
          <t>C00496307</t>
        </is>
      </c>
      <c r="C600" t="inlineStr">
        <is>
          <t>Marathon Petroleum Corp Employees PAC (MPAC)</t>
        </is>
      </c>
      <c r="D600" t="inlineStr">
        <is>
          <t>GUY FOR CONGRESS</t>
        </is>
      </c>
      <c r="E600" t="inlineStr">
        <is>
          <t>H8PA18199</t>
        </is>
      </c>
      <c r="F600" t="inlineStr">
        <is>
          <t>REP</t>
        </is>
      </c>
      <c r="G600" t="inlineStr">
        <is>
          <t>10062020</t>
        </is>
      </c>
      <c r="H600" t="n">
        <v>2500</v>
      </c>
      <c r="I600" t="inlineStr">
        <is>
          <t>202010229332811492</t>
        </is>
      </c>
      <c r="J600" t="inlineStr">
        <is>
          <t>https://docquery.fec.gov/cgi-bin/fecimg/?202010229332811492</t>
        </is>
      </c>
    </row>
    <row r="601">
      <c r="A601" t="inlineStr">
        <is>
          <t>2020</t>
        </is>
      </c>
      <c r="B601" t="inlineStr">
        <is>
          <t>C00496307</t>
        </is>
      </c>
      <c r="C601" t="inlineStr">
        <is>
          <t>Marathon Petroleum Corp Employees PAC (MPAC)</t>
        </is>
      </c>
      <c r="D601" t="inlineStr">
        <is>
          <t>KAT FOR CONGRESS</t>
        </is>
      </c>
      <c r="E601" t="inlineStr">
        <is>
          <t>H0FL03175</t>
        </is>
      </c>
      <c r="F601" t="inlineStr">
        <is>
          <t>REP</t>
        </is>
      </c>
      <c r="G601" t="inlineStr">
        <is>
          <t>10062020</t>
        </is>
      </c>
      <c r="H601" t="n">
        <v>2500</v>
      </c>
      <c r="I601" t="inlineStr">
        <is>
          <t>202010229332811493</t>
        </is>
      </c>
      <c r="J601" t="inlineStr">
        <is>
          <t>https://docquery.fec.gov/cgi-bin/fecimg/?202010229332811493</t>
        </is>
      </c>
    </row>
    <row r="602">
      <c r="A602" t="inlineStr">
        <is>
          <t>2020</t>
        </is>
      </c>
      <c r="B602" t="inlineStr">
        <is>
          <t>C00496307</t>
        </is>
      </c>
      <c r="C602" t="inlineStr">
        <is>
          <t>Marathon Petroleum Corp Employees PAC (MPAC)</t>
        </is>
      </c>
      <c r="D602" t="inlineStr">
        <is>
          <t>MEUSER FOR CONGRESS</t>
        </is>
      </c>
      <c r="E602" t="inlineStr">
        <is>
          <t>H8PA10147</t>
        </is>
      </c>
      <c r="F602" t="inlineStr">
        <is>
          <t>REP</t>
        </is>
      </c>
      <c r="G602" t="inlineStr">
        <is>
          <t>10062020</t>
        </is>
      </c>
      <c r="H602" t="n">
        <v>2500</v>
      </c>
      <c r="I602" t="inlineStr">
        <is>
          <t>202010229332811493</t>
        </is>
      </c>
      <c r="J602" t="inlineStr">
        <is>
          <t>https://docquery.fec.gov/cgi-bin/fecimg/?202010229332811493</t>
        </is>
      </c>
    </row>
    <row r="603">
      <c r="A603" t="inlineStr">
        <is>
          <t>2020</t>
        </is>
      </c>
      <c r="B603" t="inlineStr">
        <is>
          <t>C00496307</t>
        </is>
      </c>
      <c r="C603" t="inlineStr">
        <is>
          <t>Marathon Petroleum Corp Employees PAC (MPAC)</t>
        </is>
      </c>
      <c r="D603" t="inlineStr">
        <is>
          <t>VOTETIPTON.COM</t>
        </is>
      </c>
      <c r="E603" t="inlineStr">
        <is>
          <t>H6CO03139</t>
        </is>
      </c>
      <c r="F603" t="inlineStr">
        <is>
          <t>REP</t>
        </is>
      </c>
      <c r="G603" t="inlineStr">
        <is>
          <t>10222020</t>
        </is>
      </c>
      <c r="H603" t="n">
        <v>-1000</v>
      </c>
      <c r="I603" t="inlineStr">
        <is>
          <t>202012039340842739</t>
        </is>
      </c>
      <c r="J603" t="inlineStr">
        <is>
          <t>https://docquery.fec.gov/cgi-bin/fecimg/?202012039340842739</t>
        </is>
      </c>
    </row>
    <row r="604">
      <c r="A604" t="inlineStr">
        <is>
          <t>2020</t>
        </is>
      </c>
      <c r="B604" t="inlineStr">
        <is>
          <t>C00496307</t>
        </is>
      </c>
      <c r="C604" t="inlineStr">
        <is>
          <t>Marathon Petroleum Corp Employees PAC (MPAC)</t>
        </is>
      </c>
      <c r="D604" t="inlineStr">
        <is>
          <t>TUBERVILLE FOR SENATE INC</t>
        </is>
      </c>
      <c r="E604" t="inlineStr">
        <is>
          <t>S0AL00230</t>
        </is>
      </c>
      <c r="F604" t="inlineStr">
        <is>
          <t>REP</t>
        </is>
      </c>
      <c r="G604" t="inlineStr">
        <is>
          <t>10232020</t>
        </is>
      </c>
      <c r="H604" t="n">
        <v>5000</v>
      </c>
      <c r="I604" t="inlineStr">
        <is>
          <t>202012039340842742</t>
        </is>
      </c>
      <c r="J604" t="inlineStr">
        <is>
          <t>https://docquery.fec.gov/cgi-bin/fecimg/?202012039340842742</t>
        </is>
      </c>
    </row>
    <row r="605">
      <c r="A605" t="inlineStr">
        <is>
          <t>2020</t>
        </is>
      </c>
      <c r="B605" t="inlineStr">
        <is>
          <t>C00496307</t>
        </is>
      </c>
      <c r="C605" t="inlineStr">
        <is>
          <t>Marathon Petroleum Corp Employees PAC (MPAC)</t>
        </is>
      </c>
      <c r="D605" t="inlineStr">
        <is>
          <t>FRIENDS OF DENVER RIGGLEMAN, INC.</t>
        </is>
      </c>
      <c r="E605" t="inlineStr">
        <is>
          <t>H8VA05171</t>
        </is>
      </c>
      <c r="F605" t="inlineStr">
        <is>
          <t>REP</t>
        </is>
      </c>
      <c r="G605" t="inlineStr">
        <is>
          <t>10262020</t>
        </is>
      </c>
      <c r="H605" t="n">
        <v>-2000</v>
      </c>
      <c r="I605" t="inlineStr">
        <is>
          <t>202012039340842739</t>
        </is>
      </c>
      <c r="J605" t="inlineStr">
        <is>
          <t>https://docquery.fec.gov/cgi-bin/fecimg/?202012039340842739</t>
        </is>
      </c>
    </row>
    <row r="606">
      <c r="A606" t="inlineStr">
        <is>
          <t>2020</t>
        </is>
      </c>
      <c r="B606" t="inlineStr">
        <is>
          <t>C00496307</t>
        </is>
      </c>
      <c r="C606" t="inlineStr">
        <is>
          <t>Marathon Petroleum Corp Employees PAC (MPAC)</t>
        </is>
      </c>
      <c r="D606" t="inlineStr">
        <is>
          <t>WALORSKI FOR CONGRESS</t>
        </is>
      </c>
      <c r="E606" t="inlineStr">
        <is>
          <t>H0IN02190</t>
        </is>
      </c>
      <c r="F606" t="inlineStr">
        <is>
          <t>REP</t>
        </is>
      </c>
      <c r="G606" t="inlineStr">
        <is>
          <t>10302020</t>
        </is>
      </c>
      <c r="H606" t="n">
        <v>5000</v>
      </c>
      <c r="I606" t="inlineStr">
        <is>
          <t>202012039340842742</t>
        </is>
      </c>
      <c r="J606" t="inlineStr">
        <is>
          <t>https://docquery.fec.gov/cgi-bin/fecimg/?202012039340842742</t>
        </is>
      </c>
    </row>
    <row r="607">
      <c r="A607" t="inlineStr">
        <is>
          <t>2020</t>
        </is>
      </c>
      <c r="B607" t="inlineStr">
        <is>
          <t>C00496307</t>
        </is>
      </c>
      <c r="C607" t="inlineStr">
        <is>
          <t>Marathon Petroleum Corp Employees PAC (MPAC)</t>
        </is>
      </c>
      <c r="D607" t="inlineStr">
        <is>
          <t>VOTETIPTON.COM</t>
        </is>
      </c>
      <c r="E607" t="inlineStr">
        <is>
          <t>H6CO03139</t>
        </is>
      </c>
      <c r="F607" t="inlineStr">
        <is>
          <t>REP</t>
        </is>
      </c>
      <c r="G607" t="inlineStr">
        <is>
          <t>11062019</t>
        </is>
      </c>
      <c r="H607" t="n">
        <v>1000</v>
      </c>
      <c r="I607" t="inlineStr">
        <is>
          <t>201912179166301408</t>
        </is>
      </c>
      <c r="J607" t="inlineStr">
        <is>
          <t>https://docquery.fec.gov/cgi-bin/fecimg/?201912179166301408</t>
        </is>
      </c>
    </row>
    <row r="608">
      <c r="A608" t="inlineStr">
        <is>
          <t>2020</t>
        </is>
      </c>
      <c r="B608" t="inlineStr">
        <is>
          <t>C00496307</t>
        </is>
      </c>
      <c r="C608" t="inlineStr">
        <is>
          <t>Marathon Petroleum Corp Employees PAC (MPAC)</t>
        </is>
      </c>
      <c r="D608" t="inlineStr">
        <is>
          <t>WOMACK FOR CONGRESS</t>
        </is>
      </c>
      <c r="E608" t="inlineStr">
        <is>
          <t>H0AR03055</t>
        </is>
      </c>
      <c r="F608" t="inlineStr">
        <is>
          <t>REP</t>
        </is>
      </c>
      <c r="G608" t="inlineStr">
        <is>
          <t>11062019</t>
        </is>
      </c>
      <c r="H608" t="n">
        <v>2500</v>
      </c>
      <c r="I608" t="inlineStr">
        <is>
          <t>201912179166301408</t>
        </is>
      </c>
      <c r="J608" t="inlineStr">
        <is>
          <t>https://docquery.fec.gov/cgi-bin/fecimg/?201912179166301408</t>
        </is>
      </c>
    </row>
    <row r="609">
      <c r="A609" t="inlineStr">
        <is>
          <t>2020</t>
        </is>
      </c>
      <c r="B609" t="inlineStr">
        <is>
          <t>C00496307</t>
        </is>
      </c>
      <c r="C609" t="inlineStr">
        <is>
          <t>Marathon Petroleum Corp Employees PAC (MPAC)</t>
        </is>
      </c>
      <c r="D609" t="inlineStr">
        <is>
          <t>STEIL FOR WISCONSIN, INC.</t>
        </is>
      </c>
      <c r="E609" t="inlineStr">
        <is>
          <t>H8WI01156</t>
        </is>
      </c>
      <c r="F609" t="inlineStr">
        <is>
          <t>REP</t>
        </is>
      </c>
      <c r="G609" t="inlineStr">
        <is>
          <t>11062019</t>
        </is>
      </c>
      <c r="H609" t="n">
        <v>2500</v>
      </c>
      <c r="I609" t="inlineStr">
        <is>
          <t>201912179166301406</t>
        </is>
      </c>
      <c r="J609" t="inlineStr">
        <is>
          <t>https://docquery.fec.gov/cgi-bin/fecimg/?201912179166301406</t>
        </is>
      </c>
    </row>
    <row r="610">
      <c r="A610" t="inlineStr">
        <is>
          <t>2020</t>
        </is>
      </c>
      <c r="B610" t="inlineStr">
        <is>
          <t>C00496307</t>
        </is>
      </c>
      <c r="C610" t="inlineStr">
        <is>
          <t>Marathon Petroleum Corp Employees PAC (MPAC)</t>
        </is>
      </c>
      <c r="D610" t="inlineStr">
        <is>
          <t>FILEMON VELA FOR CONGRESS</t>
        </is>
      </c>
      <c r="E610" t="inlineStr">
        <is>
          <t>H2TX27190</t>
        </is>
      </c>
      <c r="F610" t="inlineStr">
        <is>
          <t>DEM</t>
        </is>
      </c>
      <c r="G610" t="inlineStr">
        <is>
          <t>11062019</t>
        </is>
      </c>
      <c r="H610" t="n">
        <v>2500</v>
      </c>
      <c r="I610" t="inlineStr">
        <is>
          <t>201912179166301397</t>
        </is>
      </c>
      <c r="J610" t="inlineStr">
        <is>
          <t>https://docquery.fec.gov/cgi-bin/fecimg/?201912179166301397</t>
        </is>
      </c>
    </row>
    <row r="611">
      <c r="A611" t="inlineStr">
        <is>
          <t>2020</t>
        </is>
      </c>
      <c r="B611" t="inlineStr">
        <is>
          <t>C00496307</t>
        </is>
      </c>
      <c r="C611" t="inlineStr">
        <is>
          <t>Marathon Petroleum Corp Employees PAC (MPAC)</t>
        </is>
      </c>
      <c r="D611" t="inlineStr">
        <is>
          <t>FRIENDS FOR CHRIS STEWART, INC.</t>
        </is>
      </c>
      <c r="E611" t="inlineStr">
        <is>
          <t>H2UT02324</t>
        </is>
      </c>
      <c r="F611" t="inlineStr">
        <is>
          <t>REP</t>
        </is>
      </c>
      <c r="G611" t="inlineStr">
        <is>
          <t>11062019</t>
        </is>
      </c>
      <c r="H611" t="n">
        <v>2500</v>
      </c>
      <c r="I611" t="inlineStr">
        <is>
          <t>201912179166301397</t>
        </is>
      </c>
      <c r="J611" t="inlineStr">
        <is>
          <t>https://docquery.fec.gov/cgi-bin/fecimg/?201912179166301397</t>
        </is>
      </c>
    </row>
    <row r="612">
      <c r="A612" t="inlineStr">
        <is>
          <t>2020</t>
        </is>
      </c>
      <c r="B612" t="inlineStr">
        <is>
          <t>C00496307</t>
        </is>
      </c>
      <c r="C612" t="inlineStr">
        <is>
          <t>Marathon Petroleum Corp Employees PAC (MPAC)</t>
        </is>
      </c>
      <c r="D612" t="inlineStr">
        <is>
          <t>FRIENDS OF DAVE JOYCE</t>
        </is>
      </c>
      <c r="E612" t="inlineStr">
        <is>
          <t>H2OH14064</t>
        </is>
      </c>
      <c r="F612" t="inlineStr">
        <is>
          <t>REP</t>
        </is>
      </c>
      <c r="G612" t="inlineStr">
        <is>
          <t>11062019</t>
        </is>
      </c>
      <c r="H612" t="n">
        <v>2500</v>
      </c>
      <c r="I612" t="inlineStr">
        <is>
          <t>201912179166301398</t>
        </is>
      </c>
      <c r="J612" t="inlineStr">
        <is>
          <t>https://docquery.fec.gov/cgi-bin/fecimg/?201912179166301398</t>
        </is>
      </c>
    </row>
    <row r="613">
      <c r="A613" t="inlineStr">
        <is>
          <t>2020</t>
        </is>
      </c>
      <c r="B613" t="inlineStr">
        <is>
          <t>C00496307</t>
        </is>
      </c>
      <c r="C613" t="inlineStr">
        <is>
          <t>Marathon Petroleum Corp Employees PAC (MPAC)</t>
        </is>
      </c>
      <c r="D613" t="inlineStr">
        <is>
          <t>GREG PENCE FOR CONGRESS</t>
        </is>
      </c>
      <c r="E613" t="inlineStr">
        <is>
          <t>H8IN06129</t>
        </is>
      </c>
      <c r="F613" t="inlineStr">
        <is>
          <t>REP</t>
        </is>
      </c>
      <c r="G613" t="inlineStr">
        <is>
          <t>11062019</t>
        </is>
      </c>
      <c r="H613" t="n">
        <v>5000</v>
      </c>
      <c r="I613" t="inlineStr">
        <is>
          <t>201912179166301398</t>
        </is>
      </c>
      <c r="J613" t="inlineStr">
        <is>
          <t>https://docquery.fec.gov/cgi-bin/fecimg/?201912179166301398</t>
        </is>
      </c>
    </row>
    <row r="614">
      <c r="A614" t="inlineStr">
        <is>
          <t>2020</t>
        </is>
      </c>
      <c r="B614" t="inlineStr">
        <is>
          <t>C00496307</t>
        </is>
      </c>
      <c r="C614" t="inlineStr">
        <is>
          <t>Marathon Petroleum Corp Employees PAC (MPAC)</t>
        </is>
      </c>
      <c r="D614" t="inlineStr">
        <is>
          <t>HOEVEN FOR SENATE</t>
        </is>
      </c>
      <c r="E614" t="inlineStr">
        <is>
          <t>S0ND00093</t>
        </is>
      </c>
      <c r="F614" t="inlineStr">
        <is>
          <t>REP</t>
        </is>
      </c>
      <c r="G614" t="inlineStr">
        <is>
          <t>11062019</t>
        </is>
      </c>
      <c r="H614" t="n">
        <v>1500</v>
      </c>
      <c r="I614" t="inlineStr">
        <is>
          <t>201912179166301399</t>
        </is>
      </c>
      <c r="J614" t="inlineStr">
        <is>
          <t>https://docquery.fec.gov/cgi-bin/fecimg/?201912179166301399</t>
        </is>
      </c>
    </row>
    <row r="615">
      <c r="A615" t="inlineStr">
        <is>
          <t>2020</t>
        </is>
      </c>
      <c r="B615" t="inlineStr">
        <is>
          <t>C00496307</t>
        </is>
      </c>
      <c r="C615" t="inlineStr">
        <is>
          <t>Marathon Petroleum Corp Employees PAC (MPAC)</t>
        </is>
      </c>
      <c r="D615" t="inlineStr">
        <is>
          <t>LANCE GOODEN FOR CONGRESS</t>
        </is>
      </c>
      <c r="E615" t="inlineStr">
        <is>
          <t>H8TX05144</t>
        </is>
      </c>
      <c r="F615" t="inlineStr">
        <is>
          <t>REP</t>
        </is>
      </c>
      <c r="G615" t="inlineStr">
        <is>
          <t>11062019</t>
        </is>
      </c>
      <c r="H615" t="n">
        <v>5000</v>
      </c>
      <c r="I615" t="inlineStr">
        <is>
          <t>201912179166301401</t>
        </is>
      </c>
      <c r="J615" t="inlineStr">
        <is>
          <t>https://docquery.fec.gov/cgi-bin/fecimg/?201912179166301401</t>
        </is>
      </c>
    </row>
    <row r="616">
      <c r="A616" t="inlineStr">
        <is>
          <t>2020</t>
        </is>
      </c>
      <c r="B616" t="inlineStr">
        <is>
          <t>C00496307</t>
        </is>
      </c>
      <c r="C616" t="inlineStr">
        <is>
          <t>Marathon Petroleum Corp Employees PAC (MPAC)</t>
        </is>
      </c>
      <c r="D616" t="inlineStr">
        <is>
          <t>MARIO DIAZ-BALART FOR CONGRESS</t>
        </is>
      </c>
      <c r="E616" t="inlineStr">
        <is>
          <t>H2FL25018</t>
        </is>
      </c>
      <c r="F616" t="inlineStr">
        <is>
          <t>REP</t>
        </is>
      </c>
      <c r="G616" t="inlineStr">
        <is>
          <t>11062019</t>
        </is>
      </c>
      <c r="H616" t="n">
        <v>2500</v>
      </c>
      <c r="I616" t="inlineStr">
        <is>
          <t>201912179166301403</t>
        </is>
      </c>
      <c r="J616" t="inlineStr">
        <is>
          <t>https://docquery.fec.gov/cgi-bin/fecimg/?201912179166301403</t>
        </is>
      </c>
    </row>
    <row r="617">
      <c r="A617" t="inlineStr">
        <is>
          <t>2020</t>
        </is>
      </c>
      <c r="B617" t="inlineStr">
        <is>
          <t>C00496307</t>
        </is>
      </c>
      <c r="C617" t="inlineStr">
        <is>
          <t>Marathon Petroleum Corp Employees PAC (MPAC)</t>
        </is>
      </c>
      <c r="D617" t="inlineStr">
        <is>
          <t>MICHAEL WALTZ FOR CONGRESS</t>
        </is>
      </c>
      <c r="E617" t="inlineStr">
        <is>
          <t>H8FL06148</t>
        </is>
      </c>
      <c r="F617" t="inlineStr">
        <is>
          <t>REP</t>
        </is>
      </c>
      <c r="G617" t="inlineStr">
        <is>
          <t>11062019</t>
        </is>
      </c>
      <c r="H617" t="n">
        <v>1000</v>
      </c>
      <c r="I617" t="inlineStr">
        <is>
          <t>201912179166301404</t>
        </is>
      </c>
      <c r="J617" t="inlineStr">
        <is>
          <t>https://docquery.fec.gov/cgi-bin/fecimg/?201912179166301404</t>
        </is>
      </c>
    </row>
    <row r="618">
      <c r="A618" t="inlineStr">
        <is>
          <t>2020</t>
        </is>
      </c>
      <c r="B618" t="inlineStr">
        <is>
          <t>C00496307</t>
        </is>
      </c>
      <c r="C618" t="inlineStr">
        <is>
          <t>Marathon Petroleum Corp Employees PAC (MPAC)</t>
        </is>
      </c>
      <c r="D618" t="inlineStr">
        <is>
          <t>ROUNDS FOR SENATE</t>
        </is>
      </c>
      <c r="E618" t="inlineStr">
        <is>
          <t>S4SD00049</t>
        </is>
      </c>
      <c r="F618" t="inlineStr">
        <is>
          <t>REP</t>
        </is>
      </c>
      <c r="G618" t="inlineStr">
        <is>
          <t>11062019</t>
        </is>
      </c>
      <c r="H618" t="n">
        <v>3000</v>
      </c>
      <c r="I618" t="inlineStr">
        <is>
          <t>201912179166301405</t>
        </is>
      </c>
      <c r="J618" t="inlineStr">
        <is>
          <t>https://docquery.fec.gov/cgi-bin/fecimg/?201912179166301405</t>
        </is>
      </c>
    </row>
    <row r="619">
      <c r="A619" t="inlineStr">
        <is>
          <t>2020</t>
        </is>
      </c>
      <c r="B619" t="inlineStr">
        <is>
          <t>C00496307</t>
        </is>
      </c>
      <c r="C619" t="inlineStr">
        <is>
          <t>Marathon Petroleum Corp Employees PAC (MPAC)</t>
        </is>
      </c>
      <c r="D619" t="inlineStr">
        <is>
          <t>ARMSTRONG FOR CONGRESS</t>
        </is>
      </c>
      <c r="E619" t="inlineStr">
        <is>
          <t>H8ND00096</t>
        </is>
      </c>
      <c r="F619" t="inlineStr">
        <is>
          <t>REP</t>
        </is>
      </c>
      <c r="G619" t="inlineStr">
        <is>
          <t>11062019</t>
        </is>
      </c>
      <c r="H619" t="n">
        <v>2500</v>
      </c>
      <c r="I619" t="inlineStr">
        <is>
          <t>201912179166301393</t>
        </is>
      </c>
      <c r="J619" t="inlineStr">
        <is>
          <t>https://docquery.fec.gov/cgi-bin/fecimg/?201912179166301393</t>
        </is>
      </c>
    </row>
    <row r="620">
      <c r="A620" t="inlineStr">
        <is>
          <t>2020</t>
        </is>
      </c>
      <c r="B620" t="inlineStr">
        <is>
          <t>C00496307</t>
        </is>
      </c>
      <c r="C620" t="inlineStr">
        <is>
          <t>Marathon Petroleum Corp Employees PAC (MPAC)</t>
        </is>
      </c>
      <c r="D620" t="inlineStr">
        <is>
          <t>DAN LIPINSKI FOR CONGRESS</t>
        </is>
      </c>
      <c r="E620" t="inlineStr">
        <is>
          <t>H4IL03077</t>
        </is>
      </c>
      <c r="F620" t="inlineStr">
        <is>
          <t>DEM</t>
        </is>
      </c>
      <c r="G620" t="inlineStr">
        <is>
          <t>11062019</t>
        </is>
      </c>
      <c r="H620" t="n">
        <v>1000</v>
      </c>
      <c r="I620" t="inlineStr">
        <is>
          <t>201912179166301396</t>
        </is>
      </c>
      <c r="J620" t="inlineStr">
        <is>
          <t>https://docquery.fec.gov/cgi-bin/fecimg/?201912179166301396</t>
        </is>
      </c>
    </row>
    <row r="621">
      <c r="A621" t="inlineStr">
        <is>
          <t>2020</t>
        </is>
      </c>
      <c r="B621" t="inlineStr">
        <is>
          <t>C00496307</t>
        </is>
      </c>
      <c r="C621" t="inlineStr">
        <is>
          <t>Marathon Petroleum Corp Employees PAC (MPAC)</t>
        </is>
      </c>
      <c r="D621" t="inlineStr">
        <is>
          <t>DEVIN NUNES CAMPAIGN COMMITTEE</t>
        </is>
      </c>
      <c r="E621" t="inlineStr">
        <is>
          <t>H8CA20059</t>
        </is>
      </c>
      <c r="F621" t="inlineStr">
        <is>
          <t>REP</t>
        </is>
      </c>
      <c r="G621" t="inlineStr">
        <is>
          <t>11062019</t>
        </is>
      </c>
      <c r="H621" t="n">
        <v>2500</v>
      </c>
      <c r="I621" t="inlineStr">
        <is>
          <t>201912179166301396</t>
        </is>
      </c>
      <c r="J621" t="inlineStr">
        <is>
          <t>https://docquery.fec.gov/cgi-bin/fecimg/?201912179166301396</t>
        </is>
      </c>
    </row>
    <row r="622">
      <c r="A622" t="inlineStr">
        <is>
          <t>2020</t>
        </is>
      </c>
      <c r="B622" t="inlineStr">
        <is>
          <t>C00496307</t>
        </is>
      </c>
      <c r="C622" t="inlineStr">
        <is>
          <t>Marathon Petroleum Corp Employees PAC (MPAC)</t>
        </is>
      </c>
      <c r="D622" t="inlineStr">
        <is>
          <t>JOHN ROSE FOR TENNESSEE</t>
        </is>
      </c>
      <c r="E622" t="inlineStr">
        <is>
          <t>H8TN06094</t>
        </is>
      </c>
      <c r="F622" t="inlineStr">
        <is>
          <t>REP</t>
        </is>
      </c>
      <c r="G622" t="inlineStr">
        <is>
          <t>11062019</t>
        </is>
      </c>
      <c r="H622" t="n">
        <v>2000</v>
      </c>
      <c r="I622" t="inlineStr">
        <is>
          <t>201912179166301400</t>
        </is>
      </c>
      <c r="J622" t="inlineStr">
        <is>
          <t>https://docquery.fec.gov/cgi-bin/fecimg/?201912179166301400</t>
        </is>
      </c>
    </row>
    <row r="623">
      <c r="A623" t="inlineStr">
        <is>
          <t>2020</t>
        </is>
      </c>
      <c r="B623" t="inlineStr">
        <is>
          <t>C00496307</t>
        </is>
      </c>
      <c r="C623" t="inlineStr">
        <is>
          <t>Marathon Petroleum Corp Employees PAC (MPAC)</t>
        </is>
      </c>
      <c r="D623" t="inlineStr">
        <is>
          <t>GUY FOR CONGRESS</t>
        </is>
      </c>
      <c r="E623" t="inlineStr">
        <is>
          <t>H8PA18199</t>
        </is>
      </c>
      <c r="F623" t="inlineStr">
        <is>
          <t>REP</t>
        </is>
      </c>
      <c r="G623" t="inlineStr">
        <is>
          <t>11072019</t>
        </is>
      </c>
      <c r="H623" t="n">
        <v>2500</v>
      </c>
      <c r="I623" t="inlineStr">
        <is>
          <t>201912179166301399</t>
        </is>
      </c>
      <c r="J623" t="inlineStr">
        <is>
          <t>https://docquery.fec.gov/cgi-bin/fecimg/?201912179166301399</t>
        </is>
      </c>
    </row>
    <row r="624">
      <c r="A624" t="inlineStr">
        <is>
          <t>2020</t>
        </is>
      </c>
      <c r="B624" t="inlineStr">
        <is>
          <t>C00496307</t>
        </is>
      </c>
      <c r="C624" t="inlineStr">
        <is>
          <t>Marathon Petroleum Corp Employees PAC (MPAC)</t>
        </is>
      </c>
      <c r="D624" t="inlineStr">
        <is>
          <t>CURTIS FOR CONGRESS</t>
        </is>
      </c>
      <c r="E624" t="inlineStr">
        <is>
          <t>H8UT03238</t>
        </is>
      </c>
      <c r="F624" t="inlineStr">
        <is>
          <t>REP</t>
        </is>
      </c>
      <c r="G624" t="inlineStr">
        <is>
          <t>11142019</t>
        </is>
      </c>
      <c r="H624" t="n">
        <v>2500</v>
      </c>
      <c r="I624" t="inlineStr">
        <is>
          <t>201912179166301395</t>
        </is>
      </c>
      <c r="J624" t="inlineStr">
        <is>
          <t>https://docquery.fec.gov/cgi-bin/fecimg/?201912179166301395</t>
        </is>
      </c>
    </row>
    <row r="625">
      <c r="A625" t="inlineStr">
        <is>
          <t>2020</t>
        </is>
      </c>
      <c r="B625" t="inlineStr">
        <is>
          <t>C00496307</t>
        </is>
      </c>
      <c r="C625" t="inlineStr">
        <is>
          <t>Marathon Petroleum Corp Employees PAC (MPAC)</t>
        </is>
      </c>
      <c r="D625" t="inlineStr">
        <is>
          <t>JEFF DUNCAN FOR CONGRESS</t>
        </is>
      </c>
      <c r="E625" t="inlineStr">
        <is>
          <t>H0SC03077</t>
        </is>
      </c>
      <c r="F625" t="inlineStr">
        <is>
          <t>REP</t>
        </is>
      </c>
      <c r="G625" t="inlineStr">
        <is>
          <t>11142019</t>
        </is>
      </c>
      <c r="H625" t="n">
        <v>4000</v>
      </c>
      <c r="I625" t="inlineStr">
        <is>
          <t>201912179166301400</t>
        </is>
      </c>
      <c r="J625" t="inlineStr">
        <is>
          <t>https://docquery.fec.gov/cgi-bin/fecimg/?201912179166301400</t>
        </is>
      </c>
    </row>
    <row r="626">
      <c r="A626" t="inlineStr">
        <is>
          <t>2020</t>
        </is>
      </c>
      <c r="B626" t="inlineStr">
        <is>
          <t>C00496307</t>
        </is>
      </c>
      <c r="C626" t="inlineStr">
        <is>
          <t>Marathon Petroleum Corp Employees PAC (MPAC)</t>
        </is>
      </c>
      <c r="D626" t="inlineStr">
        <is>
          <t>GEORGIANS FOR KELLY LOEFFLER</t>
        </is>
      </c>
      <c r="E626" t="inlineStr">
        <is>
          <t>S0GA00526</t>
        </is>
      </c>
      <c r="F626" t="inlineStr">
        <is>
          <t>REP</t>
        </is>
      </c>
      <c r="G626" t="inlineStr">
        <is>
          <t>11232020</t>
        </is>
      </c>
      <c r="H626" t="n">
        <v>5000</v>
      </c>
      <c r="I626" t="inlineStr">
        <is>
          <t>202012039340842740</t>
        </is>
      </c>
      <c r="J626" t="inlineStr">
        <is>
          <t>https://docquery.fec.gov/cgi-bin/fecimg/?202012039340842740</t>
        </is>
      </c>
    </row>
    <row r="627">
      <c r="A627" t="inlineStr">
        <is>
          <t>2020</t>
        </is>
      </c>
      <c r="B627" t="inlineStr">
        <is>
          <t>C00496307</t>
        </is>
      </c>
      <c r="C627" t="inlineStr">
        <is>
          <t>Marathon Petroleum Corp Employees PAC (MPAC)</t>
        </is>
      </c>
      <c r="D627" t="inlineStr">
        <is>
          <t>PERDUE FOR SENATE</t>
        </is>
      </c>
      <c r="E627" t="inlineStr">
        <is>
          <t>S4GA11285</t>
        </is>
      </c>
      <c r="F627" t="inlineStr">
        <is>
          <t>REP</t>
        </is>
      </c>
      <c r="G627" t="inlineStr">
        <is>
          <t>11232020</t>
        </is>
      </c>
      <c r="H627" t="n">
        <v>5000</v>
      </c>
      <c r="I627" t="inlineStr">
        <is>
          <t>202012039340842741</t>
        </is>
      </c>
      <c r="J627" t="inlineStr">
        <is>
          <t>https://docquery.fec.gov/cgi-bin/fecimg/?202012039340842741</t>
        </is>
      </c>
    </row>
    <row r="628">
      <c r="A628" t="inlineStr">
        <is>
          <t>2020</t>
        </is>
      </c>
      <c r="B628" t="inlineStr">
        <is>
          <t>C00496307</t>
        </is>
      </c>
      <c r="C628" t="inlineStr">
        <is>
          <t>Marathon Petroleum Corp Employees PAC (MPAC)</t>
        </is>
      </c>
      <c r="D628" t="inlineStr">
        <is>
          <t>VICENTE GONZALEZ FOR CONGRESS</t>
        </is>
      </c>
      <c r="E628" t="inlineStr">
        <is>
          <t>H6TX15162</t>
        </is>
      </c>
      <c r="F628" t="inlineStr">
        <is>
          <t>DEM</t>
        </is>
      </c>
      <c r="G628" t="inlineStr">
        <is>
          <t>11252019</t>
        </is>
      </c>
      <c r="H628" t="n">
        <v>2500</v>
      </c>
      <c r="I628" t="inlineStr">
        <is>
          <t>201912179166301408</t>
        </is>
      </c>
      <c r="J628" t="inlineStr">
        <is>
          <t>https://docquery.fec.gov/cgi-bin/fecimg/?201912179166301408</t>
        </is>
      </c>
    </row>
    <row r="629">
      <c r="A629" t="inlineStr">
        <is>
          <t>2020</t>
        </is>
      </c>
      <c r="B629" t="inlineStr">
        <is>
          <t>C00496307</t>
        </is>
      </c>
      <c r="C629" t="inlineStr">
        <is>
          <t>Marathon Petroleum Corp Employees PAC (MPAC)</t>
        </is>
      </c>
      <c r="D629" t="inlineStr">
        <is>
          <t>SMUCKER FOR CONGRESS</t>
        </is>
      </c>
      <c r="E629" t="inlineStr">
        <is>
          <t>H6PA16320</t>
        </is>
      </c>
      <c r="F629" t="inlineStr">
        <is>
          <t>REP</t>
        </is>
      </c>
      <c r="G629" t="inlineStr">
        <is>
          <t>11252019</t>
        </is>
      </c>
      <c r="H629" t="n">
        <v>2500</v>
      </c>
      <c r="I629" t="inlineStr">
        <is>
          <t>201912179166301406</t>
        </is>
      </c>
      <c r="J629" t="inlineStr">
        <is>
          <t>https://docquery.fec.gov/cgi-bin/fecimg/?201912179166301406</t>
        </is>
      </c>
    </row>
    <row r="630">
      <c r="A630" t="inlineStr">
        <is>
          <t>2020</t>
        </is>
      </c>
      <c r="B630" t="inlineStr">
        <is>
          <t>C00496307</t>
        </is>
      </c>
      <c r="C630" t="inlineStr">
        <is>
          <t>Marathon Petroleum Corp Employees PAC (MPAC)</t>
        </is>
      </c>
      <c r="D630" t="inlineStr">
        <is>
          <t>LATTA FOR CONGRESS</t>
        </is>
      </c>
      <c r="E630" t="inlineStr">
        <is>
          <t>H8OH05036</t>
        </is>
      </c>
      <c r="F630" t="inlineStr">
        <is>
          <t>REP</t>
        </is>
      </c>
      <c r="G630" t="inlineStr">
        <is>
          <t>11252019</t>
        </is>
      </c>
      <c r="H630" t="n">
        <v>1000</v>
      </c>
      <c r="I630" t="inlineStr">
        <is>
          <t>201912179166301401</t>
        </is>
      </c>
      <c r="J630" t="inlineStr">
        <is>
          <t>https://docquery.fec.gov/cgi-bin/fecimg/?201912179166301401</t>
        </is>
      </c>
    </row>
    <row r="631">
      <c r="A631" t="inlineStr">
        <is>
          <t>2020</t>
        </is>
      </c>
      <c r="B631" t="inlineStr">
        <is>
          <t>C00496307</t>
        </is>
      </c>
      <c r="C631" t="inlineStr">
        <is>
          <t>Marathon Petroleum Corp Employees PAC (MPAC)</t>
        </is>
      </c>
      <c r="D631" t="inlineStr">
        <is>
          <t>MCSALLY FOR SENATE INC</t>
        </is>
      </c>
      <c r="E631" t="inlineStr">
        <is>
          <t>S8AZ00221</t>
        </is>
      </c>
      <c r="F631" t="inlineStr">
        <is>
          <t>REP</t>
        </is>
      </c>
      <c r="G631" t="inlineStr">
        <is>
          <t>11252019</t>
        </is>
      </c>
      <c r="H631" t="n">
        <v>5000</v>
      </c>
      <c r="I631" t="inlineStr">
        <is>
          <t>201912179166301403</t>
        </is>
      </c>
      <c r="J631" t="inlineStr">
        <is>
          <t>https://docquery.fec.gov/cgi-bin/fecimg/?201912179166301403</t>
        </is>
      </c>
    </row>
    <row r="632">
      <c r="A632" t="inlineStr">
        <is>
          <t>2020</t>
        </is>
      </c>
      <c r="B632" t="inlineStr">
        <is>
          <t>C00496307</t>
        </is>
      </c>
      <c r="C632" t="inlineStr">
        <is>
          <t>Marathon Petroleum Corp Employees PAC (MPAC)</t>
        </is>
      </c>
      <c r="D632" t="inlineStr">
        <is>
          <t>DAN CRENSHAW FOR CONGRESS</t>
        </is>
      </c>
      <c r="E632" t="inlineStr">
        <is>
          <t>H8TX02166</t>
        </is>
      </c>
      <c r="F632" t="inlineStr">
        <is>
          <t>REP</t>
        </is>
      </c>
      <c r="G632" t="inlineStr">
        <is>
          <t>11252019</t>
        </is>
      </c>
      <c r="H632" t="n">
        <v>1500</v>
      </c>
      <c r="I632" t="inlineStr">
        <is>
          <t>201912179166301395</t>
        </is>
      </c>
      <c r="J632" t="inlineStr">
        <is>
          <t>https://docquery.fec.gov/cgi-bin/fecimg/?201912179166301395</t>
        </is>
      </c>
    </row>
    <row r="633">
      <c r="A633" t="inlineStr">
        <is>
          <t>2020</t>
        </is>
      </c>
      <c r="B633" t="inlineStr">
        <is>
          <t>C00496307</t>
        </is>
      </c>
      <c r="C633" t="inlineStr">
        <is>
          <t>Marathon Petroleum Corp Employees PAC (MPAC)</t>
        </is>
      </c>
      <c r="D633" t="inlineStr">
        <is>
          <t>KATKO FOR CONGRESS</t>
        </is>
      </c>
      <c r="E633" t="inlineStr">
        <is>
          <t>H4NY24073</t>
        </is>
      </c>
      <c r="F633" t="inlineStr">
        <is>
          <t>REP</t>
        </is>
      </c>
      <c r="G633" t="inlineStr">
        <is>
          <t>11252019</t>
        </is>
      </c>
      <c r="H633" t="n">
        <v>1000</v>
      </c>
      <c r="I633" t="inlineStr">
        <is>
          <t>201912179166301401</t>
        </is>
      </c>
      <c r="J633" t="inlineStr">
        <is>
          <t>https://docquery.fec.gov/cgi-bin/fecimg/?201912179166301401</t>
        </is>
      </c>
    </row>
    <row r="634">
      <c r="A634" t="inlineStr">
        <is>
          <t>2020</t>
        </is>
      </c>
      <c r="B634" t="inlineStr">
        <is>
          <t>C00496307</t>
        </is>
      </c>
      <c r="C634" t="inlineStr">
        <is>
          <t>Marathon Petroleum Corp Employees PAC (MPAC)</t>
        </is>
      </c>
      <c r="D634" t="inlineStr">
        <is>
          <t>FRIENDS OF BEN MCADAMS</t>
        </is>
      </c>
      <c r="E634" t="inlineStr">
        <is>
          <t>H8UT04053</t>
        </is>
      </c>
      <c r="F634" t="inlineStr">
        <is>
          <t>DEM</t>
        </is>
      </c>
      <c r="G634" t="inlineStr">
        <is>
          <t>12062019</t>
        </is>
      </c>
      <c r="H634" t="n">
        <v>2500</v>
      </c>
      <c r="I634" t="inlineStr">
        <is>
          <t>202001239167337593</t>
        </is>
      </c>
      <c r="J634" t="inlineStr">
        <is>
          <t>https://docquery.fec.gov/cgi-bin/fecimg/?202001239167337593</t>
        </is>
      </c>
    </row>
    <row r="635">
      <c r="A635" t="inlineStr">
        <is>
          <t>2020</t>
        </is>
      </c>
      <c r="B635" t="inlineStr">
        <is>
          <t>C00496307</t>
        </is>
      </c>
      <c r="C635" t="inlineStr">
        <is>
          <t>Marathon Petroleum Corp Employees PAC (MPAC)</t>
        </is>
      </c>
      <c r="D635" t="inlineStr">
        <is>
          <t>DR. JOHN JOYCE FOR CONGRESS</t>
        </is>
      </c>
      <c r="E635" t="inlineStr">
        <is>
          <t>H8PA13125</t>
        </is>
      </c>
      <c r="F635" t="inlineStr">
        <is>
          <t>REP</t>
        </is>
      </c>
      <c r="G635" t="inlineStr">
        <is>
          <t>12202019</t>
        </is>
      </c>
      <c r="H635" t="n">
        <v>2500</v>
      </c>
      <c r="I635" t="inlineStr">
        <is>
          <t>202001239167337592</t>
        </is>
      </c>
      <c r="J635" t="inlineStr">
        <is>
          <t>https://docquery.fec.gov/cgi-bin/fecimg/?202001239167337592</t>
        </is>
      </c>
    </row>
    <row r="636">
      <c r="A636" t="inlineStr">
        <is>
          <t>2020</t>
        </is>
      </c>
      <c r="B636" t="inlineStr">
        <is>
          <t>C00496307</t>
        </is>
      </c>
      <c r="C636" t="inlineStr">
        <is>
          <t>Marathon Petroleum Corp Employees PAC (MPAC)</t>
        </is>
      </c>
      <c r="D636" t="inlineStr">
        <is>
          <t>DR. JOHN JOYCE FOR CONGRESS</t>
        </is>
      </c>
      <c r="E636" t="inlineStr">
        <is>
          <t>H8PA13125</t>
        </is>
      </c>
      <c r="F636" t="inlineStr">
        <is>
          <t>REP</t>
        </is>
      </c>
      <c r="G636" t="inlineStr">
        <is>
          <t>12202019</t>
        </is>
      </c>
      <c r="H636" t="n">
        <v>-2500</v>
      </c>
      <c r="I636" t="inlineStr">
        <is>
          <t>202001239167337592</t>
        </is>
      </c>
      <c r="J636" t="inlineStr">
        <is>
          <t>https://docquery.fec.gov/cgi-bin/fecimg/?202001239167337592</t>
        </is>
      </c>
    </row>
    <row r="637">
      <c r="A637" t="inlineStr">
        <is>
          <t>2020</t>
        </is>
      </c>
      <c r="B637" t="inlineStr">
        <is>
          <t>C00496307</t>
        </is>
      </c>
      <c r="C637" t="inlineStr">
        <is>
          <t>Marathon Petroleum Corp Employees PAC (MPAC)</t>
        </is>
      </c>
      <c r="D637" t="inlineStr">
        <is>
          <t>HERN FOR CONGRESS</t>
        </is>
      </c>
      <c r="E637" t="inlineStr">
        <is>
          <t>H8OK01157</t>
        </is>
      </c>
      <c r="F637" t="inlineStr">
        <is>
          <t>REP</t>
        </is>
      </c>
      <c r="G637" t="inlineStr">
        <is>
          <t>12202019</t>
        </is>
      </c>
      <c r="H637" t="n">
        <v>2500</v>
      </c>
      <c r="I637" t="inlineStr">
        <is>
          <t>202001239167337593</t>
        </is>
      </c>
      <c r="J637" t="inlineStr">
        <is>
          <t>https://docquery.fec.gov/cgi-bin/fecimg/?202001239167337593</t>
        </is>
      </c>
    </row>
    <row r="638">
      <c r="A638" t="inlineStr">
        <is>
          <t>2020</t>
        </is>
      </c>
      <c r="B638" t="inlineStr">
        <is>
          <t>C00496307</t>
        </is>
      </c>
      <c r="C638" t="inlineStr">
        <is>
          <t>Marathon Petroleum Corp Employees PAC (MPAC)</t>
        </is>
      </c>
      <c r="D638" t="inlineStr">
        <is>
          <t>RON WRIGHT FOR CONGRESS</t>
        </is>
      </c>
      <c r="E638" t="inlineStr">
        <is>
          <t>H8TX06233</t>
        </is>
      </c>
      <c r="F638" t="inlineStr">
        <is>
          <t>REP</t>
        </is>
      </c>
      <c r="G638" t="inlineStr">
        <is>
          <t>12202019</t>
        </is>
      </c>
      <c r="H638" t="n">
        <v>2500</v>
      </c>
      <c r="I638" t="inlineStr">
        <is>
          <t>202001239167337595</t>
        </is>
      </c>
      <c r="J638" t="inlineStr">
        <is>
          <t>https://docquery.fec.gov/cgi-bin/fecimg/?202001239167337595</t>
        </is>
      </c>
    </row>
    <row r="639">
      <c r="A639" t="inlineStr">
        <is>
          <t>2020</t>
        </is>
      </c>
      <c r="B639" t="inlineStr">
        <is>
          <t>C00496307</t>
        </is>
      </c>
      <c r="C639" t="inlineStr">
        <is>
          <t>Marathon Petroleum Corp Employees PAC (MPAC)</t>
        </is>
      </c>
      <c r="D639" t="inlineStr">
        <is>
          <t>AUGUST PFLUGER FOR CONGRESS</t>
        </is>
      </c>
      <c r="E639" t="inlineStr">
        <is>
          <t>H0TX11230</t>
        </is>
      </c>
      <c r="F639" t="inlineStr">
        <is>
          <t>REP</t>
        </is>
      </c>
      <c r="G639" t="inlineStr">
        <is>
          <t>12272019</t>
        </is>
      </c>
      <c r="H639" t="n">
        <v>5000</v>
      </c>
      <c r="I639" t="inlineStr">
        <is>
          <t>202001239167337591</t>
        </is>
      </c>
      <c r="J639" t="inlineStr">
        <is>
          <t>https://docquery.fec.gov/cgi-bin/fecimg/?202001239167337591</t>
        </is>
      </c>
    </row>
    <row r="640">
      <c r="A640" t="inlineStr">
        <is>
          <t>2020</t>
        </is>
      </c>
      <c r="B640" t="inlineStr">
        <is>
          <t>C00513549</t>
        </is>
      </c>
      <c r="C640" t="inlineStr">
        <is>
          <t>Phillips 66 PAC</t>
        </is>
      </c>
      <c r="D640" t="inlineStr">
        <is>
          <t>DELBENE FOR CONGRESS</t>
        </is>
      </c>
      <c r="E640" t="inlineStr">
        <is>
          <t>H0WA08046</t>
        </is>
      </c>
      <c r="F640" t="inlineStr">
        <is>
          <t>DEM</t>
        </is>
      </c>
      <c r="G640" t="inlineStr">
        <is>
          <t>01212020</t>
        </is>
      </c>
      <c r="H640" t="n">
        <v>-2500</v>
      </c>
      <c r="I640" t="inlineStr">
        <is>
          <t>202002199186520828</t>
        </is>
      </c>
      <c r="J640" t="inlineStr">
        <is>
          <t>https://docquery.fec.gov/cgi-bin/fecimg/?202002199186520828</t>
        </is>
      </c>
    </row>
    <row r="641">
      <c r="A641" t="inlineStr">
        <is>
          <t>2020</t>
        </is>
      </c>
      <c r="B641" t="inlineStr">
        <is>
          <t>C00513549</t>
        </is>
      </c>
      <c r="C641" t="inlineStr">
        <is>
          <t>Phillips 66 PAC</t>
        </is>
      </c>
      <c r="D641" t="inlineStr">
        <is>
          <t>KEVIN MCCARTHY FOR CONGRESS</t>
        </is>
      </c>
      <c r="E641" t="inlineStr">
        <is>
          <t>H6CA22125</t>
        </is>
      </c>
      <c r="F641" t="inlineStr">
        <is>
          <t>REP</t>
        </is>
      </c>
      <c r="G641" t="inlineStr">
        <is>
          <t>01282020</t>
        </is>
      </c>
      <c r="H641" t="n">
        <v>2500</v>
      </c>
      <c r="I641" t="inlineStr">
        <is>
          <t>202002199186520829</t>
        </is>
      </c>
      <c r="J641" t="inlineStr">
        <is>
          <t>https://docquery.fec.gov/cgi-bin/fecimg/?202002199186520829</t>
        </is>
      </c>
    </row>
    <row r="642">
      <c r="A642" t="inlineStr">
        <is>
          <t>2020</t>
        </is>
      </c>
      <c r="B642" t="inlineStr">
        <is>
          <t>C00513549</t>
        </is>
      </c>
      <c r="C642" t="inlineStr">
        <is>
          <t>Phillips 66 PAC</t>
        </is>
      </c>
      <c r="D642" t="inlineStr">
        <is>
          <t>LOU CORREA FOR CONGRESS</t>
        </is>
      </c>
      <c r="E642" t="inlineStr">
        <is>
          <t>H6CA46116</t>
        </is>
      </c>
      <c r="F642" t="inlineStr">
        <is>
          <t>DEM</t>
        </is>
      </c>
      <c r="G642" t="inlineStr">
        <is>
          <t>01282020</t>
        </is>
      </c>
      <c r="H642" t="n">
        <v>1000</v>
      </c>
      <c r="I642" t="inlineStr">
        <is>
          <t>202002199186520830</t>
        </is>
      </c>
      <c r="J642" t="inlineStr">
        <is>
          <t>https://docquery.fec.gov/cgi-bin/fecimg/?202002199186520830</t>
        </is>
      </c>
    </row>
    <row r="643">
      <c r="A643" t="inlineStr">
        <is>
          <t>2020</t>
        </is>
      </c>
      <c r="B643" t="inlineStr">
        <is>
          <t>C00513549</t>
        </is>
      </c>
      <c r="C643" t="inlineStr">
        <is>
          <t>Phillips 66 PAC</t>
        </is>
      </c>
      <c r="D643" t="inlineStr">
        <is>
          <t>LUCAS FOR CONGRESS</t>
        </is>
      </c>
      <c r="E643" t="inlineStr">
        <is>
          <t>H4OK06056</t>
        </is>
      </c>
      <c r="F643" t="inlineStr">
        <is>
          <t>REP</t>
        </is>
      </c>
      <c r="G643" t="inlineStr">
        <is>
          <t>01282020</t>
        </is>
      </c>
      <c r="H643" t="n">
        <v>4000</v>
      </c>
      <c r="I643" t="inlineStr">
        <is>
          <t>202002199186520830</t>
        </is>
      </c>
      <c r="J643" t="inlineStr">
        <is>
          <t>https://docquery.fec.gov/cgi-bin/fecimg/?202002199186520830</t>
        </is>
      </c>
    </row>
    <row r="644">
      <c r="A644" t="inlineStr">
        <is>
          <t>2020</t>
        </is>
      </c>
      <c r="B644" t="inlineStr">
        <is>
          <t>C00513549</t>
        </is>
      </c>
      <c r="C644" t="inlineStr">
        <is>
          <t>Phillips 66 PAC</t>
        </is>
      </c>
      <c r="D644" t="inlineStr">
        <is>
          <t>MARC VEASEY FOR CONGRESS</t>
        </is>
      </c>
      <c r="E644" t="inlineStr">
        <is>
          <t>H2TX33073</t>
        </is>
      </c>
      <c r="F644" t="inlineStr">
        <is>
          <t>DEM</t>
        </is>
      </c>
      <c r="G644" t="inlineStr">
        <is>
          <t>01282020</t>
        </is>
      </c>
      <c r="H644" t="n">
        <v>1500</v>
      </c>
      <c r="I644" t="inlineStr">
        <is>
          <t>202002199186520830</t>
        </is>
      </c>
      <c r="J644" t="inlineStr">
        <is>
          <t>https://docquery.fec.gov/cgi-bin/fecimg/?202002199186520830</t>
        </is>
      </c>
    </row>
    <row r="645">
      <c r="A645" t="inlineStr">
        <is>
          <t>2020</t>
        </is>
      </c>
      <c r="B645" t="inlineStr">
        <is>
          <t>C00513549</t>
        </is>
      </c>
      <c r="C645" t="inlineStr">
        <is>
          <t>Phillips 66 PAC</t>
        </is>
      </c>
      <c r="D645" t="inlineStr">
        <is>
          <t>MIKE BOST FOR CONGRESS COMMITTEE</t>
        </is>
      </c>
      <c r="E645" t="inlineStr">
        <is>
          <t>H4IL12060</t>
        </is>
      </c>
      <c r="F645" t="inlineStr">
        <is>
          <t>REP</t>
        </is>
      </c>
      <c r="G645" t="inlineStr">
        <is>
          <t>01282020</t>
        </is>
      </c>
      <c r="H645" t="n">
        <v>2500</v>
      </c>
      <c r="I645" t="inlineStr">
        <is>
          <t>202002199186520831</t>
        </is>
      </c>
      <c r="J645" t="inlineStr">
        <is>
          <t>https://docquery.fec.gov/cgi-bin/fecimg/?202002199186520831</t>
        </is>
      </c>
    </row>
    <row r="646">
      <c r="A646" t="inlineStr">
        <is>
          <t>2020</t>
        </is>
      </c>
      <c r="B646" t="inlineStr">
        <is>
          <t>C00513549</t>
        </is>
      </c>
      <c r="C646" t="inlineStr">
        <is>
          <t>Phillips 66 PAC</t>
        </is>
      </c>
      <c r="D646" t="inlineStr">
        <is>
          <t>MIKE THOMPSON FOR CONGRESS</t>
        </is>
      </c>
      <c r="E646" t="inlineStr">
        <is>
          <t>H8CA01109</t>
        </is>
      </c>
      <c r="F646" t="inlineStr">
        <is>
          <t>DEM</t>
        </is>
      </c>
      <c r="G646" t="inlineStr">
        <is>
          <t>01282020</t>
        </is>
      </c>
      <c r="H646" t="n">
        <v>3000</v>
      </c>
      <c r="I646" t="inlineStr">
        <is>
          <t>202002199186520831</t>
        </is>
      </c>
      <c r="J646" t="inlineStr">
        <is>
          <t>https://docquery.fec.gov/cgi-bin/fecimg/?202002199186520831</t>
        </is>
      </c>
    </row>
    <row r="647">
      <c r="A647" t="inlineStr">
        <is>
          <t>2020</t>
        </is>
      </c>
      <c r="B647" t="inlineStr">
        <is>
          <t>C00513549</t>
        </is>
      </c>
      <c r="C647" t="inlineStr">
        <is>
          <t>Phillips 66 PAC</t>
        </is>
      </c>
      <c r="D647" t="inlineStr">
        <is>
          <t>MULLIN FOR CONGRESS</t>
        </is>
      </c>
      <c r="E647" t="inlineStr">
        <is>
          <t>H2OK02083</t>
        </is>
      </c>
      <c r="F647" t="inlineStr">
        <is>
          <t>REP</t>
        </is>
      </c>
      <c r="G647" t="inlineStr">
        <is>
          <t>01282020</t>
        </is>
      </c>
      <c r="H647" t="n">
        <v>1500</v>
      </c>
      <c r="I647" t="inlineStr">
        <is>
          <t>202002199186520831</t>
        </is>
      </c>
      <c r="J647" t="inlineStr">
        <is>
          <t>https://docquery.fec.gov/cgi-bin/fecimg/?202002199186520831</t>
        </is>
      </c>
    </row>
    <row r="648">
      <c r="A648" t="inlineStr">
        <is>
          <t>2020</t>
        </is>
      </c>
      <c r="B648" t="inlineStr">
        <is>
          <t>C00513549</t>
        </is>
      </c>
      <c r="C648" t="inlineStr">
        <is>
          <t>Phillips 66 PAC</t>
        </is>
      </c>
      <c r="D648" t="inlineStr">
        <is>
          <t>PIERCE BUSH FOR CONGRESS</t>
        </is>
      </c>
      <c r="E648" t="inlineStr">
        <is>
          <t>H0TX22310</t>
        </is>
      </c>
      <c r="F648" t="inlineStr">
        <is>
          <t>REP</t>
        </is>
      </c>
      <c r="G648" t="inlineStr">
        <is>
          <t>01282020</t>
        </is>
      </c>
      <c r="H648" t="n">
        <v>5000</v>
      </c>
      <c r="I648" t="inlineStr">
        <is>
          <t>202002199186520832</t>
        </is>
      </c>
      <c r="J648" t="inlineStr">
        <is>
          <t>https://docquery.fec.gov/cgi-bin/fecimg/?202002199186520832</t>
        </is>
      </c>
    </row>
    <row r="649">
      <c r="A649" t="inlineStr">
        <is>
          <t>2020</t>
        </is>
      </c>
      <c r="B649" t="inlineStr">
        <is>
          <t>C00513549</t>
        </is>
      </c>
      <c r="C649" t="inlineStr">
        <is>
          <t>Phillips 66 PAC</t>
        </is>
      </c>
      <c r="D649" t="inlineStr">
        <is>
          <t>RICHMOND FOR CONGRESS</t>
        </is>
      </c>
      <c r="E649" t="inlineStr">
        <is>
          <t>H8LA02054</t>
        </is>
      </c>
      <c r="F649" t="inlineStr">
        <is>
          <t>DEM</t>
        </is>
      </c>
      <c r="G649" t="inlineStr">
        <is>
          <t>01282020</t>
        </is>
      </c>
      <c r="H649" t="n">
        <v>2500</v>
      </c>
      <c r="I649" t="inlineStr">
        <is>
          <t>202002199186520832</t>
        </is>
      </c>
      <c r="J649" t="inlineStr">
        <is>
          <t>https://docquery.fec.gov/cgi-bin/fecimg/?202002199186520832</t>
        </is>
      </c>
    </row>
    <row r="650">
      <c r="A650" t="inlineStr">
        <is>
          <t>2020</t>
        </is>
      </c>
      <c r="B650" t="inlineStr">
        <is>
          <t>C00513549</t>
        </is>
      </c>
      <c r="C650" t="inlineStr">
        <is>
          <t>Phillips 66 PAC</t>
        </is>
      </c>
      <c r="D650" t="inlineStr">
        <is>
          <t>RON ESTES FOR CONGRESS</t>
        </is>
      </c>
      <c r="E650" t="inlineStr">
        <is>
          <t>H8KS04112</t>
        </is>
      </c>
      <c r="F650" t="inlineStr">
        <is>
          <t>REP</t>
        </is>
      </c>
      <c r="G650" t="inlineStr">
        <is>
          <t>01282020</t>
        </is>
      </c>
      <c r="H650" t="n">
        <v>2500</v>
      </c>
      <c r="I650" t="inlineStr">
        <is>
          <t>202002199186520832</t>
        </is>
      </c>
      <c r="J650" t="inlineStr">
        <is>
          <t>https://docquery.fec.gov/cgi-bin/fecimg/?202002199186520832</t>
        </is>
      </c>
    </row>
    <row r="651">
      <c r="A651" t="inlineStr">
        <is>
          <t>2020</t>
        </is>
      </c>
      <c r="B651" t="inlineStr">
        <is>
          <t>C00513549</t>
        </is>
      </c>
      <c r="C651" t="inlineStr">
        <is>
          <t>Phillips 66 PAC</t>
        </is>
      </c>
      <c r="D651" t="inlineStr">
        <is>
          <t>SYLVIA GARCIA FOR CONGRESS</t>
        </is>
      </c>
      <c r="E651" t="inlineStr">
        <is>
          <t>H8TX29052</t>
        </is>
      </c>
      <c r="F651" t="inlineStr">
        <is>
          <t>DEM</t>
        </is>
      </c>
      <c r="G651" t="inlineStr">
        <is>
          <t>01282020</t>
        </is>
      </c>
      <c r="H651" t="n">
        <v>1500</v>
      </c>
      <c r="I651" t="inlineStr">
        <is>
          <t>202002199186520833</t>
        </is>
      </c>
      <c r="J651" t="inlineStr">
        <is>
          <t>https://docquery.fec.gov/cgi-bin/fecimg/?202002199186520833</t>
        </is>
      </c>
    </row>
    <row r="652">
      <c r="A652" t="inlineStr">
        <is>
          <t>2020</t>
        </is>
      </c>
      <c r="B652" t="inlineStr">
        <is>
          <t>C00513549</t>
        </is>
      </c>
      <c r="C652" t="inlineStr">
        <is>
          <t>Phillips 66 PAC</t>
        </is>
      </c>
      <c r="D652" t="inlineStr">
        <is>
          <t>WEBER FOR CONGRESS</t>
        </is>
      </c>
      <c r="E652" t="inlineStr">
        <is>
          <t>H2TX14149</t>
        </is>
      </c>
      <c r="F652" t="inlineStr">
        <is>
          <t>REP</t>
        </is>
      </c>
      <c r="G652" t="inlineStr">
        <is>
          <t>01282020</t>
        </is>
      </c>
      <c r="H652" t="n">
        <v>1500</v>
      </c>
      <c r="I652" t="inlineStr">
        <is>
          <t>202002199186520834</t>
        </is>
      </c>
      <c r="J652" t="inlineStr">
        <is>
          <t>https://docquery.fec.gov/cgi-bin/fecimg/?202002199186520834</t>
        </is>
      </c>
    </row>
    <row r="653">
      <c r="A653" t="inlineStr">
        <is>
          <t>2020</t>
        </is>
      </c>
      <c r="B653" t="inlineStr">
        <is>
          <t>C00513549</t>
        </is>
      </c>
      <c r="C653" t="inlineStr">
        <is>
          <t>Phillips 66 PAC</t>
        </is>
      </c>
      <c r="D653" t="inlineStr">
        <is>
          <t>TEXANS FOR HENRY CUELLAR CONGRESSIONAL CAMPAIGN</t>
        </is>
      </c>
      <c r="E653" t="inlineStr">
        <is>
          <t>H2TX23082</t>
        </is>
      </c>
      <c r="F653" t="inlineStr">
        <is>
          <t>DEM</t>
        </is>
      </c>
      <c r="G653" t="inlineStr">
        <is>
          <t>01282020</t>
        </is>
      </c>
      <c r="H653" t="n">
        <v>5000</v>
      </c>
      <c r="I653" t="inlineStr">
        <is>
          <t>202002199186520833</t>
        </is>
      </c>
      <c r="J653" t="inlineStr">
        <is>
          <t>https://docquery.fec.gov/cgi-bin/fecimg/?202002199186520833</t>
        </is>
      </c>
    </row>
    <row r="654">
      <c r="A654" t="inlineStr">
        <is>
          <t>2020</t>
        </is>
      </c>
      <c r="B654" t="inlineStr">
        <is>
          <t>C00513549</t>
        </is>
      </c>
      <c r="C654" t="inlineStr">
        <is>
          <t>Phillips 66 PAC</t>
        </is>
      </c>
      <c r="D654" t="inlineStr">
        <is>
          <t>TEXANS FOR JODEY ARRINGTON</t>
        </is>
      </c>
      <c r="E654" t="inlineStr">
        <is>
          <t>H6TX19099</t>
        </is>
      </c>
      <c r="F654" t="inlineStr">
        <is>
          <t>REP</t>
        </is>
      </c>
      <c r="G654" t="inlineStr">
        <is>
          <t>01282020</t>
        </is>
      </c>
      <c r="H654" t="n">
        <v>4000</v>
      </c>
      <c r="I654" t="inlineStr">
        <is>
          <t>202002199186520833</t>
        </is>
      </c>
      <c r="J654" t="inlineStr">
        <is>
          <t>https://docquery.fec.gov/cgi-bin/fecimg/?202002199186520833</t>
        </is>
      </c>
    </row>
    <row r="655">
      <c r="A655" t="inlineStr">
        <is>
          <t>2020</t>
        </is>
      </c>
      <c r="B655" t="inlineStr">
        <is>
          <t>C00513549</t>
        </is>
      </c>
      <c r="C655" t="inlineStr">
        <is>
          <t>Phillips 66 PAC</t>
        </is>
      </c>
      <c r="D655" t="inlineStr">
        <is>
          <t>TOM OHALLERAN FOR CONGRESS</t>
        </is>
      </c>
      <c r="E655" t="inlineStr">
        <is>
          <t>H6AZ01199</t>
        </is>
      </c>
      <c r="F655" t="inlineStr">
        <is>
          <t>DEM</t>
        </is>
      </c>
      <c r="G655" t="inlineStr">
        <is>
          <t>01282020</t>
        </is>
      </c>
      <c r="H655" t="n">
        <v>2500</v>
      </c>
      <c r="I655" t="inlineStr">
        <is>
          <t>202002199186520834</t>
        </is>
      </c>
      <c r="J655" t="inlineStr">
        <is>
          <t>https://docquery.fec.gov/cgi-bin/fecimg/?202002199186520834</t>
        </is>
      </c>
    </row>
    <row r="656">
      <c r="A656" t="inlineStr">
        <is>
          <t>2020</t>
        </is>
      </c>
      <c r="B656" t="inlineStr">
        <is>
          <t>C00513549</t>
        </is>
      </c>
      <c r="C656" t="inlineStr">
        <is>
          <t>Phillips 66 PAC</t>
        </is>
      </c>
      <c r="D656" t="inlineStr">
        <is>
          <t>AUGUST PFLUGER FOR CONGRESS</t>
        </is>
      </c>
      <c r="E656" t="inlineStr">
        <is>
          <t>H0TX11230</t>
        </is>
      </c>
      <c r="F656" t="inlineStr">
        <is>
          <t>REP</t>
        </is>
      </c>
      <c r="G656" t="inlineStr">
        <is>
          <t>01282020</t>
        </is>
      </c>
      <c r="H656" t="n">
        <v>5000</v>
      </c>
      <c r="I656" t="inlineStr">
        <is>
          <t>202002199186520826</t>
        </is>
      </c>
      <c r="J656" t="inlineStr">
        <is>
          <t>https://docquery.fec.gov/cgi-bin/fecimg/?202002199186520826</t>
        </is>
      </c>
    </row>
    <row r="657">
      <c r="A657" t="inlineStr">
        <is>
          <t>2020</t>
        </is>
      </c>
      <c r="B657" t="inlineStr">
        <is>
          <t>C00513549</t>
        </is>
      </c>
      <c r="C657" t="inlineStr">
        <is>
          <t>Phillips 66 PAC</t>
        </is>
      </c>
      <c r="D657" t="inlineStr">
        <is>
          <t>CAPTAIN HIGGINS FOR CONGRESS</t>
        </is>
      </c>
      <c r="E657" t="inlineStr">
        <is>
          <t>H6LA03148</t>
        </is>
      </c>
      <c r="F657" t="inlineStr">
        <is>
          <t>REP</t>
        </is>
      </c>
      <c r="G657" t="inlineStr">
        <is>
          <t>01282020</t>
        </is>
      </c>
      <c r="H657" t="n">
        <v>1500</v>
      </c>
      <c r="I657" t="inlineStr">
        <is>
          <t>202002199186520826</t>
        </is>
      </c>
      <c r="J657" t="inlineStr">
        <is>
          <t>https://docquery.fec.gov/cgi-bin/fecimg/?202002199186520826</t>
        </is>
      </c>
    </row>
    <row r="658">
      <c r="A658" t="inlineStr">
        <is>
          <t>2020</t>
        </is>
      </c>
      <c r="B658" t="inlineStr">
        <is>
          <t>C00513549</t>
        </is>
      </c>
      <c r="C658" t="inlineStr">
        <is>
          <t>Phillips 66 PAC</t>
        </is>
      </c>
      <c r="D658" t="inlineStr">
        <is>
          <t>COLIN ALLRED FOR CONGRESS</t>
        </is>
      </c>
      <c r="E658" t="inlineStr">
        <is>
          <t>H8TX32098</t>
        </is>
      </c>
      <c r="F658" t="inlineStr">
        <is>
          <t>DEM</t>
        </is>
      </c>
      <c r="G658" t="inlineStr">
        <is>
          <t>01282020</t>
        </is>
      </c>
      <c r="H658" t="n">
        <v>2500</v>
      </c>
      <c r="I658" t="inlineStr">
        <is>
          <t>202002199186520827</t>
        </is>
      </c>
      <c r="J658" t="inlineStr">
        <is>
          <t>https://docquery.fec.gov/cgi-bin/fecimg/?202002199186520827</t>
        </is>
      </c>
    </row>
    <row r="659">
      <c r="A659" t="inlineStr">
        <is>
          <t>2020</t>
        </is>
      </c>
      <c r="B659" t="inlineStr">
        <is>
          <t>C00513549</t>
        </is>
      </c>
      <c r="C659" t="inlineStr">
        <is>
          <t>Phillips 66 PAC</t>
        </is>
      </c>
      <c r="D659" t="inlineStr">
        <is>
          <t>CRAWFORD FOR CONGRESS</t>
        </is>
      </c>
      <c r="E659" t="inlineStr">
        <is>
          <t>H0AR01083</t>
        </is>
      </c>
      <c r="F659" t="inlineStr">
        <is>
          <t>REP</t>
        </is>
      </c>
      <c r="G659" t="inlineStr">
        <is>
          <t>01282020</t>
        </is>
      </c>
      <c r="H659" t="n">
        <v>2500</v>
      </c>
      <c r="I659" t="inlineStr">
        <is>
          <t>202002199186520827</t>
        </is>
      </c>
      <c r="J659" t="inlineStr">
        <is>
          <t>https://docquery.fec.gov/cgi-bin/fecimg/?202002199186520827</t>
        </is>
      </c>
    </row>
    <row r="660">
      <c r="A660" t="inlineStr">
        <is>
          <t>2020</t>
        </is>
      </c>
      <c r="B660" t="inlineStr">
        <is>
          <t>C00513549</t>
        </is>
      </c>
      <c r="C660" t="inlineStr">
        <is>
          <t>Phillips 66 PAC</t>
        </is>
      </c>
      <c r="D660" t="inlineStr">
        <is>
          <t>DAN CRENSHAW FOR CONGRESS</t>
        </is>
      </c>
      <c r="E660" t="inlineStr">
        <is>
          <t>H8TX02166</t>
        </is>
      </c>
      <c r="F660" t="inlineStr">
        <is>
          <t>REP</t>
        </is>
      </c>
      <c r="G660" t="inlineStr">
        <is>
          <t>01282020</t>
        </is>
      </c>
      <c r="H660" t="n">
        <v>2500</v>
      </c>
      <c r="I660" t="inlineStr">
        <is>
          <t>202002199186520827</t>
        </is>
      </c>
      <c r="J660" t="inlineStr">
        <is>
          <t>https://docquery.fec.gov/cgi-bin/fecimg/?202002199186520827</t>
        </is>
      </c>
    </row>
    <row r="661">
      <c r="A661" t="inlineStr">
        <is>
          <t>2020</t>
        </is>
      </c>
      <c r="B661" t="inlineStr">
        <is>
          <t>C00513549</t>
        </is>
      </c>
      <c r="C661" t="inlineStr">
        <is>
          <t>Phillips 66 PAC</t>
        </is>
      </c>
      <c r="D661" t="inlineStr">
        <is>
          <t>ELIZABETH PANNILL FLETCHER FOR CONGRESS</t>
        </is>
      </c>
      <c r="E661" t="inlineStr">
        <is>
          <t>H8TX07140</t>
        </is>
      </c>
      <c r="F661" t="inlineStr">
        <is>
          <t>DEM</t>
        </is>
      </c>
      <c r="G661" t="inlineStr">
        <is>
          <t>01282020</t>
        </is>
      </c>
      <c r="H661" t="n">
        <v>5000</v>
      </c>
      <c r="I661" t="inlineStr">
        <is>
          <t>202002199186520828</t>
        </is>
      </c>
      <c r="J661" t="inlineStr">
        <is>
          <t>https://docquery.fec.gov/cgi-bin/fecimg/?202002199186520828</t>
        </is>
      </c>
    </row>
    <row r="662">
      <c r="A662" t="inlineStr">
        <is>
          <t>2020</t>
        </is>
      </c>
      <c r="B662" t="inlineStr">
        <is>
          <t>C00513549</t>
        </is>
      </c>
      <c r="C662" t="inlineStr">
        <is>
          <t>Phillips 66 PAC</t>
        </is>
      </c>
      <c r="D662" t="inlineStr">
        <is>
          <t>HOYER FOR CONGRESS</t>
        </is>
      </c>
      <c r="E662" t="inlineStr">
        <is>
          <t>H2MD05155</t>
        </is>
      </c>
      <c r="F662" t="inlineStr">
        <is>
          <t>DEM</t>
        </is>
      </c>
      <c r="G662" t="inlineStr">
        <is>
          <t>01282020</t>
        </is>
      </c>
      <c r="H662" t="n">
        <v>1500</v>
      </c>
      <c r="I662" t="inlineStr">
        <is>
          <t>202002199186520828</t>
        </is>
      </c>
      <c r="J662" t="inlineStr">
        <is>
          <t>https://docquery.fec.gov/cgi-bin/fecimg/?202002199186520828</t>
        </is>
      </c>
    </row>
    <row r="663">
      <c r="A663" t="inlineStr">
        <is>
          <t>2020</t>
        </is>
      </c>
      <c r="B663" t="inlineStr">
        <is>
          <t>C00513549</t>
        </is>
      </c>
      <c r="C663" t="inlineStr">
        <is>
          <t>Phillips 66 PAC</t>
        </is>
      </c>
      <c r="D663" t="inlineStr">
        <is>
          <t>JIM COSTA FOR CONGRESS</t>
        </is>
      </c>
      <c r="E663" t="inlineStr">
        <is>
          <t>H4CA20082</t>
        </is>
      </c>
      <c r="F663" t="inlineStr">
        <is>
          <t>DEM</t>
        </is>
      </c>
      <c r="G663" t="inlineStr">
        <is>
          <t>01282020</t>
        </is>
      </c>
      <c r="H663" t="n">
        <v>4000</v>
      </c>
      <c r="I663" t="inlineStr">
        <is>
          <t>202002199186520829</t>
        </is>
      </c>
      <c r="J663" t="inlineStr">
        <is>
          <t>https://docquery.fec.gov/cgi-bin/fecimg/?202002199186520829</t>
        </is>
      </c>
    </row>
    <row r="664">
      <c r="A664" t="inlineStr">
        <is>
          <t>2020</t>
        </is>
      </c>
      <c r="B664" t="inlineStr">
        <is>
          <t>C00513549</t>
        </is>
      </c>
      <c r="C664" t="inlineStr">
        <is>
          <t>Phillips 66 PAC</t>
        </is>
      </c>
      <c r="D664" t="inlineStr">
        <is>
          <t>JOSH WINEGARNER FOR CONGRESS</t>
        </is>
      </c>
      <c r="E664" t="inlineStr">
        <is>
          <t>H0TX13129</t>
        </is>
      </c>
      <c r="F664" t="inlineStr">
        <is>
          <t>REP</t>
        </is>
      </c>
      <c r="G664" t="inlineStr">
        <is>
          <t>01282020</t>
        </is>
      </c>
      <c r="H664" t="n">
        <v>5000</v>
      </c>
      <c r="I664" t="inlineStr">
        <is>
          <t>202002199186520829</t>
        </is>
      </c>
      <c r="J664" t="inlineStr">
        <is>
          <t>https://docquery.fec.gov/cgi-bin/fecimg/?202002199186520829</t>
        </is>
      </c>
    </row>
    <row r="665">
      <c r="A665" t="inlineStr">
        <is>
          <t>2020</t>
        </is>
      </c>
      <c r="B665" t="inlineStr">
        <is>
          <t>C00513549</t>
        </is>
      </c>
      <c r="C665" t="inlineStr">
        <is>
          <t>Phillips 66 PAC</t>
        </is>
      </c>
      <c r="D665" t="inlineStr">
        <is>
          <t>SCALISE FOR CONGRESS</t>
        </is>
      </c>
      <c r="E665" t="inlineStr">
        <is>
          <t>H0LA01087</t>
        </is>
      </c>
      <c r="F665" t="inlineStr">
        <is>
          <t>REP</t>
        </is>
      </c>
      <c r="G665" t="inlineStr">
        <is>
          <t>02042019</t>
        </is>
      </c>
      <c r="H665" t="n">
        <v>-2500</v>
      </c>
      <c r="I665" t="inlineStr">
        <is>
          <t>201908079161366335</t>
        </is>
      </c>
      <c r="J665" t="inlineStr">
        <is>
          <t>https://docquery.fec.gov/cgi-bin/fecimg/?201908079161366335</t>
        </is>
      </c>
    </row>
    <row r="666">
      <c r="A666" t="inlineStr">
        <is>
          <t>2020</t>
        </is>
      </c>
      <c r="B666" t="inlineStr">
        <is>
          <t>C00513549</t>
        </is>
      </c>
      <c r="C666" t="inlineStr">
        <is>
          <t>Phillips 66 PAC</t>
        </is>
      </c>
      <c r="D666" t="inlineStr">
        <is>
          <t>FILEMON VELA FOR CONGRESS</t>
        </is>
      </c>
      <c r="E666" t="inlineStr">
        <is>
          <t>H2TX27190</t>
        </is>
      </c>
      <c r="F666" t="inlineStr">
        <is>
          <t>DEM</t>
        </is>
      </c>
      <c r="G666" t="inlineStr">
        <is>
          <t>02072019</t>
        </is>
      </c>
      <c r="H666" t="n">
        <v>-2500</v>
      </c>
      <c r="I666" t="inlineStr">
        <is>
          <t>201908079161366334</t>
        </is>
      </c>
      <c r="J666" t="inlineStr">
        <is>
          <t>https://docquery.fec.gov/cgi-bin/fecimg/?201908079161366334</t>
        </is>
      </c>
    </row>
    <row r="667">
      <c r="A667" t="inlineStr">
        <is>
          <t>2020</t>
        </is>
      </c>
      <c r="B667" t="inlineStr">
        <is>
          <t>C00513549</t>
        </is>
      </c>
      <c r="C667" t="inlineStr">
        <is>
          <t>Phillips 66 PAC</t>
        </is>
      </c>
      <c r="D667" t="inlineStr">
        <is>
          <t>CAPITO FOR WEST VIRGINIA</t>
        </is>
      </c>
      <c r="E667" t="inlineStr">
        <is>
          <t>S4WV00159</t>
        </is>
      </c>
      <c r="F667" t="inlineStr">
        <is>
          <t>REP</t>
        </is>
      </c>
      <c r="G667" t="inlineStr">
        <is>
          <t>02102020</t>
        </is>
      </c>
      <c r="H667" t="n">
        <v>3000</v>
      </c>
      <c r="I667" t="inlineStr">
        <is>
          <t>202003139203827397</t>
        </is>
      </c>
      <c r="J667" t="inlineStr">
        <is>
          <t>https://docquery.fec.gov/cgi-bin/fecimg/?202003139203827397</t>
        </is>
      </c>
    </row>
    <row r="668">
      <c r="A668" t="inlineStr">
        <is>
          <t>2020</t>
        </is>
      </c>
      <c r="B668" t="inlineStr">
        <is>
          <t>C00513549</t>
        </is>
      </c>
      <c r="C668" t="inlineStr">
        <is>
          <t>Phillips 66 PAC</t>
        </is>
      </c>
      <c r="D668" t="inlineStr">
        <is>
          <t>TEXANS FOR SENATOR JOHN CORNYN INC</t>
        </is>
      </c>
      <c r="E668" t="inlineStr">
        <is>
          <t>S2TX00106</t>
        </is>
      </c>
      <c r="F668" t="inlineStr">
        <is>
          <t>REP</t>
        </is>
      </c>
      <c r="G668" t="inlineStr">
        <is>
          <t>02102020</t>
        </is>
      </c>
      <c r="H668" t="n">
        <v>2500</v>
      </c>
      <c r="I668" t="inlineStr">
        <is>
          <t>202003139203827398</t>
        </is>
      </c>
      <c r="J668" t="inlineStr">
        <is>
          <t>https://docquery.fec.gov/cgi-bin/fecimg/?202003139203827398</t>
        </is>
      </c>
    </row>
    <row r="669">
      <c r="A669" t="inlineStr">
        <is>
          <t>2020</t>
        </is>
      </c>
      <c r="B669" t="inlineStr">
        <is>
          <t>C00513549</t>
        </is>
      </c>
      <c r="C669" t="inlineStr">
        <is>
          <t>Phillips 66 PAC</t>
        </is>
      </c>
      <c r="D669" t="inlineStr">
        <is>
          <t>GRAVES FOR CONGRESS</t>
        </is>
      </c>
      <c r="E669" t="inlineStr">
        <is>
          <t>H0MO06073</t>
        </is>
      </c>
      <c r="F669" t="inlineStr">
        <is>
          <t>REP</t>
        </is>
      </c>
      <c r="G669" t="inlineStr">
        <is>
          <t>02212020</t>
        </is>
      </c>
      <c r="H669" t="n">
        <v>2500</v>
      </c>
      <c r="I669" t="inlineStr">
        <is>
          <t>202003139203827397</t>
        </is>
      </c>
      <c r="J669" t="inlineStr">
        <is>
          <t>https://docquery.fec.gov/cgi-bin/fecimg/?202003139203827397</t>
        </is>
      </c>
    </row>
    <row r="670">
      <c r="A670" t="inlineStr">
        <is>
          <t>2020</t>
        </is>
      </c>
      <c r="B670" t="inlineStr">
        <is>
          <t>C00513549</t>
        </is>
      </c>
      <c r="C670" t="inlineStr">
        <is>
          <t>Phillips 66 PAC</t>
        </is>
      </c>
      <c r="D670" t="inlineStr">
        <is>
          <t>MCCAUL FOR CONGRESS INC.</t>
        </is>
      </c>
      <c r="E670" t="inlineStr">
        <is>
          <t>H4TX10093</t>
        </is>
      </c>
      <c r="F670" t="inlineStr">
        <is>
          <t>REP</t>
        </is>
      </c>
      <c r="G670" t="inlineStr">
        <is>
          <t>02212020</t>
        </is>
      </c>
      <c r="H670" t="n">
        <v>2500</v>
      </c>
      <c r="I670" t="inlineStr">
        <is>
          <t>202003139203827397</t>
        </is>
      </c>
      <c r="J670" t="inlineStr">
        <is>
          <t>https://docquery.fec.gov/cgi-bin/fecimg/?202003139203827397</t>
        </is>
      </c>
    </row>
    <row r="671">
      <c r="A671" t="inlineStr">
        <is>
          <t>2020</t>
        </is>
      </c>
      <c r="B671" t="inlineStr">
        <is>
          <t>C00513549</t>
        </is>
      </c>
      <c r="C671" t="inlineStr">
        <is>
          <t>Phillips 66 PAC</t>
        </is>
      </c>
      <c r="D671" t="inlineStr">
        <is>
          <t>MULLIN FOR CONGRESS</t>
        </is>
      </c>
      <c r="E671" t="inlineStr">
        <is>
          <t>H2OK02083</t>
        </is>
      </c>
      <c r="F671" t="inlineStr">
        <is>
          <t>REP</t>
        </is>
      </c>
      <c r="G671" t="inlineStr">
        <is>
          <t>02212020</t>
        </is>
      </c>
      <c r="H671" t="n">
        <v>2500</v>
      </c>
      <c r="I671" t="inlineStr">
        <is>
          <t>202003139203827398</t>
        </is>
      </c>
      <c r="J671" t="inlineStr">
        <is>
          <t>https://docquery.fec.gov/cgi-bin/fecimg/?202003139203827398</t>
        </is>
      </c>
    </row>
    <row r="672">
      <c r="A672" t="inlineStr">
        <is>
          <t>2020</t>
        </is>
      </c>
      <c r="B672" t="inlineStr">
        <is>
          <t>C00513549</t>
        </is>
      </c>
      <c r="C672" t="inlineStr">
        <is>
          <t>Phillips 66 PAC</t>
        </is>
      </c>
      <c r="D672" t="inlineStr">
        <is>
          <t>COLIN ALLRED FOR CONGRESS</t>
        </is>
      </c>
      <c r="E672" t="inlineStr">
        <is>
          <t>H8TX32098</t>
        </is>
      </c>
      <c r="F672" t="inlineStr">
        <is>
          <t>DEM</t>
        </is>
      </c>
      <c r="G672" t="inlineStr">
        <is>
          <t>02282020</t>
        </is>
      </c>
      <c r="H672" t="n">
        <v>-2500</v>
      </c>
      <c r="I672" t="inlineStr">
        <is>
          <t>202003139203827396</t>
        </is>
      </c>
      <c r="J672" t="inlineStr">
        <is>
          <t>https://docquery.fec.gov/cgi-bin/fecimg/?202003139203827396</t>
        </is>
      </c>
    </row>
    <row r="673">
      <c r="A673" t="inlineStr">
        <is>
          <t>2020</t>
        </is>
      </c>
      <c r="B673" t="inlineStr">
        <is>
          <t>C00513549</t>
        </is>
      </c>
      <c r="C673" t="inlineStr">
        <is>
          <t>Phillips 66 PAC</t>
        </is>
      </c>
      <c r="D673" t="inlineStr">
        <is>
          <t>MARC VEASEY FOR CONGRESS</t>
        </is>
      </c>
      <c r="E673" t="inlineStr">
        <is>
          <t>H2TX33073</t>
        </is>
      </c>
      <c r="F673" t="inlineStr">
        <is>
          <t>DEM</t>
        </is>
      </c>
      <c r="G673" t="inlineStr">
        <is>
          <t>03162020</t>
        </is>
      </c>
      <c r="H673" t="n">
        <v>1000</v>
      </c>
      <c r="I673" t="inlineStr">
        <is>
          <t>202004209220098352</t>
        </is>
      </c>
      <c r="J673" t="inlineStr">
        <is>
          <t>https://docquery.fec.gov/cgi-bin/fecimg/?202004209220098352</t>
        </is>
      </c>
    </row>
    <row r="674">
      <c r="A674" t="inlineStr">
        <is>
          <t>2020</t>
        </is>
      </c>
      <c r="B674" t="inlineStr">
        <is>
          <t>C00513549</t>
        </is>
      </c>
      <c r="C674" t="inlineStr">
        <is>
          <t>Phillips 66 PAC</t>
        </is>
      </c>
      <c r="D674" t="inlineStr">
        <is>
          <t>STEVE DAINES FOR MONTANA</t>
        </is>
      </c>
      <c r="E674" t="inlineStr">
        <is>
          <t>S2MT00096</t>
        </is>
      </c>
      <c r="F674" t="inlineStr">
        <is>
          <t>REP</t>
        </is>
      </c>
      <c r="G674" t="inlineStr">
        <is>
          <t>03162020</t>
        </is>
      </c>
      <c r="H674" t="n">
        <v>5000</v>
      </c>
      <c r="I674" t="inlineStr">
        <is>
          <t>202004209220098352</t>
        </is>
      </c>
      <c r="J674" t="inlineStr">
        <is>
          <t>https://docquery.fec.gov/cgi-bin/fecimg/?202004209220098352</t>
        </is>
      </c>
    </row>
    <row r="675">
      <c r="A675" t="inlineStr">
        <is>
          <t>2020</t>
        </is>
      </c>
      <c r="B675" t="inlineStr">
        <is>
          <t>C00513549</t>
        </is>
      </c>
      <c r="C675" t="inlineStr">
        <is>
          <t>Phillips 66 PAC</t>
        </is>
      </c>
      <c r="D675" t="inlineStr">
        <is>
          <t>TEXANS FOR JODEY ARRINGTON</t>
        </is>
      </c>
      <c r="E675" t="inlineStr">
        <is>
          <t>H6TX19099</t>
        </is>
      </c>
      <c r="F675" t="inlineStr">
        <is>
          <t>REP</t>
        </is>
      </c>
      <c r="G675" t="inlineStr">
        <is>
          <t>03272019</t>
        </is>
      </c>
      <c r="H675" t="n">
        <v>1000</v>
      </c>
      <c r="I675" t="inlineStr">
        <is>
          <t>201908079161366409</t>
        </is>
      </c>
      <c r="J675" t="inlineStr">
        <is>
          <t>https://docquery.fec.gov/cgi-bin/fecimg/?201908079161366409</t>
        </is>
      </c>
    </row>
    <row r="676">
      <c r="A676" t="inlineStr">
        <is>
          <t>2020</t>
        </is>
      </c>
      <c r="B676" t="inlineStr">
        <is>
          <t>C00513549</t>
        </is>
      </c>
      <c r="C676" t="inlineStr">
        <is>
          <t>Phillips 66 PAC</t>
        </is>
      </c>
      <c r="D676" t="inlineStr">
        <is>
          <t>FEINSTEIN FOR SENATE 2018</t>
        </is>
      </c>
      <c r="E676" t="inlineStr">
        <is>
          <t>S0CA00199</t>
        </is>
      </c>
      <c r="F676" t="inlineStr">
        <is>
          <t>DEM</t>
        </is>
      </c>
      <c r="G676" t="inlineStr">
        <is>
          <t>04022019</t>
        </is>
      </c>
      <c r="H676" t="n">
        <v>2500</v>
      </c>
      <c r="I676" t="inlineStr">
        <is>
          <t>201908079161366459</t>
        </is>
      </c>
      <c r="J676" t="inlineStr">
        <is>
          <t>https://docquery.fec.gov/cgi-bin/fecimg/?201908079161366459</t>
        </is>
      </c>
    </row>
    <row r="677">
      <c r="A677" t="inlineStr">
        <is>
          <t>2020</t>
        </is>
      </c>
      <c r="B677" t="inlineStr">
        <is>
          <t>C00513549</t>
        </is>
      </c>
      <c r="C677" t="inlineStr">
        <is>
          <t>Phillips 66 PAC</t>
        </is>
      </c>
      <c r="D677" t="inlineStr">
        <is>
          <t>OLSON FOR CONGRESS COMMITTEE</t>
        </is>
      </c>
      <c r="E677" t="inlineStr">
        <is>
          <t>H8TX22107</t>
        </is>
      </c>
      <c r="F677" t="inlineStr">
        <is>
          <t>REP</t>
        </is>
      </c>
      <c r="G677" t="inlineStr">
        <is>
          <t>04022019</t>
        </is>
      </c>
      <c r="H677" t="n">
        <v>1000</v>
      </c>
      <c r="I677" t="inlineStr">
        <is>
          <t>201908079161366461</t>
        </is>
      </c>
      <c r="J677" t="inlineStr">
        <is>
          <t>https://docquery.fec.gov/cgi-bin/fecimg/?201908079161366461</t>
        </is>
      </c>
    </row>
    <row r="678">
      <c r="A678" t="inlineStr">
        <is>
          <t>2020</t>
        </is>
      </c>
      <c r="B678" t="inlineStr">
        <is>
          <t>C00513549</t>
        </is>
      </c>
      <c r="C678" t="inlineStr">
        <is>
          <t>Phillips 66 PAC</t>
        </is>
      </c>
      <c r="D678" t="inlineStr">
        <is>
          <t>RODNEY FOR CONGRESS</t>
        </is>
      </c>
      <c r="E678" t="inlineStr">
        <is>
          <t>H2IL13120</t>
        </is>
      </c>
      <c r="F678" t="inlineStr">
        <is>
          <t>REP</t>
        </is>
      </c>
      <c r="G678" t="inlineStr">
        <is>
          <t>04022019</t>
        </is>
      </c>
      <c r="H678" t="n">
        <v>1000</v>
      </c>
      <c r="I678" t="inlineStr">
        <is>
          <t>201908079161366462</t>
        </is>
      </c>
      <c r="J678" t="inlineStr">
        <is>
          <t>https://docquery.fec.gov/cgi-bin/fecimg/?201908079161366462</t>
        </is>
      </c>
    </row>
    <row r="679">
      <c r="A679" t="inlineStr">
        <is>
          <t>2020</t>
        </is>
      </c>
      <c r="B679" t="inlineStr">
        <is>
          <t>C00513549</t>
        </is>
      </c>
      <c r="C679" t="inlineStr">
        <is>
          <t>Phillips 66 PAC</t>
        </is>
      </c>
      <c r="D679" t="inlineStr">
        <is>
          <t>TEXANS FOR HENRY CUELLAR CONGRESSIONAL CAMPAIGN</t>
        </is>
      </c>
      <c r="E679" t="inlineStr">
        <is>
          <t>H2TX23082</t>
        </is>
      </c>
      <c r="F679" t="inlineStr">
        <is>
          <t>DEM</t>
        </is>
      </c>
      <c r="G679" t="inlineStr">
        <is>
          <t>04022019</t>
        </is>
      </c>
      <c r="H679" t="n">
        <v>5000</v>
      </c>
      <c r="I679" t="inlineStr">
        <is>
          <t>201908079161366462</t>
        </is>
      </c>
      <c r="J679" t="inlineStr">
        <is>
          <t>https://docquery.fec.gov/cgi-bin/fecimg/?201908079161366462</t>
        </is>
      </c>
    </row>
    <row r="680">
      <c r="A680" t="inlineStr">
        <is>
          <t>2020</t>
        </is>
      </c>
      <c r="B680" t="inlineStr">
        <is>
          <t>C00513549</t>
        </is>
      </c>
      <c r="C680" t="inlineStr">
        <is>
          <t>Phillips 66 PAC</t>
        </is>
      </c>
      <c r="D680" t="inlineStr">
        <is>
          <t>WEBER FOR CONGRESS</t>
        </is>
      </c>
      <c r="E680" t="inlineStr">
        <is>
          <t>H2TX14149</t>
        </is>
      </c>
      <c r="F680" t="inlineStr">
        <is>
          <t>REP</t>
        </is>
      </c>
      <c r="G680" t="inlineStr">
        <is>
          <t>04022019</t>
        </is>
      </c>
      <c r="H680" t="n">
        <v>1000</v>
      </c>
      <c r="I680" t="inlineStr">
        <is>
          <t>201908079161366462</t>
        </is>
      </c>
      <c r="J680" t="inlineStr">
        <is>
          <t>https://docquery.fec.gov/cgi-bin/fecimg/?201908079161366462</t>
        </is>
      </c>
    </row>
    <row r="681">
      <c r="A681" t="inlineStr">
        <is>
          <t>2020</t>
        </is>
      </c>
      <c r="B681" t="inlineStr">
        <is>
          <t>C00513549</t>
        </is>
      </c>
      <c r="C681" t="inlineStr">
        <is>
          <t>Phillips 66 PAC</t>
        </is>
      </c>
      <c r="D681" t="inlineStr">
        <is>
          <t>DAN CRENSHAW FOR CONGRESS</t>
        </is>
      </c>
      <c r="E681" t="inlineStr">
        <is>
          <t>H8TX02166</t>
        </is>
      </c>
      <c r="F681" t="inlineStr">
        <is>
          <t>REP</t>
        </is>
      </c>
      <c r="G681" t="inlineStr">
        <is>
          <t>04022019</t>
        </is>
      </c>
      <c r="H681" t="n">
        <v>1000</v>
      </c>
      <c r="I681" t="inlineStr">
        <is>
          <t>201908079161366460</t>
        </is>
      </c>
      <c r="J681" t="inlineStr">
        <is>
          <t>https://docquery.fec.gov/cgi-bin/fecimg/?201908079161366460</t>
        </is>
      </c>
    </row>
    <row r="682">
      <c r="A682" t="inlineStr">
        <is>
          <t>2020</t>
        </is>
      </c>
      <c r="B682" t="inlineStr">
        <is>
          <t>C00513549</t>
        </is>
      </c>
      <c r="C682" t="inlineStr">
        <is>
          <t>Phillips 66 PAC</t>
        </is>
      </c>
      <c r="D682" t="inlineStr">
        <is>
          <t>ELIZABETH PANNILL FLETCHER FOR CONGRESS</t>
        </is>
      </c>
      <c r="E682" t="inlineStr">
        <is>
          <t>H8TX07140</t>
        </is>
      </c>
      <c r="F682" t="inlineStr">
        <is>
          <t>DEM</t>
        </is>
      </c>
      <c r="G682" t="inlineStr">
        <is>
          <t>04022019</t>
        </is>
      </c>
      <c r="H682" t="n">
        <v>1000</v>
      </c>
      <c r="I682" t="inlineStr">
        <is>
          <t>201908079161366460</t>
        </is>
      </c>
      <c r="J682" t="inlineStr">
        <is>
          <t>https://docquery.fec.gov/cgi-bin/fecimg/?201908079161366460</t>
        </is>
      </c>
    </row>
    <row r="683">
      <c r="A683" t="inlineStr">
        <is>
          <t>2020</t>
        </is>
      </c>
      <c r="B683" t="inlineStr">
        <is>
          <t>C00513549</t>
        </is>
      </c>
      <c r="C683" t="inlineStr">
        <is>
          <t>Phillips 66 PAC</t>
        </is>
      </c>
      <c r="D683" t="inlineStr">
        <is>
          <t>FRIENDS OF JIM INHOFE</t>
        </is>
      </c>
      <c r="E683" t="inlineStr">
        <is>
          <t>S4OK00083</t>
        </is>
      </c>
      <c r="F683" t="inlineStr">
        <is>
          <t>REP</t>
        </is>
      </c>
      <c r="G683" t="inlineStr">
        <is>
          <t>04022019</t>
        </is>
      </c>
      <c r="H683" t="n">
        <v>5000</v>
      </c>
      <c r="I683" t="inlineStr">
        <is>
          <t>201908079161366460</t>
        </is>
      </c>
      <c r="J683" t="inlineStr">
        <is>
          <t>https://docquery.fec.gov/cgi-bin/fecimg/?201908079161366460</t>
        </is>
      </c>
    </row>
    <row r="684">
      <c r="A684" t="inlineStr">
        <is>
          <t>2020</t>
        </is>
      </c>
      <c r="B684" t="inlineStr">
        <is>
          <t>C00513549</t>
        </is>
      </c>
      <c r="C684" t="inlineStr">
        <is>
          <t>Phillips 66 PAC</t>
        </is>
      </c>
      <c r="D684" t="inlineStr">
        <is>
          <t>GARRET GRAVES FOR CONGRESS</t>
        </is>
      </c>
      <c r="E684" t="inlineStr">
        <is>
          <t>H4LA06153</t>
        </is>
      </c>
      <c r="F684" t="inlineStr">
        <is>
          <t>REP</t>
        </is>
      </c>
      <c r="G684" t="inlineStr">
        <is>
          <t>04022019</t>
        </is>
      </c>
      <c r="H684" t="n">
        <v>1000</v>
      </c>
      <c r="I684" t="inlineStr">
        <is>
          <t>201908079161366461</t>
        </is>
      </c>
      <c r="J684" t="inlineStr">
        <is>
          <t>https://docquery.fec.gov/cgi-bin/fecimg/?201908079161366461</t>
        </is>
      </c>
    </row>
    <row r="685">
      <c r="A685" t="inlineStr">
        <is>
          <t>2020</t>
        </is>
      </c>
      <c r="B685" t="inlineStr">
        <is>
          <t>C00513549</t>
        </is>
      </c>
      <c r="C685" t="inlineStr">
        <is>
          <t>Phillips 66 PAC</t>
        </is>
      </c>
      <c r="D685" t="inlineStr">
        <is>
          <t>MIKE THOMPSON FOR CONGRESS</t>
        </is>
      </c>
      <c r="E685" t="inlineStr">
        <is>
          <t>H8CA01109</t>
        </is>
      </c>
      <c r="F685" t="inlineStr">
        <is>
          <t>DEM</t>
        </is>
      </c>
      <c r="G685" t="inlineStr">
        <is>
          <t>04022019</t>
        </is>
      </c>
      <c r="H685" t="n">
        <v>2000</v>
      </c>
      <c r="I685" t="inlineStr">
        <is>
          <t>201908079161366461</t>
        </is>
      </c>
      <c r="J685" t="inlineStr">
        <is>
          <t>https://docquery.fec.gov/cgi-bin/fecimg/?201908079161366461</t>
        </is>
      </c>
    </row>
    <row r="686">
      <c r="A686" t="inlineStr">
        <is>
          <t>2020</t>
        </is>
      </c>
      <c r="B686" t="inlineStr">
        <is>
          <t>C00513549</t>
        </is>
      </c>
      <c r="C686" t="inlineStr">
        <is>
          <t>Phillips 66 PAC</t>
        </is>
      </c>
      <c r="D686" t="inlineStr">
        <is>
          <t>RICHMOND FOR CONGRESS</t>
        </is>
      </c>
      <c r="E686" t="inlineStr">
        <is>
          <t>H8LA02054</t>
        </is>
      </c>
      <c r="F686" t="inlineStr">
        <is>
          <t>DEM</t>
        </is>
      </c>
      <c r="G686" t="inlineStr">
        <is>
          <t>04152020</t>
        </is>
      </c>
      <c r="H686" t="n">
        <v>2500</v>
      </c>
      <c r="I686" t="inlineStr">
        <is>
          <t>202005079232370829</t>
        </is>
      </c>
      <c r="J686" t="inlineStr">
        <is>
          <t>https://docquery.fec.gov/cgi-bin/fecimg/?202005079232370829</t>
        </is>
      </c>
    </row>
    <row r="687">
      <c r="A687" t="inlineStr">
        <is>
          <t>2020</t>
        </is>
      </c>
      <c r="B687" t="inlineStr">
        <is>
          <t>C00513549</t>
        </is>
      </c>
      <c r="C687" t="inlineStr">
        <is>
          <t>Phillips 66 PAC</t>
        </is>
      </c>
      <c r="D687" t="inlineStr">
        <is>
          <t>FILEMON VELA FOR CONGRESS</t>
        </is>
      </c>
      <c r="E687" t="inlineStr">
        <is>
          <t>H2TX27190</t>
        </is>
      </c>
      <c r="F687" t="inlineStr">
        <is>
          <t>DEM</t>
        </is>
      </c>
      <c r="G687" t="inlineStr">
        <is>
          <t>05012020</t>
        </is>
      </c>
      <c r="H687" t="n">
        <v>-4000</v>
      </c>
      <c r="I687" t="inlineStr">
        <is>
          <t>202006199240044258</t>
        </is>
      </c>
      <c r="J687" t="inlineStr">
        <is>
          <t>https://docquery.fec.gov/cgi-bin/fecimg/?202006199240044258</t>
        </is>
      </c>
    </row>
    <row r="688">
      <c r="A688" t="inlineStr">
        <is>
          <t>2020</t>
        </is>
      </c>
      <c r="B688" t="inlineStr">
        <is>
          <t>C00513549</t>
        </is>
      </c>
      <c r="C688" t="inlineStr">
        <is>
          <t>Phillips 66 PAC</t>
        </is>
      </c>
      <c r="D688" t="inlineStr">
        <is>
          <t>MCCONNELL SENATE COMMITTEE</t>
        </is>
      </c>
      <c r="E688" t="inlineStr">
        <is>
          <t>S2KY00012</t>
        </is>
      </c>
      <c r="F688" t="inlineStr">
        <is>
          <t>REP</t>
        </is>
      </c>
      <c r="G688" t="inlineStr">
        <is>
          <t>05062019</t>
        </is>
      </c>
      <c r="H688" t="n">
        <v>1000</v>
      </c>
      <c r="I688" t="inlineStr">
        <is>
          <t>201906199150096685</t>
        </is>
      </c>
      <c r="J688" t="inlineStr">
        <is>
          <t>https://docquery.fec.gov/cgi-bin/fecimg/?201906199150096685</t>
        </is>
      </c>
    </row>
    <row r="689">
      <c r="A689" t="inlineStr">
        <is>
          <t>2020</t>
        </is>
      </c>
      <c r="B689" t="inlineStr">
        <is>
          <t>C00513549</t>
        </is>
      </c>
      <c r="C689" t="inlineStr">
        <is>
          <t>Phillips 66 PAC</t>
        </is>
      </c>
      <c r="D689" t="inlineStr">
        <is>
          <t>STEVE DAINES FOR MONTANA</t>
        </is>
      </c>
      <c r="E689" t="inlineStr">
        <is>
          <t>S2MT00096</t>
        </is>
      </c>
      <c r="F689" t="inlineStr">
        <is>
          <t>REP</t>
        </is>
      </c>
      <c r="G689" t="inlineStr">
        <is>
          <t>05062019</t>
        </is>
      </c>
      <c r="H689" t="n">
        <v>1500</v>
      </c>
      <c r="I689" t="inlineStr">
        <is>
          <t>201906199150096686</t>
        </is>
      </c>
      <c r="J689" t="inlineStr">
        <is>
          <t>https://docquery.fec.gov/cgi-bin/fecimg/?201906199150096686</t>
        </is>
      </c>
    </row>
    <row r="690">
      <c r="A690" t="inlineStr">
        <is>
          <t>2020</t>
        </is>
      </c>
      <c r="B690" t="inlineStr">
        <is>
          <t>C00513549</t>
        </is>
      </c>
      <c r="C690" t="inlineStr">
        <is>
          <t>Phillips 66 PAC</t>
        </is>
      </c>
      <c r="D690" t="inlineStr">
        <is>
          <t>TEAM GRAHAM INC.</t>
        </is>
      </c>
      <c r="E690" t="inlineStr">
        <is>
          <t>S0SC00149</t>
        </is>
      </c>
      <c r="F690" t="inlineStr">
        <is>
          <t>REP</t>
        </is>
      </c>
      <c r="G690" t="inlineStr">
        <is>
          <t>05062019</t>
        </is>
      </c>
      <c r="H690" t="n">
        <v>1000</v>
      </c>
      <c r="I690" t="inlineStr">
        <is>
          <t>201906199150096687</t>
        </is>
      </c>
      <c r="J690" t="inlineStr">
        <is>
          <t>https://docquery.fec.gov/cgi-bin/fecimg/?201906199150096687</t>
        </is>
      </c>
    </row>
    <row r="691">
      <c r="A691" t="inlineStr">
        <is>
          <t>2020</t>
        </is>
      </c>
      <c r="B691" t="inlineStr">
        <is>
          <t>C00513549</t>
        </is>
      </c>
      <c r="C691" t="inlineStr">
        <is>
          <t>Phillips 66 PAC</t>
        </is>
      </c>
      <c r="D691" t="inlineStr">
        <is>
          <t>TEXANS FOR SENATOR JOHN CORNYN INC</t>
        </is>
      </c>
      <c r="E691" t="inlineStr">
        <is>
          <t>S2TX00106</t>
        </is>
      </c>
      <c r="F691" t="inlineStr">
        <is>
          <t>REP</t>
        </is>
      </c>
      <c r="G691" t="inlineStr">
        <is>
          <t>05062019</t>
        </is>
      </c>
      <c r="H691" t="n">
        <v>1000</v>
      </c>
      <c r="I691" t="inlineStr">
        <is>
          <t>201906199150096687</t>
        </is>
      </c>
      <c r="J691" t="inlineStr">
        <is>
          <t>https://docquery.fec.gov/cgi-bin/fecimg/?201906199150096687</t>
        </is>
      </c>
    </row>
    <row r="692">
      <c r="A692" t="inlineStr">
        <is>
          <t>2020</t>
        </is>
      </c>
      <c r="B692" t="inlineStr">
        <is>
          <t>C00513549</t>
        </is>
      </c>
      <c r="C692" t="inlineStr">
        <is>
          <t>Phillips 66 PAC</t>
        </is>
      </c>
      <c r="D692" t="inlineStr">
        <is>
          <t>BILL CASSIDY FOR US SENATE</t>
        </is>
      </c>
      <c r="E692" t="inlineStr">
        <is>
          <t>S4LA00107</t>
        </is>
      </c>
      <c r="F692" t="inlineStr">
        <is>
          <t>REP</t>
        </is>
      </c>
      <c r="G692" t="inlineStr">
        <is>
          <t>05062019</t>
        </is>
      </c>
      <c r="H692" t="n">
        <v>1000</v>
      </c>
      <c r="I692" t="inlineStr">
        <is>
          <t>201906199150096681</t>
        </is>
      </c>
      <c r="J692" t="inlineStr">
        <is>
          <t>https://docquery.fec.gov/cgi-bin/fecimg/?201906199150096681</t>
        </is>
      </c>
    </row>
    <row r="693">
      <c r="A693" t="inlineStr">
        <is>
          <t>2020</t>
        </is>
      </c>
      <c r="B693" t="inlineStr">
        <is>
          <t>C00513549</t>
        </is>
      </c>
      <c r="C693" t="inlineStr">
        <is>
          <t>Phillips 66 PAC</t>
        </is>
      </c>
      <c r="D693" t="inlineStr">
        <is>
          <t>CAPITO FOR WEST VIRGINIA</t>
        </is>
      </c>
      <c r="E693" t="inlineStr">
        <is>
          <t>S4WV00159</t>
        </is>
      </c>
      <c r="F693" t="inlineStr">
        <is>
          <t>REP</t>
        </is>
      </c>
      <c r="G693" t="inlineStr">
        <is>
          <t>05062019</t>
        </is>
      </c>
      <c r="H693" t="n">
        <v>1000</v>
      </c>
      <c r="I693" t="inlineStr">
        <is>
          <t>201906199150096682</t>
        </is>
      </c>
      <c r="J693" t="inlineStr">
        <is>
          <t>https://docquery.fec.gov/cgi-bin/fecimg/?201906199150096682</t>
        </is>
      </c>
    </row>
    <row r="694">
      <c r="A694" t="inlineStr">
        <is>
          <t>2020</t>
        </is>
      </c>
      <c r="B694" t="inlineStr">
        <is>
          <t>C00513549</t>
        </is>
      </c>
      <c r="C694" t="inlineStr">
        <is>
          <t>Phillips 66 PAC</t>
        </is>
      </c>
      <c r="D694" t="inlineStr">
        <is>
          <t>CORY GARDNER FOR SENATE</t>
        </is>
      </c>
      <c r="E694" t="inlineStr">
        <is>
          <t>S4CO00395</t>
        </is>
      </c>
      <c r="F694" t="inlineStr">
        <is>
          <t>REP</t>
        </is>
      </c>
      <c r="G694" t="inlineStr">
        <is>
          <t>05062019</t>
        </is>
      </c>
      <c r="H694" t="n">
        <v>1000</v>
      </c>
      <c r="I694" t="inlineStr">
        <is>
          <t>201906199150096683</t>
        </is>
      </c>
      <c r="J694" t="inlineStr">
        <is>
          <t>https://docquery.fec.gov/cgi-bin/fecimg/?201906199150096683</t>
        </is>
      </c>
    </row>
    <row r="695">
      <c r="A695" t="inlineStr">
        <is>
          <t>2020</t>
        </is>
      </c>
      <c r="B695" t="inlineStr">
        <is>
          <t>C00513549</t>
        </is>
      </c>
      <c r="C695" t="inlineStr">
        <is>
          <t>Phillips 66 PAC</t>
        </is>
      </c>
      <c r="D695" t="inlineStr">
        <is>
          <t>FILEMON VELA FOR CONGRESS</t>
        </is>
      </c>
      <c r="E695" t="inlineStr">
        <is>
          <t>H2TX27190</t>
        </is>
      </c>
      <c r="F695" t="inlineStr">
        <is>
          <t>DEM</t>
        </is>
      </c>
      <c r="G695" t="inlineStr">
        <is>
          <t>05142019</t>
        </is>
      </c>
      <c r="H695" t="n">
        <v>1000</v>
      </c>
      <c r="I695" t="inlineStr">
        <is>
          <t>201906199150096684</t>
        </is>
      </c>
      <c r="J695" t="inlineStr">
        <is>
          <t>https://docquery.fec.gov/cgi-bin/fecimg/?201906199150096684</t>
        </is>
      </c>
    </row>
    <row r="696">
      <c r="A696" t="inlineStr">
        <is>
          <t>2020</t>
        </is>
      </c>
      <c r="B696" t="inlineStr">
        <is>
          <t>C00513549</t>
        </is>
      </c>
      <c r="C696" t="inlineStr">
        <is>
          <t>Phillips 66 PAC</t>
        </is>
      </c>
      <c r="D696" t="inlineStr">
        <is>
          <t>GARRET GRAVES FOR CONGRESS</t>
        </is>
      </c>
      <c r="E696" t="inlineStr">
        <is>
          <t>H4LA06153</t>
        </is>
      </c>
      <c r="F696" t="inlineStr">
        <is>
          <t>REP</t>
        </is>
      </c>
      <c r="G696" t="inlineStr">
        <is>
          <t>05142019</t>
        </is>
      </c>
      <c r="H696" t="n">
        <v>1000</v>
      </c>
      <c r="I696" t="inlineStr">
        <is>
          <t>201906199150096684</t>
        </is>
      </c>
      <c r="J696" t="inlineStr">
        <is>
          <t>https://docquery.fec.gov/cgi-bin/fecimg/?201906199150096684</t>
        </is>
      </c>
    </row>
    <row r="697">
      <c r="A697" t="inlineStr">
        <is>
          <t>2020</t>
        </is>
      </c>
      <c r="B697" t="inlineStr">
        <is>
          <t>C00513549</t>
        </is>
      </c>
      <c r="C697" t="inlineStr">
        <is>
          <t>Phillips 66 PAC</t>
        </is>
      </c>
      <c r="D697" t="inlineStr">
        <is>
          <t>SYLVIA GARCIA FOR CONGRESS</t>
        </is>
      </c>
      <c r="E697" t="inlineStr">
        <is>
          <t>H8TX29052</t>
        </is>
      </c>
      <c r="F697" t="inlineStr">
        <is>
          <t>DEM</t>
        </is>
      </c>
      <c r="G697" t="inlineStr">
        <is>
          <t>05142019</t>
        </is>
      </c>
      <c r="H697" t="n">
        <v>1000</v>
      </c>
      <c r="I697" t="inlineStr">
        <is>
          <t>201906199150096687</t>
        </is>
      </c>
      <c r="J697" t="inlineStr">
        <is>
          <t>https://docquery.fec.gov/cgi-bin/fecimg/?201906199150096687</t>
        </is>
      </c>
    </row>
    <row r="698">
      <c r="A698" t="inlineStr">
        <is>
          <t>2020</t>
        </is>
      </c>
      <c r="B698" t="inlineStr">
        <is>
          <t>C00513549</t>
        </is>
      </c>
      <c r="C698" t="inlineStr">
        <is>
          <t>Phillips 66 PAC</t>
        </is>
      </c>
      <c r="D698" t="inlineStr">
        <is>
          <t>VICENTE GONZALEZ FOR CONGRESS</t>
        </is>
      </c>
      <c r="E698" t="inlineStr">
        <is>
          <t>H6TX15162</t>
        </is>
      </c>
      <c r="F698" t="inlineStr">
        <is>
          <t>DEM</t>
        </is>
      </c>
      <c r="G698" t="inlineStr">
        <is>
          <t>05142019</t>
        </is>
      </c>
      <c r="H698" t="n">
        <v>1000</v>
      </c>
      <c r="I698" t="inlineStr">
        <is>
          <t>201906199150096688</t>
        </is>
      </c>
      <c r="J698" t="inlineStr">
        <is>
          <t>https://docquery.fec.gov/cgi-bin/fecimg/?201906199150096688</t>
        </is>
      </c>
    </row>
    <row r="699">
      <c r="A699" t="inlineStr">
        <is>
          <t>2020</t>
        </is>
      </c>
      <c r="B699" t="inlineStr">
        <is>
          <t>C00513549</t>
        </is>
      </c>
      <c r="C699" t="inlineStr">
        <is>
          <t>Phillips 66 PAC</t>
        </is>
      </c>
      <c r="D699" t="inlineStr">
        <is>
          <t>VOLUNTEERS FOR SHIMKUS</t>
        </is>
      </c>
      <c r="E699" t="inlineStr">
        <is>
          <t>H2IL20042</t>
        </is>
      </c>
      <c r="F699" t="inlineStr">
        <is>
          <t>REP</t>
        </is>
      </c>
      <c r="G699" t="inlineStr">
        <is>
          <t>05142019</t>
        </is>
      </c>
      <c r="H699" t="n">
        <v>1000</v>
      </c>
      <c r="I699" t="inlineStr">
        <is>
          <t>201906199150096688</t>
        </is>
      </c>
      <c r="J699" t="inlineStr">
        <is>
          <t>https://docquery.fec.gov/cgi-bin/fecimg/?201906199150096688</t>
        </is>
      </c>
    </row>
    <row r="700">
      <c r="A700" t="inlineStr">
        <is>
          <t>2020</t>
        </is>
      </c>
      <c r="B700" t="inlineStr">
        <is>
          <t>C00513549</t>
        </is>
      </c>
      <c r="C700" t="inlineStr">
        <is>
          <t>Phillips 66 PAC</t>
        </is>
      </c>
      <c r="D700" t="inlineStr">
        <is>
          <t>HERN FOR CONGRESS</t>
        </is>
      </c>
      <c r="E700" t="inlineStr">
        <is>
          <t>H8OK01157</t>
        </is>
      </c>
      <c r="F700" t="inlineStr">
        <is>
          <t>REP</t>
        </is>
      </c>
      <c r="G700" t="inlineStr">
        <is>
          <t>05142019</t>
        </is>
      </c>
      <c r="H700" t="n">
        <v>1000</v>
      </c>
      <c r="I700" t="inlineStr">
        <is>
          <t>201906199150096684</t>
        </is>
      </c>
      <c r="J700" t="inlineStr">
        <is>
          <t>https://docquery.fec.gov/cgi-bin/fecimg/?201906199150096684</t>
        </is>
      </c>
    </row>
    <row r="701">
      <c r="A701" t="inlineStr">
        <is>
          <t>2020</t>
        </is>
      </c>
      <c r="B701" t="inlineStr">
        <is>
          <t>C00513549</t>
        </is>
      </c>
      <c r="C701" t="inlineStr">
        <is>
          <t>Phillips 66 PAC</t>
        </is>
      </c>
      <c r="D701" t="inlineStr">
        <is>
          <t>KATKO FOR CONGRESS</t>
        </is>
      </c>
      <c r="E701" t="inlineStr">
        <is>
          <t>H4NY24073</t>
        </is>
      </c>
      <c r="F701" t="inlineStr">
        <is>
          <t>REP</t>
        </is>
      </c>
      <c r="G701" t="inlineStr">
        <is>
          <t>05142019</t>
        </is>
      </c>
      <c r="H701" t="n">
        <v>1000</v>
      </c>
      <c r="I701" t="inlineStr">
        <is>
          <t>201906199150096685</t>
        </is>
      </c>
      <c r="J701" t="inlineStr">
        <is>
          <t>https://docquery.fec.gov/cgi-bin/fecimg/?201906199150096685</t>
        </is>
      </c>
    </row>
    <row r="702">
      <c r="A702" t="inlineStr">
        <is>
          <t>2020</t>
        </is>
      </c>
      <c r="B702" t="inlineStr">
        <is>
          <t>C00513549</t>
        </is>
      </c>
      <c r="C702" t="inlineStr">
        <is>
          <t>Phillips 66 PAC</t>
        </is>
      </c>
      <c r="D702" t="inlineStr">
        <is>
          <t>MARC VEASEY CONGRESSIONAL CAMPAIGN COMMITTEE</t>
        </is>
      </c>
      <c r="E702" t="inlineStr">
        <is>
          <t>H2TX33073</t>
        </is>
      </c>
      <c r="F702" t="inlineStr">
        <is>
          <t>DEM</t>
        </is>
      </c>
      <c r="G702" t="inlineStr">
        <is>
          <t>05142019</t>
        </is>
      </c>
      <c r="H702" t="n">
        <v>1000</v>
      </c>
      <c r="I702" t="inlineStr">
        <is>
          <t>201906199150096685</t>
        </is>
      </c>
      <c r="J702" t="inlineStr">
        <is>
          <t>https://docquery.fec.gov/cgi-bin/fecimg/?201906199150096685</t>
        </is>
      </c>
    </row>
    <row r="703">
      <c r="A703" t="inlineStr">
        <is>
          <t>2020</t>
        </is>
      </c>
      <c r="B703" t="inlineStr">
        <is>
          <t>C00513549</t>
        </is>
      </c>
      <c r="C703" t="inlineStr">
        <is>
          <t>Phillips 66 PAC</t>
        </is>
      </c>
      <c r="D703" t="inlineStr">
        <is>
          <t>MULLIN FOR CONGRESS</t>
        </is>
      </c>
      <c r="E703" t="inlineStr">
        <is>
          <t>H2OK02083</t>
        </is>
      </c>
      <c r="F703" t="inlineStr">
        <is>
          <t>REP</t>
        </is>
      </c>
      <c r="G703" t="inlineStr">
        <is>
          <t>05142019</t>
        </is>
      </c>
      <c r="H703" t="n">
        <v>1000</v>
      </c>
      <c r="I703" t="inlineStr">
        <is>
          <t>201906199150096686</t>
        </is>
      </c>
      <c r="J703" t="inlineStr">
        <is>
          <t>https://docquery.fec.gov/cgi-bin/fecimg/?201906199150096686</t>
        </is>
      </c>
    </row>
    <row r="704">
      <c r="A704" t="inlineStr">
        <is>
          <t>2020</t>
        </is>
      </c>
      <c r="B704" t="inlineStr">
        <is>
          <t>C00513549</t>
        </is>
      </c>
      <c r="C704" t="inlineStr">
        <is>
          <t>Phillips 66 PAC</t>
        </is>
      </c>
      <c r="D704" t="inlineStr">
        <is>
          <t>RICHMOND FOR CONGRESS</t>
        </is>
      </c>
      <c r="E704" t="inlineStr">
        <is>
          <t>H8LA02054</t>
        </is>
      </c>
      <c r="F704" t="inlineStr">
        <is>
          <t>DEM</t>
        </is>
      </c>
      <c r="G704" t="inlineStr">
        <is>
          <t>05142019</t>
        </is>
      </c>
      <c r="H704" t="n">
        <v>1000</v>
      </c>
      <c r="I704" t="inlineStr">
        <is>
          <t>201906199150096686</t>
        </is>
      </c>
      <c r="J704" t="inlineStr">
        <is>
          <t>https://docquery.fec.gov/cgi-bin/fecimg/?201906199150096686</t>
        </is>
      </c>
    </row>
    <row r="705">
      <c r="A705" t="inlineStr">
        <is>
          <t>2020</t>
        </is>
      </c>
      <c r="B705" t="inlineStr">
        <is>
          <t>C00513549</t>
        </is>
      </c>
      <c r="C705" t="inlineStr">
        <is>
          <t>Phillips 66 PAC</t>
        </is>
      </c>
      <c r="D705" t="inlineStr">
        <is>
          <t>TEXANS FOR SENATOR JOHN CORNYN INC</t>
        </is>
      </c>
      <c r="E705" t="inlineStr">
        <is>
          <t>S2TX00106</t>
        </is>
      </c>
      <c r="F705" t="inlineStr">
        <is>
          <t>REP</t>
        </is>
      </c>
      <c r="G705" t="inlineStr">
        <is>
          <t>05142019</t>
        </is>
      </c>
      <c r="H705" t="n">
        <v>1000</v>
      </c>
      <c r="I705" t="inlineStr">
        <is>
          <t>201906199150096688</t>
        </is>
      </c>
      <c r="J705" t="inlineStr">
        <is>
          <t>https://docquery.fec.gov/cgi-bin/fecimg/?201906199150096688</t>
        </is>
      </c>
    </row>
    <row r="706">
      <c r="A706" t="inlineStr">
        <is>
          <t>2020</t>
        </is>
      </c>
      <c r="B706" t="inlineStr">
        <is>
          <t>C00513549</t>
        </is>
      </c>
      <c r="C706" t="inlineStr">
        <is>
          <t>Phillips 66 PAC</t>
        </is>
      </c>
      <c r="D706" t="inlineStr">
        <is>
          <t>CONAWAY FOR CONGRESS</t>
        </is>
      </c>
      <c r="E706" t="inlineStr">
        <is>
          <t>H4TX19136</t>
        </is>
      </c>
      <c r="F706" t="inlineStr">
        <is>
          <t>REP</t>
        </is>
      </c>
      <c r="G706" t="inlineStr">
        <is>
          <t>05142019</t>
        </is>
      </c>
      <c r="H706" t="n">
        <v>1000</v>
      </c>
      <c r="I706" t="inlineStr">
        <is>
          <t>201906199150096682</t>
        </is>
      </c>
      <c r="J706" t="inlineStr">
        <is>
          <t>https://docquery.fec.gov/cgi-bin/fecimg/?201906199150096682</t>
        </is>
      </c>
    </row>
    <row r="707">
      <c r="A707" t="inlineStr">
        <is>
          <t>2020</t>
        </is>
      </c>
      <c r="B707" t="inlineStr">
        <is>
          <t>C00513549</t>
        </is>
      </c>
      <c r="C707" t="inlineStr">
        <is>
          <t>Phillips 66 PAC</t>
        </is>
      </c>
      <c r="D707" t="inlineStr">
        <is>
          <t>BILL CASSIDY FOR US SENATE</t>
        </is>
      </c>
      <c r="E707" t="inlineStr">
        <is>
          <t>S4LA00107</t>
        </is>
      </c>
      <c r="F707" t="inlineStr">
        <is>
          <t>REP</t>
        </is>
      </c>
      <c r="G707" t="inlineStr">
        <is>
          <t>05142019</t>
        </is>
      </c>
      <c r="H707" t="n">
        <v>1000</v>
      </c>
      <c r="I707" t="inlineStr">
        <is>
          <t>201906199150096681</t>
        </is>
      </c>
      <c r="J707" t="inlineStr">
        <is>
          <t>https://docquery.fec.gov/cgi-bin/fecimg/?201906199150096681</t>
        </is>
      </c>
    </row>
    <row r="708">
      <c r="A708" t="inlineStr">
        <is>
          <t>2020</t>
        </is>
      </c>
      <c r="B708" t="inlineStr">
        <is>
          <t>C00513549</t>
        </is>
      </c>
      <c r="C708" t="inlineStr">
        <is>
          <t>Phillips 66 PAC</t>
        </is>
      </c>
      <c r="D708" t="inlineStr">
        <is>
          <t>BILL CASSIDY FOR US SENATE</t>
        </is>
      </c>
      <c r="E708" t="inlineStr">
        <is>
          <t>S4LA00107</t>
        </is>
      </c>
      <c r="F708" t="inlineStr">
        <is>
          <t>REP</t>
        </is>
      </c>
      <c r="G708" t="inlineStr">
        <is>
          <t>05142019</t>
        </is>
      </c>
      <c r="H708" t="n">
        <v>1000</v>
      </c>
      <c r="I708" t="inlineStr">
        <is>
          <t>201906199150096681</t>
        </is>
      </c>
      <c r="J708" t="inlineStr">
        <is>
          <t>https://docquery.fec.gov/cgi-bin/fecimg/?201906199150096681</t>
        </is>
      </c>
    </row>
    <row r="709">
      <c r="A709" t="inlineStr">
        <is>
          <t>2020</t>
        </is>
      </c>
      <c r="B709" t="inlineStr">
        <is>
          <t>C00513549</t>
        </is>
      </c>
      <c r="C709" t="inlineStr">
        <is>
          <t>Phillips 66 PAC</t>
        </is>
      </c>
      <c r="D709" t="inlineStr">
        <is>
          <t>BILL FLORES FOR CONGRESS</t>
        </is>
      </c>
      <c r="E709" t="inlineStr">
        <is>
          <t>H0TX17104</t>
        </is>
      </c>
      <c r="F709" t="inlineStr">
        <is>
          <t>REP</t>
        </is>
      </c>
      <c r="G709" t="inlineStr">
        <is>
          <t>05142019</t>
        </is>
      </c>
      <c r="H709" t="n">
        <v>1000</v>
      </c>
      <c r="I709" t="inlineStr">
        <is>
          <t>201906199150096682</t>
        </is>
      </c>
      <c r="J709" t="inlineStr">
        <is>
          <t>https://docquery.fec.gov/cgi-bin/fecimg/?201906199150096682</t>
        </is>
      </c>
    </row>
    <row r="710">
      <c r="A710" t="inlineStr">
        <is>
          <t>2020</t>
        </is>
      </c>
      <c r="B710" t="inlineStr">
        <is>
          <t>C00513549</t>
        </is>
      </c>
      <c r="C710" t="inlineStr">
        <is>
          <t>Phillips 66 PAC</t>
        </is>
      </c>
      <c r="D710" t="inlineStr">
        <is>
          <t>DR. BRIAN BABIN FOR CONGRESS</t>
        </is>
      </c>
      <c r="E710" t="inlineStr">
        <is>
          <t>H6TX02079</t>
        </is>
      </c>
      <c r="F710" t="inlineStr">
        <is>
          <t>REP</t>
        </is>
      </c>
      <c r="G710" t="inlineStr">
        <is>
          <t>05142019</t>
        </is>
      </c>
      <c r="H710" t="n">
        <v>1000</v>
      </c>
      <c r="I710" t="inlineStr">
        <is>
          <t>201906199150096683</t>
        </is>
      </c>
      <c r="J710" t="inlineStr">
        <is>
          <t>https://docquery.fec.gov/cgi-bin/fecimg/?201906199150096683</t>
        </is>
      </c>
    </row>
    <row r="711">
      <c r="A711" t="inlineStr">
        <is>
          <t>2020</t>
        </is>
      </c>
      <c r="B711" t="inlineStr">
        <is>
          <t>C00513549</t>
        </is>
      </c>
      <c r="C711" t="inlineStr">
        <is>
          <t>Phillips 66 PAC</t>
        </is>
      </c>
      <c r="D711" t="inlineStr">
        <is>
          <t>DONALD M PAYNE JR FOR CONGRESS</t>
        </is>
      </c>
      <c r="E711" t="inlineStr">
        <is>
          <t>H2NJ10154</t>
        </is>
      </c>
      <c r="F711" t="inlineStr">
        <is>
          <t>DEM</t>
        </is>
      </c>
      <c r="G711" t="inlineStr">
        <is>
          <t>05202019</t>
        </is>
      </c>
      <c r="H711" t="n">
        <v>5000</v>
      </c>
      <c r="I711" t="inlineStr">
        <is>
          <t>201906199150096683</t>
        </is>
      </c>
      <c r="J711" t="inlineStr">
        <is>
          <t>https://docquery.fec.gov/cgi-bin/fecimg/?201906199150096683</t>
        </is>
      </c>
    </row>
    <row r="712">
      <c r="A712" t="inlineStr">
        <is>
          <t>2020</t>
        </is>
      </c>
      <c r="B712" t="inlineStr">
        <is>
          <t>C00513549</t>
        </is>
      </c>
      <c r="C712" t="inlineStr">
        <is>
          <t>Phillips 66 PAC</t>
        </is>
      </c>
      <c r="D712" t="inlineStr">
        <is>
          <t>CAPITO FOR WEST VIRGINIA</t>
        </is>
      </c>
      <c r="E712" t="inlineStr">
        <is>
          <t>S4WV00159</t>
        </is>
      </c>
      <c r="F712" t="inlineStr">
        <is>
          <t>REP</t>
        </is>
      </c>
      <c r="G712" t="inlineStr">
        <is>
          <t>06162020</t>
        </is>
      </c>
      <c r="H712" t="n">
        <v>5000</v>
      </c>
      <c r="I712" t="inlineStr">
        <is>
          <t>202007209250475345</t>
        </is>
      </c>
      <c r="J712" t="inlineStr">
        <is>
          <t>https://docquery.fec.gov/cgi-bin/fecimg/?202007209250475345</t>
        </is>
      </c>
    </row>
    <row r="713">
      <c r="A713" t="inlineStr">
        <is>
          <t>2020</t>
        </is>
      </c>
      <c r="B713" t="inlineStr">
        <is>
          <t>C00513549</t>
        </is>
      </c>
      <c r="C713" t="inlineStr">
        <is>
          <t>Phillips 66 PAC</t>
        </is>
      </c>
      <c r="D713" t="inlineStr">
        <is>
          <t>TEXANS FOR SENATOR JOHN CORNYN INC</t>
        </is>
      </c>
      <c r="E713" t="inlineStr">
        <is>
          <t>S2TX00106</t>
        </is>
      </c>
      <c r="F713" t="inlineStr">
        <is>
          <t>REP</t>
        </is>
      </c>
      <c r="G713" t="inlineStr">
        <is>
          <t>06162020</t>
        </is>
      </c>
      <c r="H713" t="n">
        <v>2500</v>
      </c>
      <c r="I713" t="inlineStr">
        <is>
          <t>202007209250475358</t>
        </is>
      </c>
      <c r="J713" t="inlineStr">
        <is>
          <t>https://docquery.fec.gov/cgi-bin/fecimg/?202007209250475358</t>
        </is>
      </c>
    </row>
    <row r="714">
      <c r="A714" t="inlineStr">
        <is>
          <t>2020</t>
        </is>
      </c>
      <c r="B714" t="inlineStr">
        <is>
          <t>C00513549</t>
        </is>
      </c>
      <c r="C714" t="inlineStr">
        <is>
          <t>Phillips 66 PAC</t>
        </is>
      </c>
      <c r="D714" t="inlineStr">
        <is>
          <t>THOM TILLIS COMMITTEE</t>
        </is>
      </c>
      <c r="E714" t="inlineStr">
        <is>
          <t>S4NC00162</t>
        </is>
      </c>
      <c r="F714" t="inlineStr">
        <is>
          <t>REP</t>
        </is>
      </c>
      <c r="G714" t="inlineStr">
        <is>
          <t>06162020</t>
        </is>
      </c>
      <c r="H714" t="n">
        <v>5000</v>
      </c>
      <c r="I714" t="inlineStr">
        <is>
          <t>202007209250475358</t>
        </is>
      </c>
      <c r="J714" t="inlineStr">
        <is>
          <t>https://docquery.fec.gov/cgi-bin/fecimg/?202007209250475358</t>
        </is>
      </c>
    </row>
    <row r="715">
      <c r="A715" t="inlineStr">
        <is>
          <t>2020</t>
        </is>
      </c>
      <c r="B715" t="inlineStr">
        <is>
          <t>C00513549</t>
        </is>
      </c>
      <c r="C715" t="inlineStr">
        <is>
          <t>Phillips 66 PAC</t>
        </is>
      </c>
      <c r="D715" t="inlineStr">
        <is>
          <t>VICENTE GONZALEZ FOR CONGRESS</t>
        </is>
      </c>
      <c r="E715" t="inlineStr">
        <is>
          <t>H6TX15162</t>
        </is>
      </c>
      <c r="F715" t="inlineStr">
        <is>
          <t>DEM</t>
        </is>
      </c>
      <c r="G715" t="inlineStr">
        <is>
          <t>06162020</t>
        </is>
      </c>
      <c r="H715" t="n">
        <v>5000</v>
      </c>
      <c r="I715" t="inlineStr">
        <is>
          <t>202007209250475359</t>
        </is>
      </c>
      <c r="J715" t="inlineStr">
        <is>
          <t>https://docquery.fec.gov/cgi-bin/fecimg/?202007209250475359</t>
        </is>
      </c>
    </row>
    <row r="716">
      <c r="A716" t="inlineStr">
        <is>
          <t>2020</t>
        </is>
      </c>
      <c r="B716" t="inlineStr">
        <is>
          <t>C00513549</t>
        </is>
      </c>
      <c r="C716" t="inlineStr">
        <is>
          <t>Phillips 66 PAC</t>
        </is>
      </c>
      <c r="D716" t="inlineStr">
        <is>
          <t>WEBER FOR CONGRESS</t>
        </is>
      </c>
      <c r="E716" t="inlineStr">
        <is>
          <t>H2TX14149</t>
        </is>
      </c>
      <c r="F716" t="inlineStr">
        <is>
          <t>REP</t>
        </is>
      </c>
      <c r="G716" t="inlineStr">
        <is>
          <t>06162020</t>
        </is>
      </c>
      <c r="H716" t="n">
        <v>2500</v>
      </c>
      <c r="I716" t="inlineStr">
        <is>
          <t>202007209250475359</t>
        </is>
      </c>
      <c r="J716" t="inlineStr">
        <is>
          <t>https://docquery.fec.gov/cgi-bin/fecimg/?202007209250475359</t>
        </is>
      </c>
    </row>
    <row r="717">
      <c r="A717" t="inlineStr">
        <is>
          <t>2020</t>
        </is>
      </c>
      <c r="B717" t="inlineStr">
        <is>
          <t>C00513549</t>
        </is>
      </c>
      <c r="C717" t="inlineStr">
        <is>
          <t>Phillips 66 PAC</t>
        </is>
      </c>
      <c r="D717" t="inlineStr">
        <is>
          <t>JOHN JAMES FOR SENATE INC.</t>
        </is>
      </c>
      <c r="E717" t="inlineStr">
        <is>
          <t>S8MI00372</t>
        </is>
      </c>
      <c r="F717" t="inlineStr">
        <is>
          <t>REP</t>
        </is>
      </c>
      <c r="G717" t="inlineStr">
        <is>
          <t>06162020</t>
        </is>
      </c>
      <c r="H717" t="n">
        <v>5000</v>
      </c>
      <c r="I717" t="inlineStr">
        <is>
          <t>202007209250475350</t>
        </is>
      </c>
      <c r="J717" t="inlineStr">
        <is>
          <t>https://docquery.fec.gov/cgi-bin/fecimg/?202007209250475350</t>
        </is>
      </c>
    </row>
    <row r="718">
      <c r="A718" t="inlineStr">
        <is>
          <t>2020</t>
        </is>
      </c>
      <c r="B718" t="inlineStr">
        <is>
          <t>C00513549</t>
        </is>
      </c>
      <c r="C718" t="inlineStr">
        <is>
          <t>Phillips 66 PAC</t>
        </is>
      </c>
      <c r="D718" t="inlineStr">
        <is>
          <t>JOHN JAMES FOR SENATE INC.</t>
        </is>
      </c>
      <c r="E718" t="inlineStr">
        <is>
          <t>S8MI00372</t>
        </is>
      </c>
      <c r="F718" t="inlineStr">
        <is>
          <t>REP</t>
        </is>
      </c>
      <c r="G718" t="inlineStr">
        <is>
          <t>06162020</t>
        </is>
      </c>
      <c r="H718" t="n">
        <v>5000</v>
      </c>
      <c r="I718" t="inlineStr">
        <is>
          <t>202007209250475351</t>
        </is>
      </c>
      <c r="J718" t="inlineStr">
        <is>
          <t>https://docquery.fec.gov/cgi-bin/fecimg/?202007209250475351</t>
        </is>
      </c>
    </row>
    <row r="719">
      <c r="A719" t="inlineStr">
        <is>
          <t>2020</t>
        </is>
      </c>
      <c r="B719" t="inlineStr">
        <is>
          <t>C00513549</t>
        </is>
      </c>
      <c r="C719" t="inlineStr">
        <is>
          <t>Phillips 66 PAC</t>
        </is>
      </c>
      <c r="D719" t="inlineStr">
        <is>
          <t>KEVIN MCCARTHY FOR CONGRESS</t>
        </is>
      </c>
      <c r="E719" t="inlineStr">
        <is>
          <t>H6CA22125</t>
        </is>
      </c>
      <c r="F719" t="inlineStr">
        <is>
          <t>REP</t>
        </is>
      </c>
      <c r="G719" t="inlineStr">
        <is>
          <t>06162020</t>
        </is>
      </c>
      <c r="H719" t="n">
        <v>5000</v>
      </c>
      <c r="I719" t="inlineStr">
        <is>
          <t>202007209250475351</t>
        </is>
      </c>
      <c r="J719" t="inlineStr">
        <is>
          <t>https://docquery.fec.gov/cgi-bin/fecimg/?202007209250475351</t>
        </is>
      </c>
    </row>
    <row r="720">
      <c r="A720" t="inlineStr">
        <is>
          <t>2020</t>
        </is>
      </c>
      <c r="B720" t="inlineStr">
        <is>
          <t>C00513549</t>
        </is>
      </c>
      <c r="C720" t="inlineStr">
        <is>
          <t>Phillips 66 PAC</t>
        </is>
      </c>
      <c r="D720" t="inlineStr">
        <is>
          <t>TEXANS FOR JODEY ARRINGTON</t>
        </is>
      </c>
      <c r="E720" t="inlineStr">
        <is>
          <t>H6TX19099</t>
        </is>
      </c>
      <c r="F720" t="inlineStr">
        <is>
          <t>REP</t>
        </is>
      </c>
      <c r="G720" t="inlineStr">
        <is>
          <t>06162020</t>
        </is>
      </c>
      <c r="H720" t="n">
        <v>2500</v>
      </c>
      <c r="I720" t="inlineStr">
        <is>
          <t>202007209250475358</t>
        </is>
      </c>
      <c r="J720" t="inlineStr">
        <is>
          <t>https://docquery.fec.gov/cgi-bin/fecimg/?202007209250475358</t>
        </is>
      </c>
    </row>
    <row r="721">
      <c r="A721" t="inlineStr">
        <is>
          <t>2020</t>
        </is>
      </c>
      <c r="B721" t="inlineStr">
        <is>
          <t>C00513549</t>
        </is>
      </c>
      <c r="C721" t="inlineStr">
        <is>
          <t>Phillips 66 PAC</t>
        </is>
      </c>
      <c r="D721" t="inlineStr">
        <is>
          <t>CAPTAIN HIGGINS FOR CONGRESS</t>
        </is>
      </c>
      <c r="E721" t="inlineStr">
        <is>
          <t>H6LA03148</t>
        </is>
      </c>
      <c r="F721" t="inlineStr">
        <is>
          <t>REP</t>
        </is>
      </c>
      <c r="G721" t="inlineStr">
        <is>
          <t>06162020</t>
        </is>
      </c>
      <c r="H721" t="n">
        <v>1500</v>
      </c>
      <c r="I721" t="inlineStr">
        <is>
          <t>202007209250475345</t>
        </is>
      </c>
      <c r="J721" t="inlineStr">
        <is>
          <t>https://docquery.fec.gov/cgi-bin/fecimg/?202007209250475345</t>
        </is>
      </c>
    </row>
    <row r="722">
      <c r="A722" t="inlineStr">
        <is>
          <t>2020</t>
        </is>
      </c>
      <c r="B722" t="inlineStr">
        <is>
          <t>C00513549</t>
        </is>
      </c>
      <c r="C722" t="inlineStr">
        <is>
          <t>Phillips 66 PAC</t>
        </is>
      </c>
      <c r="D722" t="inlineStr">
        <is>
          <t>CITIZENS TO ELECT RICK LARSEN</t>
        </is>
      </c>
      <c r="E722" t="inlineStr">
        <is>
          <t>H0WA02080</t>
        </is>
      </c>
      <c r="F722" t="inlineStr">
        <is>
          <t>DEM</t>
        </is>
      </c>
      <c r="G722" t="inlineStr">
        <is>
          <t>06162020</t>
        </is>
      </c>
      <c r="H722" t="n">
        <v>1500</v>
      </c>
      <c r="I722" t="inlineStr">
        <is>
          <t>202007209250475346</t>
        </is>
      </c>
      <c r="J722" t="inlineStr">
        <is>
          <t>https://docquery.fec.gov/cgi-bin/fecimg/?202007209250475346</t>
        </is>
      </c>
    </row>
    <row r="723">
      <c r="A723" t="inlineStr">
        <is>
          <t>2020</t>
        </is>
      </c>
      <c r="B723" t="inlineStr">
        <is>
          <t>C00513549</t>
        </is>
      </c>
      <c r="C723" t="inlineStr">
        <is>
          <t>Phillips 66 PAC</t>
        </is>
      </c>
      <c r="D723" t="inlineStr">
        <is>
          <t>LIZ CHENEY FOR WYOMING</t>
        </is>
      </c>
      <c r="E723" t="inlineStr">
        <is>
          <t>H6WY00159</t>
        </is>
      </c>
      <c r="F723" t="inlineStr">
        <is>
          <t>REP</t>
        </is>
      </c>
      <c r="G723" t="inlineStr">
        <is>
          <t>06162020</t>
        </is>
      </c>
      <c r="H723" t="n">
        <v>5000</v>
      </c>
      <c r="I723" t="inlineStr">
        <is>
          <t>202007209250475352</t>
        </is>
      </c>
      <c r="J723" t="inlineStr">
        <is>
          <t>https://docquery.fec.gov/cgi-bin/fecimg/?202007209250475352</t>
        </is>
      </c>
    </row>
    <row r="724">
      <c r="A724" t="inlineStr">
        <is>
          <t>2020</t>
        </is>
      </c>
      <c r="B724" t="inlineStr">
        <is>
          <t>C00513549</t>
        </is>
      </c>
      <c r="C724" t="inlineStr">
        <is>
          <t>Phillips 66 PAC</t>
        </is>
      </c>
      <c r="D724" t="inlineStr">
        <is>
          <t>COLLINS FOR SENATOR</t>
        </is>
      </c>
      <c r="E724" t="inlineStr">
        <is>
          <t>S6ME00159</t>
        </is>
      </c>
      <c r="F724" t="inlineStr">
        <is>
          <t>REP</t>
        </is>
      </c>
      <c r="G724" t="inlineStr">
        <is>
          <t>06162020</t>
        </is>
      </c>
      <c r="H724" t="n">
        <v>5000</v>
      </c>
      <c r="I724" t="inlineStr">
        <is>
          <t>202007209250475346</t>
        </is>
      </c>
      <c r="J724" t="inlineStr">
        <is>
          <t>https://docquery.fec.gov/cgi-bin/fecimg/?202007209250475346</t>
        </is>
      </c>
    </row>
    <row r="725">
      <c r="A725" t="inlineStr">
        <is>
          <t>2020</t>
        </is>
      </c>
      <c r="B725" t="inlineStr">
        <is>
          <t>C00513549</t>
        </is>
      </c>
      <c r="C725" t="inlineStr">
        <is>
          <t>Phillips 66 PAC</t>
        </is>
      </c>
      <c r="D725" t="inlineStr">
        <is>
          <t>COLLINS FOR SENATOR</t>
        </is>
      </c>
      <c r="E725" t="inlineStr">
        <is>
          <t>S6ME00159</t>
        </is>
      </c>
      <c r="F725" t="inlineStr">
        <is>
          <t>REP</t>
        </is>
      </c>
      <c r="G725" t="inlineStr">
        <is>
          <t>06162020</t>
        </is>
      </c>
      <c r="H725" t="n">
        <v>5000</v>
      </c>
      <c r="I725" t="inlineStr">
        <is>
          <t>202007209250475346</t>
        </is>
      </c>
      <c r="J725" t="inlineStr">
        <is>
          <t>https://docquery.fec.gov/cgi-bin/fecimg/?202007209250475346</t>
        </is>
      </c>
    </row>
    <row r="726">
      <c r="A726" t="inlineStr">
        <is>
          <t>2020</t>
        </is>
      </c>
      <c r="B726" t="inlineStr">
        <is>
          <t>C00513549</t>
        </is>
      </c>
      <c r="C726" t="inlineStr">
        <is>
          <t>Phillips 66 PAC</t>
        </is>
      </c>
      <c r="D726" t="inlineStr">
        <is>
          <t>CORY GARDNER FOR SENATE</t>
        </is>
      </c>
      <c r="E726" t="inlineStr">
        <is>
          <t>S4CO00395</t>
        </is>
      </c>
      <c r="F726" t="inlineStr">
        <is>
          <t>REP</t>
        </is>
      </c>
      <c r="G726" t="inlineStr">
        <is>
          <t>06162020</t>
        </is>
      </c>
      <c r="H726" t="n">
        <v>5000</v>
      </c>
      <c r="I726" t="inlineStr">
        <is>
          <t>202007209250475347</t>
        </is>
      </c>
      <c r="J726" t="inlineStr">
        <is>
          <t>https://docquery.fec.gov/cgi-bin/fecimg/?202007209250475347</t>
        </is>
      </c>
    </row>
    <row r="727">
      <c r="A727" t="inlineStr">
        <is>
          <t>2020</t>
        </is>
      </c>
      <c r="B727" t="inlineStr">
        <is>
          <t>C00513549</t>
        </is>
      </c>
      <c r="C727" t="inlineStr">
        <is>
          <t>Phillips 66 PAC</t>
        </is>
      </c>
      <c r="D727" t="inlineStr">
        <is>
          <t>DONALD M PAYNE JR FOR CONGRESS</t>
        </is>
      </c>
      <c r="E727" t="inlineStr">
        <is>
          <t>H2NJ10154</t>
        </is>
      </c>
      <c r="F727" t="inlineStr">
        <is>
          <t>DEM</t>
        </is>
      </c>
      <c r="G727" t="inlineStr">
        <is>
          <t>06162020</t>
        </is>
      </c>
      <c r="H727" t="n">
        <v>5000</v>
      </c>
      <c r="I727" t="inlineStr">
        <is>
          <t>202007209250475348</t>
        </is>
      </c>
      <c r="J727" t="inlineStr">
        <is>
          <t>https://docquery.fec.gov/cgi-bin/fecimg/?202007209250475348</t>
        </is>
      </c>
    </row>
    <row r="728">
      <c r="A728" t="inlineStr">
        <is>
          <t>2020</t>
        </is>
      </c>
      <c r="B728" t="inlineStr">
        <is>
          <t>C00513549</t>
        </is>
      </c>
      <c r="C728" t="inlineStr">
        <is>
          <t>Phillips 66 PAC</t>
        </is>
      </c>
      <c r="D728" t="inlineStr">
        <is>
          <t>GARRET GRAVES FOR CONGRESS</t>
        </is>
      </c>
      <c r="E728" t="inlineStr">
        <is>
          <t>H4LA06153</t>
        </is>
      </c>
      <c r="F728" t="inlineStr">
        <is>
          <t>REP</t>
        </is>
      </c>
      <c r="G728" t="inlineStr">
        <is>
          <t>06162020</t>
        </is>
      </c>
      <c r="H728" t="n">
        <v>2500</v>
      </c>
      <c r="I728" t="inlineStr">
        <is>
          <t>202007209250475349</t>
        </is>
      </c>
      <c r="J728" t="inlineStr">
        <is>
          <t>https://docquery.fec.gov/cgi-bin/fecimg/?202007209250475349</t>
        </is>
      </c>
    </row>
    <row r="729">
      <c r="A729" t="inlineStr">
        <is>
          <t>2020</t>
        </is>
      </c>
      <c r="B729" t="inlineStr">
        <is>
          <t>C00513549</t>
        </is>
      </c>
      <c r="C729" t="inlineStr">
        <is>
          <t>Phillips 66 PAC</t>
        </is>
      </c>
      <c r="D729" t="inlineStr">
        <is>
          <t>JASON SMITH FOR CONGRESS</t>
        </is>
      </c>
      <c r="E729" t="inlineStr">
        <is>
          <t>H4MO08162</t>
        </is>
      </c>
      <c r="F729" t="inlineStr">
        <is>
          <t>REP</t>
        </is>
      </c>
      <c r="G729" t="inlineStr">
        <is>
          <t>06162020</t>
        </is>
      </c>
      <c r="H729" t="n">
        <v>2500</v>
      </c>
      <c r="I729" t="inlineStr">
        <is>
          <t>202007209250475350</t>
        </is>
      </c>
      <c r="J729" t="inlineStr">
        <is>
          <t>https://docquery.fec.gov/cgi-bin/fecimg/?202007209250475350</t>
        </is>
      </c>
    </row>
    <row r="730">
      <c r="A730" t="inlineStr">
        <is>
          <t>2020</t>
        </is>
      </c>
      <c r="B730" t="inlineStr">
        <is>
          <t>C00513549</t>
        </is>
      </c>
      <c r="C730" t="inlineStr">
        <is>
          <t>Phillips 66 PAC</t>
        </is>
      </c>
      <c r="D730" t="inlineStr">
        <is>
          <t>MCCAUL FOR CONGRESS INC.</t>
        </is>
      </c>
      <c r="E730" t="inlineStr">
        <is>
          <t>H4TX10093</t>
        </is>
      </c>
      <c r="F730" t="inlineStr">
        <is>
          <t>REP</t>
        </is>
      </c>
      <c r="G730" t="inlineStr">
        <is>
          <t>06162020</t>
        </is>
      </c>
      <c r="H730" t="n">
        <v>2500</v>
      </c>
      <c r="I730" t="inlineStr">
        <is>
          <t>202007209250475353</t>
        </is>
      </c>
      <c r="J730" t="inlineStr">
        <is>
          <t>https://docquery.fec.gov/cgi-bin/fecimg/?202007209250475353</t>
        </is>
      </c>
    </row>
    <row r="731">
      <c r="A731" t="inlineStr">
        <is>
          <t>2020</t>
        </is>
      </c>
      <c r="B731" t="inlineStr">
        <is>
          <t>C00513549</t>
        </is>
      </c>
      <c r="C731" t="inlineStr">
        <is>
          <t>Phillips 66 PAC</t>
        </is>
      </c>
      <c r="D731" t="inlineStr">
        <is>
          <t>MCCONNELL SENATE COMMITTEE</t>
        </is>
      </c>
      <c r="E731" t="inlineStr">
        <is>
          <t>S2KY00012</t>
        </is>
      </c>
      <c r="F731" t="inlineStr">
        <is>
          <t>REP</t>
        </is>
      </c>
      <c r="G731" t="inlineStr">
        <is>
          <t>06162020</t>
        </is>
      </c>
      <c r="H731" t="n">
        <v>2500</v>
      </c>
      <c r="I731" t="inlineStr">
        <is>
          <t>202007209250475353</t>
        </is>
      </c>
      <c r="J731" t="inlineStr">
        <is>
          <t>https://docquery.fec.gov/cgi-bin/fecimg/?202007209250475353</t>
        </is>
      </c>
    </row>
    <row r="732">
      <c r="A732" t="inlineStr">
        <is>
          <t>2020</t>
        </is>
      </c>
      <c r="B732" t="inlineStr">
        <is>
          <t>C00513549</t>
        </is>
      </c>
      <c r="C732" t="inlineStr">
        <is>
          <t>Phillips 66 PAC</t>
        </is>
      </c>
      <c r="D732" t="inlineStr">
        <is>
          <t>MCCONNELL SENATE COMMITTEE</t>
        </is>
      </c>
      <c r="E732" t="inlineStr">
        <is>
          <t>S2KY00012</t>
        </is>
      </c>
      <c r="F732" t="inlineStr">
        <is>
          <t>REP</t>
        </is>
      </c>
      <c r="G732" t="inlineStr">
        <is>
          <t>06162020</t>
        </is>
      </c>
      <c r="H732" t="n">
        <v>2500</v>
      </c>
      <c r="I732" t="inlineStr">
        <is>
          <t>202007209250475354</t>
        </is>
      </c>
      <c r="J732" t="inlineStr">
        <is>
          <t>https://docquery.fec.gov/cgi-bin/fecimg/?202007209250475354</t>
        </is>
      </c>
    </row>
    <row r="733">
      <c r="A733" t="inlineStr">
        <is>
          <t>2020</t>
        </is>
      </c>
      <c r="B733" t="inlineStr">
        <is>
          <t>C00513549</t>
        </is>
      </c>
      <c r="C733" t="inlineStr">
        <is>
          <t>Phillips 66 PAC</t>
        </is>
      </c>
      <c r="D733" t="inlineStr">
        <is>
          <t>MIKE THOMPSON FOR CONGRESS</t>
        </is>
      </c>
      <c r="E733" t="inlineStr">
        <is>
          <t>H8CA01109</t>
        </is>
      </c>
      <c r="F733" t="inlineStr">
        <is>
          <t>DEM</t>
        </is>
      </c>
      <c r="G733" t="inlineStr">
        <is>
          <t>06162020</t>
        </is>
      </c>
      <c r="H733" t="n">
        <v>2500</v>
      </c>
      <c r="I733" t="inlineStr">
        <is>
          <t>202007209250475355</t>
        </is>
      </c>
      <c r="J733" t="inlineStr">
        <is>
          <t>https://docquery.fec.gov/cgi-bin/fecimg/?202007209250475355</t>
        </is>
      </c>
    </row>
    <row r="734">
      <c r="A734" t="inlineStr">
        <is>
          <t>2020</t>
        </is>
      </c>
      <c r="B734" t="inlineStr">
        <is>
          <t>C00513549</t>
        </is>
      </c>
      <c r="C734" t="inlineStr">
        <is>
          <t>Phillips 66 PAC</t>
        </is>
      </c>
      <c r="D734" t="inlineStr">
        <is>
          <t>MCSALLY FOR SENATE INC</t>
        </is>
      </c>
      <c r="E734" t="inlineStr">
        <is>
          <t>S8AZ00221</t>
        </is>
      </c>
      <c r="F734" t="inlineStr">
        <is>
          <t>REP</t>
        </is>
      </c>
      <c r="G734" t="inlineStr">
        <is>
          <t>06162020</t>
        </is>
      </c>
      <c r="H734" t="n">
        <v>5000</v>
      </c>
      <c r="I734" t="inlineStr">
        <is>
          <t>202007209250475354</t>
        </is>
      </c>
      <c r="J734" t="inlineStr">
        <is>
          <t>https://docquery.fec.gov/cgi-bin/fecimg/?202007209250475354</t>
        </is>
      </c>
    </row>
    <row r="735">
      <c r="A735" t="inlineStr">
        <is>
          <t>2020</t>
        </is>
      </c>
      <c r="B735" t="inlineStr">
        <is>
          <t>C00513549</t>
        </is>
      </c>
      <c r="C735" t="inlineStr">
        <is>
          <t>Phillips 66 PAC</t>
        </is>
      </c>
      <c r="D735" t="inlineStr">
        <is>
          <t>MCSALLY FOR SENATE INC</t>
        </is>
      </c>
      <c r="E735" t="inlineStr">
        <is>
          <t>S8AZ00221</t>
        </is>
      </c>
      <c r="F735" t="inlineStr">
        <is>
          <t>REP</t>
        </is>
      </c>
      <c r="G735" t="inlineStr">
        <is>
          <t>06162020</t>
        </is>
      </c>
      <c r="H735" t="n">
        <v>5000</v>
      </c>
      <c r="I735" t="inlineStr">
        <is>
          <t>202007209250475355</t>
        </is>
      </c>
      <c r="J735" t="inlineStr">
        <is>
          <t>https://docquery.fec.gov/cgi-bin/fecimg/?202007209250475355</t>
        </is>
      </c>
    </row>
    <row r="736">
      <c r="A736" t="inlineStr">
        <is>
          <t>2020</t>
        </is>
      </c>
      <c r="B736" t="inlineStr">
        <is>
          <t>C00513549</t>
        </is>
      </c>
      <c r="C736" t="inlineStr">
        <is>
          <t>Phillips 66 PAC</t>
        </is>
      </c>
      <c r="D736" t="inlineStr">
        <is>
          <t>MIKE BOST FOR CONGRESS COMMITTEE</t>
        </is>
      </c>
      <c r="E736" t="inlineStr">
        <is>
          <t>H4IL12060</t>
        </is>
      </c>
      <c r="F736" t="inlineStr">
        <is>
          <t>REP</t>
        </is>
      </c>
      <c r="G736" t="inlineStr">
        <is>
          <t>06162020</t>
        </is>
      </c>
      <c r="H736" t="n">
        <v>2500</v>
      </c>
      <c r="I736" t="inlineStr">
        <is>
          <t>202007209250475355</t>
        </is>
      </c>
      <c r="J736" t="inlineStr">
        <is>
          <t>https://docquery.fec.gov/cgi-bin/fecimg/?202007209250475355</t>
        </is>
      </c>
    </row>
    <row r="737">
      <c r="A737" t="inlineStr">
        <is>
          <t>2020</t>
        </is>
      </c>
      <c r="B737" t="inlineStr">
        <is>
          <t>C00513549</t>
        </is>
      </c>
      <c r="C737" t="inlineStr">
        <is>
          <t>Phillips 66 PAC</t>
        </is>
      </c>
      <c r="D737" t="inlineStr">
        <is>
          <t>PALLONE FOR CONGRESS</t>
        </is>
      </c>
      <c r="E737" t="inlineStr">
        <is>
          <t>H8NJ03073</t>
        </is>
      </c>
      <c r="F737" t="inlineStr">
        <is>
          <t>DEM</t>
        </is>
      </c>
      <c r="G737" t="inlineStr">
        <is>
          <t>06162020</t>
        </is>
      </c>
      <c r="H737" t="n">
        <v>2500</v>
      </c>
      <c r="I737" t="inlineStr">
        <is>
          <t>202007209250475356</t>
        </is>
      </c>
      <c r="J737" t="inlineStr">
        <is>
          <t>https://docquery.fec.gov/cgi-bin/fecimg/?202007209250475356</t>
        </is>
      </c>
    </row>
    <row r="738">
      <c r="A738" t="inlineStr">
        <is>
          <t>2020</t>
        </is>
      </c>
      <c r="B738" t="inlineStr">
        <is>
          <t>C00513549</t>
        </is>
      </c>
      <c r="C738" t="inlineStr">
        <is>
          <t>Phillips 66 PAC</t>
        </is>
      </c>
      <c r="D738" t="inlineStr">
        <is>
          <t>PERDUE FOR SENATE</t>
        </is>
      </c>
      <c r="E738" t="inlineStr">
        <is>
          <t>S4GA11285</t>
        </is>
      </c>
      <c r="F738" t="inlineStr">
        <is>
          <t>REP</t>
        </is>
      </c>
      <c r="G738" t="inlineStr">
        <is>
          <t>06162020</t>
        </is>
      </c>
      <c r="H738" t="n">
        <v>5000</v>
      </c>
      <c r="I738" t="inlineStr">
        <is>
          <t>202007209250475356</t>
        </is>
      </c>
      <c r="J738" t="inlineStr">
        <is>
          <t>https://docquery.fec.gov/cgi-bin/fecimg/?202007209250475356</t>
        </is>
      </c>
    </row>
    <row r="739">
      <c r="A739" t="inlineStr">
        <is>
          <t>2020</t>
        </is>
      </c>
      <c r="B739" t="inlineStr">
        <is>
          <t>C00513549</t>
        </is>
      </c>
      <c r="C739" t="inlineStr">
        <is>
          <t>Phillips 66 PAC</t>
        </is>
      </c>
      <c r="D739" t="inlineStr">
        <is>
          <t>SCALISE FOR CONGRESS</t>
        </is>
      </c>
      <c r="E739" t="inlineStr">
        <is>
          <t>H0LA01087</t>
        </is>
      </c>
      <c r="F739" t="inlineStr">
        <is>
          <t>REP</t>
        </is>
      </c>
      <c r="G739" t="inlineStr">
        <is>
          <t>06162020</t>
        </is>
      </c>
      <c r="H739" t="n">
        <v>5000</v>
      </c>
      <c r="I739" t="inlineStr">
        <is>
          <t>202007209250475356</t>
        </is>
      </c>
      <c r="J739" t="inlineStr">
        <is>
          <t>https://docquery.fec.gov/cgi-bin/fecimg/?202007209250475356</t>
        </is>
      </c>
    </row>
    <row r="740">
      <c r="A740" t="inlineStr">
        <is>
          <t>2020</t>
        </is>
      </c>
      <c r="B740" t="inlineStr">
        <is>
          <t>C00513549</t>
        </is>
      </c>
      <c r="C740" t="inlineStr">
        <is>
          <t>Phillips 66 PAC</t>
        </is>
      </c>
      <c r="D740" t="inlineStr">
        <is>
          <t>BILL CASSIDY FOR US SENATE</t>
        </is>
      </c>
      <c r="E740" t="inlineStr">
        <is>
          <t>S4LA00107</t>
        </is>
      </c>
      <c r="F740" t="inlineStr">
        <is>
          <t>REP</t>
        </is>
      </c>
      <c r="G740" t="inlineStr">
        <is>
          <t>06162020</t>
        </is>
      </c>
      <c r="H740" t="n">
        <v>5000</v>
      </c>
      <c r="I740" t="inlineStr">
        <is>
          <t>202007209250475345</t>
        </is>
      </c>
      <c r="J740" t="inlineStr">
        <is>
          <t>https://docquery.fec.gov/cgi-bin/fecimg/?202007209250475345</t>
        </is>
      </c>
    </row>
    <row r="741">
      <c r="A741" t="inlineStr">
        <is>
          <t>2020</t>
        </is>
      </c>
      <c r="B741" t="inlineStr">
        <is>
          <t>C00513549</t>
        </is>
      </c>
      <c r="C741" t="inlineStr">
        <is>
          <t>Phillips 66 PAC</t>
        </is>
      </c>
      <c r="D741" t="inlineStr">
        <is>
          <t>CAPITO FOR WEST VIRGINIA</t>
        </is>
      </c>
      <c r="E741" t="inlineStr">
        <is>
          <t>S4WV00159</t>
        </is>
      </c>
      <c r="F741" t="inlineStr">
        <is>
          <t>REP</t>
        </is>
      </c>
      <c r="G741" t="inlineStr">
        <is>
          <t>06192019</t>
        </is>
      </c>
      <c r="H741" t="n">
        <v>1000</v>
      </c>
      <c r="I741" t="inlineStr">
        <is>
          <t>201907199151467046</t>
        </is>
      </c>
      <c r="J741" t="inlineStr">
        <is>
          <t>https://docquery.fec.gov/cgi-bin/fecimg/?201907199151467046</t>
        </is>
      </c>
    </row>
    <row r="742">
      <c r="A742" t="inlineStr">
        <is>
          <t>2020</t>
        </is>
      </c>
      <c r="B742" t="inlineStr">
        <is>
          <t>C00513549</t>
        </is>
      </c>
      <c r="C742" t="inlineStr">
        <is>
          <t>Phillips 66 PAC</t>
        </is>
      </c>
      <c r="D742" t="inlineStr">
        <is>
          <t>DAN LIPINSKI FOR CONGRESS</t>
        </is>
      </c>
      <c r="E742" t="inlineStr">
        <is>
          <t>H4IL03077</t>
        </is>
      </c>
      <c r="F742" t="inlineStr">
        <is>
          <t>DEM</t>
        </is>
      </c>
      <c r="G742" t="inlineStr">
        <is>
          <t>06192019</t>
        </is>
      </c>
      <c r="H742" t="n">
        <v>2500</v>
      </c>
      <c r="I742" t="inlineStr">
        <is>
          <t>201907199151467046</t>
        </is>
      </c>
      <c r="J742" t="inlineStr">
        <is>
          <t>https://docquery.fec.gov/cgi-bin/fecimg/?201907199151467046</t>
        </is>
      </c>
    </row>
    <row r="743">
      <c r="A743" t="inlineStr">
        <is>
          <t>2020</t>
        </is>
      </c>
      <c r="B743" t="inlineStr">
        <is>
          <t>C00513549</t>
        </is>
      </c>
      <c r="C743" t="inlineStr">
        <is>
          <t>Phillips 66 PAC</t>
        </is>
      </c>
      <c r="D743" t="inlineStr">
        <is>
          <t>THORNBERRY FOR CONGRESS COMMITTEE</t>
        </is>
      </c>
      <c r="E743" t="inlineStr">
        <is>
          <t>H4TX13014</t>
        </is>
      </c>
      <c r="F743" t="inlineStr">
        <is>
          <t>REP</t>
        </is>
      </c>
      <c r="G743" t="inlineStr">
        <is>
          <t>06192019</t>
        </is>
      </c>
      <c r="H743" t="n">
        <v>2500</v>
      </c>
      <c r="I743" t="inlineStr">
        <is>
          <t>201907199151467046</t>
        </is>
      </c>
      <c r="J743" t="inlineStr">
        <is>
          <t>https://docquery.fec.gov/cgi-bin/fecimg/?201907199151467046</t>
        </is>
      </c>
    </row>
    <row r="744">
      <c r="A744" t="inlineStr">
        <is>
          <t>2020</t>
        </is>
      </c>
      <c r="B744" t="inlineStr">
        <is>
          <t>C00513549</t>
        </is>
      </c>
      <c r="C744" t="inlineStr">
        <is>
          <t>Phillips 66 PAC</t>
        </is>
      </c>
      <c r="D744" t="inlineStr">
        <is>
          <t>WALDEN FOR CONGRESS</t>
        </is>
      </c>
      <c r="E744" t="inlineStr">
        <is>
          <t>H6OR02116</t>
        </is>
      </c>
      <c r="F744" t="inlineStr">
        <is>
          <t>REP</t>
        </is>
      </c>
      <c r="G744" t="inlineStr">
        <is>
          <t>06192019</t>
        </is>
      </c>
      <c r="H744" t="n">
        <v>2500</v>
      </c>
      <c r="I744" t="inlineStr">
        <is>
          <t>201907199151467047</t>
        </is>
      </c>
      <c r="J744" t="inlineStr">
        <is>
          <t>https://docquery.fec.gov/cgi-bin/fecimg/?201907199151467047</t>
        </is>
      </c>
    </row>
    <row r="745">
      <c r="A745" t="inlineStr">
        <is>
          <t>2020</t>
        </is>
      </c>
      <c r="B745" t="inlineStr">
        <is>
          <t>C00513549</t>
        </is>
      </c>
      <c r="C745" t="inlineStr">
        <is>
          <t>Phillips 66 PAC</t>
        </is>
      </c>
      <c r="D745" t="inlineStr">
        <is>
          <t>KEVIN MCCARTHY FOR CONGRESS</t>
        </is>
      </c>
      <c r="E745" t="inlineStr">
        <is>
          <t>H6CA22125</t>
        </is>
      </c>
      <c r="F745" t="inlineStr">
        <is>
          <t>REP</t>
        </is>
      </c>
      <c r="G745" t="inlineStr">
        <is>
          <t>06192020</t>
        </is>
      </c>
      <c r="H745" t="n">
        <v>-2500</v>
      </c>
      <c r="I745" t="inlineStr">
        <is>
          <t>202007209250475351</t>
        </is>
      </c>
      <c r="J745" t="inlineStr">
        <is>
          <t>https://docquery.fec.gov/cgi-bin/fecimg/?202007209250475351</t>
        </is>
      </c>
    </row>
    <row r="746">
      <c r="A746" t="inlineStr">
        <is>
          <t>2020</t>
        </is>
      </c>
      <c r="B746" t="inlineStr">
        <is>
          <t>C00513549</t>
        </is>
      </c>
      <c r="C746" t="inlineStr">
        <is>
          <t>Phillips 66 PAC</t>
        </is>
      </c>
      <c r="D746" t="inlineStr">
        <is>
          <t>KURT SCHRADER FOR CONGRESS</t>
        </is>
      </c>
      <c r="E746" t="inlineStr">
        <is>
          <t>H8OR05107</t>
        </is>
      </c>
      <c r="F746" t="inlineStr">
        <is>
          <t>DEM</t>
        </is>
      </c>
      <c r="G746" t="inlineStr">
        <is>
          <t>06222020</t>
        </is>
      </c>
      <c r="H746" t="n">
        <v>2500</v>
      </c>
      <c r="I746" t="inlineStr">
        <is>
          <t>202007209250475352</t>
        </is>
      </c>
      <c r="J746" t="inlineStr">
        <is>
          <t>https://docquery.fec.gov/cgi-bin/fecimg/?202007209250475352</t>
        </is>
      </c>
    </row>
    <row r="747">
      <c r="A747" t="inlineStr">
        <is>
          <t>2020</t>
        </is>
      </c>
      <c r="B747" t="inlineStr">
        <is>
          <t>C00513549</t>
        </is>
      </c>
      <c r="C747" t="inlineStr">
        <is>
          <t>Phillips 66 PAC</t>
        </is>
      </c>
      <c r="D747" t="inlineStr">
        <is>
          <t>JOHN CARTER FOR CONGRESS</t>
        </is>
      </c>
      <c r="E747" t="inlineStr">
        <is>
          <t>H2TX31044</t>
        </is>
      </c>
      <c r="F747" t="inlineStr">
        <is>
          <t>REP</t>
        </is>
      </c>
      <c r="G747" t="inlineStr">
        <is>
          <t>06222020</t>
        </is>
      </c>
      <c r="H747" t="n">
        <v>1000</v>
      </c>
      <c r="I747" t="inlineStr">
        <is>
          <t>202007209250475350</t>
        </is>
      </c>
      <c r="J747" t="inlineStr">
        <is>
          <t>https://docquery.fec.gov/cgi-bin/fecimg/?202007209250475350</t>
        </is>
      </c>
    </row>
    <row r="748">
      <c r="A748" t="inlineStr">
        <is>
          <t>2020</t>
        </is>
      </c>
      <c r="B748" t="inlineStr">
        <is>
          <t>C00513549</t>
        </is>
      </c>
      <c r="C748" t="inlineStr">
        <is>
          <t>Phillips 66 PAC</t>
        </is>
      </c>
      <c r="D748" t="inlineStr">
        <is>
          <t>SYLVIA GARCIA FOR CONGRESS</t>
        </is>
      </c>
      <c r="E748" t="inlineStr">
        <is>
          <t>H8TX29052</t>
        </is>
      </c>
      <c r="F748" t="inlineStr">
        <is>
          <t>DEM</t>
        </is>
      </c>
      <c r="G748" t="inlineStr">
        <is>
          <t>06222020</t>
        </is>
      </c>
      <c r="H748" t="n">
        <v>2500</v>
      </c>
      <c r="I748" t="inlineStr">
        <is>
          <t>202007209250475357</t>
        </is>
      </c>
      <c r="J748" t="inlineStr">
        <is>
          <t>https://docquery.fec.gov/cgi-bin/fecimg/?202007209250475357</t>
        </is>
      </c>
    </row>
    <row r="749">
      <c r="A749" t="inlineStr">
        <is>
          <t>2020</t>
        </is>
      </c>
      <c r="B749" t="inlineStr">
        <is>
          <t>C00513549</t>
        </is>
      </c>
      <c r="C749" t="inlineStr">
        <is>
          <t>Phillips 66 PAC</t>
        </is>
      </c>
      <c r="D749" t="inlineStr">
        <is>
          <t>TEAM GRAHAM INC.</t>
        </is>
      </c>
      <c r="E749" t="inlineStr">
        <is>
          <t>S0SC00149</t>
        </is>
      </c>
      <c r="F749" t="inlineStr">
        <is>
          <t>REP</t>
        </is>
      </c>
      <c r="G749" t="inlineStr">
        <is>
          <t>06222020</t>
        </is>
      </c>
      <c r="H749" t="n">
        <v>4000</v>
      </c>
      <c r="I749" t="inlineStr">
        <is>
          <t>202007209250475357</t>
        </is>
      </c>
      <c r="J749" t="inlineStr">
        <is>
          <t>https://docquery.fec.gov/cgi-bin/fecimg/?202007209250475357</t>
        </is>
      </c>
    </row>
    <row r="750">
      <c r="A750" t="inlineStr">
        <is>
          <t>2020</t>
        </is>
      </c>
      <c r="B750" t="inlineStr">
        <is>
          <t>C00513549</t>
        </is>
      </c>
      <c r="C750" t="inlineStr">
        <is>
          <t>Phillips 66 PAC</t>
        </is>
      </c>
      <c r="D750" t="inlineStr">
        <is>
          <t>TERRI SEWELL FOR CONGRESS</t>
        </is>
      </c>
      <c r="E750" t="inlineStr">
        <is>
          <t>H0AL07086</t>
        </is>
      </c>
      <c r="F750" t="inlineStr">
        <is>
          <t>DEM</t>
        </is>
      </c>
      <c r="G750" t="inlineStr">
        <is>
          <t>06222020</t>
        </is>
      </c>
      <c r="H750" t="n">
        <v>2500</v>
      </c>
      <c r="I750" t="inlineStr">
        <is>
          <t>202007209250475357</t>
        </is>
      </c>
      <c r="J750" t="inlineStr">
        <is>
          <t>https://docquery.fec.gov/cgi-bin/fecimg/?202007209250475357</t>
        </is>
      </c>
    </row>
    <row r="751">
      <c r="A751" t="inlineStr">
        <is>
          <t>2020</t>
        </is>
      </c>
      <c r="B751" t="inlineStr">
        <is>
          <t>C00513549</t>
        </is>
      </c>
      <c r="C751" t="inlineStr">
        <is>
          <t>Phillips 66 PAC</t>
        </is>
      </c>
      <c r="D751" t="inlineStr">
        <is>
          <t>LATTA FOR CONGRESS</t>
        </is>
      </c>
      <c r="E751" t="inlineStr">
        <is>
          <t>H8OH05036</t>
        </is>
      </c>
      <c r="F751" t="inlineStr">
        <is>
          <t>REP</t>
        </is>
      </c>
      <c r="G751" t="inlineStr">
        <is>
          <t>06222020</t>
        </is>
      </c>
      <c r="H751" t="n">
        <v>2500</v>
      </c>
      <c r="I751" t="inlineStr">
        <is>
          <t>202007209250475352</t>
        </is>
      </c>
      <c r="J751" t="inlineStr">
        <is>
          <t>https://docquery.fec.gov/cgi-bin/fecimg/?202007209250475352</t>
        </is>
      </c>
    </row>
    <row r="752">
      <c r="A752" t="inlineStr">
        <is>
          <t>2020</t>
        </is>
      </c>
      <c r="B752" t="inlineStr">
        <is>
          <t>C00513549</t>
        </is>
      </c>
      <c r="C752" t="inlineStr">
        <is>
          <t>Phillips 66 PAC</t>
        </is>
      </c>
      <c r="D752" t="inlineStr">
        <is>
          <t>DAN CRENSHAW FOR CONGRESS</t>
        </is>
      </c>
      <c r="E752" t="inlineStr">
        <is>
          <t>H8TX02166</t>
        </is>
      </c>
      <c r="F752" t="inlineStr">
        <is>
          <t>REP</t>
        </is>
      </c>
      <c r="G752" t="inlineStr">
        <is>
          <t>06222020</t>
        </is>
      </c>
      <c r="H752" t="n">
        <v>-2500</v>
      </c>
      <c r="I752" t="inlineStr">
        <is>
          <t>202007209250475347</t>
        </is>
      </c>
      <c r="J752" t="inlineStr">
        <is>
          <t>https://docquery.fec.gov/cgi-bin/fecimg/?202007209250475347</t>
        </is>
      </c>
    </row>
    <row r="753">
      <c r="A753" t="inlineStr">
        <is>
          <t>2020</t>
        </is>
      </c>
      <c r="B753" t="inlineStr">
        <is>
          <t>C00513549</t>
        </is>
      </c>
      <c r="C753" t="inlineStr">
        <is>
          <t>Phillips 66 PAC</t>
        </is>
      </c>
      <c r="D753" t="inlineStr">
        <is>
          <t>DEFAZIO FOR CONGRESS</t>
        </is>
      </c>
      <c r="E753" t="inlineStr">
        <is>
          <t>H6OR04047</t>
        </is>
      </c>
      <c r="F753" t="inlineStr">
        <is>
          <t>DEM</t>
        </is>
      </c>
      <c r="G753" t="inlineStr">
        <is>
          <t>06222020</t>
        </is>
      </c>
      <c r="H753" t="n">
        <v>1000</v>
      </c>
      <c r="I753" t="inlineStr">
        <is>
          <t>202007209250475347</t>
        </is>
      </c>
      <c r="J753" t="inlineStr">
        <is>
          <t>https://docquery.fec.gov/cgi-bin/fecimg/?202007209250475347</t>
        </is>
      </c>
    </row>
    <row r="754">
      <c r="A754" t="inlineStr">
        <is>
          <t>2020</t>
        </is>
      </c>
      <c r="B754" t="inlineStr">
        <is>
          <t>C00513549</t>
        </is>
      </c>
      <c r="C754" t="inlineStr">
        <is>
          <t>Phillips 66 PAC</t>
        </is>
      </c>
      <c r="D754" t="inlineStr">
        <is>
          <t>DR. BRIAN BABIN FOR CONGRESS</t>
        </is>
      </c>
      <c r="E754" t="inlineStr">
        <is>
          <t>H6TX02079</t>
        </is>
      </c>
      <c r="F754" t="inlineStr">
        <is>
          <t>REP</t>
        </is>
      </c>
      <c r="G754" t="inlineStr">
        <is>
          <t>06222020</t>
        </is>
      </c>
      <c r="H754" t="n">
        <v>1500</v>
      </c>
      <c r="I754" t="inlineStr">
        <is>
          <t>202007209250475348</t>
        </is>
      </c>
      <c r="J754" t="inlineStr">
        <is>
          <t>https://docquery.fec.gov/cgi-bin/fecimg/?202007209250475348</t>
        </is>
      </c>
    </row>
    <row r="755">
      <c r="A755" t="inlineStr">
        <is>
          <t>2020</t>
        </is>
      </c>
      <c r="B755" t="inlineStr">
        <is>
          <t>C00513549</t>
        </is>
      </c>
      <c r="C755" t="inlineStr">
        <is>
          <t>Phillips 66 PAC</t>
        </is>
      </c>
      <c r="D755" t="inlineStr">
        <is>
          <t>FILEMON VELA FOR CONGRESS</t>
        </is>
      </c>
      <c r="E755" t="inlineStr">
        <is>
          <t>H2TX27190</t>
        </is>
      </c>
      <c r="F755" t="inlineStr">
        <is>
          <t>DEM</t>
        </is>
      </c>
      <c r="G755" t="inlineStr">
        <is>
          <t>06222020</t>
        </is>
      </c>
      <c r="H755" t="n">
        <v>4000</v>
      </c>
      <c r="I755" t="inlineStr">
        <is>
          <t>202007209250475348</t>
        </is>
      </c>
      <c r="J755" t="inlineStr">
        <is>
          <t>https://docquery.fec.gov/cgi-bin/fecimg/?202007209250475348</t>
        </is>
      </c>
    </row>
    <row r="756">
      <c r="A756" t="inlineStr">
        <is>
          <t>2020</t>
        </is>
      </c>
      <c r="B756" t="inlineStr">
        <is>
          <t>C00513549</t>
        </is>
      </c>
      <c r="C756" t="inlineStr">
        <is>
          <t>Phillips 66 PAC</t>
        </is>
      </c>
      <c r="D756" t="inlineStr">
        <is>
          <t>HOYER FOR CONGRESS</t>
        </is>
      </c>
      <c r="E756" t="inlineStr">
        <is>
          <t>H2MD05155</t>
        </is>
      </c>
      <c r="F756" t="inlineStr">
        <is>
          <t>DEM</t>
        </is>
      </c>
      <c r="G756" t="inlineStr">
        <is>
          <t>06222020</t>
        </is>
      </c>
      <c r="H756" t="n">
        <v>2500</v>
      </c>
      <c r="I756" t="inlineStr">
        <is>
          <t>202007209250475349</t>
        </is>
      </c>
      <c r="J756" t="inlineStr">
        <is>
          <t>https://docquery.fec.gov/cgi-bin/fecimg/?202007209250475349</t>
        </is>
      </c>
    </row>
    <row r="757">
      <c r="A757" t="inlineStr">
        <is>
          <t>2020</t>
        </is>
      </c>
      <c r="B757" t="inlineStr">
        <is>
          <t>C00513549</t>
        </is>
      </c>
      <c r="C757" t="inlineStr">
        <is>
          <t>Phillips 66 PAC</t>
        </is>
      </c>
      <c r="D757" t="inlineStr">
        <is>
          <t>HUDSON FOR CONGRESS</t>
        </is>
      </c>
      <c r="E757" t="inlineStr">
        <is>
          <t>H2NC08185</t>
        </is>
      </c>
      <c r="F757" t="inlineStr">
        <is>
          <t>REP</t>
        </is>
      </c>
      <c r="G757" t="inlineStr">
        <is>
          <t>06222020</t>
        </is>
      </c>
      <c r="H757" t="n">
        <v>2500</v>
      </c>
      <c r="I757" t="inlineStr">
        <is>
          <t>202007209250475349</t>
        </is>
      </c>
      <c r="J757" t="inlineStr">
        <is>
          <t>https://docquery.fec.gov/cgi-bin/fecimg/?202007209250475349</t>
        </is>
      </c>
    </row>
    <row r="758">
      <c r="A758" t="inlineStr">
        <is>
          <t>2020</t>
        </is>
      </c>
      <c r="B758" t="inlineStr">
        <is>
          <t>C00513549</t>
        </is>
      </c>
      <c r="C758" t="inlineStr">
        <is>
          <t>Phillips 66 PAC</t>
        </is>
      </c>
      <c r="D758" t="inlineStr">
        <is>
          <t>LUMMIS FOR WYOMING</t>
        </is>
      </c>
      <c r="E758" t="inlineStr">
        <is>
          <t>H8WY00148</t>
        </is>
      </c>
      <c r="F758" t="inlineStr">
        <is>
          <t>REP</t>
        </is>
      </c>
      <c r="G758" t="inlineStr">
        <is>
          <t>06222020</t>
        </is>
      </c>
      <c r="H758" t="n">
        <v>5000</v>
      </c>
      <c r="I758" t="inlineStr">
        <is>
          <t>202007209250475353</t>
        </is>
      </c>
      <c r="J758" t="inlineStr">
        <is>
          <t>https://docquery.fec.gov/cgi-bin/fecimg/?202007209250475353</t>
        </is>
      </c>
    </row>
    <row r="759">
      <c r="A759" t="inlineStr">
        <is>
          <t>2020</t>
        </is>
      </c>
      <c r="B759" t="inlineStr">
        <is>
          <t>C00513549</t>
        </is>
      </c>
      <c r="C759" t="inlineStr">
        <is>
          <t>Phillips 66 PAC</t>
        </is>
      </c>
      <c r="D759" t="inlineStr">
        <is>
          <t>MCCONNELL SENATE COMMITTEE</t>
        </is>
      </c>
      <c r="E759" t="inlineStr">
        <is>
          <t>S2KY00012</t>
        </is>
      </c>
      <c r="F759" t="inlineStr">
        <is>
          <t>REP</t>
        </is>
      </c>
      <c r="G759" t="inlineStr">
        <is>
          <t>06222020</t>
        </is>
      </c>
      <c r="H759" t="n">
        <v>2500</v>
      </c>
      <c r="I759" t="inlineStr">
        <is>
          <t>202007209250475354</t>
        </is>
      </c>
      <c r="J759" t="inlineStr">
        <is>
          <t>https://docquery.fec.gov/cgi-bin/fecimg/?202007209250475354</t>
        </is>
      </c>
    </row>
    <row r="760">
      <c r="A760" t="inlineStr">
        <is>
          <t>2020</t>
        </is>
      </c>
      <c r="B760" t="inlineStr">
        <is>
          <t>C00513549</t>
        </is>
      </c>
      <c r="C760" t="inlineStr">
        <is>
          <t>Phillips 66 PAC</t>
        </is>
      </c>
      <c r="D760" t="inlineStr">
        <is>
          <t>ARMSTRONG FOR CONGRESS</t>
        </is>
      </c>
      <c r="E760" t="inlineStr">
        <is>
          <t>H8ND00096</t>
        </is>
      </c>
      <c r="F760" t="inlineStr">
        <is>
          <t>REP</t>
        </is>
      </c>
      <c r="G760" t="inlineStr">
        <is>
          <t>07232019</t>
        </is>
      </c>
      <c r="H760" t="n">
        <v>1000</v>
      </c>
      <c r="I760" t="inlineStr">
        <is>
          <t>201908139162851565</t>
        </is>
      </c>
      <c r="J760" t="inlineStr">
        <is>
          <t>https://docquery.fec.gov/cgi-bin/fecimg/?201908139162851565</t>
        </is>
      </c>
    </row>
    <row r="761">
      <c r="A761" t="inlineStr">
        <is>
          <t>2020</t>
        </is>
      </c>
      <c r="B761" t="inlineStr">
        <is>
          <t>C00513549</t>
        </is>
      </c>
      <c r="C761" t="inlineStr">
        <is>
          <t>Phillips 66 PAC</t>
        </is>
      </c>
      <c r="D761" t="inlineStr">
        <is>
          <t>GRAVES FOR CONGRESS</t>
        </is>
      </c>
      <c r="E761" t="inlineStr">
        <is>
          <t>H0MO06073</t>
        </is>
      </c>
      <c r="F761" t="inlineStr">
        <is>
          <t>REP</t>
        </is>
      </c>
      <c r="G761" t="inlineStr">
        <is>
          <t>07232019</t>
        </is>
      </c>
      <c r="H761" t="n">
        <v>2500</v>
      </c>
      <c r="I761" t="inlineStr">
        <is>
          <t>201908139162851565</t>
        </is>
      </c>
      <c r="J761" t="inlineStr">
        <is>
          <t>https://docquery.fec.gov/cgi-bin/fecimg/?201908139162851565</t>
        </is>
      </c>
    </row>
    <row r="762">
      <c r="A762" t="inlineStr">
        <is>
          <t>2020</t>
        </is>
      </c>
      <c r="B762" t="inlineStr">
        <is>
          <t>C00513549</t>
        </is>
      </c>
      <c r="C762" t="inlineStr">
        <is>
          <t>Phillips 66 PAC</t>
        </is>
      </c>
      <c r="D762" t="inlineStr">
        <is>
          <t>JIM COSTA FOR CONGRESS</t>
        </is>
      </c>
      <c r="E762" t="inlineStr">
        <is>
          <t>H4CA20082</t>
        </is>
      </c>
      <c r="F762" t="inlineStr">
        <is>
          <t>DEM</t>
        </is>
      </c>
      <c r="G762" t="inlineStr">
        <is>
          <t>07232019</t>
        </is>
      </c>
      <c r="H762" t="n">
        <v>1000</v>
      </c>
      <c r="I762" t="inlineStr">
        <is>
          <t>201908139162851565</t>
        </is>
      </c>
      <c r="J762" t="inlineStr">
        <is>
          <t>https://docquery.fec.gov/cgi-bin/fecimg/?201908139162851565</t>
        </is>
      </c>
    </row>
    <row r="763">
      <c r="A763" t="inlineStr">
        <is>
          <t>2020</t>
        </is>
      </c>
      <c r="B763" t="inlineStr">
        <is>
          <t>C00513549</t>
        </is>
      </c>
      <c r="C763" t="inlineStr">
        <is>
          <t>Phillips 66 PAC</t>
        </is>
      </c>
      <c r="D763" t="inlineStr">
        <is>
          <t>LUCAS FOR CONGRESS</t>
        </is>
      </c>
      <c r="E763" t="inlineStr">
        <is>
          <t>H4OK06056</t>
        </is>
      </c>
      <c r="F763" t="inlineStr">
        <is>
          <t>REP</t>
        </is>
      </c>
      <c r="G763" t="inlineStr">
        <is>
          <t>07232019</t>
        </is>
      </c>
      <c r="H763" t="n">
        <v>1000</v>
      </c>
      <c r="I763" t="inlineStr">
        <is>
          <t>201908139162851566</t>
        </is>
      </c>
      <c r="J763" t="inlineStr">
        <is>
          <t>https://docquery.fec.gov/cgi-bin/fecimg/?201908139162851566</t>
        </is>
      </c>
    </row>
    <row r="764">
      <c r="A764" t="inlineStr">
        <is>
          <t>2020</t>
        </is>
      </c>
      <c r="B764" t="inlineStr">
        <is>
          <t>C00513549</t>
        </is>
      </c>
      <c r="C764" t="inlineStr">
        <is>
          <t>Phillips 66 PAC</t>
        </is>
      </c>
      <c r="D764" t="inlineStr">
        <is>
          <t>RODNEY FOR CONGRESS</t>
        </is>
      </c>
      <c r="E764" t="inlineStr">
        <is>
          <t>H2IL13120</t>
        </is>
      </c>
      <c r="F764" t="inlineStr">
        <is>
          <t>REP</t>
        </is>
      </c>
      <c r="G764" t="inlineStr">
        <is>
          <t>07232019</t>
        </is>
      </c>
      <c r="H764" t="n">
        <v>2500</v>
      </c>
      <c r="I764" t="inlineStr">
        <is>
          <t>201908139162851566</t>
        </is>
      </c>
      <c r="J764" t="inlineStr">
        <is>
          <t>https://docquery.fec.gov/cgi-bin/fecimg/?201908139162851566</t>
        </is>
      </c>
    </row>
    <row r="765">
      <c r="A765" t="inlineStr">
        <is>
          <t>2020</t>
        </is>
      </c>
      <c r="B765" t="inlineStr">
        <is>
          <t>C00513549</t>
        </is>
      </c>
      <c r="C765" t="inlineStr">
        <is>
          <t>Phillips 66 PAC</t>
        </is>
      </c>
      <c r="D765" t="inlineStr">
        <is>
          <t>TEXANS FOR SENATOR JOHN CORNYN INC</t>
        </is>
      </c>
      <c r="E765" t="inlineStr">
        <is>
          <t>S2TX00106</t>
        </is>
      </c>
      <c r="F765" t="inlineStr">
        <is>
          <t>REP</t>
        </is>
      </c>
      <c r="G765" t="inlineStr">
        <is>
          <t>07232019</t>
        </is>
      </c>
      <c r="H765" t="n">
        <v>3000</v>
      </c>
      <c r="I765" t="inlineStr">
        <is>
          <t>201908139162851566</t>
        </is>
      </c>
      <c r="J765" t="inlineStr">
        <is>
          <t>https://docquery.fec.gov/cgi-bin/fecimg/?201908139162851566</t>
        </is>
      </c>
    </row>
    <row r="766">
      <c r="A766" t="inlineStr">
        <is>
          <t>2020</t>
        </is>
      </c>
      <c r="B766" t="inlineStr">
        <is>
          <t>C00513549</t>
        </is>
      </c>
      <c r="C766" t="inlineStr">
        <is>
          <t>Phillips 66 PAC</t>
        </is>
      </c>
      <c r="D766" t="inlineStr">
        <is>
          <t>ARMSTRONG FOR CONGRESS</t>
        </is>
      </c>
      <c r="E766" t="inlineStr">
        <is>
          <t>H8ND00096</t>
        </is>
      </c>
      <c r="F766" t="inlineStr">
        <is>
          <t>REP</t>
        </is>
      </c>
      <c r="G766" t="inlineStr">
        <is>
          <t>07272020</t>
        </is>
      </c>
      <c r="H766" t="n">
        <v>1500</v>
      </c>
      <c r="I766" t="inlineStr">
        <is>
          <t>202008199261410533</t>
        </is>
      </c>
      <c r="J766" t="inlineStr">
        <is>
          <t>https://docquery.fec.gov/cgi-bin/fecimg/?202008199261410533</t>
        </is>
      </c>
    </row>
    <row r="767">
      <c r="A767" t="inlineStr">
        <is>
          <t>2020</t>
        </is>
      </c>
      <c r="B767" t="inlineStr">
        <is>
          <t>C00513549</t>
        </is>
      </c>
      <c r="C767" t="inlineStr">
        <is>
          <t>Phillips 66 PAC</t>
        </is>
      </c>
      <c r="D767" t="inlineStr">
        <is>
          <t>CATHY MCMORRIS RODGERS FOR CONGRESS</t>
        </is>
      </c>
      <c r="E767" t="inlineStr">
        <is>
          <t>H4WA05077</t>
        </is>
      </c>
      <c r="F767" t="inlineStr">
        <is>
          <t>REP</t>
        </is>
      </c>
      <c r="G767" t="inlineStr">
        <is>
          <t>07272020</t>
        </is>
      </c>
      <c r="H767" t="n">
        <v>3000</v>
      </c>
      <c r="I767" t="inlineStr">
        <is>
          <t>202008199261410533</t>
        </is>
      </c>
      <c r="J767" t="inlineStr">
        <is>
          <t>https://docquery.fec.gov/cgi-bin/fecimg/?202008199261410533</t>
        </is>
      </c>
    </row>
    <row r="768">
      <c r="A768" t="inlineStr">
        <is>
          <t>2020</t>
        </is>
      </c>
      <c r="B768" t="inlineStr">
        <is>
          <t>C00513549</t>
        </is>
      </c>
      <c r="C768" t="inlineStr">
        <is>
          <t>Phillips 66 PAC</t>
        </is>
      </c>
      <c r="D768" t="inlineStr">
        <is>
          <t>DAN CRENSHAW FOR CONGRESS</t>
        </is>
      </c>
      <c r="E768" t="inlineStr">
        <is>
          <t>H8TX02166</t>
        </is>
      </c>
      <c r="F768" t="inlineStr">
        <is>
          <t>REP</t>
        </is>
      </c>
      <c r="G768" t="inlineStr">
        <is>
          <t>07272020</t>
        </is>
      </c>
      <c r="H768" t="n">
        <v>5000</v>
      </c>
      <c r="I768" t="inlineStr">
        <is>
          <t>202008199261410533</t>
        </is>
      </c>
      <c r="J768" t="inlineStr">
        <is>
          <t>https://docquery.fec.gov/cgi-bin/fecimg/?202008199261410533</t>
        </is>
      </c>
    </row>
    <row r="769">
      <c r="A769" t="inlineStr">
        <is>
          <t>2020</t>
        </is>
      </c>
      <c r="B769" t="inlineStr">
        <is>
          <t>C00513549</t>
        </is>
      </c>
      <c r="C769" t="inlineStr">
        <is>
          <t>Phillips 66 PAC</t>
        </is>
      </c>
      <c r="D769" t="inlineStr">
        <is>
          <t>LUCAS FOR CONGRESS</t>
        </is>
      </c>
      <c r="E769" t="inlineStr">
        <is>
          <t>H4OK06056</t>
        </is>
      </c>
      <c r="F769" t="inlineStr">
        <is>
          <t>REP</t>
        </is>
      </c>
      <c r="G769" t="inlineStr">
        <is>
          <t>07272020</t>
        </is>
      </c>
      <c r="H769" t="n">
        <v>2500</v>
      </c>
      <c r="I769" t="inlineStr">
        <is>
          <t>202008199261410534</t>
        </is>
      </c>
      <c r="J769" t="inlineStr">
        <is>
          <t>https://docquery.fec.gov/cgi-bin/fecimg/?202008199261410534</t>
        </is>
      </c>
    </row>
    <row r="770">
      <c r="A770" t="inlineStr">
        <is>
          <t>2020</t>
        </is>
      </c>
      <c r="B770" t="inlineStr">
        <is>
          <t>C00513549</t>
        </is>
      </c>
      <c r="C770" t="inlineStr">
        <is>
          <t>Phillips 66 PAC</t>
        </is>
      </c>
      <c r="D770" t="inlineStr">
        <is>
          <t>MIKE THOMPSON FOR CONGRESS</t>
        </is>
      </c>
      <c r="E770" t="inlineStr">
        <is>
          <t>H8CA01109</t>
        </is>
      </c>
      <c r="F770" t="inlineStr">
        <is>
          <t>DEM</t>
        </is>
      </c>
      <c r="G770" t="inlineStr">
        <is>
          <t>07272020</t>
        </is>
      </c>
      <c r="H770" t="n">
        <v>2500</v>
      </c>
      <c r="I770" t="inlineStr">
        <is>
          <t>202008199261410534</t>
        </is>
      </c>
      <c r="J770" t="inlineStr">
        <is>
          <t>https://docquery.fec.gov/cgi-bin/fecimg/?202008199261410534</t>
        </is>
      </c>
    </row>
    <row r="771">
      <c r="A771" t="inlineStr">
        <is>
          <t>2020</t>
        </is>
      </c>
      <c r="B771" t="inlineStr">
        <is>
          <t>C00513549</t>
        </is>
      </c>
      <c r="C771" t="inlineStr">
        <is>
          <t>Phillips 66 PAC</t>
        </is>
      </c>
      <c r="D771" t="inlineStr">
        <is>
          <t>RICHARD E NEAL FOR CONGRESS COMMITTEE</t>
        </is>
      </c>
      <c r="E771" t="inlineStr">
        <is>
          <t>H8MA02041</t>
        </is>
      </c>
      <c r="F771" t="inlineStr">
        <is>
          <t>DEM</t>
        </is>
      </c>
      <c r="G771" t="inlineStr">
        <is>
          <t>07272020</t>
        </is>
      </c>
      <c r="H771" t="n">
        <v>2500</v>
      </c>
      <c r="I771" t="inlineStr">
        <is>
          <t>202008199261410534</t>
        </is>
      </c>
      <c r="J771" t="inlineStr">
        <is>
          <t>https://docquery.fec.gov/cgi-bin/fecimg/?202008199261410534</t>
        </is>
      </c>
    </row>
    <row r="772">
      <c r="A772" t="inlineStr">
        <is>
          <t>2020</t>
        </is>
      </c>
      <c r="B772" t="inlineStr">
        <is>
          <t>C00513549</t>
        </is>
      </c>
      <c r="C772" t="inlineStr">
        <is>
          <t>Phillips 66 PAC</t>
        </is>
      </c>
      <c r="D772" t="inlineStr">
        <is>
          <t>RICHMOND FOR CONGRESS</t>
        </is>
      </c>
      <c r="E772" t="inlineStr">
        <is>
          <t>H8LA02054</t>
        </is>
      </c>
      <c r="F772" t="inlineStr">
        <is>
          <t>DEM</t>
        </is>
      </c>
      <c r="G772" t="inlineStr">
        <is>
          <t>07272020</t>
        </is>
      </c>
      <c r="H772" t="n">
        <v>2500</v>
      </c>
      <c r="I772" t="inlineStr">
        <is>
          <t>202008199261410535</t>
        </is>
      </c>
      <c r="J772" t="inlineStr">
        <is>
          <t>https://docquery.fec.gov/cgi-bin/fecimg/?202008199261410535</t>
        </is>
      </c>
    </row>
    <row r="773">
      <c r="A773" t="inlineStr">
        <is>
          <t>2020</t>
        </is>
      </c>
      <c r="B773" t="inlineStr">
        <is>
          <t>C00513549</t>
        </is>
      </c>
      <c r="C773" t="inlineStr">
        <is>
          <t>Phillips 66 PAC</t>
        </is>
      </c>
      <c r="D773" t="inlineStr">
        <is>
          <t>UPTON FOR ALL OF US</t>
        </is>
      </c>
      <c r="E773" t="inlineStr">
        <is>
          <t>H6MI04113</t>
        </is>
      </c>
      <c r="F773" t="inlineStr">
        <is>
          <t>REP</t>
        </is>
      </c>
      <c r="G773" t="inlineStr">
        <is>
          <t>07272020</t>
        </is>
      </c>
      <c r="H773" t="n">
        <v>1500</v>
      </c>
      <c r="I773" t="inlineStr">
        <is>
          <t>202008199261410535</t>
        </is>
      </c>
      <c r="J773" t="inlineStr">
        <is>
          <t>https://docquery.fec.gov/cgi-bin/fecimg/?202008199261410535</t>
        </is>
      </c>
    </row>
    <row r="774">
      <c r="A774" t="inlineStr">
        <is>
          <t>2020</t>
        </is>
      </c>
      <c r="B774" t="inlineStr">
        <is>
          <t>C00513549</t>
        </is>
      </c>
      <c r="C774" t="inlineStr">
        <is>
          <t>Phillips 66 PAC</t>
        </is>
      </c>
      <c r="D774" t="inlineStr">
        <is>
          <t>WEBER FOR CONGRESS</t>
        </is>
      </c>
      <c r="E774" t="inlineStr">
        <is>
          <t>H2TX14149</t>
        </is>
      </c>
      <c r="F774" t="inlineStr">
        <is>
          <t>REP</t>
        </is>
      </c>
      <c r="G774" t="inlineStr">
        <is>
          <t>07272020</t>
        </is>
      </c>
      <c r="H774" t="n">
        <v>2500</v>
      </c>
      <c r="I774" t="inlineStr">
        <is>
          <t>202008199261410535</t>
        </is>
      </c>
      <c r="J774" t="inlineStr">
        <is>
          <t>https://docquery.fec.gov/cgi-bin/fecimg/?202008199261410535</t>
        </is>
      </c>
    </row>
    <row r="775">
      <c r="A775" t="inlineStr">
        <is>
          <t>2020</t>
        </is>
      </c>
      <c r="B775" t="inlineStr">
        <is>
          <t>C00513549</t>
        </is>
      </c>
      <c r="C775" t="inlineStr">
        <is>
          <t>Phillips 66 PAC</t>
        </is>
      </c>
      <c r="D775" t="inlineStr">
        <is>
          <t>BILL FLORES FOR CONGRESS</t>
        </is>
      </c>
      <c r="E775" t="inlineStr">
        <is>
          <t>H0TX17104</t>
        </is>
      </c>
      <c r="F775" t="inlineStr">
        <is>
          <t>REP</t>
        </is>
      </c>
      <c r="G775" t="inlineStr">
        <is>
          <t>08012019</t>
        </is>
      </c>
      <c r="H775" t="n">
        <v>2500</v>
      </c>
      <c r="I775" t="inlineStr">
        <is>
          <t>201909209163486171</t>
        </is>
      </c>
      <c r="J775" t="inlineStr">
        <is>
          <t>https://docquery.fec.gov/cgi-bin/fecimg/?201909209163486171</t>
        </is>
      </c>
    </row>
    <row r="776">
      <c r="A776" t="inlineStr">
        <is>
          <t>2020</t>
        </is>
      </c>
      <c r="B776" t="inlineStr">
        <is>
          <t>C00513549</t>
        </is>
      </c>
      <c r="C776" t="inlineStr">
        <is>
          <t>Phillips 66 PAC</t>
        </is>
      </c>
      <c r="D776" t="inlineStr">
        <is>
          <t>BRADY FOR CONGRESS</t>
        </is>
      </c>
      <c r="E776" t="inlineStr">
        <is>
          <t>H6TX08100</t>
        </is>
      </c>
      <c r="F776" t="inlineStr">
        <is>
          <t>REP</t>
        </is>
      </c>
      <c r="G776" t="inlineStr">
        <is>
          <t>08012019</t>
        </is>
      </c>
      <c r="H776" t="n">
        <v>2500</v>
      </c>
      <c r="I776" t="inlineStr">
        <is>
          <t>201909209163486171</t>
        </is>
      </c>
      <c r="J776" t="inlineStr">
        <is>
          <t>https://docquery.fec.gov/cgi-bin/fecimg/?201909209163486171</t>
        </is>
      </c>
    </row>
    <row r="777">
      <c r="A777" t="inlineStr">
        <is>
          <t>2020</t>
        </is>
      </c>
      <c r="B777" t="inlineStr">
        <is>
          <t>C00513549</t>
        </is>
      </c>
      <c r="C777" t="inlineStr">
        <is>
          <t>Phillips 66 PAC</t>
        </is>
      </c>
      <c r="D777" t="inlineStr">
        <is>
          <t>CATHY MCMORRIS RODGERS FOR CONGRESS</t>
        </is>
      </c>
      <c r="E777" t="inlineStr">
        <is>
          <t>H4WA05077</t>
        </is>
      </c>
      <c r="F777" t="inlineStr">
        <is>
          <t>REP</t>
        </is>
      </c>
      <c r="G777" t="inlineStr">
        <is>
          <t>08012019</t>
        </is>
      </c>
      <c r="H777" t="n">
        <v>1000</v>
      </c>
      <c r="I777" t="inlineStr">
        <is>
          <t>201909209163486171</t>
        </is>
      </c>
      <c r="J777" t="inlineStr">
        <is>
          <t>https://docquery.fec.gov/cgi-bin/fecimg/?201909209163486171</t>
        </is>
      </c>
    </row>
    <row r="778">
      <c r="A778" t="inlineStr">
        <is>
          <t>2020</t>
        </is>
      </c>
      <c r="B778" t="inlineStr">
        <is>
          <t>C00513549</t>
        </is>
      </c>
      <c r="C778" t="inlineStr">
        <is>
          <t>Phillips 66 PAC</t>
        </is>
      </c>
      <c r="D778" t="inlineStr">
        <is>
          <t>CITIZENS TO ELECT RICK LARSEN</t>
        </is>
      </c>
      <c r="E778" t="inlineStr">
        <is>
          <t>H0WA02080</t>
        </is>
      </c>
      <c r="F778" t="inlineStr">
        <is>
          <t>DEM</t>
        </is>
      </c>
      <c r="G778" t="inlineStr">
        <is>
          <t>08012019</t>
        </is>
      </c>
      <c r="H778" t="n">
        <v>1000</v>
      </c>
      <c r="I778" t="inlineStr">
        <is>
          <t>201909209163486172</t>
        </is>
      </c>
      <c r="J778" t="inlineStr">
        <is>
          <t>https://docquery.fec.gov/cgi-bin/fecimg/?201909209163486172</t>
        </is>
      </c>
    </row>
    <row r="779">
      <c r="A779" t="inlineStr">
        <is>
          <t>2020</t>
        </is>
      </c>
      <c r="B779" t="inlineStr">
        <is>
          <t>C00513549</t>
        </is>
      </c>
      <c r="C779" t="inlineStr">
        <is>
          <t>Phillips 66 PAC</t>
        </is>
      </c>
      <c r="D779" t="inlineStr">
        <is>
          <t>COLE FOR CONGRESS</t>
        </is>
      </c>
      <c r="E779" t="inlineStr">
        <is>
          <t>H2OK04055</t>
        </is>
      </c>
      <c r="F779" t="inlineStr">
        <is>
          <t>REP</t>
        </is>
      </c>
      <c r="G779" t="inlineStr">
        <is>
          <t>08012019</t>
        </is>
      </c>
      <c r="H779" t="n">
        <v>1000</v>
      </c>
      <c r="I779" t="inlineStr">
        <is>
          <t>201909209163486172</t>
        </is>
      </c>
      <c r="J779" t="inlineStr">
        <is>
          <t>https://docquery.fec.gov/cgi-bin/fecimg/?201909209163486172</t>
        </is>
      </c>
    </row>
    <row r="780">
      <c r="A780" t="inlineStr">
        <is>
          <t>2020</t>
        </is>
      </c>
      <c r="B780" t="inlineStr">
        <is>
          <t>C00513549</t>
        </is>
      </c>
      <c r="C780" t="inlineStr">
        <is>
          <t>Phillips 66 PAC</t>
        </is>
      </c>
      <c r="D780" t="inlineStr">
        <is>
          <t>CORY GARDNER FOR SENATE</t>
        </is>
      </c>
      <c r="E780" t="inlineStr">
        <is>
          <t>S4CO00395</t>
        </is>
      </c>
      <c r="F780" t="inlineStr">
        <is>
          <t>REP</t>
        </is>
      </c>
      <c r="G780" t="inlineStr">
        <is>
          <t>08012019</t>
        </is>
      </c>
      <c r="H780" t="n">
        <v>2500</v>
      </c>
      <c r="I780" t="inlineStr">
        <is>
          <t>201909209163486172</t>
        </is>
      </c>
      <c r="J780" t="inlineStr">
        <is>
          <t>https://docquery.fec.gov/cgi-bin/fecimg/?201909209163486172</t>
        </is>
      </c>
    </row>
    <row r="781">
      <c r="A781" t="inlineStr">
        <is>
          <t>2020</t>
        </is>
      </c>
      <c r="B781" t="inlineStr">
        <is>
          <t>C00513549</t>
        </is>
      </c>
      <c r="C781" t="inlineStr">
        <is>
          <t>Phillips 66 PAC</t>
        </is>
      </c>
      <c r="D781" t="inlineStr">
        <is>
          <t>DELBENE FOR CONGRESS</t>
        </is>
      </c>
      <c r="E781" t="inlineStr">
        <is>
          <t>H0WA08046</t>
        </is>
      </c>
      <c r="F781" t="inlineStr">
        <is>
          <t>DEM</t>
        </is>
      </c>
      <c r="G781" t="inlineStr">
        <is>
          <t>08012019</t>
        </is>
      </c>
      <c r="H781" t="n">
        <v>2500</v>
      </c>
      <c r="I781" t="inlineStr">
        <is>
          <t>201909209163486173</t>
        </is>
      </c>
      <c r="J781" t="inlineStr">
        <is>
          <t>https://docquery.fec.gov/cgi-bin/fecimg/?201909209163486173</t>
        </is>
      </c>
    </row>
    <row r="782">
      <c r="A782" t="inlineStr">
        <is>
          <t>2020</t>
        </is>
      </c>
      <c r="B782" t="inlineStr">
        <is>
          <t>C00513549</t>
        </is>
      </c>
      <c r="C782" t="inlineStr">
        <is>
          <t>Phillips 66 PAC</t>
        </is>
      </c>
      <c r="D782" t="inlineStr">
        <is>
          <t>HERN FOR CONGRESS</t>
        </is>
      </c>
      <c r="E782" t="inlineStr">
        <is>
          <t>H8OK01157</t>
        </is>
      </c>
      <c r="F782" t="inlineStr">
        <is>
          <t>REP</t>
        </is>
      </c>
      <c r="G782" t="inlineStr">
        <is>
          <t>08012019</t>
        </is>
      </c>
      <c r="H782" t="n">
        <v>1500</v>
      </c>
      <c r="I782" t="inlineStr">
        <is>
          <t>201909209163486173</t>
        </is>
      </c>
      <c r="J782" t="inlineStr">
        <is>
          <t>https://docquery.fec.gov/cgi-bin/fecimg/?201909209163486173</t>
        </is>
      </c>
    </row>
    <row r="783">
      <c r="A783" t="inlineStr">
        <is>
          <t>2020</t>
        </is>
      </c>
      <c r="B783" t="inlineStr">
        <is>
          <t>C00513549</t>
        </is>
      </c>
      <c r="C783" t="inlineStr">
        <is>
          <t>Phillips 66 PAC</t>
        </is>
      </c>
      <c r="D783" t="inlineStr">
        <is>
          <t>HOYER FOR CONGRESS</t>
        </is>
      </c>
      <c r="E783" t="inlineStr">
        <is>
          <t>H2MD05155</t>
        </is>
      </c>
      <c r="F783" t="inlineStr">
        <is>
          <t>DEM</t>
        </is>
      </c>
      <c r="G783" t="inlineStr">
        <is>
          <t>08012019</t>
        </is>
      </c>
      <c r="H783" t="n">
        <v>1000</v>
      </c>
      <c r="I783" t="inlineStr">
        <is>
          <t>201909209163486173</t>
        </is>
      </c>
      <c r="J783" t="inlineStr">
        <is>
          <t>https://docquery.fec.gov/cgi-bin/fecimg/?201909209163486173</t>
        </is>
      </c>
    </row>
    <row r="784">
      <c r="A784" t="inlineStr">
        <is>
          <t>2020</t>
        </is>
      </c>
      <c r="B784" t="inlineStr">
        <is>
          <t>C00513549</t>
        </is>
      </c>
      <c r="C784" t="inlineStr">
        <is>
          <t>Phillips 66 PAC</t>
        </is>
      </c>
      <c r="D784" t="inlineStr">
        <is>
          <t>KEVIN MCCARTHY FOR CONGRESS</t>
        </is>
      </c>
      <c r="E784" t="inlineStr">
        <is>
          <t>H6CA22125</t>
        </is>
      </c>
      <c r="F784" t="inlineStr">
        <is>
          <t>REP</t>
        </is>
      </c>
      <c r="G784" t="inlineStr">
        <is>
          <t>08012019</t>
        </is>
      </c>
      <c r="H784" t="n">
        <v>2500</v>
      </c>
      <c r="I784" t="inlineStr">
        <is>
          <t>201909209163486174</t>
        </is>
      </c>
      <c r="J784" t="inlineStr">
        <is>
          <t>https://docquery.fec.gov/cgi-bin/fecimg/?201909209163486174</t>
        </is>
      </c>
    </row>
    <row r="785">
      <c r="A785" t="inlineStr">
        <is>
          <t>2020</t>
        </is>
      </c>
      <c r="B785" t="inlineStr">
        <is>
          <t>C00513549</t>
        </is>
      </c>
      <c r="C785" t="inlineStr">
        <is>
          <t>Phillips 66 PAC</t>
        </is>
      </c>
      <c r="D785" t="inlineStr">
        <is>
          <t>MCCAUL FOR CONGRESS INC.</t>
        </is>
      </c>
      <c r="E785" t="inlineStr">
        <is>
          <t>H4TX10093</t>
        </is>
      </c>
      <c r="F785" t="inlineStr">
        <is>
          <t>REP</t>
        </is>
      </c>
      <c r="G785" t="inlineStr">
        <is>
          <t>08012019</t>
        </is>
      </c>
      <c r="H785" t="n">
        <v>2500</v>
      </c>
      <c r="I785" t="inlineStr">
        <is>
          <t>201909209163486174</t>
        </is>
      </c>
      <c r="J785" t="inlineStr">
        <is>
          <t>https://docquery.fec.gov/cgi-bin/fecimg/?201909209163486174</t>
        </is>
      </c>
    </row>
    <row r="786">
      <c r="A786" t="inlineStr">
        <is>
          <t>2020</t>
        </is>
      </c>
      <c r="B786" t="inlineStr">
        <is>
          <t>C00513549</t>
        </is>
      </c>
      <c r="C786" t="inlineStr">
        <is>
          <t>Phillips 66 PAC</t>
        </is>
      </c>
      <c r="D786" t="inlineStr">
        <is>
          <t>MCCONNELL SENATE COMMITTEE</t>
        </is>
      </c>
      <c r="E786" t="inlineStr">
        <is>
          <t>S2KY00012</t>
        </is>
      </c>
      <c r="F786" t="inlineStr">
        <is>
          <t>REP</t>
        </is>
      </c>
      <c r="G786" t="inlineStr">
        <is>
          <t>08012019</t>
        </is>
      </c>
      <c r="H786" t="n">
        <v>1500</v>
      </c>
      <c r="I786" t="inlineStr">
        <is>
          <t>201909209163486174</t>
        </is>
      </c>
      <c r="J786" t="inlineStr">
        <is>
          <t>https://docquery.fec.gov/cgi-bin/fecimg/?201909209163486174</t>
        </is>
      </c>
    </row>
    <row r="787">
      <c r="A787" t="inlineStr">
        <is>
          <t>2020</t>
        </is>
      </c>
      <c r="B787" t="inlineStr">
        <is>
          <t>C00513549</t>
        </is>
      </c>
      <c r="C787" t="inlineStr">
        <is>
          <t>Phillips 66 PAC</t>
        </is>
      </c>
      <c r="D787" t="inlineStr">
        <is>
          <t>MIKE BOST FOR CONGRESS COMMITTEE</t>
        </is>
      </c>
      <c r="E787" t="inlineStr">
        <is>
          <t>H4IL12060</t>
        </is>
      </c>
      <c r="F787" t="inlineStr">
        <is>
          <t>REP</t>
        </is>
      </c>
      <c r="G787" t="inlineStr">
        <is>
          <t>08012019</t>
        </is>
      </c>
      <c r="H787" t="n">
        <v>2500</v>
      </c>
      <c r="I787" t="inlineStr">
        <is>
          <t>201909209163486175</t>
        </is>
      </c>
      <c r="J787" t="inlineStr">
        <is>
          <t>https://docquery.fec.gov/cgi-bin/fecimg/?201909209163486175</t>
        </is>
      </c>
    </row>
    <row r="788">
      <c r="A788" t="inlineStr">
        <is>
          <t>2020</t>
        </is>
      </c>
      <c r="B788" t="inlineStr">
        <is>
          <t>C00513549</t>
        </is>
      </c>
      <c r="C788" t="inlineStr">
        <is>
          <t>Phillips 66 PAC</t>
        </is>
      </c>
      <c r="D788" t="inlineStr">
        <is>
          <t>PALLONE FOR CONGRESS</t>
        </is>
      </c>
      <c r="E788" t="inlineStr">
        <is>
          <t>H8NJ03073</t>
        </is>
      </c>
      <c r="F788" t="inlineStr">
        <is>
          <t>DEM</t>
        </is>
      </c>
      <c r="G788" t="inlineStr">
        <is>
          <t>08012019</t>
        </is>
      </c>
      <c r="H788" t="n">
        <v>2500</v>
      </c>
      <c r="I788" t="inlineStr">
        <is>
          <t>201909209163486175</t>
        </is>
      </c>
      <c r="J788" t="inlineStr">
        <is>
          <t>https://docquery.fec.gov/cgi-bin/fecimg/?201909209163486175</t>
        </is>
      </c>
    </row>
    <row r="789">
      <c r="A789" t="inlineStr">
        <is>
          <t>2020</t>
        </is>
      </c>
      <c r="B789" t="inlineStr">
        <is>
          <t>C00513549</t>
        </is>
      </c>
      <c r="C789" t="inlineStr">
        <is>
          <t>Phillips 66 PAC</t>
        </is>
      </c>
      <c r="D789" t="inlineStr">
        <is>
          <t>RICHARD E NEAL FOR CONGRESS COMMITTEE</t>
        </is>
      </c>
      <c r="E789" t="inlineStr">
        <is>
          <t>H8MA02041</t>
        </is>
      </c>
      <c r="F789" t="inlineStr">
        <is>
          <t>DEM</t>
        </is>
      </c>
      <c r="G789" t="inlineStr">
        <is>
          <t>08012019</t>
        </is>
      </c>
      <c r="H789" t="n">
        <v>2500</v>
      </c>
      <c r="I789" t="inlineStr">
        <is>
          <t>201909209163486175</t>
        </is>
      </c>
      <c r="J789" t="inlineStr">
        <is>
          <t>https://docquery.fec.gov/cgi-bin/fecimg/?201909209163486175</t>
        </is>
      </c>
    </row>
    <row r="790">
      <c r="A790" t="inlineStr">
        <is>
          <t>2020</t>
        </is>
      </c>
      <c r="B790" t="inlineStr">
        <is>
          <t>C00513549</t>
        </is>
      </c>
      <c r="C790" t="inlineStr">
        <is>
          <t>Phillips 66 PAC</t>
        </is>
      </c>
      <c r="D790" t="inlineStr">
        <is>
          <t>RICHMOND FOR CONGRESS</t>
        </is>
      </c>
      <c r="E790" t="inlineStr">
        <is>
          <t>H8LA02054</t>
        </is>
      </c>
      <c r="F790" t="inlineStr">
        <is>
          <t>DEM</t>
        </is>
      </c>
      <c r="G790" t="inlineStr">
        <is>
          <t>08012019</t>
        </is>
      </c>
      <c r="H790" t="n">
        <v>1500</v>
      </c>
      <c r="I790" t="inlineStr">
        <is>
          <t>201909209163486176</t>
        </is>
      </c>
      <c r="J790" t="inlineStr">
        <is>
          <t>https://docquery.fec.gov/cgi-bin/fecimg/?201909209163486176</t>
        </is>
      </c>
    </row>
    <row r="791">
      <c r="A791" t="inlineStr">
        <is>
          <t>2020</t>
        </is>
      </c>
      <c r="B791" t="inlineStr">
        <is>
          <t>C00513549</t>
        </is>
      </c>
      <c r="C791" t="inlineStr">
        <is>
          <t>Phillips 66 PAC</t>
        </is>
      </c>
      <c r="D791" t="inlineStr">
        <is>
          <t>RODNEY FOR CONGRESS</t>
        </is>
      </c>
      <c r="E791" t="inlineStr">
        <is>
          <t>H2IL13120</t>
        </is>
      </c>
      <c r="F791" t="inlineStr">
        <is>
          <t>REP</t>
        </is>
      </c>
      <c r="G791" t="inlineStr">
        <is>
          <t>08012019</t>
        </is>
      </c>
      <c r="H791" t="n">
        <v>1500</v>
      </c>
      <c r="I791" t="inlineStr">
        <is>
          <t>201909209163486176</t>
        </is>
      </c>
      <c r="J791" t="inlineStr">
        <is>
          <t>https://docquery.fec.gov/cgi-bin/fecimg/?201909209163486176</t>
        </is>
      </c>
    </row>
    <row r="792">
      <c r="A792" t="inlineStr">
        <is>
          <t>2020</t>
        </is>
      </c>
      <c r="B792" t="inlineStr">
        <is>
          <t>C00513549</t>
        </is>
      </c>
      <c r="C792" t="inlineStr">
        <is>
          <t>Phillips 66 PAC</t>
        </is>
      </c>
      <c r="D792" t="inlineStr">
        <is>
          <t>SCALISE FOR CONGRESS</t>
        </is>
      </c>
      <c r="E792" t="inlineStr">
        <is>
          <t>H0LA01087</t>
        </is>
      </c>
      <c r="F792" t="inlineStr">
        <is>
          <t>REP</t>
        </is>
      </c>
      <c r="G792" t="inlineStr">
        <is>
          <t>08012019</t>
        </is>
      </c>
      <c r="H792" t="n">
        <v>5000</v>
      </c>
      <c r="I792" t="inlineStr">
        <is>
          <t>201909209163486176</t>
        </is>
      </c>
      <c r="J792" t="inlineStr">
        <is>
          <t>https://docquery.fec.gov/cgi-bin/fecimg/?201909209163486176</t>
        </is>
      </c>
    </row>
    <row r="793">
      <c r="A793" t="inlineStr">
        <is>
          <t>2020</t>
        </is>
      </c>
      <c r="B793" t="inlineStr">
        <is>
          <t>C00513549</t>
        </is>
      </c>
      <c r="C793" t="inlineStr">
        <is>
          <t>Phillips 66 PAC</t>
        </is>
      </c>
      <c r="D793" t="inlineStr">
        <is>
          <t>STEVE DAINES FOR MONTANA</t>
        </is>
      </c>
      <c r="E793" t="inlineStr">
        <is>
          <t>S2MT00096</t>
        </is>
      </c>
      <c r="F793" t="inlineStr">
        <is>
          <t>REP</t>
        </is>
      </c>
      <c r="G793" t="inlineStr">
        <is>
          <t>08012019</t>
        </is>
      </c>
      <c r="H793" t="n">
        <v>1000</v>
      </c>
      <c r="I793" t="inlineStr">
        <is>
          <t>201909209163486177</t>
        </is>
      </c>
      <c r="J793" t="inlineStr">
        <is>
          <t>https://docquery.fec.gov/cgi-bin/fecimg/?201909209163486177</t>
        </is>
      </c>
    </row>
    <row r="794">
      <c r="A794" t="inlineStr">
        <is>
          <t>2020</t>
        </is>
      </c>
      <c r="B794" t="inlineStr">
        <is>
          <t>C00513549</t>
        </is>
      </c>
      <c r="C794" t="inlineStr">
        <is>
          <t>Phillips 66 PAC</t>
        </is>
      </c>
      <c r="D794" t="inlineStr">
        <is>
          <t>UPTON FOR ALL OF US</t>
        </is>
      </c>
      <c r="E794" t="inlineStr">
        <is>
          <t>H6MI04113</t>
        </is>
      </c>
      <c r="F794" t="inlineStr">
        <is>
          <t>REP</t>
        </is>
      </c>
      <c r="G794" t="inlineStr">
        <is>
          <t>08012019</t>
        </is>
      </c>
      <c r="H794" t="n">
        <v>1000</v>
      </c>
      <c r="I794" t="inlineStr">
        <is>
          <t>201909209163486177</t>
        </is>
      </c>
      <c r="J794" t="inlineStr">
        <is>
          <t>https://docquery.fec.gov/cgi-bin/fecimg/?201909209163486177</t>
        </is>
      </c>
    </row>
    <row r="795">
      <c r="A795" t="inlineStr">
        <is>
          <t>2020</t>
        </is>
      </c>
      <c r="B795" t="inlineStr">
        <is>
          <t>C00513549</t>
        </is>
      </c>
      <c r="C795" t="inlineStr">
        <is>
          <t>Phillips 66 PAC</t>
        </is>
      </c>
      <c r="D795" t="inlineStr">
        <is>
          <t>VOLUNTEERS FOR SHIMKUS</t>
        </is>
      </c>
      <c r="E795" t="inlineStr">
        <is>
          <t>H2IL20042</t>
        </is>
      </c>
      <c r="F795" t="inlineStr">
        <is>
          <t>REP</t>
        </is>
      </c>
      <c r="G795" t="inlineStr">
        <is>
          <t>08012019</t>
        </is>
      </c>
      <c r="H795" t="n">
        <v>1500</v>
      </c>
      <c r="I795" t="inlineStr">
        <is>
          <t>201909209163486177</t>
        </is>
      </c>
      <c r="J795" t="inlineStr">
        <is>
          <t>https://docquery.fec.gov/cgi-bin/fecimg/?201909209163486177</t>
        </is>
      </c>
    </row>
    <row r="796">
      <c r="A796" t="inlineStr">
        <is>
          <t>2020</t>
        </is>
      </c>
      <c r="B796" t="inlineStr">
        <is>
          <t>C00513549</t>
        </is>
      </c>
      <c r="C796" t="inlineStr">
        <is>
          <t>Phillips 66 PAC</t>
        </is>
      </c>
      <c r="D796" t="inlineStr">
        <is>
          <t>WEBER FOR CONGRESS</t>
        </is>
      </c>
      <c r="E796" t="inlineStr">
        <is>
          <t>H2TX14149</t>
        </is>
      </c>
      <c r="F796" t="inlineStr">
        <is>
          <t>REP</t>
        </is>
      </c>
      <c r="G796" t="inlineStr">
        <is>
          <t>08012019</t>
        </is>
      </c>
      <c r="H796" t="n">
        <v>2500</v>
      </c>
      <c r="I796" t="inlineStr">
        <is>
          <t>201909209163486178</t>
        </is>
      </c>
      <c r="J796" t="inlineStr">
        <is>
          <t>https://docquery.fec.gov/cgi-bin/fecimg/?201909209163486178</t>
        </is>
      </c>
    </row>
    <row r="797">
      <c r="A797" t="inlineStr">
        <is>
          <t>2020</t>
        </is>
      </c>
      <c r="B797" t="inlineStr">
        <is>
          <t>C00513549</t>
        </is>
      </c>
      <c r="C797" t="inlineStr">
        <is>
          <t>Phillips 66 PAC</t>
        </is>
      </c>
      <c r="D797" t="inlineStr">
        <is>
          <t>MARC VEASEY FOR CONGRESS</t>
        </is>
      </c>
      <c r="E797" t="inlineStr">
        <is>
          <t>H2TX33073</t>
        </is>
      </c>
      <c r="F797" t="inlineStr">
        <is>
          <t>DEM</t>
        </is>
      </c>
      <c r="G797" t="inlineStr">
        <is>
          <t>08112020</t>
        </is>
      </c>
      <c r="H797" t="n">
        <v>4000</v>
      </c>
      <c r="I797" t="inlineStr">
        <is>
          <t>202009189267277021</t>
        </is>
      </c>
      <c r="J797" t="inlineStr">
        <is>
          <t>https://docquery.fec.gov/cgi-bin/fecimg/?202009189267277021</t>
        </is>
      </c>
    </row>
    <row r="798">
      <c r="A798" t="inlineStr">
        <is>
          <t>2020</t>
        </is>
      </c>
      <c r="B798" t="inlineStr">
        <is>
          <t>C00513549</t>
        </is>
      </c>
      <c r="C798" t="inlineStr">
        <is>
          <t>Phillips 66 PAC</t>
        </is>
      </c>
      <c r="D798" t="inlineStr">
        <is>
          <t>MATT ROSENDALE FOR MONTANA</t>
        </is>
      </c>
      <c r="E798" t="inlineStr">
        <is>
          <t>H4MT00050</t>
        </is>
      </c>
      <c r="F798" t="inlineStr">
        <is>
          <t>REP</t>
        </is>
      </c>
      <c r="G798" t="inlineStr">
        <is>
          <t>08112020</t>
        </is>
      </c>
      <c r="H798" t="n">
        <v>5000</v>
      </c>
      <c r="I798" t="inlineStr">
        <is>
          <t>202009189267277022</t>
        </is>
      </c>
      <c r="J798" t="inlineStr">
        <is>
          <t>https://docquery.fec.gov/cgi-bin/fecimg/?202009189267277022</t>
        </is>
      </c>
    </row>
    <row r="799">
      <c r="A799" t="inlineStr">
        <is>
          <t>2020</t>
        </is>
      </c>
      <c r="B799" t="inlineStr">
        <is>
          <t>C00513549</t>
        </is>
      </c>
      <c r="C799" t="inlineStr">
        <is>
          <t>Phillips 66 PAC</t>
        </is>
      </c>
      <c r="D799" t="inlineStr">
        <is>
          <t>MIKE BOST FOR CONGRESS COMMITTEE</t>
        </is>
      </c>
      <c r="E799" t="inlineStr">
        <is>
          <t>H4IL12060</t>
        </is>
      </c>
      <c r="F799" t="inlineStr">
        <is>
          <t>REP</t>
        </is>
      </c>
      <c r="G799" t="inlineStr">
        <is>
          <t>08112020</t>
        </is>
      </c>
      <c r="H799" t="n">
        <v>2500</v>
      </c>
      <c r="I799" t="inlineStr">
        <is>
          <t>202009189267277022</t>
        </is>
      </c>
      <c r="J799" t="inlineStr">
        <is>
          <t>https://docquery.fec.gov/cgi-bin/fecimg/?202009189267277022</t>
        </is>
      </c>
    </row>
    <row r="800">
      <c r="A800" t="inlineStr">
        <is>
          <t>2020</t>
        </is>
      </c>
      <c r="B800" t="inlineStr">
        <is>
          <t>C00513549</t>
        </is>
      </c>
      <c r="C800" t="inlineStr">
        <is>
          <t>Phillips 66 PAC</t>
        </is>
      </c>
      <c r="D800" t="inlineStr">
        <is>
          <t>NEHLS FOR CONGRESS</t>
        </is>
      </c>
      <c r="E800" t="inlineStr">
        <is>
          <t>H0TX22302</t>
        </is>
      </c>
      <c r="F800" t="inlineStr">
        <is>
          <t>REP</t>
        </is>
      </c>
      <c r="G800" t="inlineStr">
        <is>
          <t>08112020</t>
        </is>
      </c>
      <c r="H800" t="n">
        <v>5000</v>
      </c>
      <c r="I800" t="inlineStr">
        <is>
          <t>202009189267277023</t>
        </is>
      </c>
      <c r="J800" t="inlineStr">
        <is>
          <t>https://docquery.fec.gov/cgi-bin/fecimg/?202009189267277023</t>
        </is>
      </c>
    </row>
    <row r="801">
      <c r="A801" t="inlineStr">
        <is>
          <t>2020</t>
        </is>
      </c>
      <c r="B801" t="inlineStr">
        <is>
          <t>C00513549</t>
        </is>
      </c>
      <c r="C801" t="inlineStr">
        <is>
          <t>Phillips 66 PAC</t>
        </is>
      </c>
      <c r="D801" t="inlineStr">
        <is>
          <t>ROGER WILLIAMS FOR U S CONGRESS COMMITTEE</t>
        </is>
      </c>
      <c r="E801" t="inlineStr">
        <is>
          <t>H2TX33040</t>
        </is>
      </c>
      <c r="F801" t="inlineStr">
        <is>
          <t>REP</t>
        </is>
      </c>
      <c r="G801" t="inlineStr">
        <is>
          <t>08112020</t>
        </is>
      </c>
      <c r="H801" t="n">
        <v>1000</v>
      </c>
      <c r="I801" t="inlineStr">
        <is>
          <t>202009189267277023</t>
        </is>
      </c>
      <c r="J801" t="inlineStr">
        <is>
          <t>https://docquery.fec.gov/cgi-bin/fecimg/?202009189267277023</t>
        </is>
      </c>
    </row>
    <row r="802">
      <c r="A802" t="inlineStr">
        <is>
          <t>2020</t>
        </is>
      </c>
      <c r="B802" t="inlineStr">
        <is>
          <t>C00513549</t>
        </is>
      </c>
      <c r="C802" t="inlineStr">
        <is>
          <t>Phillips 66 PAC</t>
        </is>
      </c>
      <c r="D802" t="inlineStr">
        <is>
          <t>SYLVIA GARCIA FOR CONGRESS</t>
        </is>
      </c>
      <c r="E802" t="inlineStr">
        <is>
          <t>H8TX29052</t>
        </is>
      </c>
      <c r="F802" t="inlineStr">
        <is>
          <t>DEM</t>
        </is>
      </c>
      <c r="G802" t="inlineStr">
        <is>
          <t>08112020</t>
        </is>
      </c>
      <c r="H802" t="n">
        <v>2500</v>
      </c>
      <c r="I802" t="inlineStr">
        <is>
          <t>202009189267277023</t>
        </is>
      </c>
      <c r="J802" t="inlineStr">
        <is>
          <t>https://docquery.fec.gov/cgi-bin/fecimg/?202009189267277023</t>
        </is>
      </c>
    </row>
    <row r="803">
      <c r="A803" t="inlineStr">
        <is>
          <t>2020</t>
        </is>
      </c>
      <c r="B803" t="inlineStr">
        <is>
          <t>C00513549</t>
        </is>
      </c>
      <c r="C803" t="inlineStr">
        <is>
          <t>Phillips 66 PAC</t>
        </is>
      </c>
      <c r="D803" t="inlineStr">
        <is>
          <t>TEXANS FOR RONNY JACKSON</t>
        </is>
      </c>
      <c r="E803" t="inlineStr">
        <is>
          <t>H0TX13228</t>
        </is>
      </c>
      <c r="F803" t="inlineStr">
        <is>
          <t>REP</t>
        </is>
      </c>
      <c r="G803" t="inlineStr">
        <is>
          <t>08112020</t>
        </is>
      </c>
      <c r="H803" t="n">
        <v>2500</v>
      </c>
      <c r="I803" t="inlineStr">
        <is>
          <t>202009189267277024</t>
        </is>
      </c>
      <c r="J803" t="inlineStr">
        <is>
          <t>https://docquery.fec.gov/cgi-bin/fecimg/?202009189267277024</t>
        </is>
      </c>
    </row>
    <row r="804">
      <c r="A804" t="inlineStr">
        <is>
          <t>2020</t>
        </is>
      </c>
      <c r="B804" t="inlineStr">
        <is>
          <t>C00513549</t>
        </is>
      </c>
      <c r="C804" t="inlineStr">
        <is>
          <t>Phillips 66 PAC</t>
        </is>
      </c>
      <c r="D804" t="inlineStr">
        <is>
          <t>MULLIN FOR CONGRESS</t>
        </is>
      </c>
      <c r="E804" t="inlineStr">
        <is>
          <t>H2OK02083</t>
        </is>
      </c>
      <c r="F804" t="inlineStr">
        <is>
          <t>REP</t>
        </is>
      </c>
      <c r="G804" t="inlineStr">
        <is>
          <t>08112020</t>
        </is>
      </c>
      <c r="H804" t="n">
        <v>2500</v>
      </c>
      <c r="I804" t="inlineStr">
        <is>
          <t>202009189267277022</t>
        </is>
      </c>
      <c r="J804" t="inlineStr">
        <is>
          <t>https://docquery.fec.gov/cgi-bin/fecimg/?202009189267277022</t>
        </is>
      </c>
    </row>
    <row r="805">
      <c r="A805" t="inlineStr">
        <is>
          <t>2020</t>
        </is>
      </c>
      <c r="B805" t="inlineStr">
        <is>
          <t>C00513549</t>
        </is>
      </c>
      <c r="C805" t="inlineStr">
        <is>
          <t>Phillips 66 PAC</t>
        </is>
      </c>
      <c r="D805" t="inlineStr">
        <is>
          <t>GARRET GRAVES FOR CONGRESS</t>
        </is>
      </c>
      <c r="E805" t="inlineStr">
        <is>
          <t>H4LA06153</t>
        </is>
      </c>
      <c r="F805" t="inlineStr">
        <is>
          <t>REP</t>
        </is>
      </c>
      <c r="G805" t="inlineStr">
        <is>
          <t>08112020</t>
        </is>
      </c>
      <c r="H805" t="n">
        <v>2500</v>
      </c>
      <c r="I805" t="inlineStr">
        <is>
          <t>202009189267277019</t>
        </is>
      </c>
      <c r="J805" t="inlineStr">
        <is>
          <t>https://docquery.fec.gov/cgi-bin/fecimg/?202009189267277019</t>
        </is>
      </c>
    </row>
    <row r="806">
      <c r="A806" t="inlineStr">
        <is>
          <t>2020</t>
        </is>
      </c>
      <c r="B806" t="inlineStr">
        <is>
          <t>C00513549</t>
        </is>
      </c>
      <c r="C806" t="inlineStr">
        <is>
          <t>Phillips 66 PAC</t>
        </is>
      </c>
      <c r="D806" t="inlineStr">
        <is>
          <t>CORY BOOKER FOR SENATE</t>
        </is>
      </c>
      <c r="E806" t="inlineStr">
        <is>
          <t>S4NJ00185</t>
        </is>
      </c>
      <c r="F806" t="inlineStr">
        <is>
          <t>DEM</t>
        </is>
      </c>
      <c r="G806" t="inlineStr">
        <is>
          <t>08112020</t>
        </is>
      </c>
      <c r="H806" t="n">
        <v>2500</v>
      </c>
      <c r="I806" t="inlineStr">
        <is>
          <t>202009189267277018</t>
        </is>
      </c>
      <c r="J806" t="inlineStr">
        <is>
          <t>https://docquery.fec.gov/cgi-bin/fecimg/?202009189267277018</t>
        </is>
      </c>
    </row>
    <row r="807">
      <c r="A807" t="inlineStr">
        <is>
          <t>2020</t>
        </is>
      </c>
      <c r="B807" t="inlineStr">
        <is>
          <t>C00513549</t>
        </is>
      </c>
      <c r="C807" t="inlineStr">
        <is>
          <t>Phillips 66 PAC</t>
        </is>
      </c>
      <c r="D807" t="inlineStr">
        <is>
          <t>DEFAZIO FOR CONGRESS</t>
        </is>
      </c>
      <c r="E807" t="inlineStr">
        <is>
          <t>H6OR04047</t>
        </is>
      </c>
      <c r="F807" t="inlineStr">
        <is>
          <t>DEM</t>
        </is>
      </c>
      <c r="G807" t="inlineStr">
        <is>
          <t>08112020</t>
        </is>
      </c>
      <c r="H807" t="n">
        <v>1500</v>
      </c>
      <c r="I807" t="inlineStr">
        <is>
          <t>202009189267277018</t>
        </is>
      </c>
      <c r="J807" t="inlineStr">
        <is>
          <t>https://docquery.fec.gov/cgi-bin/fecimg/?202009189267277018</t>
        </is>
      </c>
    </row>
    <row r="808">
      <c r="A808" t="inlineStr">
        <is>
          <t>2020</t>
        </is>
      </c>
      <c r="B808" t="inlineStr">
        <is>
          <t>C00513549</t>
        </is>
      </c>
      <c r="C808" t="inlineStr">
        <is>
          <t>Phillips 66 PAC</t>
        </is>
      </c>
      <c r="D808" t="inlineStr">
        <is>
          <t>DEVIN NUNES CAMPAIGN COMMITTEE</t>
        </is>
      </c>
      <c r="E808" t="inlineStr">
        <is>
          <t>H8CA20059</t>
        </is>
      </c>
      <c r="F808" t="inlineStr">
        <is>
          <t>REP</t>
        </is>
      </c>
      <c r="G808" t="inlineStr">
        <is>
          <t>08112020</t>
        </is>
      </c>
      <c r="H808" t="n">
        <v>2000</v>
      </c>
      <c r="I808" t="inlineStr">
        <is>
          <t>202009189267277018</t>
        </is>
      </c>
      <c r="J808" t="inlineStr">
        <is>
          <t>https://docquery.fec.gov/cgi-bin/fecimg/?202009189267277018</t>
        </is>
      </c>
    </row>
    <row r="809">
      <c r="A809" t="inlineStr">
        <is>
          <t>2020</t>
        </is>
      </c>
      <c r="B809" t="inlineStr">
        <is>
          <t>C00513549</t>
        </is>
      </c>
      <c r="C809" t="inlineStr">
        <is>
          <t>Phillips 66 PAC</t>
        </is>
      </c>
      <c r="D809" t="inlineStr">
        <is>
          <t>HERN FOR CONGRESS</t>
        </is>
      </c>
      <c r="E809" t="inlineStr">
        <is>
          <t>H8OK01157</t>
        </is>
      </c>
      <c r="F809" t="inlineStr">
        <is>
          <t>REP</t>
        </is>
      </c>
      <c r="G809" t="inlineStr">
        <is>
          <t>08112020</t>
        </is>
      </c>
      <c r="H809" t="n">
        <v>2500</v>
      </c>
      <c r="I809" t="inlineStr">
        <is>
          <t>202009189267277019</t>
        </is>
      </c>
      <c r="J809" t="inlineStr">
        <is>
          <t>https://docquery.fec.gov/cgi-bin/fecimg/?202009189267277019</t>
        </is>
      </c>
    </row>
    <row r="810">
      <c r="A810" t="inlineStr">
        <is>
          <t>2020</t>
        </is>
      </c>
      <c r="B810" t="inlineStr">
        <is>
          <t>C00513549</t>
        </is>
      </c>
      <c r="C810" t="inlineStr">
        <is>
          <t>Phillips 66 PAC</t>
        </is>
      </c>
      <c r="D810" t="inlineStr">
        <is>
          <t>CAPTAIN HIGGINS FOR CONGRESS</t>
        </is>
      </c>
      <c r="E810" t="inlineStr">
        <is>
          <t>H6LA03148</t>
        </is>
      </c>
      <c r="F810" t="inlineStr">
        <is>
          <t>REP</t>
        </is>
      </c>
      <c r="G810" t="inlineStr">
        <is>
          <t>08112020</t>
        </is>
      </c>
      <c r="H810" t="n">
        <v>1000</v>
      </c>
      <c r="I810" t="inlineStr">
        <is>
          <t>202009189267277017</t>
        </is>
      </c>
      <c r="J810" t="inlineStr">
        <is>
          <t>https://docquery.fec.gov/cgi-bin/fecimg/?202009189267277017</t>
        </is>
      </c>
    </row>
    <row r="811">
      <c r="A811" t="inlineStr">
        <is>
          <t>2020</t>
        </is>
      </c>
      <c r="B811" t="inlineStr">
        <is>
          <t>C00513549</t>
        </is>
      </c>
      <c r="C811" t="inlineStr">
        <is>
          <t>Phillips 66 PAC</t>
        </is>
      </c>
      <c r="D811" t="inlineStr">
        <is>
          <t>CLOUD FOR CONGRESS</t>
        </is>
      </c>
      <c r="E811" t="inlineStr">
        <is>
          <t>H8TX27049</t>
        </is>
      </c>
      <c r="F811" t="inlineStr">
        <is>
          <t>REP</t>
        </is>
      </c>
      <c r="G811" t="inlineStr">
        <is>
          <t>08112020</t>
        </is>
      </c>
      <c r="H811" t="n">
        <v>2500</v>
      </c>
      <c r="I811" t="inlineStr">
        <is>
          <t>202009189267277017</t>
        </is>
      </c>
      <c r="J811" t="inlineStr">
        <is>
          <t>https://docquery.fec.gov/cgi-bin/fecimg/?202009189267277017</t>
        </is>
      </c>
    </row>
    <row r="812">
      <c r="A812" t="inlineStr">
        <is>
          <t>2020</t>
        </is>
      </c>
      <c r="B812" t="inlineStr">
        <is>
          <t>C00513549</t>
        </is>
      </c>
      <c r="C812" t="inlineStr">
        <is>
          <t>Phillips 66 PAC</t>
        </is>
      </c>
      <c r="D812" t="inlineStr">
        <is>
          <t>COLE FOR CONGRESS</t>
        </is>
      </c>
      <c r="E812" t="inlineStr">
        <is>
          <t>H2OK04055</t>
        </is>
      </c>
      <c r="F812" t="inlineStr">
        <is>
          <t>REP</t>
        </is>
      </c>
      <c r="G812" t="inlineStr">
        <is>
          <t>08112020</t>
        </is>
      </c>
      <c r="H812" t="n">
        <v>2500</v>
      </c>
      <c r="I812" t="inlineStr">
        <is>
          <t>202009189267277017</t>
        </is>
      </c>
      <c r="J812" t="inlineStr">
        <is>
          <t>https://docquery.fec.gov/cgi-bin/fecimg/?202009189267277017</t>
        </is>
      </c>
    </row>
    <row r="813">
      <c r="A813" t="inlineStr">
        <is>
          <t>2020</t>
        </is>
      </c>
      <c r="B813" t="inlineStr">
        <is>
          <t>C00513549</t>
        </is>
      </c>
      <c r="C813" t="inlineStr">
        <is>
          <t>Phillips 66 PAC</t>
        </is>
      </c>
      <c r="D813" t="inlineStr">
        <is>
          <t>KEN CALVERT FOR CONGRESS COMMITTEE</t>
        </is>
      </c>
      <c r="E813" t="inlineStr">
        <is>
          <t>H2CA37023</t>
        </is>
      </c>
      <c r="F813" t="inlineStr">
        <is>
          <t>REP</t>
        </is>
      </c>
      <c r="G813" t="inlineStr">
        <is>
          <t>08112020</t>
        </is>
      </c>
      <c r="H813" t="n">
        <v>2500</v>
      </c>
      <c r="I813" t="inlineStr">
        <is>
          <t>202009189267277020</t>
        </is>
      </c>
      <c r="J813" t="inlineStr">
        <is>
          <t>https://docquery.fec.gov/cgi-bin/fecimg/?202009189267277020</t>
        </is>
      </c>
    </row>
    <row r="814">
      <c r="A814" t="inlineStr">
        <is>
          <t>2020</t>
        </is>
      </c>
      <c r="B814" t="inlineStr">
        <is>
          <t>C00513549</t>
        </is>
      </c>
      <c r="C814" t="inlineStr">
        <is>
          <t>Phillips 66 PAC</t>
        </is>
      </c>
      <c r="D814" t="inlineStr">
        <is>
          <t>KINZINGER FOR CONGRESS</t>
        </is>
      </c>
      <c r="E814" t="inlineStr">
        <is>
          <t>H0IL11052</t>
        </is>
      </c>
      <c r="F814" t="inlineStr">
        <is>
          <t>REP</t>
        </is>
      </c>
      <c r="G814" t="inlineStr">
        <is>
          <t>08112020</t>
        </is>
      </c>
      <c r="H814" t="n">
        <v>2000</v>
      </c>
      <c r="I814" t="inlineStr">
        <is>
          <t>202009189267277021</t>
        </is>
      </c>
      <c r="J814" t="inlineStr">
        <is>
          <t>https://docquery.fec.gov/cgi-bin/fecimg/?202009189267277021</t>
        </is>
      </c>
    </row>
    <row r="815">
      <c r="A815" t="inlineStr">
        <is>
          <t>2020</t>
        </is>
      </c>
      <c r="B815" t="inlineStr">
        <is>
          <t>C00513549</t>
        </is>
      </c>
      <c r="C815" t="inlineStr">
        <is>
          <t>Phillips 66 PAC</t>
        </is>
      </c>
      <c r="D815" t="inlineStr">
        <is>
          <t>LUCAS FOR CONGRESS</t>
        </is>
      </c>
      <c r="E815" t="inlineStr">
        <is>
          <t>H4OK06056</t>
        </is>
      </c>
      <c r="F815" t="inlineStr">
        <is>
          <t>REP</t>
        </is>
      </c>
      <c r="G815" t="inlineStr">
        <is>
          <t>08112020</t>
        </is>
      </c>
      <c r="H815" t="n">
        <v>2500</v>
      </c>
      <c r="I815" t="inlineStr">
        <is>
          <t>202009189267277021</t>
        </is>
      </c>
      <c r="J815" t="inlineStr">
        <is>
          <t>https://docquery.fec.gov/cgi-bin/fecimg/?202009189267277021</t>
        </is>
      </c>
    </row>
    <row r="816">
      <c r="A816" t="inlineStr">
        <is>
          <t>2020</t>
        </is>
      </c>
      <c r="B816" t="inlineStr">
        <is>
          <t>C00513549</t>
        </is>
      </c>
      <c r="C816" t="inlineStr">
        <is>
          <t>Phillips 66 PAC</t>
        </is>
      </c>
      <c r="D816" t="inlineStr">
        <is>
          <t>JIM COSTA FOR CONGRESS</t>
        </is>
      </c>
      <c r="E816" t="inlineStr">
        <is>
          <t>H4CA20082</t>
        </is>
      </c>
      <c r="F816" t="inlineStr">
        <is>
          <t>DEM</t>
        </is>
      </c>
      <c r="G816" t="inlineStr">
        <is>
          <t>08112020</t>
        </is>
      </c>
      <c r="H816" t="n">
        <v>2500</v>
      </c>
      <c r="I816" t="inlineStr">
        <is>
          <t>202009189267277020</t>
        </is>
      </c>
      <c r="J816" t="inlineStr">
        <is>
          <t>https://docquery.fec.gov/cgi-bin/fecimg/?202009189267277020</t>
        </is>
      </c>
    </row>
    <row r="817">
      <c r="A817" t="inlineStr">
        <is>
          <t>2020</t>
        </is>
      </c>
      <c r="B817" t="inlineStr">
        <is>
          <t>C00513549</t>
        </is>
      </c>
      <c r="C817" t="inlineStr">
        <is>
          <t>Phillips 66 PAC</t>
        </is>
      </c>
      <c r="D817" t="inlineStr">
        <is>
          <t>KATKO FOR CONGRESS</t>
        </is>
      </c>
      <c r="E817" t="inlineStr">
        <is>
          <t>H4NY24073</t>
        </is>
      </c>
      <c r="F817" t="inlineStr">
        <is>
          <t>REP</t>
        </is>
      </c>
      <c r="G817" t="inlineStr">
        <is>
          <t>08112020</t>
        </is>
      </c>
      <c r="H817" t="n">
        <v>2500</v>
      </c>
      <c r="I817" t="inlineStr">
        <is>
          <t>202009189267277020</t>
        </is>
      </c>
      <c r="J817" t="inlineStr">
        <is>
          <t>https://docquery.fec.gov/cgi-bin/fecimg/?202009189267277020</t>
        </is>
      </c>
    </row>
    <row r="818">
      <c r="A818" t="inlineStr">
        <is>
          <t>2020</t>
        </is>
      </c>
      <c r="B818" t="inlineStr">
        <is>
          <t>C00513549</t>
        </is>
      </c>
      <c r="C818" t="inlineStr">
        <is>
          <t>Phillips 66 PAC</t>
        </is>
      </c>
      <c r="D818" t="inlineStr">
        <is>
          <t>TEXANS FOR SENATOR JOHN CORNYN INC</t>
        </is>
      </c>
      <c r="E818" t="inlineStr">
        <is>
          <t>S2TX00106</t>
        </is>
      </c>
      <c r="F818" t="inlineStr">
        <is>
          <t>REP</t>
        </is>
      </c>
      <c r="G818" t="inlineStr">
        <is>
          <t>08262020</t>
        </is>
      </c>
      <c r="H818" t="n">
        <v>-2500</v>
      </c>
      <c r="I818" t="inlineStr">
        <is>
          <t>202009189267277024</t>
        </is>
      </c>
      <c r="J818" t="inlineStr">
        <is>
          <t>https://docquery.fec.gov/cgi-bin/fecimg/?202009189267277024</t>
        </is>
      </c>
    </row>
    <row r="819">
      <c r="A819" t="inlineStr">
        <is>
          <t>2020</t>
        </is>
      </c>
      <c r="B819" t="inlineStr">
        <is>
          <t>C00513549</t>
        </is>
      </c>
      <c r="C819" t="inlineStr">
        <is>
          <t>Phillips 66 PAC</t>
        </is>
      </c>
      <c r="D819" t="inlineStr">
        <is>
          <t>FILEMON VELA FOR CONGRESS</t>
        </is>
      </c>
      <c r="E819" t="inlineStr">
        <is>
          <t>H2TX27190</t>
        </is>
      </c>
      <c r="F819" t="inlineStr">
        <is>
          <t>DEM</t>
        </is>
      </c>
      <c r="G819" t="inlineStr">
        <is>
          <t>08262020</t>
        </is>
      </c>
      <c r="H819" t="n">
        <v>-4000</v>
      </c>
      <c r="I819" t="inlineStr">
        <is>
          <t>202009189267277019</t>
        </is>
      </c>
      <c r="J819" t="inlineStr">
        <is>
          <t>https://docquery.fec.gov/cgi-bin/fecimg/?202009189267277019</t>
        </is>
      </c>
    </row>
    <row r="820">
      <c r="A820" t="inlineStr">
        <is>
          <t>2020</t>
        </is>
      </c>
      <c r="B820" t="inlineStr">
        <is>
          <t>C00513549</t>
        </is>
      </c>
      <c r="C820" t="inlineStr">
        <is>
          <t>Phillips 66 PAC</t>
        </is>
      </c>
      <c r="D820" t="inlineStr">
        <is>
          <t>FILEMON VELA FOR CONGRESS</t>
        </is>
      </c>
      <c r="E820" t="inlineStr">
        <is>
          <t>H2TX27190</t>
        </is>
      </c>
      <c r="F820" t="inlineStr">
        <is>
          <t>DEM</t>
        </is>
      </c>
      <c r="G820" t="inlineStr">
        <is>
          <t>09022020</t>
        </is>
      </c>
      <c r="H820" t="n">
        <v>4000</v>
      </c>
      <c r="I820" t="inlineStr">
        <is>
          <t>202010199297201091</t>
        </is>
      </c>
      <c r="J820" t="inlineStr">
        <is>
          <t>https://docquery.fec.gov/cgi-bin/fecimg/?202010199297201091</t>
        </is>
      </c>
    </row>
    <row r="821">
      <c r="A821" t="inlineStr">
        <is>
          <t>2020</t>
        </is>
      </c>
      <c r="B821" t="inlineStr">
        <is>
          <t>C00513549</t>
        </is>
      </c>
      <c r="C821" t="inlineStr">
        <is>
          <t>Phillips 66 PAC</t>
        </is>
      </c>
      <c r="D821" t="inlineStr">
        <is>
          <t>TEXANS FOR SENATOR JOHN CORNYN INC</t>
        </is>
      </c>
      <c r="E821" t="inlineStr">
        <is>
          <t>S2TX00106</t>
        </is>
      </c>
      <c r="F821" t="inlineStr">
        <is>
          <t>REP</t>
        </is>
      </c>
      <c r="G821" t="inlineStr">
        <is>
          <t>09022020</t>
        </is>
      </c>
      <c r="H821" t="n">
        <v>2500</v>
      </c>
      <c r="I821" t="inlineStr">
        <is>
          <t>202010199297201095</t>
        </is>
      </c>
      <c r="J821" t="inlineStr">
        <is>
          <t>https://docquery.fec.gov/cgi-bin/fecimg/?202010199297201095</t>
        </is>
      </c>
    </row>
    <row r="822">
      <c r="A822" t="inlineStr">
        <is>
          <t>2020</t>
        </is>
      </c>
      <c r="B822" t="inlineStr">
        <is>
          <t>C00513549</t>
        </is>
      </c>
      <c r="C822" t="inlineStr">
        <is>
          <t>Phillips 66 PAC</t>
        </is>
      </c>
      <c r="D822" t="inlineStr">
        <is>
          <t>GARRET GRAVES FOR CONGRESS</t>
        </is>
      </c>
      <c r="E822" t="inlineStr">
        <is>
          <t>H4LA06153</t>
        </is>
      </c>
      <c r="F822" t="inlineStr">
        <is>
          <t>REP</t>
        </is>
      </c>
      <c r="G822" t="inlineStr">
        <is>
          <t>09042019</t>
        </is>
      </c>
      <c r="H822" t="n">
        <v>-1000</v>
      </c>
      <c r="I822" t="inlineStr">
        <is>
          <t>201910179165011096</t>
        </is>
      </c>
      <c r="J822" t="inlineStr">
        <is>
          <t>https://docquery.fec.gov/cgi-bin/fecimg/?201910179165011096</t>
        </is>
      </c>
    </row>
    <row r="823">
      <c r="A823" t="inlineStr">
        <is>
          <t>2020</t>
        </is>
      </c>
      <c r="B823" t="inlineStr">
        <is>
          <t>C00513549</t>
        </is>
      </c>
      <c r="C823" t="inlineStr">
        <is>
          <t>Phillips 66 PAC</t>
        </is>
      </c>
      <c r="D823" t="inlineStr">
        <is>
          <t>GARRET GRAVES FOR CONGRESS</t>
        </is>
      </c>
      <c r="E823" t="inlineStr">
        <is>
          <t>H4LA06153</t>
        </is>
      </c>
      <c r="F823" t="inlineStr">
        <is>
          <t>REP</t>
        </is>
      </c>
      <c r="G823" t="inlineStr">
        <is>
          <t>09052019</t>
        </is>
      </c>
      <c r="H823" t="n">
        <v>1000</v>
      </c>
      <c r="I823" t="inlineStr">
        <is>
          <t>201910179165011096</t>
        </is>
      </c>
      <c r="J823" t="inlineStr">
        <is>
          <t>https://docquery.fec.gov/cgi-bin/fecimg/?201910179165011096</t>
        </is>
      </c>
    </row>
    <row r="824">
      <c r="A824" t="inlineStr">
        <is>
          <t>2020</t>
        </is>
      </c>
      <c r="B824" t="inlineStr">
        <is>
          <t>C00513549</t>
        </is>
      </c>
      <c r="C824" t="inlineStr">
        <is>
          <t>Phillips 66 PAC</t>
        </is>
      </c>
      <c r="D824" t="inlineStr">
        <is>
          <t>MULLIN FOR CONGRESS</t>
        </is>
      </c>
      <c r="E824" t="inlineStr">
        <is>
          <t>H2OK02083</t>
        </is>
      </c>
      <c r="F824" t="inlineStr">
        <is>
          <t>REP</t>
        </is>
      </c>
      <c r="G824" t="inlineStr">
        <is>
          <t>09162019</t>
        </is>
      </c>
      <c r="H824" t="n">
        <v>-1000</v>
      </c>
      <c r="I824" t="inlineStr">
        <is>
          <t>201910179165011097</t>
        </is>
      </c>
      <c r="J824" t="inlineStr">
        <is>
          <t>https://docquery.fec.gov/cgi-bin/fecimg/?201910179165011097</t>
        </is>
      </c>
    </row>
    <row r="825">
      <c r="A825" t="inlineStr">
        <is>
          <t>2020</t>
        </is>
      </c>
      <c r="B825" t="inlineStr">
        <is>
          <t>C00513549</t>
        </is>
      </c>
      <c r="C825" t="inlineStr">
        <is>
          <t>Phillips 66 PAC</t>
        </is>
      </c>
      <c r="D825" t="inlineStr">
        <is>
          <t>MULLIN FOR CONGRESS</t>
        </is>
      </c>
      <c r="E825" t="inlineStr">
        <is>
          <t>H2OK02083</t>
        </is>
      </c>
      <c r="F825" t="inlineStr">
        <is>
          <t>REP</t>
        </is>
      </c>
      <c r="G825" t="inlineStr">
        <is>
          <t>09162019</t>
        </is>
      </c>
      <c r="H825" t="n">
        <v>1000</v>
      </c>
      <c r="I825" t="inlineStr">
        <is>
          <t>201910179165011097</t>
        </is>
      </c>
      <c r="J825" t="inlineStr">
        <is>
          <t>https://docquery.fec.gov/cgi-bin/fecimg/?201910179165011097</t>
        </is>
      </c>
    </row>
    <row r="826">
      <c r="A826" t="inlineStr">
        <is>
          <t>2020</t>
        </is>
      </c>
      <c r="B826" t="inlineStr">
        <is>
          <t>C00513549</t>
        </is>
      </c>
      <c r="C826" t="inlineStr">
        <is>
          <t>Phillips 66 PAC</t>
        </is>
      </c>
      <c r="D826" t="inlineStr">
        <is>
          <t>BRADY FOR CONGRESS</t>
        </is>
      </c>
      <c r="E826" t="inlineStr">
        <is>
          <t>H6TX08100</t>
        </is>
      </c>
      <c r="F826" t="inlineStr">
        <is>
          <t>REP</t>
        </is>
      </c>
      <c r="G826" t="inlineStr">
        <is>
          <t>09252019</t>
        </is>
      </c>
      <c r="H826" t="n">
        <v>2500</v>
      </c>
      <c r="I826" t="inlineStr">
        <is>
          <t>201910179165011095</t>
        </is>
      </c>
      <c r="J826" t="inlineStr">
        <is>
          <t>https://docquery.fec.gov/cgi-bin/fecimg/?201910179165011095</t>
        </is>
      </c>
    </row>
    <row r="827">
      <c r="A827" t="inlineStr">
        <is>
          <t>2020</t>
        </is>
      </c>
      <c r="B827" t="inlineStr">
        <is>
          <t>C00513549</t>
        </is>
      </c>
      <c r="C827" t="inlineStr">
        <is>
          <t>Phillips 66 PAC</t>
        </is>
      </c>
      <c r="D827" t="inlineStr">
        <is>
          <t>BRADY FOR CONGRESS</t>
        </is>
      </c>
      <c r="E827" t="inlineStr">
        <is>
          <t>H6TX08100</t>
        </is>
      </c>
      <c r="F827" t="inlineStr">
        <is>
          <t>REP</t>
        </is>
      </c>
      <c r="G827" t="inlineStr">
        <is>
          <t>09252019</t>
        </is>
      </c>
      <c r="H827" t="n">
        <v>5000</v>
      </c>
      <c r="I827" t="inlineStr">
        <is>
          <t>201910179165011095</t>
        </is>
      </c>
      <c r="J827" t="inlineStr">
        <is>
          <t>https://docquery.fec.gov/cgi-bin/fecimg/?201910179165011095</t>
        </is>
      </c>
    </row>
    <row r="828">
      <c r="A828" t="inlineStr">
        <is>
          <t>2020</t>
        </is>
      </c>
      <c r="B828" t="inlineStr">
        <is>
          <t>C00513549</t>
        </is>
      </c>
      <c r="C828" t="inlineStr">
        <is>
          <t>Phillips 66 PAC</t>
        </is>
      </c>
      <c r="D828" t="inlineStr">
        <is>
          <t>ELIZABETH PANNILL FLETCHER FOR CONGRESS</t>
        </is>
      </c>
      <c r="E828" t="inlineStr">
        <is>
          <t>H8TX07140</t>
        </is>
      </c>
      <c r="F828" t="inlineStr">
        <is>
          <t>DEM</t>
        </is>
      </c>
      <c r="G828" t="inlineStr">
        <is>
          <t>09252019</t>
        </is>
      </c>
      <c r="H828" t="n">
        <v>1000</v>
      </c>
      <c r="I828" t="inlineStr">
        <is>
          <t>201910179165011095</t>
        </is>
      </c>
      <c r="J828" t="inlineStr">
        <is>
          <t>https://docquery.fec.gov/cgi-bin/fecimg/?201910179165011095</t>
        </is>
      </c>
    </row>
    <row r="829">
      <c r="A829" t="inlineStr">
        <is>
          <t>2020</t>
        </is>
      </c>
      <c r="B829" t="inlineStr">
        <is>
          <t>C00513549</t>
        </is>
      </c>
      <c r="C829" t="inlineStr">
        <is>
          <t>Phillips 66 PAC</t>
        </is>
      </c>
      <c r="D829" t="inlineStr">
        <is>
          <t>FRIENDS OF JIM INHOFE</t>
        </is>
      </c>
      <c r="E829" t="inlineStr">
        <is>
          <t>S4OK00083</t>
        </is>
      </c>
      <c r="F829" t="inlineStr">
        <is>
          <t>REP</t>
        </is>
      </c>
      <c r="G829" t="inlineStr">
        <is>
          <t>09252019</t>
        </is>
      </c>
      <c r="H829" t="n">
        <v>5000</v>
      </c>
      <c r="I829" t="inlineStr">
        <is>
          <t>201910179165011096</t>
        </is>
      </c>
      <c r="J829" t="inlineStr">
        <is>
          <t>https://docquery.fec.gov/cgi-bin/fecimg/?201910179165011096</t>
        </is>
      </c>
    </row>
    <row r="830">
      <c r="A830" t="inlineStr">
        <is>
          <t>2020</t>
        </is>
      </c>
      <c r="B830" t="inlineStr">
        <is>
          <t>C00513549</t>
        </is>
      </c>
      <c r="C830" t="inlineStr">
        <is>
          <t>Phillips 66 PAC</t>
        </is>
      </c>
      <c r="D830" t="inlineStr">
        <is>
          <t>DEFAZIO FOR CONGRESS</t>
        </is>
      </c>
      <c r="E830" t="inlineStr">
        <is>
          <t>H6OR04047</t>
        </is>
      </c>
      <c r="F830" t="inlineStr">
        <is>
          <t>DEM</t>
        </is>
      </c>
      <c r="G830" t="inlineStr">
        <is>
          <t>09282020</t>
        </is>
      </c>
      <c r="H830" t="n">
        <v>-1500</v>
      </c>
      <c r="I830" t="inlineStr">
        <is>
          <t>202010199297201091</t>
        </is>
      </c>
      <c r="J830" t="inlineStr">
        <is>
          <t>https://docquery.fec.gov/cgi-bin/fecimg/?202010199297201091</t>
        </is>
      </c>
    </row>
    <row r="831">
      <c r="A831" t="inlineStr">
        <is>
          <t>2020</t>
        </is>
      </c>
      <c r="B831" t="inlineStr">
        <is>
          <t>C00513549</t>
        </is>
      </c>
      <c r="C831" t="inlineStr">
        <is>
          <t>Phillips 66 PAC</t>
        </is>
      </c>
      <c r="D831" t="inlineStr">
        <is>
          <t>MIKE ROGERS FOR CONGRESS</t>
        </is>
      </c>
      <c r="E831" t="inlineStr">
        <is>
          <t>H2AL03032</t>
        </is>
      </c>
      <c r="F831" t="inlineStr">
        <is>
          <t>REP</t>
        </is>
      </c>
      <c r="G831" t="inlineStr">
        <is>
          <t>09302020</t>
        </is>
      </c>
      <c r="H831" t="n">
        <v>2500</v>
      </c>
      <c r="I831" t="inlineStr">
        <is>
          <t>202010199297201093</t>
        </is>
      </c>
      <c r="J831" t="inlineStr">
        <is>
          <t>https://docquery.fec.gov/cgi-bin/fecimg/?202010199297201093</t>
        </is>
      </c>
    </row>
    <row r="832">
      <c r="A832" t="inlineStr">
        <is>
          <t>2020</t>
        </is>
      </c>
      <c r="B832" t="inlineStr">
        <is>
          <t>C00513549</t>
        </is>
      </c>
      <c r="C832" t="inlineStr">
        <is>
          <t>Phillips 66 PAC</t>
        </is>
      </c>
      <c r="D832" t="inlineStr">
        <is>
          <t>PALLONE FOR CONGRESS</t>
        </is>
      </c>
      <c r="E832" t="inlineStr">
        <is>
          <t>H8NJ03073</t>
        </is>
      </c>
      <c r="F832" t="inlineStr">
        <is>
          <t>DEM</t>
        </is>
      </c>
      <c r="G832" t="inlineStr">
        <is>
          <t>09302020</t>
        </is>
      </c>
      <c r="H832" t="n">
        <v>2500</v>
      </c>
      <c r="I832" t="inlineStr">
        <is>
          <t>202010199297201094</t>
        </is>
      </c>
      <c r="J832" t="inlineStr">
        <is>
          <t>https://docquery.fec.gov/cgi-bin/fecimg/?202010199297201094</t>
        </is>
      </c>
    </row>
    <row r="833">
      <c r="A833" t="inlineStr">
        <is>
          <t>2020</t>
        </is>
      </c>
      <c r="B833" t="inlineStr">
        <is>
          <t>C00513549</t>
        </is>
      </c>
      <c r="C833" t="inlineStr">
        <is>
          <t>Phillips 66 PAC</t>
        </is>
      </c>
      <c r="D833" t="inlineStr">
        <is>
          <t>RODNEY FOR CONGRESS</t>
        </is>
      </c>
      <c r="E833" t="inlineStr">
        <is>
          <t>H2IL13120</t>
        </is>
      </c>
      <c r="F833" t="inlineStr">
        <is>
          <t>REP</t>
        </is>
      </c>
      <c r="G833" t="inlineStr">
        <is>
          <t>09302020</t>
        </is>
      </c>
      <c r="H833" t="n">
        <v>2500</v>
      </c>
      <c r="I833" t="inlineStr">
        <is>
          <t>202010199297201094</t>
        </is>
      </c>
      <c r="J833" t="inlineStr">
        <is>
          <t>https://docquery.fec.gov/cgi-bin/fecimg/?202010199297201094</t>
        </is>
      </c>
    </row>
    <row r="834">
      <c r="A834" t="inlineStr">
        <is>
          <t>2020</t>
        </is>
      </c>
      <c r="B834" t="inlineStr">
        <is>
          <t>C00513549</t>
        </is>
      </c>
      <c r="C834" t="inlineStr">
        <is>
          <t>Phillips 66 PAC</t>
        </is>
      </c>
      <c r="D834" t="inlineStr">
        <is>
          <t>SIMPSON FOR CONGRESS</t>
        </is>
      </c>
      <c r="E834" t="inlineStr">
        <is>
          <t>H8ID02064</t>
        </is>
      </c>
      <c r="F834" t="inlineStr">
        <is>
          <t>REP</t>
        </is>
      </c>
      <c r="G834" t="inlineStr">
        <is>
          <t>09302020</t>
        </is>
      </c>
      <c r="H834" t="n">
        <v>2500</v>
      </c>
      <c r="I834" t="inlineStr">
        <is>
          <t>202010199297201094</t>
        </is>
      </c>
      <c r="J834" t="inlineStr">
        <is>
          <t>https://docquery.fec.gov/cgi-bin/fecimg/?202010199297201094</t>
        </is>
      </c>
    </row>
    <row r="835">
      <c r="A835" t="inlineStr">
        <is>
          <t>2020</t>
        </is>
      </c>
      <c r="B835" t="inlineStr">
        <is>
          <t>C00513549</t>
        </is>
      </c>
      <c r="C835" t="inlineStr">
        <is>
          <t>Phillips 66 PAC</t>
        </is>
      </c>
      <c r="D835" t="inlineStr">
        <is>
          <t>TEAM HAGERTY</t>
        </is>
      </c>
      <c r="E835" t="inlineStr">
        <is>
          <t>S0TN00169</t>
        </is>
      </c>
      <c r="F835" t="inlineStr">
        <is>
          <t>REP</t>
        </is>
      </c>
      <c r="G835" t="inlineStr">
        <is>
          <t>09302020</t>
        </is>
      </c>
      <c r="H835" t="n">
        <v>5000</v>
      </c>
      <c r="I835" t="inlineStr">
        <is>
          <t>202010199297201095</t>
        </is>
      </c>
      <c r="J835" t="inlineStr">
        <is>
          <t>https://docquery.fec.gov/cgi-bin/fecimg/?202010199297201095</t>
        </is>
      </c>
    </row>
    <row r="836">
      <c r="A836" t="inlineStr">
        <is>
          <t>2020</t>
        </is>
      </c>
      <c r="B836" t="inlineStr">
        <is>
          <t>C00513549</t>
        </is>
      </c>
      <c r="C836" t="inlineStr">
        <is>
          <t>Phillips 66 PAC</t>
        </is>
      </c>
      <c r="D836" t="inlineStr">
        <is>
          <t>TEXANS FOR JODEY ARRINGTON</t>
        </is>
      </c>
      <c r="E836" t="inlineStr">
        <is>
          <t>H6TX19099</t>
        </is>
      </c>
      <c r="F836" t="inlineStr">
        <is>
          <t>REP</t>
        </is>
      </c>
      <c r="G836" t="inlineStr">
        <is>
          <t>09302020</t>
        </is>
      </c>
      <c r="H836" t="n">
        <v>2500</v>
      </c>
      <c r="I836" t="inlineStr">
        <is>
          <t>202010199297201095</t>
        </is>
      </c>
      <c r="J836" t="inlineStr">
        <is>
          <t>https://docquery.fec.gov/cgi-bin/fecimg/?202010199297201095</t>
        </is>
      </c>
    </row>
    <row r="837">
      <c r="A837" t="inlineStr">
        <is>
          <t>2020</t>
        </is>
      </c>
      <c r="B837" t="inlineStr">
        <is>
          <t>C00513549</t>
        </is>
      </c>
      <c r="C837" t="inlineStr">
        <is>
          <t>Phillips 66 PAC</t>
        </is>
      </c>
      <c r="D837" t="inlineStr">
        <is>
          <t>BILLY LONG FOR CONGRESS</t>
        </is>
      </c>
      <c r="E837" t="inlineStr">
        <is>
          <t>H0MO07113</t>
        </is>
      </c>
      <c r="F837" t="inlineStr">
        <is>
          <t>REP</t>
        </is>
      </c>
      <c r="G837" t="inlineStr">
        <is>
          <t>09302020</t>
        </is>
      </c>
      <c r="H837" t="n">
        <v>2000</v>
      </c>
      <c r="I837" t="inlineStr">
        <is>
          <t>202010199297201090</t>
        </is>
      </c>
      <c r="J837" t="inlineStr">
        <is>
          <t>https://docquery.fec.gov/cgi-bin/fecimg/?202010199297201090</t>
        </is>
      </c>
    </row>
    <row r="838">
      <c r="A838" t="inlineStr">
        <is>
          <t>2020</t>
        </is>
      </c>
      <c r="B838" t="inlineStr">
        <is>
          <t>C00513549</t>
        </is>
      </c>
      <c r="C838" t="inlineStr">
        <is>
          <t>Phillips 66 PAC</t>
        </is>
      </c>
      <c r="D838" t="inlineStr">
        <is>
          <t>CITIZENS TO ELECT RICK LARSEN</t>
        </is>
      </c>
      <c r="E838" t="inlineStr">
        <is>
          <t>H0WA02080</t>
        </is>
      </c>
      <c r="F838" t="inlineStr">
        <is>
          <t>DEM</t>
        </is>
      </c>
      <c r="G838" t="inlineStr">
        <is>
          <t>09302020</t>
        </is>
      </c>
      <c r="H838" t="n">
        <v>2500</v>
      </c>
      <c r="I838" t="inlineStr">
        <is>
          <t>202010199297201090</t>
        </is>
      </c>
      <c r="J838" t="inlineStr">
        <is>
          <t>https://docquery.fec.gov/cgi-bin/fecimg/?202010199297201090</t>
        </is>
      </c>
    </row>
    <row r="839">
      <c r="A839" t="inlineStr">
        <is>
          <t>2020</t>
        </is>
      </c>
      <c r="B839" t="inlineStr">
        <is>
          <t>C00513549</t>
        </is>
      </c>
      <c r="C839" t="inlineStr">
        <is>
          <t>Phillips 66 PAC</t>
        </is>
      </c>
      <c r="D839" t="inlineStr">
        <is>
          <t>CRAWFORD FOR CONGRESS</t>
        </is>
      </c>
      <c r="E839" t="inlineStr">
        <is>
          <t>H0AR01083</t>
        </is>
      </c>
      <c r="F839" t="inlineStr">
        <is>
          <t>REP</t>
        </is>
      </c>
      <c r="G839" t="inlineStr">
        <is>
          <t>09302020</t>
        </is>
      </c>
      <c r="H839" t="n">
        <v>2500</v>
      </c>
      <c r="I839" t="inlineStr">
        <is>
          <t>202010199297201090</t>
        </is>
      </c>
      <c r="J839" t="inlineStr">
        <is>
          <t>https://docquery.fec.gov/cgi-bin/fecimg/?202010199297201090</t>
        </is>
      </c>
    </row>
    <row r="840">
      <c r="A840" t="inlineStr">
        <is>
          <t>2020</t>
        </is>
      </c>
      <c r="B840" t="inlineStr">
        <is>
          <t>C00513549</t>
        </is>
      </c>
      <c r="C840" t="inlineStr">
        <is>
          <t>Phillips 66 PAC</t>
        </is>
      </c>
      <c r="D840" t="inlineStr">
        <is>
          <t>DR. BRIAN BABIN FOR CONGRESS</t>
        </is>
      </c>
      <c r="E840" t="inlineStr">
        <is>
          <t>H6TX02079</t>
        </is>
      </c>
      <c r="F840" t="inlineStr">
        <is>
          <t>REP</t>
        </is>
      </c>
      <c r="G840" t="inlineStr">
        <is>
          <t>09302020</t>
        </is>
      </c>
      <c r="H840" t="n">
        <v>2500</v>
      </c>
      <c r="I840" t="inlineStr">
        <is>
          <t>202010199297201091</t>
        </is>
      </c>
      <c r="J840" t="inlineStr">
        <is>
          <t>https://docquery.fec.gov/cgi-bin/fecimg/?202010199297201091</t>
        </is>
      </c>
    </row>
    <row r="841">
      <c r="A841" t="inlineStr">
        <is>
          <t>2020</t>
        </is>
      </c>
      <c r="B841" t="inlineStr">
        <is>
          <t>C00513549</t>
        </is>
      </c>
      <c r="C841" t="inlineStr">
        <is>
          <t>Phillips 66 PAC</t>
        </is>
      </c>
      <c r="D841" t="inlineStr">
        <is>
          <t>HOYER FOR CONGRESS</t>
        </is>
      </c>
      <c r="E841" t="inlineStr">
        <is>
          <t>H2MD05155</t>
        </is>
      </c>
      <c r="F841" t="inlineStr">
        <is>
          <t>DEM</t>
        </is>
      </c>
      <c r="G841" t="inlineStr">
        <is>
          <t>09302020</t>
        </is>
      </c>
      <c r="H841" t="n">
        <v>2500</v>
      </c>
      <c r="I841" t="inlineStr">
        <is>
          <t>202010199297201092</t>
        </is>
      </c>
      <c r="J841" t="inlineStr">
        <is>
          <t>https://docquery.fec.gov/cgi-bin/fecimg/?202010199297201092</t>
        </is>
      </c>
    </row>
    <row r="842">
      <c r="A842" t="inlineStr">
        <is>
          <t>2020</t>
        </is>
      </c>
      <c r="B842" t="inlineStr">
        <is>
          <t>C00513549</t>
        </is>
      </c>
      <c r="C842" t="inlineStr">
        <is>
          <t>Phillips 66 PAC</t>
        </is>
      </c>
      <c r="D842" t="inlineStr">
        <is>
          <t>JASON SMITH FOR CONGRESS</t>
        </is>
      </c>
      <c r="E842" t="inlineStr">
        <is>
          <t>H4MO08162</t>
        </is>
      </c>
      <c r="F842" t="inlineStr">
        <is>
          <t>REP</t>
        </is>
      </c>
      <c r="G842" t="inlineStr">
        <is>
          <t>09302020</t>
        </is>
      </c>
      <c r="H842" t="n">
        <v>2500</v>
      </c>
      <c r="I842" t="inlineStr">
        <is>
          <t>202010199297201092</t>
        </is>
      </c>
      <c r="J842" t="inlineStr">
        <is>
          <t>https://docquery.fec.gov/cgi-bin/fecimg/?202010199297201092</t>
        </is>
      </c>
    </row>
    <row r="843">
      <c r="A843" t="inlineStr">
        <is>
          <t>2020</t>
        </is>
      </c>
      <c r="B843" t="inlineStr">
        <is>
          <t>C00513549</t>
        </is>
      </c>
      <c r="C843" t="inlineStr">
        <is>
          <t>Phillips 66 PAC</t>
        </is>
      </c>
      <c r="D843" t="inlineStr">
        <is>
          <t>KANSANS FOR MARSHALL</t>
        </is>
      </c>
      <c r="E843" t="inlineStr">
        <is>
          <t>H6KS01179</t>
        </is>
      </c>
      <c r="F843" t="inlineStr">
        <is>
          <t>REP</t>
        </is>
      </c>
      <c r="G843" t="inlineStr">
        <is>
          <t>09302020</t>
        </is>
      </c>
      <c r="H843" t="n">
        <v>5000</v>
      </c>
      <c r="I843" t="inlineStr">
        <is>
          <t>202010199297201092</t>
        </is>
      </c>
      <c r="J843" t="inlineStr">
        <is>
          <t>https://docquery.fec.gov/cgi-bin/fecimg/?202010199297201092</t>
        </is>
      </c>
    </row>
    <row r="844">
      <c r="A844" t="inlineStr">
        <is>
          <t>2020</t>
        </is>
      </c>
      <c r="B844" t="inlineStr">
        <is>
          <t>C00513549</t>
        </is>
      </c>
      <c r="C844" t="inlineStr">
        <is>
          <t>Phillips 66 PAC</t>
        </is>
      </c>
      <c r="D844" t="inlineStr">
        <is>
          <t>KATKO FOR CONGRESS</t>
        </is>
      </c>
      <c r="E844" t="inlineStr">
        <is>
          <t>H4NY24073</t>
        </is>
      </c>
      <c r="F844" t="inlineStr">
        <is>
          <t>REP</t>
        </is>
      </c>
      <c r="G844" t="inlineStr">
        <is>
          <t>09302020</t>
        </is>
      </c>
      <c r="H844" t="n">
        <v>1500</v>
      </c>
      <c r="I844" t="inlineStr">
        <is>
          <t>202010199297201093</t>
        </is>
      </c>
      <c r="J844" t="inlineStr">
        <is>
          <t>https://docquery.fec.gov/cgi-bin/fecimg/?202010199297201093</t>
        </is>
      </c>
    </row>
    <row r="845">
      <c r="A845" t="inlineStr">
        <is>
          <t>2020</t>
        </is>
      </c>
      <c r="B845" t="inlineStr">
        <is>
          <t>C00513549</t>
        </is>
      </c>
      <c r="C845" t="inlineStr">
        <is>
          <t>Phillips 66 PAC</t>
        </is>
      </c>
      <c r="D845" t="inlineStr">
        <is>
          <t>MARY MILLER FOR CONGRESS</t>
        </is>
      </c>
      <c r="E845" t="inlineStr">
        <is>
          <t>H0IL15129</t>
        </is>
      </c>
      <c r="F845" t="inlineStr">
        <is>
          <t>REP</t>
        </is>
      </c>
      <c r="G845" t="inlineStr">
        <is>
          <t>09302020</t>
        </is>
      </c>
      <c r="H845" t="n">
        <v>2500</v>
      </c>
      <c r="I845" t="inlineStr">
        <is>
          <t>202010199297201093</t>
        </is>
      </c>
      <c r="J845" t="inlineStr">
        <is>
          <t>https://docquery.fec.gov/cgi-bin/fecimg/?202010199297201093</t>
        </is>
      </c>
    </row>
    <row r="846">
      <c r="A846" t="inlineStr">
        <is>
          <t>2020</t>
        </is>
      </c>
      <c r="B846" t="inlineStr">
        <is>
          <t>C00513549</t>
        </is>
      </c>
      <c r="C846" t="inlineStr">
        <is>
          <t>Phillips 66 PAC</t>
        </is>
      </c>
      <c r="D846" t="inlineStr">
        <is>
          <t>TONY GONZALES FOR CONGRESS</t>
        </is>
      </c>
      <c r="E846" t="inlineStr">
        <is>
          <t>H0TX35015</t>
        </is>
      </c>
      <c r="F846" t="inlineStr">
        <is>
          <t>REP</t>
        </is>
      </c>
      <c r="G846" t="inlineStr">
        <is>
          <t>09302020</t>
        </is>
      </c>
      <c r="H846" t="n">
        <v>2500</v>
      </c>
      <c r="I846" t="inlineStr">
        <is>
          <t>202010199297201096</t>
        </is>
      </c>
      <c r="J846" t="inlineStr">
        <is>
          <t>https://docquery.fec.gov/cgi-bin/fecimg/?202010199297201096</t>
        </is>
      </c>
    </row>
    <row r="847">
      <c r="A847" t="inlineStr">
        <is>
          <t>2020</t>
        </is>
      </c>
      <c r="B847" t="inlineStr">
        <is>
          <t>C00513549</t>
        </is>
      </c>
      <c r="C847" t="inlineStr">
        <is>
          <t>Phillips 66 PAC</t>
        </is>
      </c>
      <c r="D847" t="inlineStr">
        <is>
          <t>UPTON FOR ALL OF US</t>
        </is>
      </c>
      <c r="E847" t="inlineStr">
        <is>
          <t>H6MI04113</t>
        </is>
      </c>
      <c r="F847" t="inlineStr">
        <is>
          <t>REP</t>
        </is>
      </c>
      <c r="G847" t="inlineStr">
        <is>
          <t>09302020</t>
        </is>
      </c>
      <c r="H847" t="n">
        <v>2500</v>
      </c>
      <c r="I847" t="inlineStr">
        <is>
          <t>202010199297201096</t>
        </is>
      </c>
      <c r="J847" t="inlineStr">
        <is>
          <t>https://docquery.fec.gov/cgi-bin/fecimg/?202010199297201096</t>
        </is>
      </c>
    </row>
    <row r="848">
      <c r="A848" t="inlineStr">
        <is>
          <t>2020</t>
        </is>
      </c>
      <c r="B848" t="inlineStr">
        <is>
          <t>C00513549</t>
        </is>
      </c>
      <c r="C848" t="inlineStr">
        <is>
          <t>Phillips 66 PAC</t>
        </is>
      </c>
      <c r="D848" t="inlineStr">
        <is>
          <t>GRAVES FOR CONGRESS</t>
        </is>
      </c>
      <c r="E848" t="inlineStr">
        <is>
          <t>H0MO06073</t>
        </is>
      </c>
      <c r="F848" t="inlineStr">
        <is>
          <t>REP</t>
        </is>
      </c>
      <c r="G848" t="inlineStr">
        <is>
          <t>10012019</t>
        </is>
      </c>
      <c r="H848" t="n">
        <v>2500</v>
      </c>
      <c r="I848" t="inlineStr">
        <is>
          <t>201911199165574918</t>
        </is>
      </c>
      <c r="J848" t="inlineStr">
        <is>
          <t>https://docquery.fec.gov/cgi-bin/fecimg/?201911199165574918</t>
        </is>
      </c>
    </row>
    <row r="849">
      <c r="A849" t="inlineStr">
        <is>
          <t>2020</t>
        </is>
      </c>
      <c r="B849" t="inlineStr">
        <is>
          <t>C00513549</t>
        </is>
      </c>
      <c r="C849" t="inlineStr">
        <is>
          <t>Phillips 66 PAC</t>
        </is>
      </c>
      <c r="D849" t="inlineStr">
        <is>
          <t>CORY GARDNER FOR SENATE</t>
        </is>
      </c>
      <c r="E849" t="inlineStr">
        <is>
          <t>S4CO00395</t>
        </is>
      </c>
      <c r="F849" t="inlineStr">
        <is>
          <t>REP</t>
        </is>
      </c>
      <c r="G849" t="inlineStr">
        <is>
          <t>10242019</t>
        </is>
      </c>
      <c r="H849" t="n">
        <v>1500</v>
      </c>
      <c r="I849" t="inlineStr">
        <is>
          <t>201911199165574916</t>
        </is>
      </c>
      <c r="J849" t="inlineStr">
        <is>
          <t>https://docquery.fec.gov/cgi-bin/fecimg/?201911199165574916</t>
        </is>
      </c>
    </row>
    <row r="850">
      <c r="A850" t="inlineStr">
        <is>
          <t>2020</t>
        </is>
      </c>
      <c r="B850" t="inlineStr">
        <is>
          <t>C00513549</t>
        </is>
      </c>
      <c r="C850" t="inlineStr">
        <is>
          <t>Phillips 66 PAC</t>
        </is>
      </c>
      <c r="D850" t="inlineStr">
        <is>
          <t>FILEMON VELA FOR CONGRESS</t>
        </is>
      </c>
      <c r="E850" t="inlineStr">
        <is>
          <t>H2TX27190</t>
        </is>
      </c>
      <c r="F850" t="inlineStr">
        <is>
          <t>DEM</t>
        </is>
      </c>
      <c r="G850" t="inlineStr">
        <is>
          <t>10242019</t>
        </is>
      </c>
      <c r="H850" t="n">
        <v>4000</v>
      </c>
      <c r="I850" t="inlineStr">
        <is>
          <t>201911199165574917</t>
        </is>
      </c>
      <c r="J850" t="inlineStr">
        <is>
          <t>https://docquery.fec.gov/cgi-bin/fecimg/?201911199165574917</t>
        </is>
      </c>
    </row>
    <row r="851">
      <c r="A851" t="inlineStr">
        <is>
          <t>2020</t>
        </is>
      </c>
      <c r="B851" t="inlineStr">
        <is>
          <t>C00513549</t>
        </is>
      </c>
      <c r="C851" t="inlineStr">
        <is>
          <t>Phillips 66 PAC</t>
        </is>
      </c>
      <c r="D851" t="inlineStr">
        <is>
          <t>DAN CRENSHAW FOR CONGRESS</t>
        </is>
      </c>
      <c r="E851" t="inlineStr">
        <is>
          <t>H8TX02166</t>
        </is>
      </c>
      <c r="F851" t="inlineStr">
        <is>
          <t>REP</t>
        </is>
      </c>
      <c r="G851" t="inlineStr">
        <is>
          <t>10242019</t>
        </is>
      </c>
      <c r="H851" t="n">
        <v>1500</v>
      </c>
      <c r="I851" t="inlineStr">
        <is>
          <t>201911199165574916</t>
        </is>
      </c>
      <c r="J851" t="inlineStr">
        <is>
          <t>https://docquery.fec.gov/cgi-bin/fecimg/?201911199165574916</t>
        </is>
      </c>
    </row>
    <row r="852">
      <c r="A852" t="inlineStr">
        <is>
          <t>2020</t>
        </is>
      </c>
      <c r="B852" t="inlineStr">
        <is>
          <t>C00513549</t>
        </is>
      </c>
      <c r="C852" t="inlineStr">
        <is>
          <t>Phillips 66 PAC</t>
        </is>
      </c>
      <c r="D852" t="inlineStr">
        <is>
          <t>DAN LIPINSKI FOR CONGRESS</t>
        </is>
      </c>
      <c r="E852" t="inlineStr">
        <is>
          <t>H4IL03077</t>
        </is>
      </c>
      <c r="F852" t="inlineStr">
        <is>
          <t>DEM</t>
        </is>
      </c>
      <c r="G852" t="inlineStr">
        <is>
          <t>10242019</t>
        </is>
      </c>
      <c r="H852" t="n">
        <v>2500</v>
      </c>
      <c r="I852" t="inlineStr">
        <is>
          <t>201911199165574916</t>
        </is>
      </c>
      <c r="J852" t="inlineStr">
        <is>
          <t>https://docquery.fec.gov/cgi-bin/fecimg/?201911199165574916</t>
        </is>
      </c>
    </row>
    <row r="853">
      <c r="A853" t="inlineStr">
        <is>
          <t>2020</t>
        </is>
      </c>
      <c r="B853" t="inlineStr">
        <is>
          <t>C00513549</t>
        </is>
      </c>
      <c r="C853" t="inlineStr">
        <is>
          <t>Phillips 66 PAC</t>
        </is>
      </c>
      <c r="D853" t="inlineStr">
        <is>
          <t>ELIZABETH PANNILL FLETCHER FOR CONGRESS</t>
        </is>
      </c>
      <c r="E853" t="inlineStr">
        <is>
          <t>H8TX07140</t>
        </is>
      </c>
      <c r="F853" t="inlineStr">
        <is>
          <t>DEM</t>
        </is>
      </c>
      <c r="G853" t="inlineStr">
        <is>
          <t>10242019</t>
        </is>
      </c>
      <c r="H853" t="n">
        <v>3000</v>
      </c>
      <c r="I853" t="inlineStr">
        <is>
          <t>201911199165574917</t>
        </is>
      </c>
      <c r="J853" t="inlineStr">
        <is>
          <t>https://docquery.fec.gov/cgi-bin/fecimg/?201911199165574917</t>
        </is>
      </c>
    </row>
    <row r="854">
      <c r="A854" t="inlineStr">
        <is>
          <t>2020</t>
        </is>
      </c>
      <c r="B854" t="inlineStr">
        <is>
          <t>C00513549</t>
        </is>
      </c>
      <c r="C854" t="inlineStr">
        <is>
          <t>Phillips 66 PAC</t>
        </is>
      </c>
      <c r="D854" t="inlineStr">
        <is>
          <t>GARRET GRAVES FOR CONGRESS</t>
        </is>
      </c>
      <c r="E854" t="inlineStr">
        <is>
          <t>H4LA06153</t>
        </is>
      </c>
      <c r="F854" t="inlineStr">
        <is>
          <t>REP</t>
        </is>
      </c>
      <c r="G854" t="inlineStr">
        <is>
          <t>10242019</t>
        </is>
      </c>
      <c r="H854" t="n">
        <v>3000</v>
      </c>
      <c r="I854" t="inlineStr">
        <is>
          <t>201911199165574917</t>
        </is>
      </c>
      <c r="J854" t="inlineStr">
        <is>
          <t>https://docquery.fec.gov/cgi-bin/fecimg/?201911199165574917</t>
        </is>
      </c>
    </row>
    <row r="855">
      <c r="A855" t="inlineStr">
        <is>
          <t>2020</t>
        </is>
      </c>
      <c r="B855" t="inlineStr">
        <is>
          <t>C00513549</t>
        </is>
      </c>
      <c r="C855" t="inlineStr">
        <is>
          <t>Phillips 66 PAC</t>
        </is>
      </c>
      <c r="D855" t="inlineStr">
        <is>
          <t>ARMSTRONG FOR CONGRESS</t>
        </is>
      </c>
      <c r="E855" t="inlineStr">
        <is>
          <t>H8ND00096</t>
        </is>
      </c>
      <c r="F855" t="inlineStr">
        <is>
          <t>REP</t>
        </is>
      </c>
      <c r="G855" t="inlineStr">
        <is>
          <t>10242019</t>
        </is>
      </c>
      <c r="H855" t="n">
        <v>2500</v>
      </c>
      <c r="I855" t="inlineStr">
        <is>
          <t>201911199165574915</t>
        </is>
      </c>
      <c r="J855" t="inlineStr">
        <is>
          <t>https://docquery.fec.gov/cgi-bin/fecimg/?201911199165574915</t>
        </is>
      </c>
    </row>
    <row r="856">
      <c r="A856" t="inlineStr">
        <is>
          <t>2020</t>
        </is>
      </c>
      <c r="B856" t="inlineStr">
        <is>
          <t>C00513549</t>
        </is>
      </c>
      <c r="C856" t="inlineStr">
        <is>
          <t>Phillips 66 PAC</t>
        </is>
      </c>
      <c r="D856" t="inlineStr">
        <is>
          <t>CAPTAIN HIGGINS FOR CONGRESS</t>
        </is>
      </c>
      <c r="E856" t="inlineStr">
        <is>
          <t>H6LA03148</t>
        </is>
      </c>
      <c r="F856" t="inlineStr">
        <is>
          <t>REP</t>
        </is>
      </c>
      <c r="G856" t="inlineStr">
        <is>
          <t>10242019</t>
        </is>
      </c>
      <c r="H856" t="n">
        <v>1000</v>
      </c>
      <c r="I856" t="inlineStr">
        <is>
          <t>201911199165574915</t>
        </is>
      </c>
      <c r="J856" t="inlineStr">
        <is>
          <t>https://docquery.fec.gov/cgi-bin/fecimg/?201911199165574915</t>
        </is>
      </c>
    </row>
    <row r="857">
      <c r="A857" t="inlineStr">
        <is>
          <t>2020</t>
        </is>
      </c>
      <c r="B857" t="inlineStr">
        <is>
          <t>C00513549</t>
        </is>
      </c>
      <c r="C857" t="inlineStr">
        <is>
          <t>Phillips 66 PAC</t>
        </is>
      </c>
      <c r="D857" t="inlineStr">
        <is>
          <t>CATHY MCMORRIS RODGERS FOR CONGRESS</t>
        </is>
      </c>
      <c r="E857" t="inlineStr">
        <is>
          <t>H4WA05077</t>
        </is>
      </c>
      <c r="F857" t="inlineStr">
        <is>
          <t>REP</t>
        </is>
      </c>
      <c r="G857" t="inlineStr">
        <is>
          <t>10242019</t>
        </is>
      </c>
      <c r="H857" t="n">
        <v>1000</v>
      </c>
      <c r="I857" t="inlineStr">
        <is>
          <t>201911199165574915</t>
        </is>
      </c>
      <c r="J857" t="inlineStr">
        <is>
          <t>https://docquery.fec.gov/cgi-bin/fecimg/?201911199165574915</t>
        </is>
      </c>
    </row>
    <row r="858">
      <c r="A858" t="inlineStr">
        <is>
          <t>2020</t>
        </is>
      </c>
      <c r="B858" t="inlineStr">
        <is>
          <t>C00513549</t>
        </is>
      </c>
      <c r="C858" t="inlineStr">
        <is>
          <t>Phillips 66 PAC</t>
        </is>
      </c>
      <c r="D858" t="inlineStr">
        <is>
          <t>STEVE DAINES FOR MONTANA</t>
        </is>
      </c>
      <c r="E858" t="inlineStr">
        <is>
          <t>S2MT00096</t>
        </is>
      </c>
      <c r="F858" t="inlineStr">
        <is>
          <t>REP</t>
        </is>
      </c>
      <c r="G858" t="inlineStr">
        <is>
          <t>10242019</t>
        </is>
      </c>
      <c r="H858" t="n">
        <v>2500</v>
      </c>
      <c r="I858" t="inlineStr">
        <is>
          <t>201911199165574918</t>
        </is>
      </c>
      <c r="J858" t="inlineStr">
        <is>
          <t>https://docquery.fec.gov/cgi-bin/fecimg/?201911199165574918</t>
        </is>
      </c>
    </row>
    <row r="859">
      <c r="A859" t="inlineStr">
        <is>
          <t>2020</t>
        </is>
      </c>
      <c r="B859" t="inlineStr">
        <is>
          <t>C00513549</t>
        </is>
      </c>
      <c r="C859" t="inlineStr">
        <is>
          <t>Phillips 66 PAC</t>
        </is>
      </c>
      <c r="D859" t="inlineStr">
        <is>
          <t>VICENTE GONZALEZ FOR CONGRESS</t>
        </is>
      </c>
      <c r="E859" t="inlineStr">
        <is>
          <t>H6TX15162</t>
        </is>
      </c>
      <c r="F859" t="inlineStr">
        <is>
          <t>DEM</t>
        </is>
      </c>
      <c r="G859" t="inlineStr">
        <is>
          <t>10242019</t>
        </is>
      </c>
      <c r="H859" t="n">
        <v>4000</v>
      </c>
      <c r="I859" t="inlineStr">
        <is>
          <t>201911199165574918</t>
        </is>
      </c>
      <c r="J859" t="inlineStr">
        <is>
          <t>https://docquery.fec.gov/cgi-bin/fecimg/?201911199165574918</t>
        </is>
      </c>
    </row>
    <row r="860">
      <c r="A860" t="inlineStr">
        <is>
          <t>2020</t>
        </is>
      </c>
      <c r="B860" t="inlineStr">
        <is>
          <t>C00513549</t>
        </is>
      </c>
      <c r="C860" t="inlineStr">
        <is>
          <t>Phillips 66 PAC</t>
        </is>
      </c>
      <c r="D860" t="inlineStr">
        <is>
          <t>LOU CORREA FOR CONGRESS</t>
        </is>
      </c>
      <c r="E860" t="inlineStr">
        <is>
          <t>H6CA46116</t>
        </is>
      </c>
      <c r="F860" t="inlineStr">
        <is>
          <t>DEM</t>
        </is>
      </c>
      <c r="G860" t="inlineStr">
        <is>
          <t>11042019</t>
        </is>
      </c>
      <c r="H860" t="n">
        <v>1000</v>
      </c>
      <c r="I860" t="inlineStr">
        <is>
          <t>201912179166316182</t>
        </is>
      </c>
      <c r="J860" t="inlineStr">
        <is>
          <t>https://docquery.fec.gov/cgi-bin/fecimg/?201912179166316182</t>
        </is>
      </c>
    </row>
    <row r="861">
      <c r="A861" t="inlineStr">
        <is>
          <t>2020</t>
        </is>
      </c>
      <c r="B861" t="inlineStr">
        <is>
          <t>C00513549</t>
        </is>
      </c>
      <c r="C861" t="inlineStr">
        <is>
          <t>Phillips 66 PAC</t>
        </is>
      </c>
      <c r="D861" t="inlineStr">
        <is>
          <t>GEORGIANS FOR KELLY LOEFFLER</t>
        </is>
      </c>
      <c r="E861" t="inlineStr">
        <is>
          <t>S0GA00526</t>
        </is>
      </c>
      <c r="F861" t="inlineStr">
        <is>
          <t>REP</t>
        </is>
      </c>
      <c r="G861" t="inlineStr">
        <is>
          <t>11182020</t>
        </is>
      </c>
      <c r="H861" t="n">
        <v>5000</v>
      </c>
      <c r="I861" t="inlineStr">
        <is>
          <t>202012039339760551</t>
        </is>
      </c>
      <c r="J861" t="inlineStr">
        <is>
          <t>https://docquery.fec.gov/cgi-bin/fecimg/?202012039339760551</t>
        </is>
      </c>
    </row>
    <row r="862">
      <c r="A862" t="inlineStr">
        <is>
          <t>2020</t>
        </is>
      </c>
      <c r="B862" t="inlineStr">
        <is>
          <t>C00513549</t>
        </is>
      </c>
      <c r="C862" t="inlineStr">
        <is>
          <t>Phillips 66 PAC</t>
        </is>
      </c>
      <c r="D862" t="inlineStr">
        <is>
          <t>PERDUE FOR SENATE</t>
        </is>
      </c>
      <c r="E862" t="inlineStr">
        <is>
          <t>S4GA11285</t>
        </is>
      </c>
      <c r="F862" t="inlineStr">
        <is>
          <t>REP</t>
        </is>
      </c>
      <c r="G862" t="inlineStr">
        <is>
          <t>11182020</t>
        </is>
      </c>
      <c r="H862" t="n">
        <v>5000</v>
      </c>
      <c r="I862" t="inlineStr">
        <is>
          <t>202012039339760551</t>
        </is>
      </c>
      <c r="J862" t="inlineStr">
        <is>
          <t>https://docquery.fec.gov/cgi-bin/fecimg/?202012039339760551</t>
        </is>
      </c>
    </row>
    <row r="863">
      <c r="A863" t="inlineStr">
        <is>
          <t>2020</t>
        </is>
      </c>
      <c r="B863" t="inlineStr">
        <is>
          <t>C00513549</t>
        </is>
      </c>
      <c r="C863" t="inlineStr">
        <is>
          <t>Phillips 66 PAC</t>
        </is>
      </c>
      <c r="D863" t="inlineStr">
        <is>
          <t>LOU CORREA FOR CONGRESS</t>
        </is>
      </c>
      <c r="E863" t="inlineStr">
        <is>
          <t>H6CA46116</t>
        </is>
      </c>
      <c r="F863" t="inlineStr">
        <is>
          <t>DEM</t>
        </is>
      </c>
      <c r="G863" t="inlineStr">
        <is>
          <t>12022019</t>
        </is>
      </c>
      <c r="H863" t="n">
        <v>1000</v>
      </c>
      <c r="I863" t="inlineStr">
        <is>
          <t>202001279167383483</t>
        </is>
      </c>
      <c r="J863" t="inlineStr">
        <is>
          <t>https://docquery.fec.gov/cgi-bin/fecimg/?202001279167383483</t>
        </is>
      </c>
    </row>
    <row r="864">
      <c r="A864" t="inlineStr">
        <is>
          <t>2020</t>
        </is>
      </c>
      <c r="B864" t="inlineStr">
        <is>
          <t>C00513549</t>
        </is>
      </c>
      <c r="C864" t="inlineStr">
        <is>
          <t>Phillips 66 PAC</t>
        </is>
      </c>
      <c r="D864" t="inlineStr">
        <is>
          <t>LOU CORREA FOR CONGRESS</t>
        </is>
      </c>
      <c r="E864" t="inlineStr">
        <is>
          <t>H6CA46116</t>
        </is>
      </c>
      <c r="F864" t="inlineStr">
        <is>
          <t>DEM</t>
        </is>
      </c>
      <c r="G864" t="inlineStr">
        <is>
          <t>12022019</t>
        </is>
      </c>
      <c r="H864" t="n">
        <v>-1000</v>
      </c>
      <c r="I864" t="inlineStr">
        <is>
          <t>202001279167383484</t>
        </is>
      </c>
      <c r="J864" t="inlineStr">
        <is>
          <t>https://docquery.fec.gov/cgi-bin/fecimg/?202001279167383484</t>
        </is>
      </c>
    </row>
    <row r="865">
      <c r="A865" t="inlineStr">
        <is>
          <t>2020</t>
        </is>
      </c>
      <c r="B865" t="inlineStr">
        <is>
          <t>C00513549</t>
        </is>
      </c>
      <c r="C865" t="inlineStr">
        <is>
          <t>Phillips 66 PAC</t>
        </is>
      </c>
      <c r="D865" t="inlineStr">
        <is>
          <t>JASON SMITH FOR CONGRESS</t>
        </is>
      </c>
      <c r="E865" t="inlineStr">
        <is>
          <t>H4MO08162</t>
        </is>
      </c>
      <c r="F865" t="inlineStr">
        <is>
          <t>REP</t>
        </is>
      </c>
      <c r="G865" t="inlineStr">
        <is>
          <t>12042019</t>
        </is>
      </c>
      <c r="H865" t="n">
        <v>2500</v>
      </c>
      <c r="I865" t="inlineStr">
        <is>
          <t>202001279167383483</t>
        </is>
      </c>
      <c r="J865" t="inlineStr">
        <is>
          <t>https://docquery.fec.gov/cgi-bin/fecimg/?202001279167383483</t>
        </is>
      </c>
    </row>
    <row r="866">
      <c r="A866" t="inlineStr">
        <is>
          <t>2020</t>
        </is>
      </c>
      <c r="B866" t="inlineStr">
        <is>
          <t>C00513549</t>
        </is>
      </c>
      <c r="C866" t="inlineStr">
        <is>
          <t>Phillips 66 PAC</t>
        </is>
      </c>
      <c r="D866" t="inlineStr">
        <is>
          <t>THOM TILLIS COMMITTEE</t>
        </is>
      </c>
      <c r="E866" t="inlineStr">
        <is>
          <t>S4NC00162</t>
        </is>
      </c>
      <c r="F866" t="inlineStr">
        <is>
          <t>REP</t>
        </is>
      </c>
      <c r="G866" t="inlineStr">
        <is>
          <t>12042019</t>
        </is>
      </c>
      <c r="H866" t="n">
        <v>2500</v>
      </c>
      <c r="I866" t="inlineStr">
        <is>
          <t>202001279167383484</t>
        </is>
      </c>
      <c r="J866" t="inlineStr">
        <is>
          <t>https://docquery.fec.gov/cgi-bin/fecimg/?202001279167383484</t>
        </is>
      </c>
    </row>
    <row r="867">
      <c r="A867" t="inlineStr">
        <is>
          <t>2020</t>
        </is>
      </c>
      <c r="B867" t="inlineStr">
        <is>
          <t>C00513549</t>
        </is>
      </c>
      <c r="C867" t="inlineStr">
        <is>
          <t>Phillips 66 PAC</t>
        </is>
      </c>
      <c r="D867" t="inlineStr">
        <is>
          <t>BILL CASSIDY FOR US SENATE</t>
        </is>
      </c>
      <c r="E867" t="inlineStr">
        <is>
          <t>S4LA00107</t>
        </is>
      </c>
      <c r="F867" t="inlineStr">
        <is>
          <t>REP</t>
        </is>
      </c>
      <c r="G867" t="inlineStr">
        <is>
          <t>12122019</t>
        </is>
      </c>
      <c r="H867" t="n">
        <v>2000</v>
      </c>
      <c r="I867" t="inlineStr">
        <is>
          <t>202001279167383483</t>
        </is>
      </c>
      <c r="J867" t="inlineStr">
        <is>
          <t>https://docquery.fec.gov/cgi-bin/fecimg/?202001279167383483</t>
        </is>
      </c>
    </row>
    <row r="868">
      <c r="A868" t="inlineStr">
        <is>
          <t>2020</t>
        </is>
      </c>
      <c r="B868" t="inlineStr">
        <is>
          <t>C00513549</t>
        </is>
      </c>
      <c r="C868" t="inlineStr">
        <is>
          <t>Phillips 66 PAC</t>
        </is>
      </c>
      <c r="D868" t="inlineStr">
        <is>
          <t>TONY GONZALES FOR CONGRESS</t>
        </is>
      </c>
      <c r="E868" t="inlineStr">
        <is>
          <t>H0TX35015</t>
        </is>
      </c>
      <c r="F868" t="inlineStr">
        <is>
          <t>REP</t>
        </is>
      </c>
      <c r="G868" t="inlineStr">
        <is>
          <t>12152020</t>
        </is>
      </c>
      <c r="H868" t="n">
        <v>2500</v>
      </c>
      <c r="I868" t="inlineStr">
        <is>
          <t>202101259413355987</t>
        </is>
      </c>
      <c r="J868" t="inlineStr">
        <is>
          <t>https://docquery.fec.gov/cgi-bin/fecimg/?202101259413355987</t>
        </is>
      </c>
    </row>
    <row r="869">
      <c r="A869" t="inlineStr">
        <is>
          <t>2020</t>
        </is>
      </c>
      <c r="B869" t="inlineStr">
        <is>
          <t>C00513549</t>
        </is>
      </c>
      <c r="C869" t="inlineStr">
        <is>
          <t>Phillips 66 PAC</t>
        </is>
      </c>
      <c r="D869" t="inlineStr">
        <is>
          <t>CAPTAIN HIGGINS FOR CONGRESS</t>
        </is>
      </c>
      <c r="E869" t="inlineStr">
        <is>
          <t>H6LA03148</t>
        </is>
      </c>
      <c r="F869" t="inlineStr">
        <is>
          <t>REP</t>
        </is>
      </c>
      <c r="G869" t="inlineStr">
        <is>
          <t>12162020</t>
        </is>
      </c>
      <c r="H869" t="n">
        <v>-1000</v>
      </c>
      <c r="I869" t="inlineStr">
        <is>
          <t>202101259413355987</t>
        </is>
      </c>
      <c r="J869" t="inlineStr">
        <is>
          <t>https://docquery.fec.gov/cgi-bin/fecimg/?202101259413355987</t>
        </is>
      </c>
    </row>
    <row r="870">
      <c r="A870" t="inlineStr">
        <is>
          <t>2020</t>
        </is>
      </c>
      <c r="B870" t="inlineStr">
        <is>
          <t>C00109546</t>
        </is>
      </c>
      <c r="C870" t="inlineStr">
        <is>
          <t>Valero Energy Corp PAC</t>
        </is>
      </c>
      <c r="D870" t="inlineStr">
        <is>
          <t>DR. BRIAN BABIN FOR CONGRESS</t>
        </is>
      </c>
      <c r="E870" t="inlineStr">
        <is>
          <t>H6TX02079</t>
        </is>
      </c>
      <c r="F870" t="inlineStr">
        <is>
          <t>REP</t>
        </is>
      </c>
      <c r="G870" t="inlineStr">
        <is>
          <t>01282019</t>
        </is>
      </c>
      <c r="H870" t="n">
        <v>2500</v>
      </c>
      <c r="I870" t="inlineStr">
        <is>
          <t>201902199145532813</t>
        </is>
      </c>
      <c r="J870" t="inlineStr">
        <is>
          <t>https://docquery.fec.gov/cgi-bin/fecimg/?201902199145532813</t>
        </is>
      </c>
    </row>
    <row r="871">
      <c r="A871" t="inlineStr">
        <is>
          <t>2020</t>
        </is>
      </c>
      <c r="B871" t="inlineStr">
        <is>
          <t>C00109546</t>
        </is>
      </c>
      <c r="C871" t="inlineStr">
        <is>
          <t>Valero Energy Corp PAC</t>
        </is>
      </c>
      <c r="D871" t="inlineStr">
        <is>
          <t>MIKE KELLY FOR CONGRESS</t>
        </is>
      </c>
      <c r="E871" t="inlineStr">
        <is>
          <t>H0PA03271</t>
        </is>
      </c>
      <c r="F871" t="inlineStr">
        <is>
          <t>REP</t>
        </is>
      </c>
      <c r="G871" t="inlineStr">
        <is>
          <t>01282019</t>
        </is>
      </c>
      <c r="H871" t="n">
        <v>1000</v>
      </c>
      <c r="I871" t="inlineStr">
        <is>
          <t>201902199145532814</t>
        </is>
      </c>
      <c r="J871" t="inlineStr">
        <is>
          <t>https://docquery.fec.gov/cgi-bin/fecimg/?201902199145532814</t>
        </is>
      </c>
    </row>
    <row r="872">
      <c r="A872" t="inlineStr">
        <is>
          <t>2020</t>
        </is>
      </c>
      <c r="B872" t="inlineStr">
        <is>
          <t>C00109546</t>
        </is>
      </c>
      <c r="C872" t="inlineStr">
        <is>
          <t>Valero Energy Corp PAC</t>
        </is>
      </c>
      <c r="D872" t="inlineStr">
        <is>
          <t>AUGUST PFLUGER FOR CONGRESS</t>
        </is>
      </c>
      <c r="E872" t="inlineStr">
        <is>
          <t>H0TX11230</t>
        </is>
      </c>
      <c r="F872" t="inlineStr">
        <is>
          <t>REP</t>
        </is>
      </c>
      <c r="G872" t="inlineStr">
        <is>
          <t>01312020</t>
        </is>
      </c>
      <c r="H872" t="n">
        <v>5000</v>
      </c>
      <c r="I872" t="inlineStr">
        <is>
          <t>202002209186577340</t>
        </is>
      </c>
      <c r="J872" t="inlineStr">
        <is>
          <t>https://docquery.fec.gov/cgi-bin/fecimg/?202002209186577340</t>
        </is>
      </c>
    </row>
    <row r="873">
      <c r="A873" t="inlineStr">
        <is>
          <t>2020</t>
        </is>
      </c>
      <c r="B873" t="inlineStr">
        <is>
          <t>C00109546</t>
        </is>
      </c>
      <c r="C873" t="inlineStr">
        <is>
          <t>Valero Energy Corp PAC</t>
        </is>
      </c>
      <c r="D873" t="inlineStr">
        <is>
          <t>COLLINS FOR SENATOR</t>
        </is>
      </c>
      <c r="E873" t="inlineStr">
        <is>
          <t>S6ME00159</t>
        </is>
      </c>
      <c r="F873" t="inlineStr">
        <is>
          <t>REP</t>
        </is>
      </c>
      <c r="G873" t="inlineStr">
        <is>
          <t>01312020</t>
        </is>
      </c>
      <c r="H873" t="n">
        <v>5000</v>
      </c>
      <c r="I873" t="inlineStr">
        <is>
          <t>202002209186577340</t>
        </is>
      </c>
      <c r="J873" t="inlineStr">
        <is>
          <t>https://docquery.fec.gov/cgi-bin/fecimg/?202002209186577340</t>
        </is>
      </c>
    </row>
    <row r="874">
      <c r="A874" t="inlineStr">
        <is>
          <t>2020</t>
        </is>
      </c>
      <c r="B874" t="inlineStr">
        <is>
          <t>C00109546</t>
        </is>
      </c>
      <c r="C874" t="inlineStr">
        <is>
          <t>Valero Energy Corp PAC</t>
        </is>
      </c>
      <c r="D874" t="inlineStr">
        <is>
          <t>HUDSON FOR CONGRESS</t>
        </is>
      </c>
      <c r="E874" t="inlineStr">
        <is>
          <t>H2NC08185</t>
        </is>
      </c>
      <c r="F874" t="inlineStr">
        <is>
          <t>REP</t>
        </is>
      </c>
      <c r="G874" t="inlineStr">
        <is>
          <t>01312020</t>
        </is>
      </c>
      <c r="H874" t="n">
        <v>3000</v>
      </c>
      <c r="I874" t="inlineStr">
        <is>
          <t>202002209186577340</t>
        </is>
      </c>
      <c r="J874" t="inlineStr">
        <is>
          <t>https://docquery.fec.gov/cgi-bin/fecimg/?202002209186577340</t>
        </is>
      </c>
    </row>
    <row r="875">
      <c r="A875" t="inlineStr">
        <is>
          <t>2020</t>
        </is>
      </c>
      <c r="B875" t="inlineStr">
        <is>
          <t>C00109546</t>
        </is>
      </c>
      <c r="C875" t="inlineStr">
        <is>
          <t>Valero Energy Corp PAC</t>
        </is>
      </c>
      <c r="D875" t="inlineStr">
        <is>
          <t>MARC VEASEY CONGRESSIONAL CAMPAIGN COMMITTEE</t>
        </is>
      </c>
      <c r="E875" t="inlineStr">
        <is>
          <t>H2TX33073</t>
        </is>
      </c>
      <c r="F875" t="inlineStr">
        <is>
          <t>DEM</t>
        </is>
      </c>
      <c r="G875" t="inlineStr">
        <is>
          <t>01312020</t>
        </is>
      </c>
      <c r="H875" t="n">
        <v>2500</v>
      </c>
      <c r="I875" t="inlineStr">
        <is>
          <t>202002209186577341</t>
        </is>
      </c>
      <c r="J875" t="inlineStr">
        <is>
          <t>https://docquery.fec.gov/cgi-bin/fecimg/?202002209186577341</t>
        </is>
      </c>
    </row>
    <row r="876">
      <c r="A876" t="inlineStr">
        <is>
          <t>2020</t>
        </is>
      </c>
      <c r="B876" t="inlineStr">
        <is>
          <t>C00109546</t>
        </is>
      </c>
      <c r="C876" t="inlineStr">
        <is>
          <t>Valero Energy Corp PAC</t>
        </is>
      </c>
      <c r="D876" t="inlineStr">
        <is>
          <t>MARC VEASEY CONGRESSIONAL CAMPAIGN COMMITTEE</t>
        </is>
      </c>
      <c r="E876" t="inlineStr">
        <is>
          <t>H2TX33073</t>
        </is>
      </c>
      <c r="F876" t="inlineStr">
        <is>
          <t>DEM</t>
        </is>
      </c>
      <c r="G876" t="inlineStr">
        <is>
          <t>01312020</t>
        </is>
      </c>
      <c r="H876" t="n">
        <v>2500</v>
      </c>
      <c r="I876" t="inlineStr">
        <is>
          <t>202002209186577341</t>
        </is>
      </c>
      <c r="J876" t="inlineStr">
        <is>
          <t>https://docquery.fec.gov/cgi-bin/fecimg/?202002209186577341</t>
        </is>
      </c>
    </row>
    <row r="877">
      <c r="A877" t="inlineStr">
        <is>
          <t>2020</t>
        </is>
      </c>
      <c r="B877" t="inlineStr">
        <is>
          <t>C00109546</t>
        </is>
      </c>
      <c r="C877" t="inlineStr">
        <is>
          <t>Valero Energy Corp PAC</t>
        </is>
      </c>
      <c r="D877" t="inlineStr">
        <is>
          <t>SYLVIA GARCIA FOR CONGRESS</t>
        </is>
      </c>
      <c r="E877" t="inlineStr">
        <is>
          <t>H8TX29052</t>
        </is>
      </c>
      <c r="F877" t="inlineStr">
        <is>
          <t>DEM</t>
        </is>
      </c>
      <c r="G877" t="inlineStr">
        <is>
          <t>01312020</t>
        </is>
      </c>
      <c r="H877" t="n">
        <v>2500</v>
      </c>
      <c r="I877" t="inlineStr">
        <is>
          <t>202002209186577343</t>
        </is>
      </c>
      <c r="J877" t="inlineStr">
        <is>
          <t>https://docquery.fec.gov/cgi-bin/fecimg/?202002209186577343</t>
        </is>
      </c>
    </row>
    <row r="878">
      <c r="A878" t="inlineStr">
        <is>
          <t>2020</t>
        </is>
      </c>
      <c r="B878" t="inlineStr">
        <is>
          <t>C00109546</t>
        </is>
      </c>
      <c r="C878" t="inlineStr">
        <is>
          <t>Valero Energy Corp PAC</t>
        </is>
      </c>
      <c r="D878" t="inlineStr">
        <is>
          <t>TOM RICE FOR CONGRESS</t>
        </is>
      </c>
      <c r="E878" t="inlineStr">
        <is>
          <t>H2SC07066</t>
        </is>
      </c>
      <c r="F878" t="inlineStr">
        <is>
          <t>REP</t>
        </is>
      </c>
      <c r="G878" t="inlineStr">
        <is>
          <t>01312020</t>
        </is>
      </c>
      <c r="H878" t="n">
        <v>2500</v>
      </c>
      <c r="I878" t="inlineStr">
        <is>
          <t>202002209186577344</t>
        </is>
      </c>
      <c r="J878" t="inlineStr">
        <is>
          <t>https://docquery.fec.gov/cgi-bin/fecimg/?202002209186577344</t>
        </is>
      </c>
    </row>
    <row r="879">
      <c r="A879" t="inlineStr">
        <is>
          <t>2020</t>
        </is>
      </c>
      <c r="B879" t="inlineStr">
        <is>
          <t>C00109546</t>
        </is>
      </c>
      <c r="C879" t="inlineStr">
        <is>
          <t>Valero Energy Corp PAC</t>
        </is>
      </c>
      <c r="D879" t="inlineStr">
        <is>
          <t>TOM RICE FOR CONGRESS</t>
        </is>
      </c>
      <c r="E879" t="inlineStr">
        <is>
          <t>H2SC07066</t>
        </is>
      </c>
      <c r="F879" t="inlineStr">
        <is>
          <t>REP</t>
        </is>
      </c>
      <c r="G879" t="inlineStr">
        <is>
          <t>01312020</t>
        </is>
      </c>
      <c r="H879" t="n">
        <v>2500</v>
      </c>
      <c r="I879" t="inlineStr">
        <is>
          <t>202002209186577344</t>
        </is>
      </c>
      <c r="J879" t="inlineStr">
        <is>
          <t>https://docquery.fec.gov/cgi-bin/fecimg/?202002209186577344</t>
        </is>
      </c>
    </row>
    <row r="880">
      <c r="A880" t="inlineStr">
        <is>
          <t>2020</t>
        </is>
      </c>
      <c r="B880" t="inlineStr">
        <is>
          <t>C00109546</t>
        </is>
      </c>
      <c r="C880" t="inlineStr">
        <is>
          <t>Valero Energy Corp PAC</t>
        </is>
      </c>
      <c r="D880" t="inlineStr">
        <is>
          <t>BILLY LONG FOR CONGRESS</t>
        </is>
      </c>
      <c r="E880" t="inlineStr">
        <is>
          <t>H0MO07113</t>
        </is>
      </c>
      <c r="F880" t="inlineStr">
        <is>
          <t>REP</t>
        </is>
      </c>
      <c r="G880" t="inlineStr">
        <is>
          <t>02252019</t>
        </is>
      </c>
      <c r="H880" t="n">
        <v>2500</v>
      </c>
      <c r="I880" t="inlineStr">
        <is>
          <t>201903119145649009</t>
        </is>
      </c>
      <c r="J880" t="inlineStr">
        <is>
          <t>https://docquery.fec.gov/cgi-bin/fecimg/?201903119145649009</t>
        </is>
      </c>
    </row>
    <row r="881">
      <c r="A881" t="inlineStr">
        <is>
          <t>2020</t>
        </is>
      </c>
      <c r="B881" t="inlineStr">
        <is>
          <t>C00109546</t>
        </is>
      </c>
      <c r="C881" t="inlineStr">
        <is>
          <t>Valero Energy Corp PAC</t>
        </is>
      </c>
      <c r="D881" t="inlineStr">
        <is>
          <t>GUTHRIE FOR CONGRESS</t>
        </is>
      </c>
      <c r="E881" t="inlineStr">
        <is>
          <t>H8KY02031</t>
        </is>
      </c>
      <c r="F881" t="inlineStr">
        <is>
          <t>REP</t>
        </is>
      </c>
      <c r="G881" t="inlineStr">
        <is>
          <t>02252019</t>
        </is>
      </c>
      <c r="H881" t="n">
        <v>2500</v>
      </c>
      <c r="I881" t="inlineStr">
        <is>
          <t>201903119145649009</t>
        </is>
      </c>
      <c r="J881" t="inlineStr">
        <is>
          <t>https://docquery.fec.gov/cgi-bin/fecimg/?201903119145649009</t>
        </is>
      </c>
    </row>
    <row r="882">
      <c r="A882" t="inlineStr">
        <is>
          <t>2020</t>
        </is>
      </c>
      <c r="B882" t="inlineStr">
        <is>
          <t>C00109546</t>
        </is>
      </c>
      <c r="C882" t="inlineStr">
        <is>
          <t>Valero Energy Corp PAC</t>
        </is>
      </c>
      <c r="D882" t="inlineStr">
        <is>
          <t>JEFF DUNCAN FOR CONGRESS</t>
        </is>
      </c>
      <c r="E882" t="inlineStr">
        <is>
          <t>H0SC03077</t>
        </is>
      </c>
      <c r="F882" t="inlineStr">
        <is>
          <t>REP</t>
        </is>
      </c>
      <c r="G882" t="inlineStr">
        <is>
          <t>02252019</t>
        </is>
      </c>
      <c r="H882" t="n">
        <v>2500</v>
      </c>
      <c r="I882" t="inlineStr">
        <is>
          <t>201903119145649009</t>
        </is>
      </c>
      <c r="J882" t="inlineStr">
        <is>
          <t>https://docquery.fec.gov/cgi-bin/fecimg/?201903119145649009</t>
        </is>
      </c>
    </row>
    <row r="883">
      <c r="A883" t="inlineStr">
        <is>
          <t>2020</t>
        </is>
      </c>
      <c r="B883" t="inlineStr">
        <is>
          <t>C00109546</t>
        </is>
      </c>
      <c r="C883" t="inlineStr">
        <is>
          <t>Valero Energy Corp PAC</t>
        </is>
      </c>
      <c r="D883" t="inlineStr">
        <is>
          <t>MCHENRY FOR CONGRESS</t>
        </is>
      </c>
      <c r="E883" t="inlineStr">
        <is>
          <t>H4NC10047</t>
        </is>
      </c>
      <c r="F883" t="inlineStr">
        <is>
          <t>REP</t>
        </is>
      </c>
      <c r="G883" t="inlineStr">
        <is>
          <t>02252019</t>
        </is>
      </c>
      <c r="H883" t="n">
        <v>2500</v>
      </c>
      <c r="I883" t="inlineStr">
        <is>
          <t>201903119145649010</t>
        </is>
      </c>
      <c r="J883" t="inlineStr">
        <is>
          <t>https://docquery.fec.gov/cgi-bin/fecimg/?201903119145649010</t>
        </is>
      </c>
    </row>
    <row r="884">
      <c r="A884" t="inlineStr">
        <is>
          <t>2020</t>
        </is>
      </c>
      <c r="B884" t="inlineStr">
        <is>
          <t>C00109546</t>
        </is>
      </c>
      <c r="C884" t="inlineStr">
        <is>
          <t>Valero Energy Corp PAC</t>
        </is>
      </c>
      <c r="D884" t="inlineStr">
        <is>
          <t>SIMPSON FOR CONGRESS</t>
        </is>
      </c>
      <c r="E884" t="inlineStr">
        <is>
          <t>H8ID02064</t>
        </is>
      </c>
      <c r="F884" t="inlineStr">
        <is>
          <t>REP</t>
        </is>
      </c>
      <c r="G884" t="inlineStr">
        <is>
          <t>02252019</t>
        </is>
      </c>
      <c r="H884" t="n">
        <v>2500</v>
      </c>
      <c r="I884" t="inlineStr">
        <is>
          <t>201903119145649010</t>
        </is>
      </c>
      <c r="J884" t="inlineStr">
        <is>
          <t>https://docquery.fec.gov/cgi-bin/fecimg/?201903119145649010</t>
        </is>
      </c>
    </row>
    <row r="885">
      <c r="A885" t="inlineStr">
        <is>
          <t>2020</t>
        </is>
      </c>
      <c r="B885" t="inlineStr">
        <is>
          <t>C00109546</t>
        </is>
      </c>
      <c r="C885" t="inlineStr">
        <is>
          <t>Valero Energy Corp PAC</t>
        </is>
      </c>
      <c r="D885" t="inlineStr">
        <is>
          <t>VOLUNTEERS FOR SHIMKUS</t>
        </is>
      </c>
      <c r="E885" t="inlineStr">
        <is>
          <t>H2IL20042</t>
        </is>
      </c>
      <c r="F885" t="inlineStr">
        <is>
          <t>REP</t>
        </is>
      </c>
      <c r="G885" t="inlineStr">
        <is>
          <t>02252019</t>
        </is>
      </c>
      <c r="H885" t="n">
        <v>2500</v>
      </c>
      <c r="I885" t="inlineStr">
        <is>
          <t>201903119145649011</t>
        </is>
      </c>
      <c r="J885" t="inlineStr">
        <is>
          <t>https://docquery.fec.gov/cgi-bin/fecimg/?201903119145649011</t>
        </is>
      </c>
    </row>
    <row r="886">
      <c r="A886" t="inlineStr">
        <is>
          <t>2020</t>
        </is>
      </c>
      <c r="B886" t="inlineStr">
        <is>
          <t>C00109546</t>
        </is>
      </c>
      <c r="C886" t="inlineStr">
        <is>
          <t>Valero Energy Corp PAC</t>
        </is>
      </c>
      <c r="D886" t="inlineStr">
        <is>
          <t>JOHNSON FOR CONGRESS</t>
        </is>
      </c>
      <c r="E886" t="inlineStr">
        <is>
          <t>H0OH06189</t>
        </is>
      </c>
      <c r="F886" t="inlineStr">
        <is>
          <t>REP</t>
        </is>
      </c>
      <c r="G886" t="inlineStr">
        <is>
          <t>03022020</t>
        </is>
      </c>
      <c r="H886" t="n">
        <v>2500</v>
      </c>
      <c r="I886" t="inlineStr">
        <is>
          <t>202006189239952384</t>
        </is>
      </c>
      <c r="J886" t="inlineStr">
        <is>
          <t>https://docquery.fec.gov/cgi-bin/fecimg/?202006189239952384</t>
        </is>
      </c>
    </row>
    <row r="887">
      <c r="A887" t="inlineStr">
        <is>
          <t>2020</t>
        </is>
      </c>
      <c r="B887" t="inlineStr">
        <is>
          <t>C00109546</t>
        </is>
      </c>
      <c r="C887" t="inlineStr">
        <is>
          <t>Valero Energy Corp PAC</t>
        </is>
      </c>
      <c r="D887" t="inlineStr">
        <is>
          <t>MCCLINTOCK FOR CONGRESS</t>
        </is>
      </c>
      <c r="E887" t="inlineStr">
        <is>
          <t>H8CA04152</t>
        </is>
      </c>
      <c r="F887" t="inlineStr">
        <is>
          <t>REP</t>
        </is>
      </c>
      <c r="G887" t="inlineStr">
        <is>
          <t>03022020</t>
        </is>
      </c>
      <c r="H887" t="n">
        <v>2500</v>
      </c>
      <c r="I887" t="inlineStr">
        <is>
          <t>202006189239952385</t>
        </is>
      </c>
      <c r="J887" t="inlineStr">
        <is>
          <t>https://docquery.fec.gov/cgi-bin/fecimg/?202006189239952385</t>
        </is>
      </c>
    </row>
    <row r="888">
      <c r="A888" t="inlineStr">
        <is>
          <t>2020</t>
        </is>
      </c>
      <c r="B888" t="inlineStr">
        <is>
          <t>C00109546</t>
        </is>
      </c>
      <c r="C888" t="inlineStr">
        <is>
          <t>Valero Energy Corp PAC</t>
        </is>
      </c>
      <c r="D888" t="inlineStr">
        <is>
          <t>JOHN CARTER FOR CONGRESS</t>
        </is>
      </c>
      <c r="E888" t="inlineStr">
        <is>
          <t>H2TX31044</t>
        </is>
      </c>
      <c r="F888" t="inlineStr">
        <is>
          <t>REP</t>
        </is>
      </c>
      <c r="G888" t="inlineStr">
        <is>
          <t>03022020</t>
        </is>
      </c>
      <c r="H888" t="n">
        <v>5000</v>
      </c>
      <c r="I888" t="inlineStr">
        <is>
          <t>202006189239952384</t>
        </is>
      </c>
      <c r="J888" t="inlineStr">
        <is>
          <t>https://docquery.fec.gov/cgi-bin/fecimg/?202006189239952384</t>
        </is>
      </c>
    </row>
    <row r="889">
      <c r="A889" t="inlineStr">
        <is>
          <t>2020</t>
        </is>
      </c>
      <c r="B889" t="inlineStr">
        <is>
          <t>C00109546</t>
        </is>
      </c>
      <c r="C889" t="inlineStr">
        <is>
          <t>Valero Energy Corp PAC</t>
        </is>
      </c>
      <c r="D889" t="inlineStr">
        <is>
          <t>TED BUDD FOR CONGRESS</t>
        </is>
      </c>
      <c r="E889" t="inlineStr">
        <is>
          <t>H6NC13129</t>
        </is>
      </c>
      <c r="F889" t="inlineStr">
        <is>
          <t>REP</t>
        </is>
      </c>
      <c r="G889" t="inlineStr">
        <is>
          <t>03022020</t>
        </is>
      </c>
      <c r="H889" t="n">
        <v>2500</v>
      </c>
      <c r="I889" t="inlineStr">
        <is>
          <t>202006189239952388</t>
        </is>
      </c>
      <c r="J889" t="inlineStr">
        <is>
          <t>https://docquery.fec.gov/cgi-bin/fecimg/?202006189239952388</t>
        </is>
      </c>
    </row>
    <row r="890">
      <c r="A890" t="inlineStr">
        <is>
          <t>2020</t>
        </is>
      </c>
      <c r="B890" t="inlineStr">
        <is>
          <t>C00109546</t>
        </is>
      </c>
      <c r="C890" t="inlineStr">
        <is>
          <t>Valero Energy Corp PAC</t>
        </is>
      </c>
      <c r="D890" t="inlineStr">
        <is>
          <t>WALORSKI FOR CONGRESS INC</t>
        </is>
      </c>
      <c r="E890" t="inlineStr">
        <is>
          <t>H0IN02190</t>
        </is>
      </c>
      <c r="F890" t="inlineStr">
        <is>
          <t>REP</t>
        </is>
      </c>
      <c r="G890" t="inlineStr">
        <is>
          <t>03022020</t>
        </is>
      </c>
      <c r="H890" t="n">
        <v>2500</v>
      </c>
      <c r="I890" t="inlineStr">
        <is>
          <t>202006189239952388</t>
        </is>
      </c>
      <c r="J890" t="inlineStr">
        <is>
          <t>https://docquery.fec.gov/cgi-bin/fecimg/?202006189239952388</t>
        </is>
      </c>
    </row>
    <row r="891">
      <c r="A891" t="inlineStr">
        <is>
          <t>2020</t>
        </is>
      </c>
      <c r="B891" t="inlineStr">
        <is>
          <t>C00109546</t>
        </is>
      </c>
      <c r="C891" t="inlineStr">
        <is>
          <t>Valero Energy Corp PAC</t>
        </is>
      </c>
      <c r="D891" t="inlineStr">
        <is>
          <t>CHIP ROY FOR CONGRESS</t>
        </is>
      </c>
      <c r="E891" t="inlineStr">
        <is>
          <t>H8TX21307</t>
        </is>
      </c>
      <c r="F891" t="inlineStr">
        <is>
          <t>REP</t>
        </is>
      </c>
      <c r="G891" t="inlineStr">
        <is>
          <t>03022020</t>
        </is>
      </c>
      <c r="H891" t="n">
        <v>5000</v>
      </c>
      <c r="I891" t="inlineStr">
        <is>
          <t>202006189239952382</t>
        </is>
      </c>
      <c r="J891" t="inlineStr">
        <is>
          <t>https://docquery.fec.gov/cgi-bin/fecimg/?202006189239952382</t>
        </is>
      </c>
    </row>
    <row r="892">
      <c r="A892" t="inlineStr">
        <is>
          <t>2020</t>
        </is>
      </c>
      <c r="B892" t="inlineStr">
        <is>
          <t>C00109546</t>
        </is>
      </c>
      <c r="C892" t="inlineStr">
        <is>
          <t>Valero Energy Corp PAC</t>
        </is>
      </c>
      <c r="D892" t="inlineStr">
        <is>
          <t>CURTIS FOR CONGRESS</t>
        </is>
      </c>
      <c r="E892" t="inlineStr">
        <is>
          <t>H8UT03238</t>
        </is>
      </c>
      <c r="F892" t="inlineStr">
        <is>
          <t>REP</t>
        </is>
      </c>
      <c r="G892" t="inlineStr">
        <is>
          <t>03022020</t>
        </is>
      </c>
      <c r="H892" t="n">
        <v>2500</v>
      </c>
      <c r="I892" t="inlineStr">
        <is>
          <t>202006189239952383</t>
        </is>
      </c>
      <c r="J892" t="inlineStr">
        <is>
          <t>https://docquery.fec.gov/cgi-bin/fecimg/?202006189239952383</t>
        </is>
      </c>
    </row>
    <row r="893">
      <c r="A893" t="inlineStr">
        <is>
          <t>2020</t>
        </is>
      </c>
      <c r="B893" t="inlineStr">
        <is>
          <t>C00109546</t>
        </is>
      </c>
      <c r="C893" t="inlineStr">
        <is>
          <t>Valero Energy Corp PAC</t>
        </is>
      </c>
      <c r="D893" t="inlineStr">
        <is>
          <t>DEVIN NUNES CAMPAIGN COMMITTEE</t>
        </is>
      </c>
      <c r="E893" t="inlineStr">
        <is>
          <t>H8CA20059</t>
        </is>
      </c>
      <c r="F893" t="inlineStr">
        <is>
          <t>REP</t>
        </is>
      </c>
      <c r="G893" t="inlineStr">
        <is>
          <t>03132019</t>
        </is>
      </c>
      <c r="H893" t="n">
        <v>-5000</v>
      </c>
      <c r="I893" t="inlineStr">
        <is>
          <t>201904109146061950</t>
        </is>
      </c>
      <c r="J893" t="inlineStr">
        <is>
          <t>https://docquery.fec.gov/cgi-bin/fecimg/?201904109146061950</t>
        </is>
      </c>
    </row>
    <row r="894">
      <c r="A894" t="inlineStr">
        <is>
          <t>2020</t>
        </is>
      </c>
      <c r="B894" t="inlineStr">
        <is>
          <t>C00109546</t>
        </is>
      </c>
      <c r="C894" t="inlineStr">
        <is>
          <t>Valero Energy Corp PAC</t>
        </is>
      </c>
      <c r="D894" t="inlineStr">
        <is>
          <t>MARC VEASEY CONGRESSIONAL CAMPAIGN COMMITTEE</t>
        </is>
      </c>
      <c r="E894" t="inlineStr">
        <is>
          <t>H2TX33073</t>
        </is>
      </c>
      <c r="F894" t="inlineStr">
        <is>
          <t>DEM</t>
        </is>
      </c>
      <c r="G894" t="inlineStr">
        <is>
          <t>03182020</t>
        </is>
      </c>
      <c r="H894" t="n">
        <v>2500</v>
      </c>
      <c r="I894" t="inlineStr">
        <is>
          <t>202006189239952384</t>
        </is>
      </c>
      <c r="J894" t="inlineStr">
        <is>
          <t>https://docquery.fec.gov/cgi-bin/fecimg/?202006189239952384</t>
        </is>
      </c>
    </row>
    <row r="895">
      <c r="A895" t="inlineStr">
        <is>
          <t>2020</t>
        </is>
      </c>
      <c r="B895" t="inlineStr">
        <is>
          <t>C00109546</t>
        </is>
      </c>
      <c r="C895" t="inlineStr">
        <is>
          <t>Valero Energy Corp PAC</t>
        </is>
      </c>
      <c r="D895" t="inlineStr">
        <is>
          <t>MIKE JOHNSON FOR LOUISIANA</t>
        </is>
      </c>
      <c r="E895" t="inlineStr">
        <is>
          <t>H6LA04138</t>
        </is>
      </c>
      <c r="F895" t="inlineStr">
        <is>
          <t>REP</t>
        </is>
      </c>
      <c r="G895" t="inlineStr">
        <is>
          <t>03182020</t>
        </is>
      </c>
      <c r="H895" t="n">
        <v>2500</v>
      </c>
      <c r="I895" t="inlineStr">
        <is>
          <t>202006189239952385</t>
        </is>
      </c>
      <c r="J895" t="inlineStr">
        <is>
          <t>https://docquery.fec.gov/cgi-bin/fecimg/?202006189239952385</t>
        </is>
      </c>
    </row>
    <row r="896">
      <c r="A896" t="inlineStr">
        <is>
          <t>2020</t>
        </is>
      </c>
      <c r="B896" t="inlineStr">
        <is>
          <t>C00109546</t>
        </is>
      </c>
      <c r="C896" t="inlineStr">
        <is>
          <t>Valero Energy Corp PAC</t>
        </is>
      </c>
      <c r="D896" t="inlineStr">
        <is>
          <t>RICHMOND FOR CONGRESS</t>
        </is>
      </c>
      <c r="E896" t="inlineStr">
        <is>
          <t>H8LA02054</t>
        </is>
      </c>
      <c r="F896" t="inlineStr">
        <is>
          <t>DEM</t>
        </is>
      </c>
      <c r="G896" t="inlineStr">
        <is>
          <t>03182020</t>
        </is>
      </c>
      <c r="H896" t="n">
        <v>2500</v>
      </c>
      <c r="I896" t="inlineStr">
        <is>
          <t>202006189239952388</t>
        </is>
      </c>
      <c r="J896" t="inlineStr">
        <is>
          <t>https://docquery.fec.gov/cgi-bin/fecimg/?202006189239952388</t>
        </is>
      </c>
    </row>
    <row r="897">
      <c r="A897" t="inlineStr">
        <is>
          <t>2020</t>
        </is>
      </c>
      <c r="B897" t="inlineStr">
        <is>
          <t>C00109546</t>
        </is>
      </c>
      <c r="C897" t="inlineStr">
        <is>
          <t>Valero Energy Corp PAC</t>
        </is>
      </c>
      <c r="D897" t="inlineStr">
        <is>
          <t>DREW FERGUSON FOR CONGRESS INC.</t>
        </is>
      </c>
      <c r="E897" t="inlineStr">
        <is>
          <t>H6GA03113</t>
        </is>
      </c>
      <c r="F897" t="inlineStr">
        <is>
          <t>REP</t>
        </is>
      </c>
      <c r="G897" t="inlineStr">
        <is>
          <t>03182020</t>
        </is>
      </c>
      <c r="H897" t="n">
        <v>2500</v>
      </c>
      <c r="I897" t="inlineStr">
        <is>
          <t>202006189239952383</t>
        </is>
      </c>
      <c r="J897" t="inlineStr">
        <is>
          <t>https://docquery.fec.gov/cgi-bin/fecimg/?202006189239952383</t>
        </is>
      </c>
    </row>
    <row r="898">
      <c r="A898" t="inlineStr">
        <is>
          <t>2020</t>
        </is>
      </c>
      <c r="B898" t="inlineStr">
        <is>
          <t>C00109546</t>
        </is>
      </c>
      <c r="C898" t="inlineStr">
        <is>
          <t>Valero Energy Corp PAC</t>
        </is>
      </c>
      <c r="D898" t="inlineStr">
        <is>
          <t>DEVIN NUNES CAMPAIGN COMMITTEE</t>
        </is>
      </c>
      <c r="E898" t="inlineStr">
        <is>
          <t>H8CA20059</t>
        </is>
      </c>
      <c r="F898" t="inlineStr">
        <is>
          <t>REP</t>
        </is>
      </c>
      <c r="G898" t="inlineStr">
        <is>
          <t>03212019</t>
        </is>
      </c>
      <c r="H898" t="n">
        <v>2500</v>
      </c>
      <c r="I898" t="inlineStr">
        <is>
          <t>201904109146061951</t>
        </is>
      </c>
      <c r="J898" t="inlineStr">
        <is>
          <t>https://docquery.fec.gov/cgi-bin/fecimg/?201904109146061951</t>
        </is>
      </c>
    </row>
    <row r="899">
      <c r="A899" t="inlineStr">
        <is>
          <t>2020</t>
        </is>
      </c>
      <c r="B899" t="inlineStr">
        <is>
          <t>C00109546</t>
        </is>
      </c>
      <c r="C899" t="inlineStr">
        <is>
          <t>Valero Energy Corp PAC</t>
        </is>
      </c>
      <c r="D899" t="inlineStr">
        <is>
          <t>COMER FOR CONGRESS</t>
        </is>
      </c>
      <c r="E899" t="inlineStr">
        <is>
          <t>H6KY01110</t>
        </is>
      </c>
      <c r="F899" t="inlineStr">
        <is>
          <t>REP</t>
        </is>
      </c>
      <c r="G899" t="inlineStr">
        <is>
          <t>03212019</t>
        </is>
      </c>
      <c r="H899" t="n">
        <v>2500</v>
      </c>
      <c r="I899" t="inlineStr">
        <is>
          <t>201904109146061950</t>
        </is>
      </c>
      <c r="J899" t="inlineStr">
        <is>
          <t>https://docquery.fec.gov/cgi-bin/fecimg/?201904109146061950</t>
        </is>
      </c>
    </row>
    <row r="900">
      <c r="A900" t="inlineStr">
        <is>
          <t>2020</t>
        </is>
      </c>
      <c r="B900" t="inlineStr">
        <is>
          <t>C00109546</t>
        </is>
      </c>
      <c r="C900" t="inlineStr">
        <is>
          <t>Valero Energy Corp PAC</t>
        </is>
      </c>
      <c r="D900" t="inlineStr">
        <is>
          <t>CORY GARDNER FOR SENATE</t>
        </is>
      </c>
      <c r="E900" t="inlineStr">
        <is>
          <t>S4CO00395</t>
        </is>
      </c>
      <c r="F900" t="inlineStr">
        <is>
          <t>REP</t>
        </is>
      </c>
      <c r="G900" t="inlineStr">
        <is>
          <t>03212019</t>
        </is>
      </c>
      <c r="H900" t="n">
        <v>2500</v>
      </c>
      <c r="I900" t="inlineStr">
        <is>
          <t>201904109146061950</t>
        </is>
      </c>
      <c r="J900" t="inlineStr">
        <is>
          <t>https://docquery.fec.gov/cgi-bin/fecimg/?201904109146061950</t>
        </is>
      </c>
    </row>
    <row r="901">
      <c r="A901" t="inlineStr">
        <is>
          <t>2020</t>
        </is>
      </c>
      <c r="B901" t="inlineStr">
        <is>
          <t>C00109546</t>
        </is>
      </c>
      <c r="C901" t="inlineStr">
        <is>
          <t>Valero Energy Corp PAC</t>
        </is>
      </c>
      <c r="D901" t="inlineStr">
        <is>
          <t>COTTON FOR SENATE</t>
        </is>
      </c>
      <c r="E901" t="inlineStr">
        <is>
          <t>S4AR00103</t>
        </is>
      </c>
      <c r="F901" t="inlineStr">
        <is>
          <t>REP</t>
        </is>
      </c>
      <c r="G901" t="inlineStr">
        <is>
          <t>03212019</t>
        </is>
      </c>
      <c r="H901" t="n">
        <v>2500</v>
      </c>
      <c r="I901" t="inlineStr">
        <is>
          <t>201904109146061951</t>
        </is>
      </c>
      <c r="J901" t="inlineStr">
        <is>
          <t>https://docquery.fec.gov/cgi-bin/fecimg/?201904109146061951</t>
        </is>
      </c>
    </row>
    <row r="902">
      <c r="A902" t="inlineStr">
        <is>
          <t>2020</t>
        </is>
      </c>
      <c r="B902" t="inlineStr">
        <is>
          <t>C00109546</t>
        </is>
      </c>
      <c r="C902" t="inlineStr">
        <is>
          <t>Valero Energy Corp PAC</t>
        </is>
      </c>
      <c r="D902" t="inlineStr">
        <is>
          <t>FRIENDS OF JIM INHOFE COMMITTEE</t>
        </is>
      </c>
      <c r="E902" t="inlineStr">
        <is>
          <t>S4OK00083</t>
        </is>
      </c>
      <c r="F902" t="inlineStr">
        <is>
          <t>REP</t>
        </is>
      </c>
      <c r="G902" t="inlineStr">
        <is>
          <t>03212019</t>
        </is>
      </c>
      <c r="H902" t="n">
        <v>2500</v>
      </c>
      <c r="I902" t="inlineStr">
        <is>
          <t>201904109146061951</t>
        </is>
      </c>
      <c r="J902" t="inlineStr">
        <is>
          <t>https://docquery.fec.gov/cgi-bin/fecimg/?201904109146061951</t>
        </is>
      </c>
    </row>
    <row r="903">
      <c r="A903" t="inlineStr">
        <is>
          <t>2020</t>
        </is>
      </c>
      <c r="B903" t="inlineStr">
        <is>
          <t>C00109546</t>
        </is>
      </c>
      <c r="C903" t="inlineStr">
        <is>
          <t>Valero Energy Corp PAC</t>
        </is>
      </c>
      <c r="D903" t="inlineStr">
        <is>
          <t>GRAVES FOR CONGRESS</t>
        </is>
      </c>
      <c r="E903" t="inlineStr">
        <is>
          <t>H0GA09030</t>
        </is>
      </c>
      <c r="F903" t="inlineStr">
        <is>
          <t>REP</t>
        </is>
      </c>
      <c r="G903" t="inlineStr">
        <is>
          <t>03212019</t>
        </is>
      </c>
      <c r="H903" t="n">
        <v>2500</v>
      </c>
      <c r="I903" t="inlineStr">
        <is>
          <t>201904109146061952</t>
        </is>
      </c>
      <c r="J903" t="inlineStr">
        <is>
          <t>https://docquery.fec.gov/cgi-bin/fecimg/?201904109146061952</t>
        </is>
      </c>
    </row>
    <row r="904">
      <c r="A904" t="inlineStr">
        <is>
          <t>2020</t>
        </is>
      </c>
      <c r="B904" t="inlineStr">
        <is>
          <t>C00109546</t>
        </is>
      </c>
      <c r="C904" t="inlineStr">
        <is>
          <t>Valero Energy Corp PAC</t>
        </is>
      </c>
      <c r="D904" t="inlineStr">
        <is>
          <t>STEVE DAINES FOR MONTANA</t>
        </is>
      </c>
      <c r="E904" t="inlineStr">
        <is>
          <t>S2MT00096</t>
        </is>
      </c>
      <c r="F904" t="inlineStr">
        <is>
          <t>REP</t>
        </is>
      </c>
      <c r="G904" t="inlineStr">
        <is>
          <t>03212019</t>
        </is>
      </c>
      <c r="H904" t="n">
        <v>2500</v>
      </c>
      <c r="I904" t="inlineStr">
        <is>
          <t>201904109146061953</t>
        </is>
      </c>
      <c r="J904" t="inlineStr">
        <is>
          <t>https://docquery.fec.gov/cgi-bin/fecimg/?201904109146061953</t>
        </is>
      </c>
    </row>
    <row r="905">
      <c r="A905" t="inlineStr">
        <is>
          <t>2020</t>
        </is>
      </c>
      <c r="B905" t="inlineStr">
        <is>
          <t>C00109546</t>
        </is>
      </c>
      <c r="C905" t="inlineStr">
        <is>
          <t>Valero Energy Corp PAC</t>
        </is>
      </c>
      <c r="D905" t="inlineStr">
        <is>
          <t>STIVERS FOR CONGRESS</t>
        </is>
      </c>
      <c r="E905" t="inlineStr">
        <is>
          <t>H8OH15076</t>
        </is>
      </c>
      <c r="F905" t="inlineStr">
        <is>
          <t>REP</t>
        </is>
      </c>
      <c r="G905" t="inlineStr">
        <is>
          <t>03212019</t>
        </is>
      </c>
      <c r="H905" t="n">
        <v>2500</v>
      </c>
      <c r="I905" t="inlineStr">
        <is>
          <t>201904109146061953</t>
        </is>
      </c>
      <c r="J905" t="inlineStr">
        <is>
          <t>https://docquery.fec.gov/cgi-bin/fecimg/?201904109146061953</t>
        </is>
      </c>
    </row>
    <row r="906">
      <c r="A906" t="inlineStr">
        <is>
          <t>2020</t>
        </is>
      </c>
      <c r="B906" t="inlineStr">
        <is>
          <t>C00109546</t>
        </is>
      </c>
      <c r="C906" t="inlineStr">
        <is>
          <t>Valero Energy Corp PAC</t>
        </is>
      </c>
      <c r="D906" t="inlineStr">
        <is>
          <t>TEXANS FOR HENRY CUELLAR CONGRESSIONAL CAMPAIGN</t>
        </is>
      </c>
      <c r="E906" t="inlineStr">
        <is>
          <t>H2TX23082</t>
        </is>
      </c>
      <c r="F906" t="inlineStr">
        <is>
          <t>DEM</t>
        </is>
      </c>
      <c r="G906" t="inlineStr">
        <is>
          <t>03212019</t>
        </is>
      </c>
      <c r="H906" t="n">
        <v>5000</v>
      </c>
      <c r="I906" t="inlineStr">
        <is>
          <t>201904109146061953</t>
        </is>
      </c>
      <c r="J906" t="inlineStr">
        <is>
          <t>https://docquery.fec.gov/cgi-bin/fecimg/?201904109146061953</t>
        </is>
      </c>
    </row>
    <row r="907">
      <c r="A907" t="inlineStr">
        <is>
          <t>2020</t>
        </is>
      </c>
      <c r="B907" t="inlineStr">
        <is>
          <t>C00109546</t>
        </is>
      </c>
      <c r="C907" t="inlineStr">
        <is>
          <t>Valero Energy Corp PAC</t>
        </is>
      </c>
      <c r="D907" t="inlineStr">
        <is>
          <t>WALORSKI FOR CONGRESS, INC.</t>
        </is>
      </c>
      <c r="E907" t="inlineStr">
        <is>
          <t>H0IN02190</t>
        </is>
      </c>
      <c r="F907" t="inlineStr">
        <is>
          <t>REP</t>
        </is>
      </c>
      <c r="G907" t="inlineStr">
        <is>
          <t>03212019</t>
        </is>
      </c>
      <c r="H907" t="n">
        <v>2500</v>
      </c>
      <c r="I907" t="inlineStr">
        <is>
          <t>201904109146061955</t>
        </is>
      </c>
      <c r="J907" t="inlineStr">
        <is>
          <t>https://docquery.fec.gov/cgi-bin/fecimg/?201904109146061955</t>
        </is>
      </c>
    </row>
    <row r="908">
      <c r="A908" t="inlineStr">
        <is>
          <t>2020</t>
        </is>
      </c>
      <c r="B908" t="inlineStr">
        <is>
          <t>C00109546</t>
        </is>
      </c>
      <c r="C908" t="inlineStr">
        <is>
          <t>Valero Energy Corp PAC</t>
        </is>
      </c>
      <c r="D908" t="inlineStr">
        <is>
          <t>TEXANS FOR HENRY CUELLAR CONGRESSIONAL CAMPAIGN</t>
        </is>
      </c>
      <c r="E908" t="inlineStr">
        <is>
          <t>H2TX23082</t>
        </is>
      </c>
      <c r="F908" t="inlineStr">
        <is>
          <t>DEM</t>
        </is>
      </c>
      <c r="G908" t="inlineStr">
        <is>
          <t>03212019</t>
        </is>
      </c>
      <c r="H908" t="n">
        <v>5000</v>
      </c>
      <c r="I908" t="inlineStr">
        <is>
          <t>201904109146061954</t>
        </is>
      </c>
      <c r="J908" t="inlineStr">
        <is>
          <t>https://docquery.fec.gov/cgi-bin/fecimg/?201904109146061954</t>
        </is>
      </c>
    </row>
    <row r="909">
      <c r="A909" t="inlineStr">
        <is>
          <t>2020</t>
        </is>
      </c>
      <c r="B909" t="inlineStr">
        <is>
          <t>C00109546</t>
        </is>
      </c>
      <c r="C909" t="inlineStr">
        <is>
          <t>Valero Energy Corp PAC</t>
        </is>
      </c>
      <c r="D909" t="inlineStr">
        <is>
          <t>TEXANS FOR JODEY ARRINGTON</t>
        </is>
      </c>
      <c r="E909" t="inlineStr">
        <is>
          <t>H6TX19099</t>
        </is>
      </c>
      <c r="F909" t="inlineStr">
        <is>
          <t>REP</t>
        </is>
      </c>
      <c r="G909" t="inlineStr">
        <is>
          <t>03212019</t>
        </is>
      </c>
      <c r="H909" t="n">
        <v>5000</v>
      </c>
      <c r="I909" t="inlineStr">
        <is>
          <t>201904109146061954</t>
        </is>
      </c>
      <c r="J909" t="inlineStr">
        <is>
          <t>https://docquery.fec.gov/cgi-bin/fecimg/?201904109146061954</t>
        </is>
      </c>
    </row>
    <row r="910">
      <c r="A910" t="inlineStr">
        <is>
          <t>2020</t>
        </is>
      </c>
      <c r="B910" t="inlineStr">
        <is>
          <t>C00109546</t>
        </is>
      </c>
      <c r="C910" t="inlineStr">
        <is>
          <t>Valero Energy Corp PAC</t>
        </is>
      </c>
      <c r="D910" t="inlineStr">
        <is>
          <t>BILL FLORES FOR CONGRESS</t>
        </is>
      </c>
      <c r="E910" t="inlineStr">
        <is>
          <t>H0TX17104</t>
        </is>
      </c>
      <c r="F910" t="inlineStr">
        <is>
          <t>REP</t>
        </is>
      </c>
      <c r="G910" t="inlineStr">
        <is>
          <t>04222019</t>
        </is>
      </c>
      <c r="H910" t="n">
        <v>2500</v>
      </c>
      <c r="I910" t="inlineStr">
        <is>
          <t>201905109149662170</t>
        </is>
      </c>
      <c r="J910" t="inlineStr">
        <is>
          <t>https://docquery.fec.gov/cgi-bin/fecimg/?201905109149662170</t>
        </is>
      </c>
    </row>
    <row r="911">
      <c r="A911" t="inlineStr">
        <is>
          <t>2020</t>
        </is>
      </c>
      <c r="B911" t="inlineStr">
        <is>
          <t>C00109546</t>
        </is>
      </c>
      <c r="C911" t="inlineStr">
        <is>
          <t>Valero Energy Corp PAC</t>
        </is>
      </c>
      <c r="D911" t="inlineStr">
        <is>
          <t>BILLY LONG FOR CONGRESS</t>
        </is>
      </c>
      <c r="E911" t="inlineStr">
        <is>
          <t>H0MO07113</t>
        </is>
      </c>
      <c r="F911" t="inlineStr">
        <is>
          <t>REP</t>
        </is>
      </c>
      <c r="G911" t="inlineStr">
        <is>
          <t>04222019</t>
        </is>
      </c>
      <c r="H911" t="n">
        <v>2500</v>
      </c>
      <c r="I911" t="inlineStr">
        <is>
          <t>201905109149662170</t>
        </is>
      </c>
      <c r="J911" t="inlineStr">
        <is>
          <t>https://docquery.fec.gov/cgi-bin/fecimg/?201905109149662170</t>
        </is>
      </c>
    </row>
    <row r="912">
      <c r="A912" t="inlineStr">
        <is>
          <t>2020</t>
        </is>
      </c>
      <c r="B912" t="inlineStr">
        <is>
          <t>C00109546</t>
        </is>
      </c>
      <c r="C912" t="inlineStr">
        <is>
          <t>Valero Energy Corp PAC</t>
        </is>
      </c>
      <c r="D912" t="inlineStr">
        <is>
          <t>BRADY FOR CONGRESS</t>
        </is>
      </c>
      <c r="E912" t="inlineStr">
        <is>
          <t>H6TX08100</t>
        </is>
      </c>
      <c r="F912" t="inlineStr">
        <is>
          <t>REP</t>
        </is>
      </c>
      <c r="G912" t="inlineStr">
        <is>
          <t>04222019</t>
        </is>
      </c>
      <c r="H912" t="n">
        <v>2500</v>
      </c>
      <c r="I912" t="inlineStr">
        <is>
          <t>201905109149662170</t>
        </is>
      </c>
      <c r="J912" t="inlineStr">
        <is>
          <t>https://docquery.fec.gov/cgi-bin/fecimg/?201905109149662170</t>
        </is>
      </c>
    </row>
    <row r="913">
      <c r="A913" t="inlineStr">
        <is>
          <t>2020</t>
        </is>
      </c>
      <c r="B913" t="inlineStr">
        <is>
          <t>C00109546</t>
        </is>
      </c>
      <c r="C913" t="inlineStr">
        <is>
          <t>Valero Energy Corp PAC</t>
        </is>
      </c>
      <c r="D913" t="inlineStr">
        <is>
          <t>CLOUD FOR CONGRESS</t>
        </is>
      </c>
      <c r="E913" t="inlineStr">
        <is>
          <t>H8TX27049</t>
        </is>
      </c>
      <c r="F913" t="inlineStr">
        <is>
          <t>REP</t>
        </is>
      </c>
      <c r="G913" t="inlineStr">
        <is>
          <t>04222019</t>
        </is>
      </c>
      <c r="H913" t="n">
        <v>2500</v>
      </c>
      <c r="I913" t="inlineStr">
        <is>
          <t>201905109149662171</t>
        </is>
      </c>
      <c r="J913" t="inlineStr">
        <is>
          <t>https://docquery.fec.gov/cgi-bin/fecimg/?201905109149662171</t>
        </is>
      </c>
    </row>
    <row r="914">
      <c r="A914" t="inlineStr">
        <is>
          <t>2020</t>
        </is>
      </c>
      <c r="B914" t="inlineStr">
        <is>
          <t>C00109546</t>
        </is>
      </c>
      <c r="C914" t="inlineStr">
        <is>
          <t>Valero Energy Corp PAC</t>
        </is>
      </c>
      <c r="D914" t="inlineStr">
        <is>
          <t>GARRET GRAVES FOR CONGRESS</t>
        </is>
      </c>
      <c r="E914" t="inlineStr">
        <is>
          <t>H4LA06153</t>
        </is>
      </c>
      <c r="F914" t="inlineStr">
        <is>
          <t>REP</t>
        </is>
      </c>
      <c r="G914" t="inlineStr">
        <is>
          <t>04222019</t>
        </is>
      </c>
      <c r="H914" t="n">
        <v>5000</v>
      </c>
      <c r="I914" t="inlineStr">
        <is>
          <t>201905109149662171</t>
        </is>
      </c>
      <c r="J914" t="inlineStr">
        <is>
          <t>https://docquery.fec.gov/cgi-bin/fecimg/?201905109149662171</t>
        </is>
      </c>
    </row>
    <row r="915">
      <c r="A915" t="inlineStr">
        <is>
          <t>2020</t>
        </is>
      </c>
      <c r="B915" t="inlineStr">
        <is>
          <t>C00109546</t>
        </is>
      </c>
      <c r="C915" t="inlineStr">
        <is>
          <t>Valero Energy Corp PAC</t>
        </is>
      </c>
      <c r="D915" t="inlineStr">
        <is>
          <t>HUDSON FOR CONGRESS</t>
        </is>
      </c>
      <c r="E915" t="inlineStr">
        <is>
          <t>H2NC08185</t>
        </is>
      </c>
      <c r="F915" t="inlineStr">
        <is>
          <t>REP</t>
        </is>
      </c>
      <c r="G915" t="inlineStr">
        <is>
          <t>04222019</t>
        </is>
      </c>
      <c r="H915" t="n">
        <v>5000</v>
      </c>
      <c r="I915" t="inlineStr">
        <is>
          <t>201905109149662171</t>
        </is>
      </c>
      <c r="J915" t="inlineStr">
        <is>
          <t>https://docquery.fec.gov/cgi-bin/fecimg/?201905109149662171</t>
        </is>
      </c>
    </row>
    <row r="916">
      <c r="A916" t="inlineStr">
        <is>
          <t>2020</t>
        </is>
      </c>
      <c r="B916" t="inlineStr">
        <is>
          <t>C00109546</t>
        </is>
      </c>
      <c r="C916" t="inlineStr">
        <is>
          <t>Valero Energy Corp PAC</t>
        </is>
      </c>
      <c r="D916" t="inlineStr">
        <is>
          <t>JASON SMITH FOR CONGRESS</t>
        </is>
      </c>
      <c r="E916" t="inlineStr">
        <is>
          <t>H4MO08162</t>
        </is>
      </c>
      <c r="F916" t="inlineStr">
        <is>
          <t>REP</t>
        </is>
      </c>
      <c r="G916" t="inlineStr">
        <is>
          <t>04222019</t>
        </is>
      </c>
      <c r="H916" t="n">
        <v>2500</v>
      </c>
      <c r="I916" t="inlineStr">
        <is>
          <t>201905109149662172</t>
        </is>
      </c>
      <c r="J916" t="inlineStr">
        <is>
          <t>https://docquery.fec.gov/cgi-bin/fecimg/?201905109149662172</t>
        </is>
      </c>
    </row>
    <row r="917">
      <c r="A917" t="inlineStr">
        <is>
          <t>2020</t>
        </is>
      </c>
      <c r="B917" t="inlineStr">
        <is>
          <t>C00109546</t>
        </is>
      </c>
      <c r="C917" t="inlineStr">
        <is>
          <t>Valero Energy Corp PAC</t>
        </is>
      </c>
      <c r="D917" t="inlineStr">
        <is>
          <t>JIM COSTA FOR CONGRESS</t>
        </is>
      </c>
      <c r="E917" t="inlineStr">
        <is>
          <t>H4CA20082</t>
        </is>
      </c>
      <c r="F917" t="inlineStr">
        <is>
          <t>DEM</t>
        </is>
      </c>
      <c r="G917" t="inlineStr">
        <is>
          <t>04222019</t>
        </is>
      </c>
      <c r="H917" t="n">
        <v>2500</v>
      </c>
      <c r="I917" t="inlineStr">
        <is>
          <t>201905109149662172</t>
        </is>
      </c>
      <c r="J917" t="inlineStr">
        <is>
          <t>https://docquery.fec.gov/cgi-bin/fecimg/?201905109149662172</t>
        </is>
      </c>
    </row>
    <row r="918">
      <c r="A918" t="inlineStr">
        <is>
          <t>2020</t>
        </is>
      </c>
      <c r="B918" t="inlineStr">
        <is>
          <t>C00109546</t>
        </is>
      </c>
      <c r="C918" t="inlineStr">
        <is>
          <t>Valero Energy Corp PAC</t>
        </is>
      </c>
      <c r="D918" t="inlineStr">
        <is>
          <t>KURT SCHRADER FOR CONGRESS</t>
        </is>
      </c>
      <c r="E918" t="inlineStr">
        <is>
          <t>H8OR05107</t>
        </is>
      </c>
      <c r="F918" t="inlineStr">
        <is>
          <t>DEM</t>
        </is>
      </c>
      <c r="G918" t="inlineStr">
        <is>
          <t>04222019</t>
        </is>
      </c>
      <c r="H918" t="n">
        <v>2500</v>
      </c>
      <c r="I918" t="inlineStr">
        <is>
          <t>201905109149662172</t>
        </is>
      </c>
      <c r="J918" t="inlineStr">
        <is>
          <t>https://docquery.fec.gov/cgi-bin/fecimg/?201905109149662172</t>
        </is>
      </c>
    </row>
    <row r="919">
      <c r="A919" t="inlineStr">
        <is>
          <t>2020</t>
        </is>
      </c>
      <c r="B919" t="inlineStr">
        <is>
          <t>C00109546</t>
        </is>
      </c>
      <c r="C919" t="inlineStr">
        <is>
          <t>Valero Energy Corp PAC</t>
        </is>
      </c>
      <c r="D919" t="inlineStr">
        <is>
          <t>KUSTOFF FOR CONGRESS</t>
        </is>
      </c>
      <c r="E919" t="inlineStr">
        <is>
          <t>H2TN07103</t>
        </is>
      </c>
      <c r="F919" t="inlineStr">
        <is>
          <t>REP</t>
        </is>
      </c>
      <c r="G919" t="inlineStr">
        <is>
          <t>04222019</t>
        </is>
      </c>
      <c r="H919" t="n">
        <v>5000</v>
      </c>
      <c r="I919" t="inlineStr">
        <is>
          <t>201905109149662173</t>
        </is>
      </c>
      <c r="J919" t="inlineStr">
        <is>
          <t>https://docquery.fec.gov/cgi-bin/fecimg/?201905109149662173</t>
        </is>
      </c>
    </row>
    <row r="920">
      <c r="A920" t="inlineStr">
        <is>
          <t>2020</t>
        </is>
      </c>
      <c r="B920" t="inlineStr">
        <is>
          <t>C00109546</t>
        </is>
      </c>
      <c r="C920" t="inlineStr">
        <is>
          <t>Valero Energy Corp PAC</t>
        </is>
      </c>
      <c r="D920" t="inlineStr">
        <is>
          <t>MIKE KELLY FOR CONGRESS</t>
        </is>
      </c>
      <c r="E920" t="inlineStr">
        <is>
          <t>H0PA03271</t>
        </is>
      </c>
      <c r="F920" t="inlineStr">
        <is>
          <t>REP</t>
        </is>
      </c>
      <c r="G920" t="inlineStr">
        <is>
          <t>04222019</t>
        </is>
      </c>
      <c r="H920" t="n">
        <v>2500</v>
      </c>
      <c r="I920" t="inlineStr">
        <is>
          <t>201905109149662173</t>
        </is>
      </c>
      <c r="J920" t="inlineStr">
        <is>
          <t>https://docquery.fec.gov/cgi-bin/fecimg/?201905109149662173</t>
        </is>
      </c>
    </row>
    <row r="921">
      <c r="A921" t="inlineStr">
        <is>
          <t>2020</t>
        </is>
      </c>
      <c r="B921" t="inlineStr">
        <is>
          <t>C00109546</t>
        </is>
      </c>
      <c r="C921" t="inlineStr">
        <is>
          <t>Valero Energy Corp PAC</t>
        </is>
      </c>
      <c r="D921" t="inlineStr">
        <is>
          <t>OLSON FOR CONGRESS COMMITTEE</t>
        </is>
      </c>
      <c r="E921" t="inlineStr">
        <is>
          <t>H8TX22107</t>
        </is>
      </c>
      <c r="F921" t="inlineStr">
        <is>
          <t>REP</t>
        </is>
      </c>
      <c r="G921" t="inlineStr">
        <is>
          <t>04222019</t>
        </is>
      </c>
      <c r="H921" t="n">
        <v>2500</v>
      </c>
      <c r="I921" t="inlineStr">
        <is>
          <t>201905109149662174</t>
        </is>
      </c>
      <c r="J921" t="inlineStr">
        <is>
          <t>https://docquery.fec.gov/cgi-bin/fecimg/?201905109149662174</t>
        </is>
      </c>
    </row>
    <row r="922">
      <c r="A922" t="inlineStr">
        <is>
          <t>2020</t>
        </is>
      </c>
      <c r="B922" t="inlineStr">
        <is>
          <t>C00109546</t>
        </is>
      </c>
      <c r="C922" t="inlineStr">
        <is>
          <t>Valero Energy Corp PAC</t>
        </is>
      </c>
      <c r="D922" t="inlineStr">
        <is>
          <t>TEXANS FOR JODEY ARRINGTON</t>
        </is>
      </c>
      <c r="E922" t="inlineStr">
        <is>
          <t>H6TX19099</t>
        </is>
      </c>
      <c r="F922" t="inlineStr">
        <is>
          <t>REP</t>
        </is>
      </c>
      <c r="G922" t="inlineStr">
        <is>
          <t>04222019</t>
        </is>
      </c>
      <c r="H922" t="n">
        <v>2500</v>
      </c>
      <c r="I922" t="inlineStr">
        <is>
          <t>201905109149662174</t>
        </is>
      </c>
      <c r="J922" t="inlineStr">
        <is>
          <t>https://docquery.fec.gov/cgi-bin/fecimg/?201905109149662174</t>
        </is>
      </c>
    </row>
    <row r="923">
      <c r="A923" t="inlineStr">
        <is>
          <t>2020</t>
        </is>
      </c>
      <c r="B923" t="inlineStr">
        <is>
          <t>C00109546</t>
        </is>
      </c>
      <c r="C923" t="inlineStr">
        <is>
          <t>Valero Energy Corp PAC</t>
        </is>
      </c>
      <c r="D923" t="inlineStr">
        <is>
          <t>BILLY LONG FOR CONGRESS</t>
        </is>
      </c>
      <c r="E923" t="inlineStr">
        <is>
          <t>H0MO07113</t>
        </is>
      </c>
      <c r="F923" t="inlineStr">
        <is>
          <t>REP</t>
        </is>
      </c>
      <c r="G923" t="inlineStr">
        <is>
          <t>05282019</t>
        </is>
      </c>
      <c r="H923" t="n">
        <v>1000</v>
      </c>
      <c r="I923" t="inlineStr">
        <is>
          <t>201906149150034080</t>
        </is>
      </c>
      <c r="J923" t="inlineStr">
        <is>
          <t>https://docquery.fec.gov/cgi-bin/fecimg/?201906149150034080</t>
        </is>
      </c>
    </row>
    <row r="924">
      <c r="A924" t="inlineStr">
        <is>
          <t>2020</t>
        </is>
      </c>
      <c r="B924" t="inlineStr">
        <is>
          <t>C00109546</t>
        </is>
      </c>
      <c r="C924" t="inlineStr">
        <is>
          <t>Valero Energy Corp PAC</t>
        </is>
      </c>
      <c r="D924" t="inlineStr">
        <is>
          <t>DEVIN NUNES CAMPAIGN COMMITTEE</t>
        </is>
      </c>
      <c r="E924" t="inlineStr">
        <is>
          <t>H8CA20059</t>
        </is>
      </c>
      <c r="F924" t="inlineStr">
        <is>
          <t>REP</t>
        </is>
      </c>
      <c r="G924" t="inlineStr">
        <is>
          <t>05282019</t>
        </is>
      </c>
      <c r="H924" t="n">
        <v>2500</v>
      </c>
      <c r="I924" t="inlineStr">
        <is>
          <t>201906149150034080</t>
        </is>
      </c>
      <c r="J924" t="inlineStr">
        <is>
          <t>https://docquery.fec.gov/cgi-bin/fecimg/?201906149150034080</t>
        </is>
      </c>
    </row>
    <row r="925">
      <c r="A925" t="inlineStr">
        <is>
          <t>2020</t>
        </is>
      </c>
      <c r="B925" t="inlineStr">
        <is>
          <t>C00109546</t>
        </is>
      </c>
      <c r="C925" t="inlineStr">
        <is>
          <t>Valero Energy Corp PAC</t>
        </is>
      </c>
      <c r="D925" t="inlineStr">
        <is>
          <t>WALORSKI FOR CONGRESS, INC.</t>
        </is>
      </c>
      <c r="E925" t="inlineStr">
        <is>
          <t>H0IN02190</t>
        </is>
      </c>
      <c r="F925" t="inlineStr">
        <is>
          <t>REP</t>
        </is>
      </c>
      <c r="G925" t="inlineStr">
        <is>
          <t>05282019</t>
        </is>
      </c>
      <c r="H925" t="n">
        <v>2500</v>
      </c>
      <c r="I925" t="inlineStr">
        <is>
          <t>201906149150034084</t>
        </is>
      </c>
      <c r="J925" t="inlineStr">
        <is>
          <t>https://docquery.fec.gov/cgi-bin/fecimg/?201906149150034084</t>
        </is>
      </c>
    </row>
    <row r="926">
      <c r="A926" t="inlineStr">
        <is>
          <t>2020</t>
        </is>
      </c>
      <c r="B926" t="inlineStr">
        <is>
          <t>C00109546</t>
        </is>
      </c>
      <c r="C926" t="inlineStr">
        <is>
          <t>Valero Energy Corp PAC</t>
        </is>
      </c>
      <c r="D926" t="inlineStr">
        <is>
          <t>MARC VEASEY CONGRESSIONAL CAMPAIGN COMMITTEE</t>
        </is>
      </c>
      <c r="E926" t="inlineStr">
        <is>
          <t>H2TX33073</t>
        </is>
      </c>
      <c r="F926" t="inlineStr">
        <is>
          <t>DEM</t>
        </is>
      </c>
      <c r="G926" t="inlineStr">
        <is>
          <t>05282019</t>
        </is>
      </c>
      <c r="H926" t="n">
        <v>2500</v>
      </c>
      <c r="I926" t="inlineStr">
        <is>
          <t>201906149150034081</t>
        </is>
      </c>
      <c r="J926" t="inlineStr">
        <is>
          <t>https://docquery.fec.gov/cgi-bin/fecimg/?201906149150034081</t>
        </is>
      </c>
    </row>
    <row r="927">
      <c r="A927" t="inlineStr">
        <is>
          <t>2020</t>
        </is>
      </c>
      <c r="B927" t="inlineStr">
        <is>
          <t>C00109546</t>
        </is>
      </c>
      <c r="C927" t="inlineStr">
        <is>
          <t>Valero Energy Corp PAC</t>
        </is>
      </c>
      <c r="D927" t="inlineStr">
        <is>
          <t>MCCONNELL SENATE COMMITTEE</t>
        </is>
      </c>
      <c r="E927" t="inlineStr">
        <is>
          <t>S2KY00012</t>
        </is>
      </c>
      <c r="F927" t="inlineStr">
        <is>
          <t>REP</t>
        </is>
      </c>
      <c r="G927" t="inlineStr">
        <is>
          <t>05282019</t>
        </is>
      </c>
      <c r="H927" t="n">
        <v>2500</v>
      </c>
      <c r="I927" t="inlineStr">
        <is>
          <t>201906149150034081</t>
        </is>
      </c>
      <c r="J927" t="inlineStr">
        <is>
          <t>https://docquery.fec.gov/cgi-bin/fecimg/?201906149150034081</t>
        </is>
      </c>
    </row>
    <row r="928">
      <c r="A928" t="inlineStr">
        <is>
          <t>2020</t>
        </is>
      </c>
      <c r="B928" t="inlineStr">
        <is>
          <t>C00109546</t>
        </is>
      </c>
      <c r="C928" t="inlineStr">
        <is>
          <t>Valero Energy Corp PAC</t>
        </is>
      </c>
      <c r="D928" t="inlineStr">
        <is>
          <t>MORGAN GRIFFITH FOR CONGRESS</t>
        </is>
      </c>
      <c r="E928" t="inlineStr">
        <is>
          <t>H0VA09055</t>
        </is>
      </c>
      <c r="F928" t="inlineStr">
        <is>
          <t>REP</t>
        </is>
      </c>
      <c r="G928" t="inlineStr">
        <is>
          <t>05282019</t>
        </is>
      </c>
      <c r="H928" t="n">
        <v>2500</v>
      </c>
      <c r="I928" t="inlineStr">
        <is>
          <t>201906149150034081</t>
        </is>
      </c>
      <c r="J928" t="inlineStr">
        <is>
          <t>https://docquery.fec.gov/cgi-bin/fecimg/?201906149150034081</t>
        </is>
      </c>
    </row>
    <row r="929">
      <c r="A929" t="inlineStr">
        <is>
          <t>2020</t>
        </is>
      </c>
      <c r="B929" t="inlineStr">
        <is>
          <t>C00109546</t>
        </is>
      </c>
      <c r="C929" t="inlineStr">
        <is>
          <t>Valero Energy Corp PAC</t>
        </is>
      </c>
      <c r="D929" t="inlineStr">
        <is>
          <t>OLSON FOR CONGRESS COMMITTEE</t>
        </is>
      </c>
      <c r="E929" t="inlineStr">
        <is>
          <t>H8TX22107</t>
        </is>
      </c>
      <c r="F929" t="inlineStr">
        <is>
          <t>REP</t>
        </is>
      </c>
      <c r="G929" t="inlineStr">
        <is>
          <t>05282019</t>
        </is>
      </c>
      <c r="H929" t="n">
        <v>2500</v>
      </c>
      <c r="I929" t="inlineStr">
        <is>
          <t>201906149150034082</t>
        </is>
      </c>
      <c r="J929" t="inlineStr">
        <is>
          <t>https://docquery.fec.gov/cgi-bin/fecimg/?201906149150034082</t>
        </is>
      </c>
    </row>
    <row r="930">
      <c r="A930" t="inlineStr">
        <is>
          <t>2020</t>
        </is>
      </c>
      <c r="B930" t="inlineStr">
        <is>
          <t>C00109546</t>
        </is>
      </c>
      <c r="C930" t="inlineStr">
        <is>
          <t>Valero Energy Corp PAC</t>
        </is>
      </c>
      <c r="D930" t="inlineStr">
        <is>
          <t>RICHMOND FOR CONGRESS</t>
        </is>
      </c>
      <c r="E930" t="inlineStr">
        <is>
          <t>H8LA02054</t>
        </is>
      </c>
      <c r="F930" t="inlineStr">
        <is>
          <t>DEM</t>
        </is>
      </c>
      <c r="G930" t="inlineStr">
        <is>
          <t>05282019</t>
        </is>
      </c>
      <c r="H930" t="n">
        <v>2500</v>
      </c>
      <c r="I930" t="inlineStr">
        <is>
          <t>201906149150034082</t>
        </is>
      </c>
      <c r="J930" t="inlineStr">
        <is>
          <t>https://docquery.fec.gov/cgi-bin/fecimg/?201906149150034082</t>
        </is>
      </c>
    </row>
    <row r="931">
      <c r="A931" t="inlineStr">
        <is>
          <t>2020</t>
        </is>
      </c>
      <c r="B931" t="inlineStr">
        <is>
          <t>C00109546</t>
        </is>
      </c>
      <c r="C931" t="inlineStr">
        <is>
          <t>Valero Energy Corp PAC</t>
        </is>
      </c>
      <c r="D931" t="inlineStr">
        <is>
          <t>TEAM GRAHAM INC.</t>
        </is>
      </c>
      <c r="E931" t="inlineStr">
        <is>
          <t>S0SC00149</t>
        </is>
      </c>
      <c r="F931" t="inlineStr">
        <is>
          <t>REP</t>
        </is>
      </c>
      <c r="G931" t="inlineStr">
        <is>
          <t>05282019</t>
        </is>
      </c>
      <c r="H931" t="n">
        <v>2500</v>
      </c>
      <c r="I931" t="inlineStr">
        <is>
          <t>201906149150034083</t>
        </is>
      </c>
      <c r="J931" t="inlineStr">
        <is>
          <t>https://docquery.fec.gov/cgi-bin/fecimg/?201906149150034083</t>
        </is>
      </c>
    </row>
    <row r="932">
      <c r="A932" t="inlineStr">
        <is>
          <t>2020</t>
        </is>
      </c>
      <c r="B932" t="inlineStr">
        <is>
          <t>C00109546</t>
        </is>
      </c>
      <c r="C932" t="inlineStr">
        <is>
          <t>Valero Energy Corp PAC</t>
        </is>
      </c>
      <c r="D932" t="inlineStr">
        <is>
          <t>THOM TILLIS COMMITTEE</t>
        </is>
      </c>
      <c r="E932" t="inlineStr">
        <is>
          <t>S4NC00162</t>
        </is>
      </c>
      <c r="F932" t="inlineStr">
        <is>
          <t>REP</t>
        </is>
      </c>
      <c r="G932" t="inlineStr">
        <is>
          <t>05282019</t>
        </is>
      </c>
      <c r="H932" t="n">
        <v>2500</v>
      </c>
      <c r="I932" t="inlineStr">
        <is>
          <t>201906149150034083</t>
        </is>
      </c>
      <c r="J932" t="inlineStr">
        <is>
          <t>https://docquery.fec.gov/cgi-bin/fecimg/?201906149150034083</t>
        </is>
      </c>
    </row>
    <row r="933">
      <c r="A933" t="inlineStr">
        <is>
          <t>2020</t>
        </is>
      </c>
      <c r="B933" t="inlineStr">
        <is>
          <t>C00109546</t>
        </is>
      </c>
      <c r="C933" t="inlineStr">
        <is>
          <t>Valero Energy Corp PAC</t>
        </is>
      </c>
      <c r="D933" t="inlineStr">
        <is>
          <t>VOLUNTEERS FOR SHIMKUS</t>
        </is>
      </c>
      <c r="E933" t="inlineStr">
        <is>
          <t>H2IL20042</t>
        </is>
      </c>
      <c r="F933" t="inlineStr">
        <is>
          <t>REP</t>
        </is>
      </c>
      <c r="G933" t="inlineStr">
        <is>
          <t>05282019</t>
        </is>
      </c>
      <c r="H933" t="n">
        <v>2500</v>
      </c>
      <c r="I933" t="inlineStr">
        <is>
          <t>201906149150034083</t>
        </is>
      </c>
      <c r="J933" t="inlineStr">
        <is>
          <t>https://docquery.fec.gov/cgi-bin/fecimg/?201906149150034083</t>
        </is>
      </c>
    </row>
    <row r="934">
      <c r="A934" t="inlineStr">
        <is>
          <t>2020</t>
        </is>
      </c>
      <c r="B934" t="inlineStr">
        <is>
          <t>C00109546</t>
        </is>
      </c>
      <c r="C934" t="inlineStr">
        <is>
          <t>Valero Energy Corp PAC</t>
        </is>
      </c>
      <c r="D934" t="inlineStr">
        <is>
          <t>WALBERG FOR CONGRESS</t>
        </is>
      </c>
      <c r="E934" t="inlineStr">
        <is>
          <t>H4MI07103</t>
        </is>
      </c>
      <c r="F934" t="inlineStr">
        <is>
          <t>REP</t>
        </is>
      </c>
      <c r="G934" t="inlineStr">
        <is>
          <t>05282019</t>
        </is>
      </c>
      <c r="H934" t="n">
        <v>2500</v>
      </c>
      <c r="I934" t="inlineStr">
        <is>
          <t>201906149150034084</t>
        </is>
      </c>
      <c r="J934" t="inlineStr">
        <is>
          <t>https://docquery.fec.gov/cgi-bin/fecimg/?201906149150034084</t>
        </is>
      </c>
    </row>
    <row r="935">
      <c r="A935" t="inlineStr">
        <is>
          <t>2020</t>
        </is>
      </c>
      <c r="B935" t="inlineStr">
        <is>
          <t>C00109546</t>
        </is>
      </c>
      <c r="C935" t="inlineStr">
        <is>
          <t>Valero Energy Corp PAC</t>
        </is>
      </c>
      <c r="D935" t="inlineStr">
        <is>
          <t>STEVE DAINES FOR MONTANA</t>
        </is>
      </c>
      <c r="E935" t="inlineStr">
        <is>
          <t>S2MT00096</t>
        </is>
      </c>
      <c r="F935" t="inlineStr">
        <is>
          <t>REP</t>
        </is>
      </c>
      <c r="G935" t="inlineStr">
        <is>
          <t>05292020</t>
        </is>
      </c>
      <c r="H935" t="n">
        <v>-2500</v>
      </c>
      <c r="I935" t="inlineStr">
        <is>
          <t>202006189239952738</t>
        </is>
      </c>
      <c r="J935" t="inlineStr">
        <is>
          <t>https://docquery.fec.gov/cgi-bin/fecimg/?202006189239952738</t>
        </is>
      </c>
    </row>
    <row r="936">
      <c r="A936" t="inlineStr">
        <is>
          <t>2020</t>
        </is>
      </c>
      <c r="B936" t="inlineStr">
        <is>
          <t>C00109546</t>
        </is>
      </c>
      <c r="C936" t="inlineStr">
        <is>
          <t>Valero Energy Corp PAC</t>
        </is>
      </c>
      <c r="D936" t="inlineStr">
        <is>
          <t>TONY GONZALES FOR CONGRESS</t>
        </is>
      </c>
      <c r="E936" t="inlineStr">
        <is>
          <t>H0TX35015</t>
        </is>
      </c>
      <c r="F936" t="inlineStr">
        <is>
          <t>REP</t>
        </is>
      </c>
      <c r="G936" t="inlineStr">
        <is>
          <t>05292020</t>
        </is>
      </c>
      <c r="H936" t="n">
        <v>5000</v>
      </c>
      <c r="I936" t="inlineStr">
        <is>
          <t>202006189239952739</t>
        </is>
      </c>
      <c r="J936" t="inlineStr">
        <is>
          <t>https://docquery.fec.gov/cgi-bin/fecimg/?202006189239952739</t>
        </is>
      </c>
    </row>
    <row r="937">
      <c r="A937" t="inlineStr">
        <is>
          <t>2020</t>
        </is>
      </c>
      <c r="B937" t="inlineStr">
        <is>
          <t>C00109546</t>
        </is>
      </c>
      <c r="C937" t="inlineStr">
        <is>
          <t>Valero Energy Corp PAC</t>
        </is>
      </c>
      <c r="D937" t="inlineStr">
        <is>
          <t>BICE FOR CONGRESS</t>
        </is>
      </c>
      <c r="E937" t="inlineStr">
        <is>
          <t>H0OK05205</t>
        </is>
      </c>
      <c r="F937" t="inlineStr">
        <is>
          <t>REP</t>
        </is>
      </c>
      <c r="G937" t="inlineStr">
        <is>
          <t>05292020</t>
        </is>
      </c>
      <c r="H937" t="n">
        <v>5000</v>
      </c>
      <c r="I937" t="inlineStr">
        <is>
          <t>202006189239952736</t>
        </is>
      </c>
      <c r="J937" t="inlineStr">
        <is>
          <t>https://docquery.fec.gov/cgi-bin/fecimg/?202006189239952736</t>
        </is>
      </c>
    </row>
    <row r="938">
      <c r="A938" t="inlineStr">
        <is>
          <t>2020</t>
        </is>
      </c>
      <c r="B938" t="inlineStr">
        <is>
          <t>C00109546</t>
        </is>
      </c>
      <c r="C938" t="inlineStr">
        <is>
          <t>Valero Energy Corp PAC</t>
        </is>
      </c>
      <c r="D938" t="inlineStr">
        <is>
          <t>GARRET GRAVES FOR CONGRESS</t>
        </is>
      </c>
      <c r="E938" t="inlineStr">
        <is>
          <t>H4LA06153</t>
        </is>
      </c>
      <c r="F938" t="inlineStr">
        <is>
          <t>REP</t>
        </is>
      </c>
      <c r="G938" t="inlineStr">
        <is>
          <t>05292020</t>
        </is>
      </c>
      <c r="H938" t="n">
        <v>5000</v>
      </c>
      <c r="I938" t="inlineStr">
        <is>
          <t>202006189239952737</t>
        </is>
      </c>
      <c r="J938" t="inlineStr">
        <is>
          <t>https://docquery.fec.gov/cgi-bin/fecimg/?202006189239952737</t>
        </is>
      </c>
    </row>
    <row r="939">
      <c r="A939" t="inlineStr">
        <is>
          <t>2020</t>
        </is>
      </c>
      <c r="B939" t="inlineStr">
        <is>
          <t>C00109546</t>
        </is>
      </c>
      <c r="C939" t="inlineStr">
        <is>
          <t>Valero Energy Corp PAC</t>
        </is>
      </c>
      <c r="D939" t="inlineStr">
        <is>
          <t>HUDSON FOR CONGRESS</t>
        </is>
      </c>
      <c r="E939" t="inlineStr">
        <is>
          <t>H2NC08185</t>
        </is>
      </c>
      <c r="F939" t="inlineStr">
        <is>
          <t>REP</t>
        </is>
      </c>
      <c r="G939" t="inlineStr">
        <is>
          <t>05292020</t>
        </is>
      </c>
      <c r="H939" t="n">
        <v>2000</v>
      </c>
      <c r="I939" t="inlineStr">
        <is>
          <t>202006189239952737</t>
        </is>
      </c>
      <c r="J939" t="inlineStr">
        <is>
          <t>https://docquery.fec.gov/cgi-bin/fecimg/?202006189239952737</t>
        </is>
      </c>
    </row>
    <row r="940">
      <c r="A940" t="inlineStr">
        <is>
          <t>2020</t>
        </is>
      </c>
      <c r="B940" t="inlineStr">
        <is>
          <t>C00109546</t>
        </is>
      </c>
      <c r="C940" t="inlineStr">
        <is>
          <t>Valero Energy Corp PAC</t>
        </is>
      </c>
      <c r="D940" t="inlineStr">
        <is>
          <t>STEVE DAINES FOR MONTANA</t>
        </is>
      </c>
      <c r="E940" t="inlineStr">
        <is>
          <t>S2MT00096</t>
        </is>
      </c>
      <c r="F940" t="inlineStr">
        <is>
          <t>REP</t>
        </is>
      </c>
      <c r="G940" t="inlineStr">
        <is>
          <t>05292020</t>
        </is>
      </c>
      <c r="H940" t="n">
        <v>2500</v>
      </c>
      <c r="I940" t="inlineStr">
        <is>
          <t>202006189239952737</t>
        </is>
      </c>
      <c r="J940" t="inlineStr">
        <is>
          <t>https://docquery.fec.gov/cgi-bin/fecimg/?202006189239952737</t>
        </is>
      </c>
    </row>
    <row r="941">
      <c r="A941" t="inlineStr">
        <is>
          <t>2020</t>
        </is>
      </c>
      <c r="B941" t="inlineStr">
        <is>
          <t>C00109546</t>
        </is>
      </c>
      <c r="C941" t="inlineStr">
        <is>
          <t>Valero Energy Corp PAC</t>
        </is>
      </c>
      <c r="D941" t="inlineStr">
        <is>
          <t>STEVE DAINES FOR MONTANA</t>
        </is>
      </c>
      <c r="E941" t="inlineStr">
        <is>
          <t>S2MT00096</t>
        </is>
      </c>
      <c r="F941" t="inlineStr">
        <is>
          <t>REP</t>
        </is>
      </c>
      <c r="G941" t="inlineStr">
        <is>
          <t>05292020</t>
        </is>
      </c>
      <c r="H941" t="n">
        <v>2500</v>
      </c>
      <c r="I941" t="inlineStr">
        <is>
          <t>202006189239952738</t>
        </is>
      </c>
      <c r="J941" t="inlineStr">
        <is>
          <t>https://docquery.fec.gov/cgi-bin/fecimg/?202006189239952738</t>
        </is>
      </c>
    </row>
    <row r="942">
      <c r="A942" t="inlineStr">
        <is>
          <t>2020</t>
        </is>
      </c>
      <c r="B942" t="inlineStr">
        <is>
          <t>C00109546</t>
        </is>
      </c>
      <c r="C942" t="inlineStr">
        <is>
          <t>Valero Energy Corp PAC</t>
        </is>
      </c>
      <c r="D942" t="inlineStr">
        <is>
          <t>TONY GONZALES FOR CONGRESS</t>
        </is>
      </c>
      <c r="E942" t="inlineStr">
        <is>
          <t>H0TX35015</t>
        </is>
      </c>
      <c r="F942" t="inlineStr">
        <is>
          <t>REP</t>
        </is>
      </c>
      <c r="G942" t="inlineStr">
        <is>
          <t>05292020</t>
        </is>
      </c>
      <c r="H942" t="n">
        <v>5000</v>
      </c>
      <c r="I942" t="inlineStr">
        <is>
          <t>202008199261411625</t>
        </is>
      </c>
      <c r="J942" t="inlineStr">
        <is>
          <t>https://docquery.fec.gov/cgi-bin/fecimg/?202008199261411625</t>
        </is>
      </c>
    </row>
    <row r="943">
      <c r="A943" t="inlineStr">
        <is>
          <t>2020</t>
        </is>
      </c>
      <c r="B943" t="inlineStr">
        <is>
          <t>C00109546</t>
        </is>
      </c>
      <c r="C943" t="inlineStr">
        <is>
          <t>Valero Energy Corp PAC</t>
        </is>
      </c>
      <c r="D943" t="inlineStr">
        <is>
          <t>FRIENDS OF JOHN BARRASSO</t>
        </is>
      </c>
      <c r="E943" t="inlineStr">
        <is>
          <t>S6WY00068</t>
        </is>
      </c>
      <c r="F943" t="inlineStr">
        <is>
          <t>REP</t>
        </is>
      </c>
      <c r="G943" t="inlineStr">
        <is>
          <t>06252019</t>
        </is>
      </c>
      <c r="H943" t="n">
        <v>2500</v>
      </c>
      <c r="I943" t="inlineStr">
        <is>
          <t>201907129150583795</t>
        </is>
      </c>
      <c r="J943" t="inlineStr">
        <is>
          <t>https://docquery.fec.gov/cgi-bin/fecimg/?201907129150583795</t>
        </is>
      </c>
    </row>
    <row r="944">
      <c r="A944" t="inlineStr">
        <is>
          <t>2020</t>
        </is>
      </c>
      <c r="B944" t="inlineStr">
        <is>
          <t>C00109546</t>
        </is>
      </c>
      <c r="C944" t="inlineStr">
        <is>
          <t>Valero Energy Corp PAC</t>
        </is>
      </c>
      <c r="D944" t="inlineStr">
        <is>
          <t>LANCE GOODEN FOR CONGRESS COMMITTEE</t>
        </is>
      </c>
      <c r="E944" t="inlineStr">
        <is>
          <t>H8TX05144</t>
        </is>
      </c>
      <c r="F944" t="inlineStr">
        <is>
          <t>REP</t>
        </is>
      </c>
      <c r="G944" t="inlineStr">
        <is>
          <t>06252019</t>
        </is>
      </c>
      <c r="H944" t="n">
        <v>2500</v>
      </c>
      <c r="I944" t="inlineStr">
        <is>
          <t>201907129150583796</t>
        </is>
      </c>
      <c r="J944" t="inlineStr">
        <is>
          <t>https://docquery.fec.gov/cgi-bin/fecimg/?201907129150583796</t>
        </is>
      </c>
    </row>
    <row r="945">
      <c r="A945" t="inlineStr">
        <is>
          <t>2020</t>
        </is>
      </c>
      <c r="B945" t="inlineStr">
        <is>
          <t>C00109546</t>
        </is>
      </c>
      <c r="C945" t="inlineStr">
        <is>
          <t>Valero Energy Corp PAC</t>
        </is>
      </c>
      <c r="D945" t="inlineStr">
        <is>
          <t>MIKE KELLY FOR CONGRESS</t>
        </is>
      </c>
      <c r="E945" t="inlineStr">
        <is>
          <t>H0PA03271</t>
        </is>
      </c>
      <c r="F945" t="inlineStr">
        <is>
          <t>REP</t>
        </is>
      </c>
      <c r="G945" t="inlineStr">
        <is>
          <t>06252019</t>
        </is>
      </c>
      <c r="H945" t="n">
        <v>-1000</v>
      </c>
      <c r="I945" t="inlineStr">
        <is>
          <t>201907129150583796</t>
        </is>
      </c>
      <c r="J945" t="inlineStr">
        <is>
          <t>https://docquery.fec.gov/cgi-bin/fecimg/?201907129150583796</t>
        </is>
      </c>
    </row>
    <row r="946">
      <c r="A946" t="inlineStr">
        <is>
          <t>2020</t>
        </is>
      </c>
      <c r="B946" t="inlineStr">
        <is>
          <t>C00109546</t>
        </is>
      </c>
      <c r="C946" t="inlineStr">
        <is>
          <t>Valero Energy Corp PAC</t>
        </is>
      </c>
      <c r="D946" t="inlineStr">
        <is>
          <t>WALORSKI FOR CONGRESS, INC.</t>
        </is>
      </c>
      <c r="E946" t="inlineStr">
        <is>
          <t>H0IN02190</t>
        </is>
      </c>
      <c r="F946" t="inlineStr">
        <is>
          <t>REP</t>
        </is>
      </c>
      <c r="G946" t="inlineStr">
        <is>
          <t>06252019</t>
        </is>
      </c>
      <c r="H946" t="n">
        <v>1000</v>
      </c>
      <c r="I946" t="inlineStr">
        <is>
          <t>201907129150583797</t>
        </is>
      </c>
      <c r="J946" t="inlineStr">
        <is>
          <t>https://docquery.fec.gov/cgi-bin/fecimg/?201907129150583797</t>
        </is>
      </c>
    </row>
    <row r="947">
      <c r="A947" t="inlineStr">
        <is>
          <t>2020</t>
        </is>
      </c>
      <c r="B947" t="inlineStr">
        <is>
          <t>C00109546</t>
        </is>
      </c>
      <c r="C947" t="inlineStr">
        <is>
          <t>Valero Energy Corp PAC</t>
        </is>
      </c>
      <c r="D947" t="inlineStr">
        <is>
          <t>CINDY HYDE-SMITH FOR US SENATE</t>
        </is>
      </c>
      <c r="E947" t="inlineStr">
        <is>
          <t>S8MS00261</t>
        </is>
      </c>
      <c r="F947" t="inlineStr">
        <is>
          <t>REP</t>
        </is>
      </c>
      <c r="G947" t="inlineStr">
        <is>
          <t>06252019</t>
        </is>
      </c>
      <c r="H947" t="n">
        <v>2500</v>
      </c>
      <c r="I947" t="inlineStr">
        <is>
          <t>201907129150583795</t>
        </is>
      </c>
      <c r="J947" t="inlineStr">
        <is>
          <t>https://docquery.fec.gov/cgi-bin/fecimg/?201907129150583795</t>
        </is>
      </c>
    </row>
    <row r="948">
      <c r="A948" t="inlineStr">
        <is>
          <t>2020</t>
        </is>
      </c>
      <c r="B948" t="inlineStr">
        <is>
          <t>C00109546</t>
        </is>
      </c>
      <c r="C948" t="inlineStr">
        <is>
          <t>Valero Energy Corp PAC</t>
        </is>
      </c>
      <c r="D948" t="inlineStr">
        <is>
          <t>BILL FLORES FOR CONGRESS</t>
        </is>
      </c>
      <c r="E948" t="inlineStr">
        <is>
          <t>H0TX17104</t>
        </is>
      </c>
      <c r="F948" t="inlineStr">
        <is>
          <t>REP</t>
        </is>
      </c>
      <c r="G948" t="inlineStr">
        <is>
          <t>06252019</t>
        </is>
      </c>
      <c r="H948" t="n">
        <v>2500</v>
      </c>
      <c r="I948" t="inlineStr">
        <is>
          <t>201907129150583794</t>
        </is>
      </c>
      <c r="J948" t="inlineStr">
        <is>
          <t>https://docquery.fec.gov/cgi-bin/fecimg/?201907129150583794</t>
        </is>
      </c>
    </row>
    <row r="949">
      <c r="A949" t="inlineStr">
        <is>
          <t>2020</t>
        </is>
      </c>
      <c r="B949" t="inlineStr">
        <is>
          <t>C00109546</t>
        </is>
      </c>
      <c r="C949" t="inlineStr">
        <is>
          <t>Valero Energy Corp PAC</t>
        </is>
      </c>
      <c r="D949" t="inlineStr">
        <is>
          <t>BILL FLORES FOR CONGRESS</t>
        </is>
      </c>
      <c r="E949" t="inlineStr">
        <is>
          <t>H0TX17104</t>
        </is>
      </c>
      <c r="F949" t="inlineStr">
        <is>
          <t>REP</t>
        </is>
      </c>
      <c r="G949" t="inlineStr">
        <is>
          <t>06252019</t>
        </is>
      </c>
      <c r="H949" t="n">
        <v>5000</v>
      </c>
      <c r="I949" t="inlineStr">
        <is>
          <t>201907129150583794</t>
        </is>
      </c>
      <c r="J949" t="inlineStr">
        <is>
          <t>https://docquery.fec.gov/cgi-bin/fecimg/?201907129150583794</t>
        </is>
      </c>
    </row>
    <row r="950">
      <c r="A950" t="inlineStr">
        <is>
          <t>2020</t>
        </is>
      </c>
      <c r="B950" t="inlineStr">
        <is>
          <t>C00109546</t>
        </is>
      </c>
      <c r="C950" t="inlineStr">
        <is>
          <t>Valero Energy Corp PAC</t>
        </is>
      </c>
      <c r="D950" t="inlineStr">
        <is>
          <t>CAROL FOR CONGRESS</t>
        </is>
      </c>
      <c r="E950" t="inlineStr">
        <is>
          <t>H8WV03097</t>
        </is>
      </c>
      <c r="F950" t="inlineStr">
        <is>
          <t>REP</t>
        </is>
      </c>
      <c r="G950" t="inlineStr">
        <is>
          <t>06252019</t>
        </is>
      </c>
      <c r="H950" t="n">
        <v>2500</v>
      </c>
      <c r="I950" t="inlineStr">
        <is>
          <t>201907129150583794</t>
        </is>
      </c>
      <c r="J950" t="inlineStr">
        <is>
          <t>https://docquery.fec.gov/cgi-bin/fecimg/?201907129150583794</t>
        </is>
      </c>
    </row>
    <row r="951">
      <c r="A951" t="inlineStr">
        <is>
          <t>2020</t>
        </is>
      </c>
      <c r="B951" t="inlineStr">
        <is>
          <t>C00109546</t>
        </is>
      </c>
      <c r="C951" t="inlineStr">
        <is>
          <t>Valero Energy Corp PAC</t>
        </is>
      </c>
      <c r="D951" t="inlineStr">
        <is>
          <t>ELIZABETH PANNILL FLETCHER FOR CONGRESS</t>
        </is>
      </c>
      <c r="E951" t="inlineStr">
        <is>
          <t>H8TX07140</t>
        </is>
      </c>
      <c r="F951" t="inlineStr">
        <is>
          <t>DEM</t>
        </is>
      </c>
      <c r="G951" t="inlineStr">
        <is>
          <t>06252019</t>
        </is>
      </c>
      <c r="H951" t="n">
        <v>2500</v>
      </c>
      <c r="I951" t="inlineStr">
        <is>
          <t>201907129150583795</t>
        </is>
      </c>
      <c r="J951" t="inlineStr">
        <is>
          <t>https://docquery.fec.gov/cgi-bin/fecimg/?201907129150583795</t>
        </is>
      </c>
    </row>
    <row r="952">
      <c r="A952" t="inlineStr">
        <is>
          <t>2020</t>
        </is>
      </c>
      <c r="B952" t="inlineStr">
        <is>
          <t>C00109546</t>
        </is>
      </c>
      <c r="C952" t="inlineStr">
        <is>
          <t>Valero Energy Corp PAC</t>
        </is>
      </c>
      <c r="D952" t="inlineStr">
        <is>
          <t>BETH VAN DUYNE FOR CONGRESS</t>
        </is>
      </c>
      <c r="E952" t="inlineStr">
        <is>
          <t>H0TX24209</t>
        </is>
      </c>
      <c r="F952" t="inlineStr">
        <is>
          <t>REP</t>
        </is>
      </c>
      <c r="G952" t="inlineStr">
        <is>
          <t>06252020</t>
        </is>
      </c>
      <c r="H952" t="n">
        <v>5000</v>
      </c>
      <c r="I952" t="inlineStr">
        <is>
          <t>202007209250420722</t>
        </is>
      </c>
      <c r="J952" t="inlineStr">
        <is>
          <t>https://docquery.fec.gov/cgi-bin/fecimg/?202007209250420722</t>
        </is>
      </c>
    </row>
    <row r="953">
      <c r="A953" t="inlineStr">
        <is>
          <t>2020</t>
        </is>
      </c>
      <c r="B953" t="inlineStr">
        <is>
          <t>C00109546</t>
        </is>
      </c>
      <c r="C953" t="inlineStr">
        <is>
          <t>Valero Energy Corp PAC</t>
        </is>
      </c>
      <c r="D953" t="inlineStr">
        <is>
          <t>CHIP ROY FOR CONGRESS</t>
        </is>
      </c>
      <c r="E953" t="inlineStr">
        <is>
          <t>H8TX21307</t>
        </is>
      </c>
      <c r="F953" t="inlineStr">
        <is>
          <t>REP</t>
        </is>
      </c>
      <c r="G953" t="inlineStr">
        <is>
          <t>06252020</t>
        </is>
      </c>
      <c r="H953" t="n">
        <v>5000</v>
      </c>
      <c r="I953" t="inlineStr">
        <is>
          <t>202007209250420722</t>
        </is>
      </c>
      <c r="J953" t="inlineStr">
        <is>
          <t>https://docquery.fec.gov/cgi-bin/fecimg/?202007209250420722</t>
        </is>
      </c>
    </row>
    <row r="954">
      <c r="A954" t="inlineStr">
        <is>
          <t>2020</t>
        </is>
      </c>
      <c r="B954" t="inlineStr">
        <is>
          <t>C00109546</t>
        </is>
      </c>
      <c r="C954" t="inlineStr">
        <is>
          <t>Valero Energy Corp PAC</t>
        </is>
      </c>
      <c r="D954" t="inlineStr">
        <is>
          <t>COLE FOR CONGRESS</t>
        </is>
      </c>
      <c r="E954" t="inlineStr">
        <is>
          <t>H2OK04055</t>
        </is>
      </c>
      <c r="F954" t="inlineStr">
        <is>
          <t>REP</t>
        </is>
      </c>
      <c r="G954" t="inlineStr">
        <is>
          <t>06252020</t>
        </is>
      </c>
      <c r="H954" t="n">
        <v>5000</v>
      </c>
      <c r="I954" t="inlineStr">
        <is>
          <t>202007209250420722</t>
        </is>
      </c>
      <c r="J954" t="inlineStr">
        <is>
          <t>https://docquery.fec.gov/cgi-bin/fecimg/?202007209250420722</t>
        </is>
      </c>
    </row>
    <row r="955">
      <c r="A955" t="inlineStr">
        <is>
          <t>2020</t>
        </is>
      </c>
      <c r="B955" t="inlineStr">
        <is>
          <t>C00109546</t>
        </is>
      </c>
      <c r="C955" t="inlineStr">
        <is>
          <t>Valero Energy Corp PAC</t>
        </is>
      </c>
      <c r="D955" t="inlineStr">
        <is>
          <t>GUTHRIE FOR CONGRESS</t>
        </is>
      </c>
      <c r="E955" t="inlineStr">
        <is>
          <t>H8KY02031</t>
        </is>
      </c>
      <c r="F955" t="inlineStr">
        <is>
          <t>REP</t>
        </is>
      </c>
      <c r="G955" t="inlineStr">
        <is>
          <t>06252020</t>
        </is>
      </c>
      <c r="H955" t="n">
        <v>2500</v>
      </c>
      <c r="I955" t="inlineStr">
        <is>
          <t>202007209250420723</t>
        </is>
      </c>
      <c r="J955" t="inlineStr">
        <is>
          <t>https://docquery.fec.gov/cgi-bin/fecimg/?202007209250420723</t>
        </is>
      </c>
    </row>
    <row r="956">
      <c r="A956" t="inlineStr">
        <is>
          <t>2020</t>
        </is>
      </c>
      <c r="B956" t="inlineStr">
        <is>
          <t>C00109546</t>
        </is>
      </c>
      <c r="C956" t="inlineStr">
        <is>
          <t>Valero Energy Corp PAC</t>
        </is>
      </c>
      <c r="D956" t="inlineStr">
        <is>
          <t>MCCAUL FOR CONGRESS, INC</t>
        </is>
      </c>
      <c r="E956" t="inlineStr">
        <is>
          <t>H4TX10093</t>
        </is>
      </c>
      <c r="F956" t="inlineStr">
        <is>
          <t>REP</t>
        </is>
      </c>
      <c r="G956" t="inlineStr">
        <is>
          <t>06252020</t>
        </is>
      </c>
      <c r="H956" t="n">
        <v>5000</v>
      </c>
      <c r="I956" t="inlineStr">
        <is>
          <t>202007209250420724</t>
        </is>
      </c>
      <c r="J956" t="inlineStr">
        <is>
          <t>https://docquery.fec.gov/cgi-bin/fecimg/?202007209250420724</t>
        </is>
      </c>
    </row>
    <row r="957">
      <c r="A957" t="inlineStr">
        <is>
          <t>2020</t>
        </is>
      </c>
      <c r="B957" t="inlineStr">
        <is>
          <t>C00109546</t>
        </is>
      </c>
      <c r="C957" t="inlineStr">
        <is>
          <t>Valero Energy Corp PAC</t>
        </is>
      </c>
      <c r="D957" t="inlineStr">
        <is>
          <t>MICHAEL BURGESS FOR CONGRESS</t>
        </is>
      </c>
      <c r="E957" t="inlineStr">
        <is>
          <t>H2TX26093</t>
        </is>
      </c>
      <c r="F957" t="inlineStr">
        <is>
          <t>REP</t>
        </is>
      </c>
      <c r="G957" t="inlineStr">
        <is>
          <t>06252020</t>
        </is>
      </c>
      <c r="H957" t="n">
        <v>5000</v>
      </c>
      <c r="I957" t="inlineStr">
        <is>
          <t>202007209250420724</t>
        </is>
      </c>
      <c r="J957" t="inlineStr">
        <is>
          <t>https://docquery.fec.gov/cgi-bin/fecimg/?202007209250420724</t>
        </is>
      </c>
    </row>
    <row r="958">
      <c r="A958" t="inlineStr">
        <is>
          <t>2020</t>
        </is>
      </c>
      <c r="B958" t="inlineStr">
        <is>
          <t>C00109546</t>
        </is>
      </c>
      <c r="C958" t="inlineStr">
        <is>
          <t>Valero Energy Corp PAC</t>
        </is>
      </c>
      <c r="D958" t="inlineStr">
        <is>
          <t>MIKE JOHNSON FOR LOUISIANA</t>
        </is>
      </c>
      <c r="E958" t="inlineStr">
        <is>
          <t>H6LA04138</t>
        </is>
      </c>
      <c r="F958" t="inlineStr">
        <is>
          <t>REP</t>
        </is>
      </c>
      <c r="G958" t="inlineStr">
        <is>
          <t>06252020</t>
        </is>
      </c>
      <c r="H958" t="n">
        <v>2500</v>
      </c>
      <c r="I958" t="inlineStr">
        <is>
          <t>202007209250420725</t>
        </is>
      </c>
      <c r="J958" t="inlineStr">
        <is>
          <t>https://docquery.fec.gov/cgi-bin/fecimg/?202007209250420725</t>
        </is>
      </c>
    </row>
    <row r="959">
      <c r="A959" t="inlineStr">
        <is>
          <t>2020</t>
        </is>
      </c>
      <c r="B959" t="inlineStr">
        <is>
          <t>C00109546</t>
        </is>
      </c>
      <c r="C959" t="inlineStr">
        <is>
          <t>Valero Energy Corp PAC</t>
        </is>
      </c>
      <c r="D959" t="inlineStr">
        <is>
          <t>TONY GONZALES FOR CONGRESS</t>
        </is>
      </c>
      <c r="E959" t="inlineStr">
        <is>
          <t>H0TX35015</t>
        </is>
      </c>
      <c r="F959" t="inlineStr">
        <is>
          <t>REP</t>
        </is>
      </c>
      <c r="G959" t="inlineStr">
        <is>
          <t>07062020</t>
        </is>
      </c>
      <c r="H959" t="n">
        <v>5000</v>
      </c>
      <c r="I959" t="inlineStr">
        <is>
          <t>202008199261411625</t>
        </is>
      </c>
      <c r="J959" t="inlineStr">
        <is>
          <t>https://docquery.fec.gov/cgi-bin/fecimg/?202008199261411625</t>
        </is>
      </c>
    </row>
    <row r="960">
      <c r="A960" t="inlineStr">
        <is>
          <t>2020</t>
        </is>
      </c>
      <c r="B960" t="inlineStr">
        <is>
          <t>C00109546</t>
        </is>
      </c>
      <c r="C960" t="inlineStr">
        <is>
          <t>Valero Energy Corp PAC</t>
        </is>
      </c>
      <c r="D960" t="inlineStr">
        <is>
          <t>JOHNSON FOR CONGRESS</t>
        </is>
      </c>
      <c r="E960" t="inlineStr">
        <is>
          <t>H0OH06189</t>
        </is>
      </c>
      <c r="F960" t="inlineStr">
        <is>
          <t>REP</t>
        </is>
      </c>
      <c r="G960" t="inlineStr">
        <is>
          <t>07292020</t>
        </is>
      </c>
      <c r="H960" t="n">
        <v>2500</v>
      </c>
      <c r="I960" t="inlineStr">
        <is>
          <t>202008199261411623</t>
        </is>
      </c>
      <c r="J960" t="inlineStr">
        <is>
          <t>https://docquery.fec.gov/cgi-bin/fecimg/?202008199261411623</t>
        </is>
      </c>
    </row>
    <row r="961">
      <c r="A961" t="inlineStr">
        <is>
          <t>2020</t>
        </is>
      </c>
      <c r="B961" t="inlineStr">
        <is>
          <t>C00109546</t>
        </is>
      </c>
      <c r="C961" t="inlineStr">
        <is>
          <t>Valero Energy Corp PAC</t>
        </is>
      </c>
      <c r="D961" t="inlineStr">
        <is>
          <t>LIZ CHENEY FOR WYOMING</t>
        </is>
      </c>
      <c r="E961" t="inlineStr">
        <is>
          <t>H6WY00159</t>
        </is>
      </c>
      <c r="F961" t="inlineStr">
        <is>
          <t>REP</t>
        </is>
      </c>
      <c r="G961" t="inlineStr">
        <is>
          <t>07292020</t>
        </is>
      </c>
      <c r="H961" t="n">
        <v>2500</v>
      </c>
      <c r="I961" t="inlineStr">
        <is>
          <t>202008199261411624</t>
        </is>
      </c>
      <c r="J961" t="inlineStr">
        <is>
          <t>https://docquery.fec.gov/cgi-bin/fecimg/?202008199261411624</t>
        </is>
      </c>
    </row>
    <row r="962">
      <c r="A962" t="inlineStr">
        <is>
          <t>2020</t>
        </is>
      </c>
      <c r="B962" t="inlineStr">
        <is>
          <t>C00109546</t>
        </is>
      </c>
      <c r="C962" t="inlineStr">
        <is>
          <t>Valero Energy Corp PAC</t>
        </is>
      </c>
      <c r="D962" t="inlineStr">
        <is>
          <t>MULLIN FOR CONGRESS</t>
        </is>
      </c>
      <c r="E962" t="inlineStr">
        <is>
          <t>H2OK02083</t>
        </is>
      </c>
      <c r="F962" t="inlineStr">
        <is>
          <t>REP</t>
        </is>
      </c>
      <c r="G962" t="inlineStr">
        <is>
          <t>07292020</t>
        </is>
      </c>
      <c r="H962" t="n">
        <v>2500</v>
      </c>
      <c r="I962" t="inlineStr">
        <is>
          <t>202008199261411624</t>
        </is>
      </c>
      <c r="J962" t="inlineStr">
        <is>
          <t>https://docquery.fec.gov/cgi-bin/fecimg/?202008199261411624</t>
        </is>
      </c>
    </row>
    <row r="963">
      <c r="A963" t="inlineStr">
        <is>
          <t>2020</t>
        </is>
      </c>
      <c r="B963" t="inlineStr">
        <is>
          <t>C00109546</t>
        </is>
      </c>
      <c r="C963" t="inlineStr">
        <is>
          <t>Valero Energy Corp PAC</t>
        </is>
      </c>
      <c r="D963" t="inlineStr">
        <is>
          <t>TOM RICE FOR CONGRESS</t>
        </is>
      </c>
      <c r="E963" t="inlineStr">
        <is>
          <t>H2SC07066</t>
        </is>
      </c>
      <c r="F963" t="inlineStr">
        <is>
          <t>REP</t>
        </is>
      </c>
      <c r="G963" t="inlineStr">
        <is>
          <t>07312019</t>
        </is>
      </c>
      <c r="H963" t="n">
        <v>2500</v>
      </c>
      <c r="I963" t="inlineStr">
        <is>
          <t>201908209162997033</t>
        </is>
      </c>
      <c r="J963" t="inlineStr">
        <is>
          <t>https://docquery.fec.gov/cgi-bin/fecimg/?201908209162997033</t>
        </is>
      </c>
    </row>
    <row r="964">
      <c r="A964" t="inlineStr">
        <is>
          <t>2020</t>
        </is>
      </c>
      <c r="B964" t="inlineStr">
        <is>
          <t>C00109546</t>
        </is>
      </c>
      <c r="C964" t="inlineStr">
        <is>
          <t>Valero Energy Corp PAC</t>
        </is>
      </c>
      <c r="D964" t="inlineStr">
        <is>
          <t>MULLIN FOR CONGRESS</t>
        </is>
      </c>
      <c r="E964" t="inlineStr">
        <is>
          <t>H2OK02083</t>
        </is>
      </c>
      <c r="F964" t="inlineStr">
        <is>
          <t>REP</t>
        </is>
      </c>
      <c r="G964" t="inlineStr">
        <is>
          <t>07312019</t>
        </is>
      </c>
      <c r="H964" t="n">
        <v>5000</v>
      </c>
      <c r="I964" t="inlineStr">
        <is>
          <t>201908209162997032</t>
        </is>
      </c>
      <c r="J964" t="inlineStr">
        <is>
          <t>https://docquery.fec.gov/cgi-bin/fecimg/?201908209162997032</t>
        </is>
      </c>
    </row>
    <row r="965">
      <c r="A965" t="inlineStr">
        <is>
          <t>2020</t>
        </is>
      </c>
      <c r="B965" t="inlineStr">
        <is>
          <t>C00109546</t>
        </is>
      </c>
      <c r="C965" t="inlineStr">
        <is>
          <t>Valero Energy Corp PAC</t>
        </is>
      </c>
      <c r="D965" t="inlineStr">
        <is>
          <t>RATCLIFFE FOR CONGRESS</t>
        </is>
      </c>
      <c r="E965" t="inlineStr">
        <is>
          <t>H4TX04153</t>
        </is>
      </c>
      <c r="F965" t="inlineStr">
        <is>
          <t>REP</t>
        </is>
      </c>
      <c r="G965" t="inlineStr">
        <is>
          <t>07312019</t>
        </is>
      </c>
      <c r="H965" t="n">
        <v>2500</v>
      </c>
      <c r="I965" t="inlineStr">
        <is>
          <t>201908209162997032</t>
        </is>
      </c>
      <c r="J965" t="inlineStr">
        <is>
          <t>https://docquery.fec.gov/cgi-bin/fecimg/?201908209162997032</t>
        </is>
      </c>
    </row>
    <row r="966">
      <c r="A966" t="inlineStr">
        <is>
          <t>2020</t>
        </is>
      </c>
      <c r="B966" t="inlineStr">
        <is>
          <t>C00109546</t>
        </is>
      </c>
      <c r="C966" t="inlineStr">
        <is>
          <t>Valero Energy Corp PAC</t>
        </is>
      </c>
      <c r="D966" t="inlineStr">
        <is>
          <t>TEXANS FOR JODEY ARRINGTON</t>
        </is>
      </c>
      <c r="E966" t="inlineStr">
        <is>
          <t>H6TX19099</t>
        </is>
      </c>
      <c r="F966" t="inlineStr">
        <is>
          <t>REP</t>
        </is>
      </c>
      <c r="G966" t="inlineStr">
        <is>
          <t>07312019</t>
        </is>
      </c>
      <c r="H966" t="n">
        <v>2500</v>
      </c>
      <c r="I966" t="inlineStr">
        <is>
          <t>201908209162997032</t>
        </is>
      </c>
      <c r="J966" t="inlineStr">
        <is>
          <t>https://docquery.fec.gov/cgi-bin/fecimg/?201908209162997032</t>
        </is>
      </c>
    </row>
    <row r="967">
      <c r="A967" t="inlineStr">
        <is>
          <t>2020</t>
        </is>
      </c>
      <c r="B967" t="inlineStr">
        <is>
          <t>C00109546</t>
        </is>
      </c>
      <c r="C967" t="inlineStr">
        <is>
          <t>Valero Energy Corp PAC</t>
        </is>
      </c>
      <c r="D967" t="inlineStr">
        <is>
          <t>VAN TAYLOR CAMPAIGN</t>
        </is>
      </c>
      <c r="E967" t="inlineStr">
        <is>
          <t>H8TX03123</t>
        </is>
      </c>
      <c r="F967" t="inlineStr">
        <is>
          <t>REP</t>
        </is>
      </c>
      <c r="G967" t="inlineStr">
        <is>
          <t>07312019</t>
        </is>
      </c>
      <c r="H967" t="n">
        <v>2500</v>
      </c>
      <c r="I967" t="inlineStr">
        <is>
          <t>201908209162997033</t>
        </is>
      </c>
      <c r="J967" t="inlineStr">
        <is>
          <t>https://docquery.fec.gov/cgi-bin/fecimg/?201908209162997033</t>
        </is>
      </c>
    </row>
    <row r="968">
      <c r="A968" t="inlineStr">
        <is>
          <t>2020</t>
        </is>
      </c>
      <c r="B968" t="inlineStr">
        <is>
          <t>C00109546</t>
        </is>
      </c>
      <c r="C968" t="inlineStr">
        <is>
          <t>Valero Energy Corp PAC</t>
        </is>
      </c>
      <c r="D968" t="inlineStr">
        <is>
          <t>VOLUNTEERS FOR SHIMKUS</t>
        </is>
      </c>
      <c r="E968" t="inlineStr">
        <is>
          <t>H2IL20042</t>
        </is>
      </c>
      <c r="F968" t="inlineStr">
        <is>
          <t>REP</t>
        </is>
      </c>
      <c r="G968" t="inlineStr">
        <is>
          <t>07312019</t>
        </is>
      </c>
      <c r="H968" t="n">
        <v>2500</v>
      </c>
      <c r="I968" t="inlineStr">
        <is>
          <t>201908209162997033</t>
        </is>
      </c>
      <c r="J968" t="inlineStr">
        <is>
          <t>https://docquery.fec.gov/cgi-bin/fecimg/?201908209162997033</t>
        </is>
      </c>
    </row>
    <row r="969">
      <c r="A969" t="inlineStr">
        <is>
          <t>2020</t>
        </is>
      </c>
      <c r="B969" t="inlineStr">
        <is>
          <t>C00109546</t>
        </is>
      </c>
      <c r="C969" t="inlineStr">
        <is>
          <t>Valero Energy Corp PAC</t>
        </is>
      </c>
      <c r="D969" t="inlineStr">
        <is>
          <t>ANDY BAR FOR CONGRESS, INC.</t>
        </is>
      </c>
      <c r="E969" t="inlineStr">
        <is>
          <t>H0KY06104</t>
        </is>
      </c>
      <c r="F969" t="inlineStr">
        <is>
          <t>REP</t>
        </is>
      </c>
      <c r="G969" t="inlineStr">
        <is>
          <t>07312019</t>
        </is>
      </c>
      <c r="H969" t="n">
        <v>2500</v>
      </c>
      <c r="I969" t="inlineStr">
        <is>
          <t>201908209162997028</t>
        </is>
      </c>
      <c r="J969" t="inlineStr">
        <is>
          <t>https://docquery.fec.gov/cgi-bin/fecimg/?201908209162997028</t>
        </is>
      </c>
    </row>
    <row r="970">
      <c r="A970" t="inlineStr">
        <is>
          <t>2020</t>
        </is>
      </c>
      <c r="B970" t="inlineStr">
        <is>
          <t>C00109546</t>
        </is>
      </c>
      <c r="C970" t="inlineStr">
        <is>
          <t>Valero Energy Corp PAC</t>
        </is>
      </c>
      <c r="D970" t="inlineStr">
        <is>
          <t>BEN SADDE FOR US SENATE, INC.</t>
        </is>
      </c>
      <c r="E970" t="inlineStr">
        <is>
          <t>S4NE00090</t>
        </is>
      </c>
      <c r="F970" t="inlineStr">
        <is>
          <t>REP</t>
        </is>
      </c>
      <c r="G970" t="inlineStr">
        <is>
          <t>07312019</t>
        </is>
      </c>
      <c r="H970" t="n">
        <v>2500</v>
      </c>
      <c r="I970" t="inlineStr">
        <is>
          <t>201908209162997028</t>
        </is>
      </c>
      <c r="J970" t="inlineStr">
        <is>
          <t>https://docquery.fec.gov/cgi-bin/fecimg/?201908209162997028</t>
        </is>
      </c>
    </row>
    <row r="971">
      <c r="A971" t="inlineStr">
        <is>
          <t>2020</t>
        </is>
      </c>
      <c r="B971" t="inlineStr">
        <is>
          <t>C00109546</t>
        </is>
      </c>
      <c r="C971" t="inlineStr">
        <is>
          <t>Valero Energy Corp PAC</t>
        </is>
      </c>
      <c r="D971" t="inlineStr">
        <is>
          <t>CONAWAY FOR CONGRESS</t>
        </is>
      </c>
      <c r="E971" t="inlineStr">
        <is>
          <t>H4TX19136</t>
        </is>
      </c>
      <c r="F971" t="inlineStr">
        <is>
          <t>REP</t>
        </is>
      </c>
      <c r="G971" t="inlineStr">
        <is>
          <t>07312019</t>
        </is>
      </c>
      <c r="H971" t="n">
        <v>2500</v>
      </c>
      <c r="I971" t="inlineStr">
        <is>
          <t>201908209162997028</t>
        </is>
      </c>
      <c r="J971" t="inlineStr">
        <is>
          <t>https://docquery.fec.gov/cgi-bin/fecimg/?201908209162997028</t>
        </is>
      </c>
    </row>
    <row r="972">
      <c r="A972" t="inlineStr">
        <is>
          <t>2020</t>
        </is>
      </c>
      <c r="B972" t="inlineStr">
        <is>
          <t>C00109546</t>
        </is>
      </c>
      <c r="C972" t="inlineStr">
        <is>
          <t>Valero Energy Corp PAC</t>
        </is>
      </c>
      <c r="D972" t="inlineStr">
        <is>
          <t>CORY GARDNER FOR SENATE</t>
        </is>
      </c>
      <c r="E972" t="inlineStr">
        <is>
          <t>S4CO00395</t>
        </is>
      </c>
      <c r="F972" t="inlineStr">
        <is>
          <t>REP</t>
        </is>
      </c>
      <c r="G972" t="inlineStr">
        <is>
          <t>07312019</t>
        </is>
      </c>
      <c r="H972" t="n">
        <v>2500</v>
      </c>
      <c r="I972" t="inlineStr">
        <is>
          <t>201908209162997029</t>
        </is>
      </c>
      <c r="J972" t="inlineStr">
        <is>
          <t>https://docquery.fec.gov/cgi-bin/fecimg/?201908209162997029</t>
        </is>
      </c>
    </row>
    <row r="973">
      <c r="A973" t="inlineStr">
        <is>
          <t>2020</t>
        </is>
      </c>
      <c r="B973" t="inlineStr">
        <is>
          <t>C00109546</t>
        </is>
      </c>
      <c r="C973" t="inlineStr">
        <is>
          <t>Valero Energy Corp PAC</t>
        </is>
      </c>
      <c r="D973" t="inlineStr">
        <is>
          <t>DAN CRENSHAW FOR CONGRESS</t>
        </is>
      </c>
      <c r="E973" t="inlineStr">
        <is>
          <t>H8TX02166</t>
        </is>
      </c>
      <c r="F973" t="inlineStr">
        <is>
          <t>REP</t>
        </is>
      </c>
      <c r="G973" t="inlineStr">
        <is>
          <t>07312019</t>
        </is>
      </c>
      <c r="H973" t="n">
        <v>5000</v>
      </c>
      <c r="I973" t="inlineStr">
        <is>
          <t>201908209162997029</t>
        </is>
      </c>
      <c r="J973" t="inlineStr">
        <is>
          <t>https://docquery.fec.gov/cgi-bin/fecimg/?201908209162997029</t>
        </is>
      </c>
    </row>
    <row r="974">
      <c r="A974" t="inlineStr">
        <is>
          <t>2020</t>
        </is>
      </c>
      <c r="B974" t="inlineStr">
        <is>
          <t>C00109546</t>
        </is>
      </c>
      <c r="C974" t="inlineStr">
        <is>
          <t>Valero Energy Corp PAC</t>
        </is>
      </c>
      <c r="D974" t="inlineStr">
        <is>
          <t>DR. BRIAN BABIN FOR CONGRESS</t>
        </is>
      </c>
      <c r="E974" t="inlineStr">
        <is>
          <t>H6TX02079</t>
        </is>
      </c>
      <c r="F974" t="inlineStr">
        <is>
          <t>REP</t>
        </is>
      </c>
      <c r="G974" t="inlineStr">
        <is>
          <t>07312019</t>
        </is>
      </c>
      <c r="H974" t="n">
        <v>2500</v>
      </c>
      <c r="I974" t="inlineStr">
        <is>
          <t>201908209162997029</t>
        </is>
      </c>
      <c r="J974" t="inlineStr">
        <is>
          <t>https://docquery.fec.gov/cgi-bin/fecimg/?201908209162997029</t>
        </is>
      </c>
    </row>
    <row r="975">
      <c r="A975" t="inlineStr">
        <is>
          <t>2020</t>
        </is>
      </c>
      <c r="B975" t="inlineStr">
        <is>
          <t>C00109546</t>
        </is>
      </c>
      <c r="C975" t="inlineStr">
        <is>
          <t>Valero Energy Corp PAC</t>
        </is>
      </c>
      <c r="D975" t="inlineStr">
        <is>
          <t>DUFFY FOR WISCONSIN</t>
        </is>
      </c>
      <c r="E975" t="inlineStr">
        <is>
          <t>H0WI07051</t>
        </is>
      </c>
      <c r="F975" t="inlineStr">
        <is>
          <t>REP</t>
        </is>
      </c>
      <c r="G975" t="inlineStr">
        <is>
          <t>07312019</t>
        </is>
      </c>
      <c r="H975" t="n">
        <v>1000</v>
      </c>
      <c r="I975" t="inlineStr">
        <is>
          <t>201908209162997030</t>
        </is>
      </c>
      <c r="J975" t="inlineStr">
        <is>
          <t>https://docquery.fec.gov/cgi-bin/fecimg/?201908209162997030</t>
        </is>
      </c>
    </row>
    <row r="976">
      <c r="A976" t="inlineStr">
        <is>
          <t>2020</t>
        </is>
      </c>
      <c r="B976" t="inlineStr">
        <is>
          <t>C00109546</t>
        </is>
      </c>
      <c r="C976" t="inlineStr">
        <is>
          <t>Valero Energy Corp PAC</t>
        </is>
      </c>
      <c r="D976" t="inlineStr">
        <is>
          <t>JIM COSTA FOR CONGRESS</t>
        </is>
      </c>
      <c r="E976" t="inlineStr">
        <is>
          <t>H4CA20082</t>
        </is>
      </c>
      <c r="F976" t="inlineStr">
        <is>
          <t>DEM</t>
        </is>
      </c>
      <c r="G976" t="inlineStr">
        <is>
          <t>07312019</t>
        </is>
      </c>
      <c r="H976" t="n">
        <v>2500</v>
      </c>
      <c r="I976" t="inlineStr">
        <is>
          <t>201908209162997030</t>
        </is>
      </c>
      <c r="J976" t="inlineStr">
        <is>
          <t>https://docquery.fec.gov/cgi-bin/fecimg/?201908209162997030</t>
        </is>
      </c>
    </row>
    <row r="977">
      <c r="A977" t="inlineStr">
        <is>
          <t>2020</t>
        </is>
      </c>
      <c r="B977" t="inlineStr">
        <is>
          <t>C00109546</t>
        </is>
      </c>
      <c r="C977" t="inlineStr">
        <is>
          <t>Valero Energy Corp PAC</t>
        </is>
      </c>
      <c r="D977" t="inlineStr">
        <is>
          <t>MAST FOR CONGRESS</t>
        </is>
      </c>
      <c r="E977" t="inlineStr">
        <is>
          <t>H6FL18097</t>
        </is>
      </c>
      <c r="F977" t="inlineStr">
        <is>
          <t>REP</t>
        </is>
      </c>
      <c r="G977" t="inlineStr">
        <is>
          <t>07312019</t>
        </is>
      </c>
      <c r="H977" t="n">
        <v>5000</v>
      </c>
      <c r="I977" t="inlineStr">
        <is>
          <t>201908209162997031</t>
        </is>
      </c>
      <c r="J977" t="inlineStr">
        <is>
          <t>https://docquery.fec.gov/cgi-bin/fecimg/?201908209162997031</t>
        </is>
      </c>
    </row>
    <row r="978">
      <c r="A978" t="inlineStr">
        <is>
          <t>2020</t>
        </is>
      </c>
      <c r="B978" t="inlineStr">
        <is>
          <t>C00109546</t>
        </is>
      </c>
      <c r="C978" t="inlineStr">
        <is>
          <t>Valero Energy Corp PAC</t>
        </is>
      </c>
      <c r="D978" t="inlineStr">
        <is>
          <t>LANCE GOODEN FOR CONGRESS COMMITTEE</t>
        </is>
      </c>
      <c r="E978" t="inlineStr">
        <is>
          <t>H8TX05144</t>
        </is>
      </c>
      <c r="F978" t="inlineStr">
        <is>
          <t>REP</t>
        </is>
      </c>
      <c r="G978" t="inlineStr">
        <is>
          <t>07312019</t>
        </is>
      </c>
      <c r="H978" t="n">
        <v>2500</v>
      </c>
      <c r="I978" t="inlineStr">
        <is>
          <t>201908209162997030</t>
        </is>
      </c>
      <c r="J978" t="inlineStr">
        <is>
          <t>https://docquery.fec.gov/cgi-bin/fecimg/?201908209162997030</t>
        </is>
      </c>
    </row>
    <row r="979">
      <c r="A979" t="inlineStr">
        <is>
          <t>2020</t>
        </is>
      </c>
      <c r="B979" t="inlineStr">
        <is>
          <t>C00109546</t>
        </is>
      </c>
      <c r="C979" t="inlineStr">
        <is>
          <t>Valero Energy Corp PAC</t>
        </is>
      </c>
      <c r="D979" t="inlineStr">
        <is>
          <t>LIZ CHENEY FOR WYOMING</t>
        </is>
      </c>
      <c r="E979" t="inlineStr">
        <is>
          <t>H6WY00159</t>
        </is>
      </c>
      <c r="F979" t="inlineStr">
        <is>
          <t>REP</t>
        </is>
      </c>
      <c r="G979" t="inlineStr">
        <is>
          <t>07312019</t>
        </is>
      </c>
      <c r="H979" t="n">
        <v>2500</v>
      </c>
      <c r="I979" t="inlineStr">
        <is>
          <t>201908209162997031</t>
        </is>
      </c>
      <c r="J979" t="inlineStr">
        <is>
          <t>https://docquery.fec.gov/cgi-bin/fecimg/?201908209162997031</t>
        </is>
      </c>
    </row>
    <row r="980">
      <c r="A980" t="inlineStr">
        <is>
          <t>2020</t>
        </is>
      </c>
      <c r="B980" t="inlineStr">
        <is>
          <t>C00109546</t>
        </is>
      </c>
      <c r="C980" t="inlineStr">
        <is>
          <t>Valero Energy Corp PAC</t>
        </is>
      </c>
      <c r="D980" t="inlineStr">
        <is>
          <t>CATHY MCMORRIS RODGERS FOR CONGRESS</t>
        </is>
      </c>
      <c r="E980" t="inlineStr">
        <is>
          <t>H4WA05077</t>
        </is>
      </c>
      <c r="F980" t="inlineStr">
        <is>
          <t>REP</t>
        </is>
      </c>
      <c r="G980" t="inlineStr">
        <is>
          <t>08122019</t>
        </is>
      </c>
      <c r="H980" t="n">
        <v>2500</v>
      </c>
      <c r="I980" t="inlineStr">
        <is>
          <t>201909119163216910</t>
        </is>
      </c>
      <c r="J980" t="inlineStr">
        <is>
          <t>https://docquery.fec.gov/cgi-bin/fecimg/?201909119163216910</t>
        </is>
      </c>
    </row>
    <row r="981">
      <c r="A981" t="inlineStr">
        <is>
          <t>2020</t>
        </is>
      </c>
      <c r="B981" t="inlineStr">
        <is>
          <t>C00109546</t>
        </is>
      </c>
      <c r="C981" t="inlineStr">
        <is>
          <t>Valero Energy Corp PAC</t>
        </is>
      </c>
      <c r="D981" t="inlineStr">
        <is>
          <t>COTTON FOR SENATE, INC.</t>
        </is>
      </c>
      <c r="E981" t="inlineStr">
        <is>
          <t>S4AR00103</t>
        </is>
      </c>
      <c r="F981" t="inlineStr">
        <is>
          <t>REP</t>
        </is>
      </c>
      <c r="G981" t="inlineStr">
        <is>
          <t>08122019</t>
        </is>
      </c>
      <c r="H981" t="n">
        <v>2500</v>
      </c>
      <c r="I981" t="inlineStr">
        <is>
          <t>201909119163216910</t>
        </is>
      </c>
      <c r="J981" t="inlineStr">
        <is>
          <t>https://docquery.fec.gov/cgi-bin/fecimg/?201909119163216910</t>
        </is>
      </c>
    </row>
    <row r="982">
      <c r="A982" t="inlineStr">
        <is>
          <t>2020</t>
        </is>
      </c>
      <c r="B982" t="inlineStr">
        <is>
          <t>C00109546</t>
        </is>
      </c>
      <c r="C982" t="inlineStr">
        <is>
          <t>Valero Energy Corp PAC</t>
        </is>
      </c>
      <c r="D982" t="inlineStr">
        <is>
          <t>FRIENDS OF DENVER RIGGLEMAN, INC.</t>
        </is>
      </c>
      <c r="E982" t="inlineStr">
        <is>
          <t>H8VA05171</t>
        </is>
      </c>
      <c r="F982" t="inlineStr">
        <is>
          <t>REP</t>
        </is>
      </c>
      <c r="G982" t="inlineStr">
        <is>
          <t>08122019</t>
        </is>
      </c>
      <c r="H982" t="n">
        <v>2500</v>
      </c>
      <c r="I982" t="inlineStr">
        <is>
          <t>201909119163216910</t>
        </is>
      </c>
      <c r="J982" t="inlineStr">
        <is>
          <t>https://docquery.fec.gov/cgi-bin/fecimg/?201909119163216910</t>
        </is>
      </c>
    </row>
    <row r="983">
      <c r="A983" t="inlineStr">
        <is>
          <t>2020</t>
        </is>
      </c>
      <c r="B983" t="inlineStr">
        <is>
          <t>C00109546</t>
        </is>
      </c>
      <c r="C983" t="inlineStr">
        <is>
          <t>Valero Energy Corp PAC</t>
        </is>
      </c>
      <c r="D983" t="inlineStr">
        <is>
          <t>GUY FOR CONGRESS</t>
        </is>
      </c>
      <c r="E983" t="inlineStr">
        <is>
          <t>H8PA18199</t>
        </is>
      </c>
      <c r="F983" t="inlineStr">
        <is>
          <t>REP</t>
        </is>
      </c>
      <c r="G983" t="inlineStr">
        <is>
          <t>08122019</t>
        </is>
      </c>
      <c r="H983" t="n">
        <v>2500</v>
      </c>
      <c r="I983" t="inlineStr">
        <is>
          <t>201909119163216911</t>
        </is>
      </c>
      <c r="J983" t="inlineStr">
        <is>
          <t>https://docquery.fec.gov/cgi-bin/fecimg/?201909119163216911</t>
        </is>
      </c>
    </row>
    <row r="984">
      <c r="A984" t="inlineStr">
        <is>
          <t>2020</t>
        </is>
      </c>
      <c r="B984" t="inlineStr">
        <is>
          <t>C00109546</t>
        </is>
      </c>
      <c r="C984" t="inlineStr">
        <is>
          <t>Valero Energy Corp PAC</t>
        </is>
      </c>
      <c r="D984" t="inlineStr">
        <is>
          <t>JASON SMITH FOR CONGRESS</t>
        </is>
      </c>
      <c r="E984" t="inlineStr">
        <is>
          <t>H4MO08162</t>
        </is>
      </c>
      <c r="F984" t="inlineStr">
        <is>
          <t>REP</t>
        </is>
      </c>
      <c r="G984" t="inlineStr">
        <is>
          <t>08122019</t>
        </is>
      </c>
      <c r="H984" t="n">
        <v>2500</v>
      </c>
      <c r="I984" t="inlineStr">
        <is>
          <t>201909119163216911</t>
        </is>
      </c>
      <c r="J984" t="inlineStr">
        <is>
          <t>https://docquery.fec.gov/cgi-bin/fecimg/?201909119163216911</t>
        </is>
      </c>
    </row>
    <row r="985">
      <c r="A985" t="inlineStr">
        <is>
          <t>2020</t>
        </is>
      </c>
      <c r="B985" t="inlineStr">
        <is>
          <t>C00109546</t>
        </is>
      </c>
      <c r="C985" t="inlineStr">
        <is>
          <t>Valero Energy Corp PAC</t>
        </is>
      </c>
      <c r="D985" t="inlineStr">
        <is>
          <t>THOM TILLIS COMMITTEE</t>
        </is>
      </c>
      <c r="E985" t="inlineStr">
        <is>
          <t>S4NC00162</t>
        </is>
      </c>
      <c r="F985" t="inlineStr">
        <is>
          <t>REP</t>
        </is>
      </c>
      <c r="G985" t="inlineStr">
        <is>
          <t>08122019</t>
        </is>
      </c>
      <c r="H985" t="n">
        <v>2500</v>
      </c>
      <c r="I985" t="inlineStr">
        <is>
          <t>201909119163216912</t>
        </is>
      </c>
      <c r="J985" t="inlineStr">
        <is>
          <t>https://docquery.fec.gov/cgi-bin/fecimg/?201909119163216912</t>
        </is>
      </c>
    </row>
    <row r="986">
      <c r="A986" t="inlineStr">
        <is>
          <t>2020</t>
        </is>
      </c>
      <c r="B986" t="inlineStr">
        <is>
          <t>C00109546</t>
        </is>
      </c>
      <c r="C986" t="inlineStr">
        <is>
          <t>Valero Energy Corp PAC</t>
        </is>
      </c>
      <c r="D986" t="inlineStr">
        <is>
          <t>CONAWAY FOR CONGRESS</t>
        </is>
      </c>
      <c r="E986" t="inlineStr">
        <is>
          <t>H4TX19136</t>
        </is>
      </c>
      <c r="F986" t="inlineStr">
        <is>
          <t>REP</t>
        </is>
      </c>
      <c r="G986" t="inlineStr">
        <is>
          <t>08212019</t>
        </is>
      </c>
      <c r="H986" t="n">
        <v>-2500</v>
      </c>
      <c r="I986" t="inlineStr">
        <is>
          <t>201909119163216912</t>
        </is>
      </c>
      <c r="J986" t="inlineStr">
        <is>
          <t>https://docquery.fec.gov/cgi-bin/fecimg/?201909119163216912</t>
        </is>
      </c>
    </row>
    <row r="987">
      <c r="A987" t="inlineStr">
        <is>
          <t>2020</t>
        </is>
      </c>
      <c r="B987" t="inlineStr">
        <is>
          <t>C00109546</t>
        </is>
      </c>
      <c r="C987" t="inlineStr">
        <is>
          <t>Valero Energy Corp PAC</t>
        </is>
      </c>
      <c r="D987" t="inlineStr">
        <is>
          <t>BRADY FOR CONGRESS</t>
        </is>
      </c>
      <c r="E987" t="inlineStr">
        <is>
          <t>H6TX08100</t>
        </is>
      </c>
      <c r="F987" t="inlineStr">
        <is>
          <t>REP</t>
        </is>
      </c>
      <c r="G987" t="inlineStr">
        <is>
          <t>08212019</t>
        </is>
      </c>
      <c r="H987" t="n">
        <v>-2500</v>
      </c>
      <c r="I987" t="inlineStr">
        <is>
          <t>201909119163216912</t>
        </is>
      </c>
      <c r="J987" t="inlineStr">
        <is>
          <t>https://docquery.fec.gov/cgi-bin/fecimg/?201909119163216912</t>
        </is>
      </c>
    </row>
    <row r="988">
      <c r="A988" t="inlineStr">
        <is>
          <t>2020</t>
        </is>
      </c>
      <c r="B988" t="inlineStr">
        <is>
          <t>C00109546</t>
        </is>
      </c>
      <c r="C988" t="inlineStr">
        <is>
          <t>Valero Energy Corp PAC</t>
        </is>
      </c>
      <c r="D988" t="inlineStr">
        <is>
          <t>JASON SMITH FOR CONGRESS</t>
        </is>
      </c>
      <c r="E988" t="inlineStr">
        <is>
          <t>H4MO08162</t>
        </is>
      </c>
      <c r="F988" t="inlineStr">
        <is>
          <t>REP</t>
        </is>
      </c>
      <c r="G988" t="inlineStr">
        <is>
          <t>08212019</t>
        </is>
      </c>
      <c r="H988" t="n">
        <v>-2500</v>
      </c>
      <c r="I988" t="inlineStr">
        <is>
          <t>201909119163216913</t>
        </is>
      </c>
      <c r="J988" t="inlineStr">
        <is>
          <t>https://docquery.fec.gov/cgi-bin/fecimg/?201909119163216913</t>
        </is>
      </c>
    </row>
    <row r="989">
      <c r="A989" t="inlineStr">
        <is>
          <t>2020</t>
        </is>
      </c>
      <c r="B989" t="inlineStr">
        <is>
          <t>C00109546</t>
        </is>
      </c>
      <c r="C989" t="inlineStr">
        <is>
          <t>Valero Energy Corp PAC</t>
        </is>
      </c>
      <c r="D989" t="inlineStr">
        <is>
          <t>JIM COSTA FOR CONGRESS</t>
        </is>
      </c>
      <c r="E989" t="inlineStr">
        <is>
          <t>H4CA20082</t>
        </is>
      </c>
      <c r="F989" t="inlineStr">
        <is>
          <t>DEM</t>
        </is>
      </c>
      <c r="G989" t="inlineStr">
        <is>
          <t>08212019</t>
        </is>
      </c>
      <c r="H989" t="n">
        <v>-2500</v>
      </c>
      <c r="I989" t="inlineStr">
        <is>
          <t>201909119163216913</t>
        </is>
      </c>
      <c r="J989" t="inlineStr">
        <is>
          <t>https://docquery.fec.gov/cgi-bin/fecimg/?201909119163216913</t>
        </is>
      </c>
    </row>
    <row r="990">
      <c r="A990" t="inlineStr">
        <is>
          <t>2020</t>
        </is>
      </c>
      <c r="B990" t="inlineStr">
        <is>
          <t>C00109546</t>
        </is>
      </c>
      <c r="C990" t="inlineStr">
        <is>
          <t>Valero Energy Corp PAC</t>
        </is>
      </c>
      <c r="D990" t="inlineStr">
        <is>
          <t>LUMMIS FOR WYOMING INC.</t>
        </is>
      </c>
      <c r="E990" t="inlineStr">
        <is>
          <t>S0WY00137</t>
        </is>
      </c>
      <c r="F990" t="inlineStr">
        <is>
          <t>REP</t>
        </is>
      </c>
      <c r="G990" t="inlineStr">
        <is>
          <t>09012020</t>
        </is>
      </c>
      <c r="H990" t="n">
        <v>2500</v>
      </c>
      <c r="I990" t="inlineStr">
        <is>
          <t>202010209297801557</t>
        </is>
      </c>
      <c r="J990" t="inlineStr">
        <is>
          <t>https://docquery.fec.gov/cgi-bin/fecimg/?202010209297801557</t>
        </is>
      </c>
    </row>
    <row r="991">
      <c r="A991" t="inlineStr">
        <is>
          <t>2020</t>
        </is>
      </c>
      <c r="B991" t="inlineStr">
        <is>
          <t>C00109546</t>
        </is>
      </c>
      <c r="C991" t="inlineStr">
        <is>
          <t>Valero Energy Corp PAC</t>
        </is>
      </c>
      <c r="D991" t="inlineStr">
        <is>
          <t>TEXANS FOR RONNY JACKSON</t>
        </is>
      </c>
      <c r="E991" t="inlineStr">
        <is>
          <t>H0TX13228</t>
        </is>
      </c>
      <c r="F991" t="inlineStr">
        <is>
          <t>REP</t>
        </is>
      </c>
      <c r="G991" t="inlineStr">
        <is>
          <t>09012020</t>
        </is>
      </c>
      <c r="H991" t="n">
        <v>5000</v>
      </c>
      <c r="I991" t="inlineStr">
        <is>
          <t>202010209297801562</t>
        </is>
      </c>
      <c r="J991" t="inlineStr">
        <is>
          <t>https://docquery.fec.gov/cgi-bin/fecimg/?202010209297801562</t>
        </is>
      </c>
    </row>
    <row r="992">
      <c r="A992" t="inlineStr">
        <is>
          <t>2020</t>
        </is>
      </c>
      <c r="B992" t="inlineStr">
        <is>
          <t>C00109546</t>
        </is>
      </c>
      <c r="C992" t="inlineStr">
        <is>
          <t>Valero Energy Corp PAC</t>
        </is>
      </c>
      <c r="D992" t="inlineStr">
        <is>
          <t>WESTERMAN FOR CONGRESS</t>
        </is>
      </c>
      <c r="E992" t="inlineStr">
        <is>
          <t>H4AR04048</t>
        </is>
      </c>
      <c r="F992" t="inlineStr">
        <is>
          <t>REP</t>
        </is>
      </c>
      <c r="G992" t="inlineStr">
        <is>
          <t>09012020</t>
        </is>
      </c>
      <c r="H992" t="n">
        <v>2500</v>
      </c>
      <c r="I992" t="inlineStr">
        <is>
          <t>202010209297801565</t>
        </is>
      </c>
      <c r="J992" t="inlineStr">
        <is>
          <t>https://docquery.fec.gov/cgi-bin/fecimg/?202010209297801565</t>
        </is>
      </c>
    </row>
    <row r="993">
      <c r="A993" t="inlineStr">
        <is>
          <t>2020</t>
        </is>
      </c>
      <c r="B993" t="inlineStr">
        <is>
          <t>C00109546</t>
        </is>
      </c>
      <c r="C993" t="inlineStr">
        <is>
          <t>Valero Energy Corp PAC</t>
        </is>
      </c>
      <c r="D993" t="inlineStr">
        <is>
          <t>CORY GARDNER FOR SENATE</t>
        </is>
      </c>
      <c r="E993" t="inlineStr">
        <is>
          <t>S4CO00395</t>
        </is>
      </c>
      <c r="F993" t="inlineStr">
        <is>
          <t>REP</t>
        </is>
      </c>
      <c r="G993" t="inlineStr">
        <is>
          <t>09232019</t>
        </is>
      </c>
      <c r="H993" t="n">
        <v>2500</v>
      </c>
      <c r="I993" t="inlineStr">
        <is>
          <t>201910189165054718</t>
        </is>
      </c>
      <c r="J993" t="inlineStr">
        <is>
          <t>https://docquery.fec.gov/cgi-bin/fecimg/?201910189165054718</t>
        </is>
      </c>
    </row>
    <row r="994">
      <c r="A994" t="inlineStr">
        <is>
          <t>2020</t>
        </is>
      </c>
      <c r="B994" t="inlineStr">
        <is>
          <t>C00109546</t>
        </is>
      </c>
      <c r="C994" t="inlineStr">
        <is>
          <t>Valero Energy Corp PAC</t>
        </is>
      </c>
      <c r="D994" t="inlineStr">
        <is>
          <t>STEVE DAINES FOR MONTANA</t>
        </is>
      </c>
      <c r="E994" t="inlineStr">
        <is>
          <t>S2MT00096</t>
        </is>
      </c>
      <c r="F994" t="inlineStr">
        <is>
          <t>REP</t>
        </is>
      </c>
      <c r="G994" t="inlineStr">
        <is>
          <t>09232019</t>
        </is>
      </c>
      <c r="H994" t="n">
        <v>2500</v>
      </c>
      <c r="I994" t="inlineStr">
        <is>
          <t>201910189165054718</t>
        </is>
      </c>
      <c r="J994" t="inlineStr">
        <is>
          <t>https://docquery.fec.gov/cgi-bin/fecimg/?201910189165054718</t>
        </is>
      </c>
    </row>
    <row r="995">
      <c r="A995" t="inlineStr">
        <is>
          <t>2020</t>
        </is>
      </c>
      <c r="B995" t="inlineStr">
        <is>
          <t>C00109546</t>
        </is>
      </c>
      <c r="C995" t="inlineStr">
        <is>
          <t>Valero Energy Corp PAC</t>
        </is>
      </c>
      <c r="D995" t="inlineStr">
        <is>
          <t>THOM TILLIS COMMITTEE</t>
        </is>
      </c>
      <c r="E995" t="inlineStr">
        <is>
          <t>S4NC00162</t>
        </is>
      </c>
      <c r="F995" t="inlineStr">
        <is>
          <t>REP</t>
        </is>
      </c>
      <c r="G995" t="inlineStr">
        <is>
          <t>09232019</t>
        </is>
      </c>
      <c r="H995" t="n">
        <v>2500</v>
      </c>
      <c r="I995" t="inlineStr">
        <is>
          <t>201910189165054718</t>
        </is>
      </c>
      <c r="J995" t="inlineStr">
        <is>
          <t>https://docquery.fec.gov/cgi-bin/fecimg/?201910189165054718</t>
        </is>
      </c>
    </row>
    <row r="996">
      <c r="A996" t="inlineStr">
        <is>
          <t>2020</t>
        </is>
      </c>
      <c r="B996" t="inlineStr">
        <is>
          <t>C00109546</t>
        </is>
      </c>
      <c r="C996" t="inlineStr">
        <is>
          <t>Valero Energy Corp PAC</t>
        </is>
      </c>
      <c r="D996" t="inlineStr">
        <is>
          <t>VICENTE GONZALEZ FOR CONGRESS</t>
        </is>
      </c>
      <c r="E996" t="inlineStr">
        <is>
          <t>H6TX15162</t>
        </is>
      </c>
      <c r="F996" t="inlineStr">
        <is>
          <t>DEM</t>
        </is>
      </c>
      <c r="G996" t="inlineStr">
        <is>
          <t>09232019</t>
        </is>
      </c>
      <c r="H996" t="n">
        <v>5000</v>
      </c>
      <c r="I996" t="inlineStr">
        <is>
          <t>201910189165054719</t>
        </is>
      </c>
      <c r="J996" t="inlineStr">
        <is>
          <t>https://docquery.fec.gov/cgi-bin/fecimg/?201910189165054719</t>
        </is>
      </c>
    </row>
    <row r="997">
      <c r="A997" t="inlineStr">
        <is>
          <t>2020</t>
        </is>
      </c>
      <c r="B997" t="inlineStr">
        <is>
          <t>C00109546</t>
        </is>
      </c>
      <c r="C997" t="inlineStr">
        <is>
          <t>Valero Energy Corp PAC</t>
        </is>
      </c>
      <c r="D997" t="inlineStr">
        <is>
          <t>WALDEN FOR CONGRESS</t>
        </is>
      </c>
      <c r="E997" t="inlineStr">
        <is>
          <t>H6OR02116</t>
        </is>
      </c>
      <c r="F997" t="inlineStr">
        <is>
          <t>REP</t>
        </is>
      </c>
      <c r="G997" t="inlineStr">
        <is>
          <t>09232019</t>
        </is>
      </c>
      <c r="H997" t="n">
        <v>2500</v>
      </c>
      <c r="I997" t="inlineStr">
        <is>
          <t>201910189165054719</t>
        </is>
      </c>
      <c r="J997" t="inlineStr">
        <is>
          <t>https://docquery.fec.gov/cgi-bin/fecimg/?201910189165054719</t>
        </is>
      </c>
    </row>
    <row r="998">
      <c r="A998" t="inlineStr">
        <is>
          <t>2020</t>
        </is>
      </c>
      <c r="B998" t="inlineStr">
        <is>
          <t>C00109546</t>
        </is>
      </c>
      <c r="C998" t="inlineStr">
        <is>
          <t>Valero Energy Corp PAC</t>
        </is>
      </c>
      <c r="D998" t="inlineStr">
        <is>
          <t>MCHENRY FOR CONGRESS</t>
        </is>
      </c>
      <c r="E998" t="inlineStr">
        <is>
          <t>H4NC10047</t>
        </is>
      </c>
      <c r="F998" t="inlineStr">
        <is>
          <t>REP</t>
        </is>
      </c>
      <c r="G998" t="inlineStr">
        <is>
          <t>09292020</t>
        </is>
      </c>
      <c r="H998" t="n">
        <v>2500</v>
      </c>
      <c r="I998" t="inlineStr">
        <is>
          <t>202010209297801559</t>
        </is>
      </c>
      <c r="J998" t="inlineStr">
        <is>
          <t>https://docquery.fec.gov/cgi-bin/fecimg/?202010209297801559</t>
        </is>
      </c>
    </row>
    <row r="999">
      <c r="A999" t="inlineStr">
        <is>
          <t>2020</t>
        </is>
      </c>
      <c r="B999" t="inlineStr">
        <is>
          <t>C00109546</t>
        </is>
      </c>
      <c r="C999" t="inlineStr">
        <is>
          <t>Valero Energy Corp PAC</t>
        </is>
      </c>
      <c r="D999" t="inlineStr">
        <is>
          <t>MCKINLEY FOR CONGRESS</t>
        </is>
      </c>
      <c r="E999" t="inlineStr">
        <is>
          <t>H0WV01072</t>
        </is>
      </c>
      <c r="F999" t="inlineStr">
        <is>
          <t>REP</t>
        </is>
      </c>
      <c r="G999" t="inlineStr">
        <is>
          <t>09292020</t>
        </is>
      </c>
      <c r="H999" t="n">
        <v>5000</v>
      </c>
      <c r="I999" t="inlineStr">
        <is>
          <t>202010209297801559</t>
        </is>
      </c>
      <c r="J999" t="inlineStr">
        <is>
          <t>https://docquery.fec.gov/cgi-bin/fecimg/?202010209297801559</t>
        </is>
      </c>
    </row>
    <row r="1000">
      <c r="A1000" t="inlineStr">
        <is>
          <t>2020</t>
        </is>
      </c>
      <c r="B1000" t="inlineStr">
        <is>
          <t>C00109546</t>
        </is>
      </c>
      <c r="C1000" t="inlineStr">
        <is>
          <t>Valero Energy Corp PAC</t>
        </is>
      </c>
      <c r="D1000" t="inlineStr">
        <is>
          <t>MIKE THOMPSON FOR CONGRESS</t>
        </is>
      </c>
      <c r="E1000" t="inlineStr">
        <is>
          <t>H8CA01109</t>
        </is>
      </c>
      <c r="F1000" t="inlineStr">
        <is>
          <t>DEM</t>
        </is>
      </c>
      <c r="G1000" t="inlineStr">
        <is>
          <t>09292020</t>
        </is>
      </c>
      <c r="H1000" t="n">
        <v>5000</v>
      </c>
      <c r="I1000" t="inlineStr">
        <is>
          <t>202010209297801560</t>
        </is>
      </c>
      <c r="J1000" t="inlineStr">
        <is>
          <t>https://docquery.fec.gov/cgi-bin/fecimg/?202010209297801560</t>
        </is>
      </c>
    </row>
    <row r="1001">
      <c r="A1001" t="inlineStr">
        <is>
          <t>2020</t>
        </is>
      </c>
      <c r="B1001" t="inlineStr">
        <is>
          <t>C00109546</t>
        </is>
      </c>
      <c r="C1001" t="inlineStr">
        <is>
          <t>Valero Energy Corp PAC</t>
        </is>
      </c>
      <c r="D1001" t="inlineStr">
        <is>
          <t>MORGAN GRIFFITH FOR CONGRESS</t>
        </is>
      </c>
      <c r="E1001" t="inlineStr">
        <is>
          <t>H0VA09055</t>
        </is>
      </c>
      <c r="F1001" t="inlineStr">
        <is>
          <t>REP</t>
        </is>
      </c>
      <c r="G1001" t="inlineStr">
        <is>
          <t>09292020</t>
        </is>
      </c>
      <c r="H1001" t="n">
        <v>2500</v>
      </c>
      <c r="I1001" t="inlineStr">
        <is>
          <t>202010209297801560</t>
        </is>
      </c>
      <c r="J1001" t="inlineStr">
        <is>
          <t>https://docquery.fec.gov/cgi-bin/fecimg/?202010209297801560</t>
        </is>
      </c>
    </row>
    <row r="1002">
      <c r="A1002" t="inlineStr">
        <is>
          <t>2020</t>
        </is>
      </c>
      <c r="B1002" t="inlineStr">
        <is>
          <t>C00109546</t>
        </is>
      </c>
      <c r="C1002" t="inlineStr">
        <is>
          <t>Valero Energy Corp PAC</t>
        </is>
      </c>
      <c r="D1002" t="inlineStr">
        <is>
          <t>ROGER WILLIAMS FOR U S CONGRESS COMMITTEE</t>
        </is>
      </c>
      <c r="E1002" t="inlineStr">
        <is>
          <t>H2TX33040</t>
        </is>
      </c>
      <c r="F1002" t="inlineStr">
        <is>
          <t>REP</t>
        </is>
      </c>
      <c r="G1002" t="inlineStr">
        <is>
          <t>09292020</t>
        </is>
      </c>
      <c r="H1002" t="n">
        <v>5000</v>
      </c>
      <c r="I1002" t="inlineStr">
        <is>
          <t>202010209297801560</t>
        </is>
      </c>
      <c r="J1002" t="inlineStr">
        <is>
          <t>https://docquery.fec.gov/cgi-bin/fecimg/?202010209297801560</t>
        </is>
      </c>
    </row>
    <row r="1003">
      <c r="A1003" t="inlineStr">
        <is>
          <t>2020</t>
        </is>
      </c>
      <c r="B1003" t="inlineStr">
        <is>
          <t>C00109546</t>
        </is>
      </c>
      <c r="C1003" t="inlineStr">
        <is>
          <t>Valero Energy Corp PAC</t>
        </is>
      </c>
      <c r="D1003" t="inlineStr">
        <is>
          <t>RON WRIGHT FOR CONGRESS</t>
        </is>
      </c>
      <c r="E1003" t="inlineStr">
        <is>
          <t>H8TX06233</t>
        </is>
      </c>
      <c r="F1003" t="inlineStr">
        <is>
          <t>REP</t>
        </is>
      </c>
      <c r="G1003" t="inlineStr">
        <is>
          <t>09292020</t>
        </is>
      </c>
      <c r="H1003" t="n">
        <v>5000</v>
      </c>
      <c r="I1003" t="inlineStr">
        <is>
          <t>202010209297801561</t>
        </is>
      </c>
      <c r="J1003" t="inlineStr">
        <is>
          <t>https://docquery.fec.gov/cgi-bin/fecimg/?202010209297801561</t>
        </is>
      </c>
    </row>
    <row r="1004">
      <c r="A1004" t="inlineStr">
        <is>
          <t>2020</t>
        </is>
      </c>
      <c r="B1004" t="inlineStr">
        <is>
          <t>C00109546</t>
        </is>
      </c>
      <c r="C1004" t="inlineStr">
        <is>
          <t>Valero Energy Corp PAC</t>
        </is>
      </c>
      <c r="D1004" t="inlineStr">
        <is>
          <t>HERN FOR CONGRESS</t>
        </is>
      </c>
      <c r="E1004" t="inlineStr">
        <is>
          <t>H8OK01157</t>
        </is>
      </c>
      <c r="F1004" t="inlineStr">
        <is>
          <t>REP</t>
        </is>
      </c>
      <c r="G1004" t="inlineStr">
        <is>
          <t>09292020</t>
        </is>
      </c>
      <c r="H1004" t="n">
        <v>5000</v>
      </c>
      <c r="I1004" t="inlineStr">
        <is>
          <t>202010209297801554</t>
        </is>
      </c>
      <c r="J1004" t="inlineStr">
        <is>
          <t>https://docquery.fec.gov/cgi-bin/fecimg/?202010209297801554</t>
        </is>
      </c>
    </row>
    <row r="1005">
      <c r="A1005" t="inlineStr">
        <is>
          <t>2020</t>
        </is>
      </c>
      <c r="B1005" t="inlineStr">
        <is>
          <t>C00109546</t>
        </is>
      </c>
      <c r="C1005" t="inlineStr">
        <is>
          <t>Valero Energy Corp PAC</t>
        </is>
      </c>
      <c r="D1005" t="inlineStr">
        <is>
          <t>JASON SMITH FOR CONGRESS</t>
        </is>
      </c>
      <c r="E1005" t="inlineStr">
        <is>
          <t>H4MO08162</t>
        </is>
      </c>
      <c r="F1005" t="inlineStr">
        <is>
          <t>REP</t>
        </is>
      </c>
      <c r="G1005" t="inlineStr">
        <is>
          <t>09292020</t>
        </is>
      </c>
      <c r="H1005" t="n">
        <v>5000</v>
      </c>
      <c r="I1005" t="inlineStr">
        <is>
          <t>202010209297801554</t>
        </is>
      </c>
      <c r="J1005" t="inlineStr">
        <is>
          <t>https://docquery.fec.gov/cgi-bin/fecimg/?202010209297801554</t>
        </is>
      </c>
    </row>
    <row r="1006">
      <c r="A1006" t="inlineStr">
        <is>
          <t>2020</t>
        </is>
      </c>
      <c r="B1006" t="inlineStr">
        <is>
          <t>C00109546</t>
        </is>
      </c>
      <c r="C1006" t="inlineStr">
        <is>
          <t>Valero Energy Corp PAC</t>
        </is>
      </c>
      <c r="D1006" t="inlineStr">
        <is>
          <t>JEFF DUNCAN FOR CONGRESS</t>
        </is>
      </c>
      <c r="E1006" t="inlineStr">
        <is>
          <t>H0SC03077</t>
        </is>
      </c>
      <c r="F1006" t="inlineStr">
        <is>
          <t>REP</t>
        </is>
      </c>
      <c r="G1006" t="inlineStr">
        <is>
          <t>09292020</t>
        </is>
      </c>
      <c r="H1006" t="n">
        <v>2500</v>
      </c>
      <c r="I1006" t="inlineStr">
        <is>
          <t>202010209297801555</t>
        </is>
      </c>
      <c r="J1006" t="inlineStr">
        <is>
          <t>https://docquery.fec.gov/cgi-bin/fecimg/?202010209297801555</t>
        </is>
      </c>
    </row>
    <row r="1007">
      <c r="A1007" t="inlineStr">
        <is>
          <t>2020</t>
        </is>
      </c>
      <c r="B1007" t="inlineStr">
        <is>
          <t>C00109546</t>
        </is>
      </c>
      <c r="C1007" t="inlineStr">
        <is>
          <t>Valero Energy Corp PAC</t>
        </is>
      </c>
      <c r="D1007" t="inlineStr">
        <is>
          <t>JIM BANKS FOR CONGRESS, INC.</t>
        </is>
      </c>
      <c r="E1007" t="inlineStr">
        <is>
          <t>H6IN03229</t>
        </is>
      </c>
      <c r="F1007" t="inlineStr">
        <is>
          <t>REP</t>
        </is>
      </c>
      <c r="G1007" t="inlineStr">
        <is>
          <t>09292020</t>
        </is>
      </c>
      <c r="H1007" t="n">
        <v>2500</v>
      </c>
      <c r="I1007" t="inlineStr">
        <is>
          <t>202010209297801555</t>
        </is>
      </c>
      <c r="J1007" t="inlineStr">
        <is>
          <t>https://docquery.fec.gov/cgi-bin/fecimg/?202010209297801555</t>
        </is>
      </c>
    </row>
    <row r="1008">
      <c r="A1008" t="inlineStr">
        <is>
          <t>2020</t>
        </is>
      </c>
      <c r="B1008" t="inlineStr">
        <is>
          <t>C00109546</t>
        </is>
      </c>
      <c r="C1008" t="inlineStr">
        <is>
          <t>Valero Energy Corp PAC</t>
        </is>
      </c>
      <c r="D1008" t="inlineStr">
        <is>
          <t>JIM COSTA FOR CONGRESS</t>
        </is>
      </c>
      <c r="E1008" t="inlineStr">
        <is>
          <t>H4CA20082</t>
        </is>
      </c>
      <c r="F1008" t="inlineStr">
        <is>
          <t>DEM</t>
        </is>
      </c>
      <c r="G1008" t="inlineStr">
        <is>
          <t>09292020</t>
        </is>
      </c>
      <c r="H1008" t="n">
        <v>5000</v>
      </c>
      <c r="I1008" t="inlineStr">
        <is>
          <t>202010209297801555</t>
        </is>
      </c>
      <c r="J1008" t="inlineStr">
        <is>
          <t>https://docquery.fec.gov/cgi-bin/fecimg/?202010209297801555</t>
        </is>
      </c>
    </row>
    <row r="1009">
      <c r="A1009" t="inlineStr">
        <is>
          <t>2020</t>
        </is>
      </c>
      <c r="B1009" t="inlineStr">
        <is>
          <t>C00109546</t>
        </is>
      </c>
      <c r="C1009" t="inlineStr">
        <is>
          <t>Valero Energy Corp PAC</t>
        </is>
      </c>
      <c r="D1009" t="inlineStr">
        <is>
          <t>JOE WILSON FOR CONGRESS</t>
        </is>
      </c>
      <c r="E1009" t="inlineStr">
        <is>
          <t>H2SC02059</t>
        </is>
      </c>
      <c r="F1009" t="inlineStr">
        <is>
          <t>REP</t>
        </is>
      </c>
      <c r="G1009" t="inlineStr">
        <is>
          <t>09292020</t>
        </is>
      </c>
      <c r="H1009" t="n">
        <v>2500</v>
      </c>
      <c r="I1009" t="inlineStr">
        <is>
          <t>202010209297801556</t>
        </is>
      </c>
      <c r="J1009" t="inlineStr">
        <is>
          <t>https://docquery.fec.gov/cgi-bin/fecimg/?202010209297801556</t>
        </is>
      </c>
    </row>
    <row r="1010">
      <c r="A1010" t="inlineStr">
        <is>
          <t>2020</t>
        </is>
      </c>
      <c r="B1010" t="inlineStr">
        <is>
          <t>C00109546</t>
        </is>
      </c>
      <c r="C1010" t="inlineStr">
        <is>
          <t>Valero Energy Corp PAC</t>
        </is>
      </c>
      <c r="D1010" t="inlineStr">
        <is>
          <t>KURT SCHRADER FOR CONGRESS</t>
        </is>
      </c>
      <c r="E1010" t="inlineStr">
        <is>
          <t>H8OR05107</t>
        </is>
      </c>
      <c r="F1010" t="inlineStr">
        <is>
          <t>DEM</t>
        </is>
      </c>
      <c r="G1010" t="inlineStr">
        <is>
          <t>09292020</t>
        </is>
      </c>
      <c r="H1010" t="n">
        <v>5000</v>
      </c>
      <c r="I1010" t="inlineStr">
        <is>
          <t>202010209297801556</t>
        </is>
      </c>
      <c r="J1010" t="inlineStr">
        <is>
          <t>https://docquery.fec.gov/cgi-bin/fecimg/?202010209297801556</t>
        </is>
      </c>
    </row>
    <row r="1011">
      <c r="A1011" t="inlineStr">
        <is>
          <t>2020</t>
        </is>
      </c>
      <c r="B1011" t="inlineStr">
        <is>
          <t>C00109546</t>
        </is>
      </c>
      <c r="C1011" t="inlineStr">
        <is>
          <t>Valero Energy Corp PAC</t>
        </is>
      </c>
      <c r="D1011" t="inlineStr">
        <is>
          <t>KUSTOFF FOR CONGRESS</t>
        </is>
      </c>
      <c r="E1011" t="inlineStr">
        <is>
          <t>H2TN07103</t>
        </is>
      </c>
      <c r="F1011" t="inlineStr">
        <is>
          <t>REP</t>
        </is>
      </c>
      <c r="G1011" t="inlineStr">
        <is>
          <t>09292020</t>
        </is>
      </c>
      <c r="H1011" t="n">
        <v>2500</v>
      </c>
      <c r="I1011" t="inlineStr">
        <is>
          <t>202010209297801556</t>
        </is>
      </c>
      <c r="J1011" t="inlineStr">
        <is>
          <t>https://docquery.fec.gov/cgi-bin/fecimg/?202010209297801556</t>
        </is>
      </c>
    </row>
    <row r="1012">
      <c r="A1012" t="inlineStr">
        <is>
          <t>2020</t>
        </is>
      </c>
      <c r="B1012" t="inlineStr">
        <is>
          <t>C00109546</t>
        </is>
      </c>
      <c r="C1012" t="inlineStr">
        <is>
          <t>Valero Energy Corp PAC</t>
        </is>
      </c>
      <c r="D1012" t="inlineStr">
        <is>
          <t>LANCE GOODEN FOR CONGRESS COMMITTEE</t>
        </is>
      </c>
      <c r="E1012" t="inlineStr">
        <is>
          <t>H8TX05144</t>
        </is>
      </c>
      <c r="F1012" t="inlineStr">
        <is>
          <t>REP</t>
        </is>
      </c>
      <c r="G1012" t="inlineStr">
        <is>
          <t>09292020</t>
        </is>
      </c>
      <c r="H1012" t="n">
        <v>2500</v>
      </c>
      <c r="I1012" t="inlineStr">
        <is>
          <t>202010209297801557</t>
        </is>
      </c>
      <c r="J1012" t="inlineStr">
        <is>
          <t>https://docquery.fec.gov/cgi-bin/fecimg/?202010209297801557</t>
        </is>
      </c>
    </row>
    <row r="1013">
      <c r="A1013" t="inlineStr">
        <is>
          <t>2020</t>
        </is>
      </c>
      <c r="B1013" t="inlineStr">
        <is>
          <t>C00109546</t>
        </is>
      </c>
      <c r="C1013" t="inlineStr">
        <is>
          <t>Valero Energy Corp PAC</t>
        </is>
      </c>
      <c r="D1013" t="inlineStr">
        <is>
          <t>SMUCKER FOR CONGRESS</t>
        </is>
      </c>
      <c r="E1013" t="inlineStr">
        <is>
          <t>H6PA16320</t>
        </is>
      </c>
      <c r="F1013" t="inlineStr">
        <is>
          <t>REP</t>
        </is>
      </c>
      <c r="G1013" t="inlineStr">
        <is>
          <t>09292020</t>
        </is>
      </c>
      <c r="H1013" t="n">
        <v>5000</v>
      </c>
      <c r="I1013" t="inlineStr">
        <is>
          <t>202010209297801561</t>
        </is>
      </c>
      <c r="J1013" t="inlineStr">
        <is>
          <t>https://docquery.fec.gov/cgi-bin/fecimg/?202010209297801561</t>
        </is>
      </c>
    </row>
    <row r="1014">
      <c r="A1014" t="inlineStr">
        <is>
          <t>2020</t>
        </is>
      </c>
      <c r="B1014" t="inlineStr">
        <is>
          <t>C00109546</t>
        </is>
      </c>
      <c r="C1014" t="inlineStr">
        <is>
          <t>Valero Energy Corp PAC</t>
        </is>
      </c>
      <c r="D1014" t="inlineStr">
        <is>
          <t>GUY FOR CONGRESS</t>
        </is>
      </c>
      <c r="E1014" t="inlineStr">
        <is>
          <t>H8PA18199</t>
        </is>
      </c>
      <c r="F1014" t="inlineStr">
        <is>
          <t>REP</t>
        </is>
      </c>
      <c r="G1014" t="inlineStr">
        <is>
          <t>09292020</t>
        </is>
      </c>
      <c r="H1014" t="n">
        <v>2500</v>
      </c>
      <c r="I1014" t="inlineStr">
        <is>
          <t>202010209297801554</t>
        </is>
      </c>
      <c r="J1014" t="inlineStr">
        <is>
          <t>https://docquery.fec.gov/cgi-bin/fecimg/?202010209297801554</t>
        </is>
      </c>
    </row>
    <row r="1015">
      <c r="A1015" t="inlineStr">
        <is>
          <t>2020</t>
        </is>
      </c>
      <c r="B1015" t="inlineStr">
        <is>
          <t>C00109546</t>
        </is>
      </c>
      <c r="C1015" t="inlineStr">
        <is>
          <t>Valero Energy Corp PAC</t>
        </is>
      </c>
      <c r="D1015" t="inlineStr">
        <is>
          <t>MANCHIN FOR WEST VIRGINIA</t>
        </is>
      </c>
      <c r="E1015" t="inlineStr">
        <is>
          <t>S0WV00090</t>
        </is>
      </c>
      <c r="F1015" t="inlineStr">
        <is>
          <t>DEM</t>
        </is>
      </c>
      <c r="G1015" t="inlineStr">
        <is>
          <t>09292020</t>
        </is>
      </c>
      <c r="H1015" t="n">
        <v>5000</v>
      </c>
      <c r="I1015" t="inlineStr">
        <is>
          <t>202010209297801558</t>
        </is>
      </c>
      <c r="J1015" t="inlineStr">
        <is>
          <t>https://docquery.fec.gov/cgi-bin/fecimg/?202010209297801558</t>
        </is>
      </c>
    </row>
    <row r="1016">
      <c r="A1016" t="inlineStr">
        <is>
          <t>2020</t>
        </is>
      </c>
      <c r="B1016" t="inlineStr">
        <is>
          <t>C00109546</t>
        </is>
      </c>
      <c r="C1016" t="inlineStr">
        <is>
          <t>Valero Energy Corp PAC</t>
        </is>
      </c>
      <c r="D1016" t="inlineStr">
        <is>
          <t>MCCLINTOCK FOR CONGRESS</t>
        </is>
      </c>
      <c r="E1016" t="inlineStr">
        <is>
          <t>H8CA04152</t>
        </is>
      </c>
      <c r="F1016" t="inlineStr">
        <is>
          <t>REP</t>
        </is>
      </c>
      <c r="G1016" t="inlineStr">
        <is>
          <t>09292020</t>
        </is>
      </c>
      <c r="H1016" t="n">
        <v>2500</v>
      </c>
      <c r="I1016" t="inlineStr">
        <is>
          <t>202010209297801559</t>
        </is>
      </c>
      <c r="J1016" t="inlineStr">
        <is>
          <t>https://docquery.fec.gov/cgi-bin/fecimg/?202010209297801559</t>
        </is>
      </c>
    </row>
    <row r="1017">
      <c r="A1017" t="inlineStr">
        <is>
          <t>2020</t>
        </is>
      </c>
      <c r="B1017" t="inlineStr">
        <is>
          <t>C00109546</t>
        </is>
      </c>
      <c r="C1017" t="inlineStr">
        <is>
          <t>Valero Energy Corp PAC</t>
        </is>
      </c>
      <c r="D1017" t="inlineStr">
        <is>
          <t>STIVERS FOR CONGRESS</t>
        </is>
      </c>
      <c r="E1017" t="inlineStr">
        <is>
          <t>H8OH15076</t>
        </is>
      </c>
      <c r="F1017" t="inlineStr">
        <is>
          <t>REP</t>
        </is>
      </c>
      <c r="G1017" t="inlineStr">
        <is>
          <t>09292020</t>
        </is>
      </c>
      <c r="H1017" t="n">
        <v>2500</v>
      </c>
      <c r="I1017" t="inlineStr">
        <is>
          <t>202010209297801561</t>
        </is>
      </c>
      <c r="J1017" t="inlineStr">
        <is>
          <t>https://docquery.fec.gov/cgi-bin/fecimg/?202010209297801561</t>
        </is>
      </c>
    </row>
    <row r="1018">
      <c r="A1018" t="inlineStr">
        <is>
          <t>2020</t>
        </is>
      </c>
      <c r="B1018" t="inlineStr">
        <is>
          <t>C00109546</t>
        </is>
      </c>
      <c r="C1018" t="inlineStr">
        <is>
          <t>Valero Energy Corp PAC</t>
        </is>
      </c>
      <c r="D1018" t="inlineStr">
        <is>
          <t>TED BUDD FOR CONGRESS</t>
        </is>
      </c>
      <c r="E1018" t="inlineStr">
        <is>
          <t>H6NC13129</t>
        </is>
      </c>
      <c r="F1018" t="inlineStr">
        <is>
          <t>REP</t>
        </is>
      </c>
      <c r="G1018" t="inlineStr">
        <is>
          <t>09292020</t>
        </is>
      </c>
      <c r="H1018" t="n">
        <v>2500</v>
      </c>
      <c r="I1018" t="inlineStr">
        <is>
          <t>202010209297801562</t>
        </is>
      </c>
      <c r="J1018" t="inlineStr">
        <is>
          <t>https://docquery.fec.gov/cgi-bin/fecimg/?202010209297801562</t>
        </is>
      </c>
    </row>
    <row r="1019">
      <c r="A1019" t="inlineStr">
        <is>
          <t>2020</t>
        </is>
      </c>
      <c r="B1019" t="inlineStr">
        <is>
          <t>C00109546</t>
        </is>
      </c>
      <c r="C1019" t="inlineStr">
        <is>
          <t>Valero Energy Corp PAC</t>
        </is>
      </c>
      <c r="D1019" t="inlineStr">
        <is>
          <t>TERRI SEWELL FOR CONGRESS</t>
        </is>
      </c>
      <c r="E1019" t="inlineStr">
        <is>
          <t>H0AL07086</t>
        </is>
      </c>
      <c r="F1019" t="inlineStr">
        <is>
          <t>DEM</t>
        </is>
      </c>
      <c r="G1019" t="inlineStr">
        <is>
          <t>09292020</t>
        </is>
      </c>
      <c r="H1019" t="n">
        <v>5000</v>
      </c>
      <c r="I1019" t="inlineStr">
        <is>
          <t>202010209297801562</t>
        </is>
      </c>
      <c r="J1019" t="inlineStr">
        <is>
          <t>https://docquery.fec.gov/cgi-bin/fecimg/?202010209297801562</t>
        </is>
      </c>
    </row>
    <row r="1020">
      <c r="A1020" t="inlineStr">
        <is>
          <t>2020</t>
        </is>
      </c>
      <c r="B1020" t="inlineStr">
        <is>
          <t>C00109546</t>
        </is>
      </c>
      <c r="C1020" t="inlineStr">
        <is>
          <t>Valero Energy Corp PAC</t>
        </is>
      </c>
      <c r="D1020" t="inlineStr">
        <is>
          <t>VAN TAYLOR CAMPAIGN</t>
        </is>
      </c>
      <c r="E1020" t="inlineStr">
        <is>
          <t>H8TX03123</t>
        </is>
      </c>
      <c r="F1020" t="inlineStr">
        <is>
          <t>REP</t>
        </is>
      </c>
      <c r="G1020" t="inlineStr">
        <is>
          <t>09292020</t>
        </is>
      </c>
      <c r="H1020" t="n">
        <v>5000</v>
      </c>
      <c r="I1020" t="inlineStr">
        <is>
          <t>202010209297801563</t>
        </is>
      </c>
      <c r="J1020" t="inlineStr">
        <is>
          <t>https://docquery.fec.gov/cgi-bin/fecimg/?202010209297801563</t>
        </is>
      </c>
    </row>
    <row r="1021">
      <c r="A1021" t="inlineStr">
        <is>
          <t>2020</t>
        </is>
      </c>
      <c r="B1021" t="inlineStr">
        <is>
          <t>C00109546</t>
        </is>
      </c>
      <c r="C1021" t="inlineStr">
        <is>
          <t>Valero Energy Corp PAC</t>
        </is>
      </c>
      <c r="D1021" t="inlineStr">
        <is>
          <t>VERN BUCHANAN FOR CONGRESS</t>
        </is>
      </c>
      <c r="E1021" t="inlineStr">
        <is>
          <t>H6FL13148</t>
        </is>
      </c>
      <c r="F1021" t="inlineStr">
        <is>
          <t>REP</t>
        </is>
      </c>
      <c r="G1021" t="inlineStr">
        <is>
          <t>09292020</t>
        </is>
      </c>
      <c r="H1021" t="n">
        <v>2500</v>
      </c>
      <c r="I1021" t="inlineStr">
        <is>
          <t>202010209297801564</t>
        </is>
      </c>
      <c r="J1021" t="inlineStr">
        <is>
          <t>https://docquery.fec.gov/cgi-bin/fecimg/?202010209297801564</t>
        </is>
      </c>
    </row>
    <row r="1022">
      <c r="A1022" t="inlineStr">
        <is>
          <t>2020</t>
        </is>
      </c>
      <c r="B1022" t="inlineStr">
        <is>
          <t>C00109546</t>
        </is>
      </c>
      <c r="C1022" t="inlineStr">
        <is>
          <t>Valero Energy Corp PAC</t>
        </is>
      </c>
      <c r="D1022" t="inlineStr">
        <is>
          <t>WALORSKI FOR CONGRESS INC</t>
        </is>
      </c>
      <c r="E1022" t="inlineStr">
        <is>
          <t>H0IN02190</t>
        </is>
      </c>
      <c r="F1022" t="inlineStr">
        <is>
          <t>REP</t>
        </is>
      </c>
      <c r="G1022" t="inlineStr">
        <is>
          <t>09292020</t>
        </is>
      </c>
      <c r="H1022" t="n">
        <v>1500</v>
      </c>
      <c r="I1022" t="inlineStr">
        <is>
          <t>202010209297801564</t>
        </is>
      </c>
      <c r="J1022" t="inlineStr">
        <is>
          <t>https://docquery.fec.gov/cgi-bin/fecimg/?202010209297801564</t>
        </is>
      </c>
    </row>
    <row r="1023">
      <c r="A1023" t="inlineStr">
        <is>
          <t>2020</t>
        </is>
      </c>
      <c r="B1023" t="inlineStr">
        <is>
          <t>C00109546</t>
        </is>
      </c>
      <c r="C1023" t="inlineStr">
        <is>
          <t>Valero Energy Corp PAC</t>
        </is>
      </c>
      <c r="D1023" t="inlineStr">
        <is>
          <t>WENSTRUP FOR CONGRESS</t>
        </is>
      </c>
      <c r="E1023" t="inlineStr">
        <is>
          <t>H2OH02085</t>
        </is>
      </c>
      <c r="F1023" t="inlineStr">
        <is>
          <t>REP</t>
        </is>
      </c>
      <c r="G1023" t="inlineStr">
        <is>
          <t>09292020</t>
        </is>
      </c>
      <c r="H1023" t="n">
        <v>2500</v>
      </c>
      <c r="I1023" t="inlineStr">
        <is>
          <t>202010209297801565</t>
        </is>
      </c>
      <c r="J1023" t="inlineStr">
        <is>
          <t>https://docquery.fec.gov/cgi-bin/fecimg/?202010209297801565</t>
        </is>
      </c>
    </row>
    <row r="1024">
      <c r="A1024" t="inlineStr">
        <is>
          <t>2020</t>
        </is>
      </c>
      <c r="B1024" t="inlineStr">
        <is>
          <t>C00109546</t>
        </is>
      </c>
      <c r="C1024" t="inlineStr">
        <is>
          <t>Valero Energy Corp PAC</t>
        </is>
      </c>
      <c r="D1024" t="inlineStr">
        <is>
          <t>WOMACK FOR CONGRESS COMMITTEE</t>
        </is>
      </c>
      <c r="E1024" t="inlineStr">
        <is>
          <t>H0AR03055</t>
        </is>
      </c>
      <c r="F1024" t="inlineStr">
        <is>
          <t>REP</t>
        </is>
      </c>
      <c r="G1024" t="inlineStr">
        <is>
          <t>09292020</t>
        </is>
      </c>
      <c r="H1024" t="n">
        <v>5000</v>
      </c>
      <c r="I1024" t="inlineStr">
        <is>
          <t>202010209297801565</t>
        </is>
      </c>
      <c r="J1024" t="inlineStr">
        <is>
          <t>https://docquery.fec.gov/cgi-bin/fecimg/?202010209297801565</t>
        </is>
      </c>
    </row>
    <row r="1025">
      <c r="A1025" t="inlineStr">
        <is>
          <t>2020</t>
        </is>
      </c>
      <c r="B1025" t="inlineStr">
        <is>
          <t>C00109546</t>
        </is>
      </c>
      <c r="C1025" t="inlineStr">
        <is>
          <t>Valero Energy Corp PAC</t>
        </is>
      </c>
      <c r="D1025" t="inlineStr">
        <is>
          <t>ANDY BARR FOR CONGRESS, INC.</t>
        </is>
      </c>
      <c r="E1025" t="inlineStr">
        <is>
          <t>H0KY06104</t>
        </is>
      </c>
      <c r="F1025" t="inlineStr">
        <is>
          <t>REP</t>
        </is>
      </c>
      <c r="G1025" t="inlineStr">
        <is>
          <t>09292020</t>
        </is>
      </c>
      <c r="H1025" t="n">
        <v>2500</v>
      </c>
      <c r="I1025" t="inlineStr">
        <is>
          <t>202010209297801548</t>
        </is>
      </c>
      <c r="J1025" t="inlineStr">
        <is>
          <t>https://docquery.fec.gov/cgi-bin/fecimg/?202010209297801548</t>
        </is>
      </c>
    </row>
    <row r="1026">
      <c r="A1026" t="inlineStr">
        <is>
          <t>2020</t>
        </is>
      </c>
      <c r="B1026" t="inlineStr">
        <is>
          <t>C00109546</t>
        </is>
      </c>
      <c r="C1026" t="inlineStr">
        <is>
          <t>Valero Energy Corp PAC</t>
        </is>
      </c>
      <c r="D1026" t="inlineStr">
        <is>
          <t>BICE FOR CONGRESS</t>
        </is>
      </c>
      <c r="E1026" t="inlineStr">
        <is>
          <t>H0OK05205</t>
        </is>
      </c>
      <c r="F1026" t="inlineStr">
        <is>
          <t>REP</t>
        </is>
      </c>
      <c r="G1026" t="inlineStr">
        <is>
          <t>09292020</t>
        </is>
      </c>
      <c r="H1026" t="n">
        <v>5000</v>
      </c>
      <c r="I1026" t="inlineStr">
        <is>
          <t>202010209297801548</t>
        </is>
      </c>
      <c r="J1026" t="inlineStr">
        <is>
          <t>https://docquery.fec.gov/cgi-bin/fecimg/?202010209297801548</t>
        </is>
      </c>
    </row>
    <row r="1027">
      <c r="A1027" t="inlineStr">
        <is>
          <t>2020</t>
        </is>
      </c>
      <c r="B1027" t="inlineStr">
        <is>
          <t>C00109546</t>
        </is>
      </c>
      <c r="C1027" t="inlineStr">
        <is>
          <t>Valero Energy Corp PAC</t>
        </is>
      </c>
      <c r="D1027" t="inlineStr">
        <is>
          <t>BUCSHON FOR CONGRESS</t>
        </is>
      </c>
      <c r="E1027" t="inlineStr">
        <is>
          <t>H0IN08114</t>
        </is>
      </c>
      <c r="F1027" t="inlineStr">
        <is>
          <t>REP</t>
        </is>
      </c>
      <c r="G1027" t="inlineStr">
        <is>
          <t>09292020</t>
        </is>
      </c>
      <c r="H1027" t="n">
        <v>2500</v>
      </c>
      <c r="I1027" t="inlineStr">
        <is>
          <t>202010209297801548</t>
        </is>
      </c>
      <c r="J1027" t="inlineStr">
        <is>
          <t>https://docquery.fec.gov/cgi-bin/fecimg/?202010209297801548</t>
        </is>
      </c>
    </row>
    <row r="1028">
      <c r="A1028" t="inlineStr">
        <is>
          <t>2020</t>
        </is>
      </c>
      <c r="B1028" t="inlineStr">
        <is>
          <t>C00109546</t>
        </is>
      </c>
      <c r="C1028" t="inlineStr">
        <is>
          <t>Valero Energy Corp PAC</t>
        </is>
      </c>
      <c r="D1028" t="inlineStr">
        <is>
          <t>CAPITO FOR WEST VIRGINIA</t>
        </is>
      </c>
      <c r="E1028" t="inlineStr">
        <is>
          <t>S4WV00159</t>
        </is>
      </c>
      <c r="F1028" t="inlineStr">
        <is>
          <t>REP</t>
        </is>
      </c>
      <c r="G1028" t="inlineStr">
        <is>
          <t>09292020</t>
        </is>
      </c>
      <c r="H1028" t="n">
        <v>5000</v>
      </c>
      <c r="I1028" t="inlineStr">
        <is>
          <t>202010209297801549</t>
        </is>
      </c>
      <c r="J1028" t="inlineStr">
        <is>
          <t>https://docquery.fec.gov/cgi-bin/fecimg/?202010209297801549</t>
        </is>
      </c>
    </row>
    <row r="1029">
      <c r="A1029" t="inlineStr">
        <is>
          <t>2020</t>
        </is>
      </c>
      <c r="B1029" t="inlineStr">
        <is>
          <t>C00109546</t>
        </is>
      </c>
      <c r="C1029" t="inlineStr">
        <is>
          <t>Valero Energy Corp PAC</t>
        </is>
      </c>
      <c r="D1029" t="inlineStr">
        <is>
          <t>CATHY MCMORRIS RODGERS FOR CONGRESS</t>
        </is>
      </c>
      <c r="E1029" t="inlineStr">
        <is>
          <t>H4WA05077</t>
        </is>
      </c>
      <c r="F1029" t="inlineStr">
        <is>
          <t>REP</t>
        </is>
      </c>
      <c r="G1029" t="inlineStr">
        <is>
          <t>09292020</t>
        </is>
      </c>
      <c r="H1029" t="n">
        <v>2500</v>
      </c>
      <c r="I1029" t="inlineStr">
        <is>
          <t>202010209297801549</t>
        </is>
      </c>
      <c r="J1029" t="inlineStr">
        <is>
          <t>https://docquery.fec.gov/cgi-bin/fecimg/?202010209297801549</t>
        </is>
      </c>
    </row>
    <row r="1030">
      <c r="A1030" t="inlineStr">
        <is>
          <t>2020</t>
        </is>
      </c>
      <c r="B1030" t="inlineStr">
        <is>
          <t>C00109546</t>
        </is>
      </c>
      <c r="C1030" t="inlineStr">
        <is>
          <t>Valero Energy Corp PAC</t>
        </is>
      </c>
      <c r="D1030" t="inlineStr">
        <is>
          <t>CLOUD FOR CONGRESS</t>
        </is>
      </c>
      <c r="E1030" t="inlineStr">
        <is>
          <t>H8TX27049</t>
        </is>
      </c>
      <c r="F1030" t="inlineStr">
        <is>
          <t>REP</t>
        </is>
      </c>
      <c r="G1030" t="inlineStr">
        <is>
          <t>09292020</t>
        </is>
      </c>
      <c r="H1030" t="n">
        <v>2500</v>
      </c>
      <c r="I1030" t="inlineStr">
        <is>
          <t>202010209297801550</t>
        </is>
      </c>
      <c r="J1030" t="inlineStr">
        <is>
          <t>https://docquery.fec.gov/cgi-bin/fecimg/?202010209297801550</t>
        </is>
      </c>
    </row>
    <row r="1031">
      <c r="A1031" t="inlineStr">
        <is>
          <t>2020</t>
        </is>
      </c>
      <c r="B1031" t="inlineStr">
        <is>
          <t>C00109546</t>
        </is>
      </c>
      <c r="C1031" t="inlineStr">
        <is>
          <t>Valero Energy Corp PAC</t>
        </is>
      </c>
      <c r="D1031" t="inlineStr">
        <is>
          <t>COLE FOR CONGRESS</t>
        </is>
      </c>
      <c r="E1031" t="inlineStr">
        <is>
          <t>H2OK04055</t>
        </is>
      </c>
      <c r="F1031" t="inlineStr">
        <is>
          <t>REP</t>
        </is>
      </c>
      <c r="G1031" t="inlineStr">
        <is>
          <t>09292020</t>
        </is>
      </c>
      <c r="H1031" t="n">
        <v>5000</v>
      </c>
      <c r="I1031" t="inlineStr">
        <is>
          <t>202010209297801550</t>
        </is>
      </c>
      <c r="J1031" t="inlineStr">
        <is>
          <t>https://docquery.fec.gov/cgi-bin/fecimg/?202010209297801550</t>
        </is>
      </c>
    </row>
    <row r="1032">
      <c r="A1032" t="inlineStr">
        <is>
          <t>2020</t>
        </is>
      </c>
      <c r="B1032" t="inlineStr">
        <is>
          <t>C00109546</t>
        </is>
      </c>
      <c r="C1032" t="inlineStr">
        <is>
          <t>Valero Energy Corp PAC</t>
        </is>
      </c>
      <c r="D1032" t="inlineStr">
        <is>
          <t>COMER FOR CONGRESS</t>
        </is>
      </c>
      <c r="E1032" t="inlineStr">
        <is>
          <t>H6KY01110</t>
        </is>
      </c>
      <c r="F1032" t="inlineStr">
        <is>
          <t>REP</t>
        </is>
      </c>
      <c r="G1032" t="inlineStr">
        <is>
          <t>09292020</t>
        </is>
      </c>
      <c r="H1032" t="n">
        <v>2500</v>
      </c>
      <c r="I1032" t="inlineStr">
        <is>
          <t>202010209297801550</t>
        </is>
      </c>
      <c r="J1032" t="inlineStr">
        <is>
          <t>https://docquery.fec.gov/cgi-bin/fecimg/?202010209297801550</t>
        </is>
      </c>
    </row>
    <row r="1033">
      <c r="A1033" t="inlineStr">
        <is>
          <t>2020</t>
        </is>
      </c>
      <c r="B1033" t="inlineStr">
        <is>
          <t>C00109546</t>
        </is>
      </c>
      <c r="C1033" t="inlineStr">
        <is>
          <t>Valero Energy Corp PAC</t>
        </is>
      </c>
      <c r="D1033" t="inlineStr">
        <is>
          <t>DAN CRENSHAW FOR CONGRESS</t>
        </is>
      </c>
      <c r="E1033" t="inlineStr">
        <is>
          <t>H8TX02166</t>
        </is>
      </c>
      <c r="F1033" t="inlineStr">
        <is>
          <t>REP</t>
        </is>
      </c>
      <c r="G1033" t="inlineStr">
        <is>
          <t>09292020</t>
        </is>
      </c>
      <c r="H1033" t="n">
        <v>2500</v>
      </c>
      <c r="I1033" t="inlineStr">
        <is>
          <t>202010209297801551</t>
        </is>
      </c>
      <c r="J1033" t="inlineStr">
        <is>
          <t>https://docquery.fec.gov/cgi-bin/fecimg/?202010209297801551</t>
        </is>
      </c>
    </row>
    <row r="1034">
      <c r="A1034" t="inlineStr">
        <is>
          <t>2020</t>
        </is>
      </c>
      <c r="B1034" t="inlineStr">
        <is>
          <t>C00109546</t>
        </is>
      </c>
      <c r="C1034" t="inlineStr">
        <is>
          <t>Valero Energy Corp PAC</t>
        </is>
      </c>
      <c r="D1034" t="inlineStr">
        <is>
          <t>DOYLE FOR CONGRESS COMMITTEE</t>
        </is>
      </c>
      <c r="E1034" t="inlineStr">
        <is>
          <t>H4PA18131</t>
        </is>
      </c>
      <c r="F1034" t="inlineStr">
        <is>
          <t>DEM</t>
        </is>
      </c>
      <c r="G1034" t="inlineStr">
        <is>
          <t>09292020</t>
        </is>
      </c>
      <c r="H1034" t="n">
        <v>2500</v>
      </c>
      <c r="I1034" t="inlineStr">
        <is>
          <t>202010209297801551</t>
        </is>
      </c>
      <c r="J1034" t="inlineStr">
        <is>
          <t>https://docquery.fec.gov/cgi-bin/fecimg/?202010209297801551</t>
        </is>
      </c>
    </row>
    <row r="1035">
      <c r="A1035" t="inlineStr">
        <is>
          <t>2020</t>
        </is>
      </c>
      <c r="B1035" t="inlineStr">
        <is>
          <t>C00109546</t>
        </is>
      </c>
      <c r="C1035" t="inlineStr">
        <is>
          <t>Valero Energy Corp PAC</t>
        </is>
      </c>
      <c r="D1035" t="inlineStr">
        <is>
          <t>DR. BRIAN BABIN FOR CONGRESS</t>
        </is>
      </c>
      <c r="E1035" t="inlineStr">
        <is>
          <t>H6TX02079</t>
        </is>
      </c>
      <c r="F1035" t="inlineStr">
        <is>
          <t>REP</t>
        </is>
      </c>
      <c r="G1035" t="inlineStr">
        <is>
          <t>09292020</t>
        </is>
      </c>
      <c r="H1035" t="n">
        <v>5000</v>
      </c>
      <c r="I1035" t="inlineStr">
        <is>
          <t>202010209297801551</t>
        </is>
      </c>
      <c r="J1035" t="inlineStr">
        <is>
          <t>https://docquery.fec.gov/cgi-bin/fecimg/?202010209297801551</t>
        </is>
      </c>
    </row>
    <row r="1036">
      <c r="A1036" t="inlineStr">
        <is>
          <t>2020</t>
        </is>
      </c>
      <c r="B1036" t="inlineStr">
        <is>
          <t>C00109546</t>
        </is>
      </c>
      <c r="C1036" t="inlineStr">
        <is>
          <t>Valero Energy Corp PAC</t>
        </is>
      </c>
      <c r="D1036" t="inlineStr">
        <is>
          <t>DREW FERGUSON FOR CONGRESS INC.</t>
        </is>
      </c>
      <c r="E1036" t="inlineStr">
        <is>
          <t>H6GA03113</t>
        </is>
      </c>
      <c r="F1036" t="inlineStr">
        <is>
          <t>REP</t>
        </is>
      </c>
      <c r="G1036" t="inlineStr">
        <is>
          <t>09292020</t>
        </is>
      </c>
      <c r="H1036" t="n">
        <v>2500</v>
      </c>
      <c r="I1036" t="inlineStr">
        <is>
          <t>202010209297801552</t>
        </is>
      </c>
      <c r="J1036" t="inlineStr">
        <is>
          <t>https://docquery.fec.gov/cgi-bin/fecimg/?202010209297801552</t>
        </is>
      </c>
    </row>
    <row r="1037">
      <c r="A1037" t="inlineStr">
        <is>
          <t>2020</t>
        </is>
      </c>
      <c r="B1037" t="inlineStr">
        <is>
          <t>C00109546</t>
        </is>
      </c>
      <c r="C1037" t="inlineStr">
        <is>
          <t>Valero Energy Corp PAC</t>
        </is>
      </c>
      <c r="D1037" t="inlineStr">
        <is>
          <t>FEENSTRA FOR CONGRESS</t>
        </is>
      </c>
      <c r="E1037" t="inlineStr">
        <is>
          <t>H0IA04145</t>
        </is>
      </c>
      <c r="F1037" t="inlineStr">
        <is>
          <t>REP</t>
        </is>
      </c>
      <c r="G1037" t="inlineStr">
        <is>
          <t>09292020</t>
        </is>
      </c>
      <c r="H1037" t="n">
        <v>5000</v>
      </c>
      <c r="I1037" t="inlineStr">
        <is>
          <t>202010209297801552</t>
        </is>
      </c>
      <c r="J1037" t="inlineStr">
        <is>
          <t>https://docquery.fec.gov/cgi-bin/fecimg/?202010209297801552</t>
        </is>
      </c>
    </row>
    <row r="1038">
      <c r="A1038" t="inlineStr">
        <is>
          <t>2020</t>
        </is>
      </c>
      <c r="B1038" t="inlineStr">
        <is>
          <t>C00109546</t>
        </is>
      </c>
      <c r="C1038" t="inlineStr">
        <is>
          <t>Valero Energy Corp PAC</t>
        </is>
      </c>
      <c r="D1038" t="inlineStr">
        <is>
          <t>FILEMON VELA FOR CONGRESS</t>
        </is>
      </c>
      <c r="E1038" t="inlineStr">
        <is>
          <t>H2TX27190</t>
        </is>
      </c>
      <c r="F1038" t="inlineStr">
        <is>
          <t>DEM</t>
        </is>
      </c>
      <c r="G1038" t="inlineStr">
        <is>
          <t>09292020</t>
        </is>
      </c>
      <c r="H1038" t="n">
        <v>5000</v>
      </c>
      <c r="I1038" t="inlineStr">
        <is>
          <t>202010209297801552</t>
        </is>
      </c>
      <c r="J1038" t="inlineStr">
        <is>
          <t>https://docquery.fec.gov/cgi-bin/fecimg/?202010209297801552</t>
        </is>
      </c>
    </row>
    <row r="1039">
      <c r="A1039" t="inlineStr">
        <is>
          <t>2020</t>
        </is>
      </c>
      <c r="B1039" t="inlineStr">
        <is>
          <t>C00109546</t>
        </is>
      </c>
      <c r="C1039" t="inlineStr">
        <is>
          <t>Valero Energy Corp PAC</t>
        </is>
      </c>
      <c r="D1039" t="inlineStr">
        <is>
          <t>FRIENDS OF BEN MCADAMS</t>
        </is>
      </c>
      <c r="E1039" t="inlineStr">
        <is>
          <t>H8UT04053</t>
        </is>
      </c>
      <c r="F1039" t="inlineStr">
        <is>
          <t>DEM</t>
        </is>
      </c>
      <c r="G1039" t="inlineStr">
        <is>
          <t>09292020</t>
        </is>
      </c>
      <c r="H1039" t="n">
        <v>2500</v>
      </c>
      <c r="I1039" t="inlineStr">
        <is>
          <t>202010209297801553</t>
        </is>
      </c>
      <c r="J1039" t="inlineStr">
        <is>
          <t>https://docquery.fec.gov/cgi-bin/fecimg/?202010209297801553</t>
        </is>
      </c>
    </row>
    <row r="1040">
      <c r="A1040" t="inlineStr">
        <is>
          <t>2020</t>
        </is>
      </c>
      <c r="B1040" t="inlineStr">
        <is>
          <t>C00109546</t>
        </is>
      </c>
      <c r="C1040" t="inlineStr">
        <is>
          <t>Valero Energy Corp PAC</t>
        </is>
      </c>
      <c r="D1040" t="inlineStr">
        <is>
          <t>GREG PENCE FOR CONGRESS</t>
        </is>
      </c>
      <c r="E1040" t="inlineStr">
        <is>
          <t>H8IN06129</t>
        </is>
      </c>
      <c r="F1040" t="inlineStr">
        <is>
          <t>REP</t>
        </is>
      </c>
      <c r="G1040" t="inlineStr">
        <is>
          <t>09292020</t>
        </is>
      </c>
      <c r="H1040" t="n">
        <v>2500</v>
      </c>
      <c r="I1040" t="inlineStr">
        <is>
          <t>202010209297801553</t>
        </is>
      </c>
      <c r="J1040" t="inlineStr">
        <is>
          <t>https://docquery.fec.gov/cgi-bin/fecimg/?202010209297801553</t>
        </is>
      </c>
    </row>
    <row r="1041">
      <c r="A1041" t="inlineStr">
        <is>
          <t>2020</t>
        </is>
      </c>
      <c r="B1041" t="inlineStr">
        <is>
          <t>C00109546</t>
        </is>
      </c>
      <c r="C1041" t="inlineStr">
        <is>
          <t>Valero Energy Corp PAC</t>
        </is>
      </c>
      <c r="D1041" t="inlineStr">
        <is>
          <t>GREG STEUBE FOR CONGRESS</t>
        </is>
      </c>
      <c r="E1041" t="inlineStr">
        <is>
          <t>H8FL17053</t>
        </is>
      </c>
      <c r="F1041" t="inlineStr">
        <is>
          <t>REP</t>
        </is>
      </c>
      <c r="G1041" t="inlineStr">
        <is>
          <t>09292020</t>
        </is>
      </c>
      <c r="H1041" t="n">
        <v>2500</v>
      </c>
      <c r="I1041" t="inlineStr">
        <is>
          <t>202010209297801553</t>
        </is>
      </c>
      <c r="J1041" t="inlineStr">
        <is>
          <t>https://docquery.fec.gov/cgi-bin/fecimg/?202010209297801553</t>
        </is>
      </c>
    </row>
    <row r="1042">
      <c r="A1042" t="inlineStr">
        <is>
          <t>2020</t>
        </is>
      </c>
      <c r="B1042" t="inlineStr">
        <is>
          <t>C00109546</t>
        </is>
      </c>
      <c r="C1042" t="inlineStr">
        <is>
          <t>Valero Energy Corp PAC</t>
        </is>
      </c>
      <c r="D1042" t="inlineStr">
        <is>
          <t>BILL FLORES FOR CONGRESS</t>
        </is>
      </c>
      <c r="E1042" t="inlineStr">
        <is>
          <t>H0TX17104</t>
        </is>
      </c>
      <c r="F1042" t="inlineStr">
        <is>
          <t>REP</t>
        </is>
      </c>
      <c r="G1042" t="inlineStr">
        <is>
          <t>10012019</t>
        </is>
      </c>
      <c r="H1042" t="n">
        <v>5000</v>
      </c>
      <c r="I1042" t="inlineStr">
        <is>
          <t>201911189165533421</t>
        </is>
      </c>
      <c r="J1042" t="inlineStr">
        <is>
          <t>https://docquery.fec.gov/cgi-bin/fecimg/?201911189165533421</t>
        </is>
      </c>
    </row>
    <row r="1043">
      <c r="A1043" t="inlineStr">
        <is>
          <t>2020</t>
        </is>
      </c>
      <c r="B1043" t="inlineStr">
        <is>
          <t>C00109546</t>
        </is>
      </c>
      <c r="C1043" t="inlineStr">
        <is>
          <t>Valero Energy Corp PAC</t>
        </is>
      </c>
      <c r="D1043" t="inlineStr">
        <is>
          <t>VOLUNTEERS FOR SHIMKUS</t>
        </is>
      </c>
      <c r="E1043" t="inlineStr">
        <is>
          <t>H2IL20042</t>
        </is>
      </c>
      <c r="F1043" t="inlineStr">
        <is>
          <t>REP</t>
        </is>
      </c>
      <c r="G1043" t="inlineStr">
        <is>
          <t>10012019</t>
        </is>
      </c>
      <c r="H1043" t="n">
        <v>2500</v>
      </c>
      <c r="I1043" t="inlineStr">
        <is>
          <t>201911189165533421</t>
        </is>
      </c>
      <c r="J1043" t="inlineStr">
        <is>
          <t>https://docquery.fec.gov/cgi-bin/fecimg/?201911189165533421</t>
        </is>
      </c>
    </row>
    <row r="1044">
      <c r="A1044" t="inlineStr">
        <is>
          <t>2020</t>
        </is>
      </c>
      <c r="B1044" t="inlineStr">
        <is>
          <t>C00109546</t>
        </is>
      </c>
      <c r="C1044" t="inlineStr">
        <is>
          <t>Valero Energy Corp PAC</t>
        </is>
      </c>
      <c r="D1044" t="inlineStr">
        <is>
          <t>AUGUST PFLUGER FOR CONGRESS</t>
        </is>
      </c>
      <c r="E1044" t="inlineStr">
        <is>
          <t>H0TX11230</t>
        </is>
      </c>
      <c r="F1044" t="inlineStr">
        <is>
          <t>REP</t>
        </is>
      </c>
      <c r="G1044" t="inlineStr">
        <is>
          <t>10132020</t>
        </is>
      </c>
      <c r="H1044" t="n">
        <v>5000</v>
      </c>
      <c r="I1044" t="inlineStr">
        <is>
          <t>202010229332825290</t>
        </is>
      </c>
      <c r="J1044" t="inlineStr">
        <is>
          <t>https://docquery.fec.gov/cgi-bin/fecimg/?202010229332825290</t>
        </is>
      </c>
    </row>
    <row r="1045">
      <c r="A1045" t="inlineStr">
        <is>
          <t>2020</t>
        </is>
      </c>
      <c r="B1045" t="inlineStr">
        <is>
          <t>C00109546</t>
        </is>
      </c>
      <c r="C1045" t="inlineStr">
        <is>
          <t>Valero Energy Corp PAC</t>
        </is>
      </c>
      <c r="D1045" t="inlineStr">
        <is>
          <t>DAN CRENSHAW FOR CONGRESS</t>
        </is>
      </c>
      <c r="E1045" t="inlineStr">
        <is>
          <t>H8TX02166</t>
        </is>
      </c>
      <c r="F1045" t="inlineStr">
        <is>
          <t>REP</t>
        </is>
      </c>
      <c r="G1045" t="inlineStr">
        <is>
          <t>10132020</t>
        </is>
      </c>
      <c r="H1045" t="n">
        <v>2500</v>
      </c>
      <c r="I1045" t="inlineStr">
        <is>
          <t>202010229332825290</t>
        </is>
      </c>
      <c r="J1045" t="inlineStr">
        <is>
          <t>https://docquery.fec.gov/cgi-bin/fecimg/?202010229332825290</t>
        </is>
      </c>
    </row>
    <row r="1046">
      <c r="A1046" t="inlineStr">
        <is>
          <t>2020</t>
        </is>
      </c>
      <c r="B1046" t="inlineStr">
        <is>
          <t>C00109546</t>
        </is>
      </c>
      <c r="C1046" t="inlineStr">
        <is>
          <t>Valero Energy Corp PAC</t>
        </is>
      </c>
      <c r="D1046" t="inlineStr">
        <is>
          <t>JIM JORDAN FOR CONGRESS</t>
        </is>
      </c>
      <c r="E1046" t="inlineStr">
        <is>
          <t>H6OH04082</t>
        </is>
      </c>
      <c r="F1046" t="inlineStr">
        <is>
          <t>REP</t>
        </is>
      </c>
      <c r="G1046" t="inlineStr">
        <is>
          <t>10132020</t>
        </is>
      </c>
      <c r="H1046" t="n">
        <v>2500</v>
      </c>
      <c r="I1046" t="inlineStr">
        <is>
          <t>202010229332825291</t>
        </is>
      </c>
      <c r="J1046" t="inlineStr">
        <is>
          <t>https://docquery.fec.gov/cgi-bin/fecimg/?202010229332825291</t>
        </is>
      </c>
    </row>
    <row r="1047">
      <c r="A1047" t="inlineStr">
        <is>
          <t>2020</t>
        </is>
      </c>
      <c r="B1047" t="inlineStr">
        <is>
          <t>C00109546</t>
        </is>
      </c>
      <c r="C1047" t="inlineStr">
        <is>
          <t>Valero Energy Corp PAC</t>
        </is>
      </c>
      <c r="D1047" t="inlineStr">
        <is>
          <t>STEIL FOR WISCONSIN, INC.</t>
        </is>
      </c>
      <c r="E1047" t="inlineStr">
        <is>
          <t>H8WI01156</t>
        </is>
      </c>
      <c r="F1047" t="inlineStr">
        <is>
          <t>REP</t>
        </is>
      </c>
      <c r="G1047" t="inlineStr">
        <is>
          <t>10132020</t>
        </is>
      </c>
      <c r="H1047" t="n">
        <v>2500</v>
      </c>
      <c r="I1047" t="inlineStr">
        <is>
          <t>202010229332825294</t>
        </is>
      </c>
      <c r="J1047" t="inlineStr">
        <is>
          <t>https://docquery.fec.gov/cgi-bin/fecimg/?202010229332825294</t>
        </is>
      </c>
    </row>
    <row r="1048">
      <c r="A1048" t="inlineStr">
        <is>
          <t>2020</t>
        </is>
      </c>
      <c r="B1048" t="inlineStr">
        <is>
          <t>C00109546</t>
        </is>
      </c>
      <c r="C1048" t="inlineStr">
        <is>
          <t>Valero Energy Corp PAC</t>
        </is>
      </c>
      <c r="D1048" t="inlineStr">
        <is>
          <t>SYLVIA GARCIA FOR CONGRESS</t>
        </is>
      </c>
      <c r="E1048" t="inlineStr">
        <is>
          <t>H8TX29052</t>
        </is>
      </c>
      <c r="F1048" t="inlineStr">
        <is>
          <t>DEM</t>
        </is>
      </c>
      <c r="G1048" t="inlineStr">
        <is>
          <t>10132020</t>
        </is>
      </c>
      <c r="H1048" t="n">
        <v>5000</v>
      </c>
      <c r="I1048" t="inlineStr">
        <is>
          <t>202010229332825294</t>
        </is>
      </c>
      <c r="J1048" t="inlineStr">
        <is>
          <t>https://docquery.fec.gov/cgi-bin/fecimg/?202010229332825294</t>
        </is>
      </c>
    </row>
    <row r="1049">
      <c r="A1049" t="inlineStr">
        <is>
          <t>2020</t>
        </is>
      </c>
      <c r="B1049" t="inlineStr">
        <is>
          <t>C00109546</t>
        </is>
      </c>
      <c r="C1049" t="inlineStr">
        <is>
          <t>Valero Energy Corp PAC</t>
        </is>
      </c>
      <c r="D1049" t="inlineStr">
        <is>
          <t>THOM TILLIS COMMITTEE</t>
        </is>
      </c>
      <c r="E1049" t="inlineStr">
        <is>
          <t>S4NC00162</t>
        </is>
      </c>
      <c r="F1049" t="inlineStr">
        <is>
          <t>REP</t>
        </is>
      </c>
      <c r="G1049" t="inlineStr">
        <is>
          <t>10132020</t>
        </is>
      </c>
      <c r="H1049" t="n">
        <v>2500</v>
      </c>
      <c r="I1049" t="inlineStr">
        <is>
          <t>202010229332825295</t>
        </is>
      </c>
      <c r="J1049" t="inlineStr">
        <is>
          <t>https://docquery.fec.gov/cgi-bin/fecimg/?202010229332825295</t>
        </is>
      </c>
    </row>
    <row r="1050">
      <c r="A1050" t="inlineStr">
        <is>
          <t>2020</t>
        </is>
      </c>
      <c r="B1050" t="inlineStr">
        <is>
          <t>C00109546</t>
        </is>
      </c>
      <c r="C1050" t="inlineStr">
        <is>
          <t>Valero Energy Corp PAC</t>
        </is>
      </c>
      <c r="D1050" t="inlineStr">
        <is>
          <t>TONY GONZALES FOR CONGRESS</t>
        </is>
      </c>
      <c r="E1050" t="inlineStr">
        <is>
          <t>H0TX35015</t>
        </is>
      </c>
      <c r="F1050" t="inlineStr">
        <is>
          <t>REP</t>
        </is>
      </c>
      <c r="G1050" t="inlineStr">
        <is>
          <t>10132020</t>
        </is>
      </c>
      <c r="H1050" t="n">
        <v>5000</v>
      </c>
      <c r="I1050" t="inlineStr">
        <is>
          <t>202010229332825295</t>
        </is>
      </c>
      <c r="J1050" t="inlineStr">
        <is>
          <t>https://docquery.fec.gov/cgi-bin/fecimg/?202010229332825295</t>
        </is>
      </c>
    </row>
    <row r="1051">
      <c r="A1051" t="inlineStr">
        <is>
          <t>2020</t>
        </is>
      </c>
      <c r="B1051" t="inlineStr">
        <is>
          <t>C00109546</t>
        </is>
      </c>
      <c r="C1051" t="inlineStr">
        <is>
          <t>Valero Energy Corp PAC</t>
        </is>
      </c>
      <c r="D1051" t="inlineStr">
        <is>
          <t>BRADY FOR CONGRESS</t>
        </is>
      </c>
      <c r="E1051" t="inlineStr">
        <is>
          <t>H6TX08100</t>
        </is>
      </c>
      <c r="F1051" t="inlineStr">
        <is>
          <t>REP</t>
        </is>
      </c>
      <c r="G1051" t="inlineStr">
        <is>
          <t>10162019</t>
        </is>
      </c>
      <c r="H1051" t="n">
        <v>5000</v>
      </c>
      <c r="I1051" t="inlineStr">
        <is>
          <t>201911189165533422</t>
        </is>
      </c>
      <c r="J1051" t="inlineStr">
        <is>
          <t>https://docquery.fec.gov/cgi-bin/fecimg/?201911189165533422</t>
        </is>
      </c>
    </row>
    <row r="1052">
      <c r="A1052" t="inlineStr">
        <is>
          <t>2020</t>
        </is>
      </c>
      <c r="B1052" t="inlineStr">
        <is>
          <t>C00109546</t>
        </is>
      </c>
      <c r="C1052" t="inlineStr">
        <is>
          <t>Valero Energy Corp PAC</t>
        </is>
      </c>
      <c r="D1052" t="inlineStr">
        <is>
          <t>BRADY FOR CONGRESS</t>
        </is>
      </c>
      <c r="E1052" t="inlineStr">
        <is>
          <t>H6TX08100</t>
        </is>
      </c>
      <c r="F1052" t="inlineStr">
        <is>
          <t>REP</t>
        </is>
      </c>
      <c r="G1052" t="inlineStr">
        <is>
          <t>10162019</t>
        </is>
      </c>
      <c r="H1052" t="n">
        <v>5000</v>
      </c>
      <c r="I1052" t="inlineStr">
        <is>
          <t>201911189165533422</t>
        </is>
      </c>
      <c r="J1052" t="inlineStr">
        <is>
          <t>https://docquery.fec.gov/cgi-bin/fecimg/?201911189165533422</t>
        </is>
      </c>
    </row>
    <row r="1053">
      <c r="A1053" t="inlineStr">
        <is>
          <t>2020</t>
        </is>
      </c>
      <c r="B1053" t="inlineStr">
        <is>
          <t>C00109546</t>
        </is>
      </c>
      <c r="C1053" t="inlineStr">
        <is>
          <t>Valero Energy Corp PAC</t>
        </is>
      </c>
      <c r="D1053" t="inlineStr">
        <is>
          <t>GRAVES FOR CONGRESS</t>
        </is>
      </c>
      <c r="E1053" t="inlineStr">
        <is>
          <t>H0MO06073</t>
        </is>
      </c>
      <c r="F1053" t="inlineStr">
        <is>
          <t>REP</t>
        </is>
      </c>
      <c r="G1053" t="inlineStr">
        <is>
          <t>10162019</t>
        </is>
      </c>
      <c r="H1053" t="n">
        <v>5000</v>
      </c>
      <c r="I1053" t="inlineStr">
        <is>
          <t>201911189165533423</t>
        </is>
      </c>
      <c r="J1053" t="inlineStr">
        <is>
          <t>https://docquery.fec.gov/cgi-bin/fecimg/?201911189165533423</t>
        </is>
      </c>
    </row>
    <row r="1054">
      <c r="A1054" t="inlineStr">
        <is>
          <t>2020</t>
        </is>
      </c>
      <c r="B1054" t="inlineStr">
        <is>
          <t>C00109546</t>
        </is>
      </c>
      <c r="C1054" t="inlineStr">
        <is>
          <t>Valero Energy Corp PAC</t>
        </is>
      </c>
      <c r="D1054" t="inlineStr">
        <is>
          <t>GREG PENCE FOR CONGRESS</t>
        </is>
      </c>
      <c r="E1054" t="inlineStr">
        <is>
          <t>H8IN06129</t>
        </is>
      </c>
      <c r="F1054" t="inlineStr">
        <is>
          <t>REP</t>
        </is>
      </c>
      <c r="G1054" t="inlineStr">
        <is>
          <t>10162019</t>
        </is>
      </c>
      <c r="H1054" t="n">
        <v>2500</v>
      </c>
      <c r="I1054" t="inlineStr">
        <is>
          <t>201911189165533423</t>
        </is>
      </c>
      <c r="J1054" t="inlineStr">
        <is>
          <t>https://docquery.fec.gov/cgi-bin/fecimg/?201911189165533423</t>
        </is>
      </c>
    </row>
    <row r="1055">
      <c r="A1055" t="inlineStr">
        <is>
          <t>2020</t>
        </is>
      </c>
      <c r="B1055" t="inlineStr">
        <is>
          <t>C00109546</t>
        </is>
      </c>
      <c r="C1055" t="inlineStr">
        <is>
          <t>Valero Energy Corp PAC</t>
        </is>
      </c>
      <c r="D1055" t="inlineStr">
        <is>
          <t>CURTIS FOR CONGRESS</t>
        </is>
      </c>
      <c r="E1055" t="inlineStr">
        <is>
          <t>H8UT03238</t>
        </is>
      </c>
      <c r="F1055" t="inlineStr">
        <is>
          <t>REP</t>
        </is>
      </c>
      <c r="G1055" t="inlineStr">
        <is>
          <t>11112019</t>
        </is>
      </c>
      <c r="H1055" t="n">
        <v>2500</v>
      </c>
      <c r="I1055" t="inlineStr">
        <is>
          <t>201912189166370439</t>
        </is>
      </c>
      <c r="J1055" t="inlineStr">
        <is>
          <t>https://docquery.fec.gov/cgi-bin/fecimg/?201912189166370439</t>
        </is>
      </c>
    </row>
    <row r="1056">
      <c r="A1056" t="inlineStr">
        <is>
          <t>2020</t>
        </is>
      </c>
      <c r="B1056" t="inlineStr">
        <is>
          <t>C00109546</t>
        </is>
      </c>
      <c r="C1056" t="inlineStr">
        <is>
          <t>Valero Energy Corp PAC</t>
        </is>
      </c>
      <c r="D1056" t="inlineStr">
        <is>
          <t>MIKE JOHNSON FOR LOUISIANA</t>
        </is>
      </c>
      <c r="E1056" t="inlineStr">
        <is>
          <t>H6LA04138</t>
        </is>
      </c>
      <c r="F1056" t="inlineStr">
        <is>
          <t>REP</t>
        </is>
      </c>
      <c r="G1056" t="inlineStr">
        <is>
          <t>11112019</t>
        </is>
      </c>
      <c r="H1056" t="n">
        <v>5000</v>
      </c>
      <c r="I1056" t="inlineStr">
        <is>
          <t>201912189166370440</t>
        </is>
      </c>
      <c r="J1056" t="inlineStr">
        <is>
          <t>https://docquery.fec.gov/cgi-bin/fecimg/?201912189166370440</t>
        </is>
      </c>
    </row>
    <row r="1057">
      <c r="A1057" t="inlineStr">
        <is>
          <t>2020</t>
        </is>
      </c>
      <c r="B1057" t="inlineStr">
        <is>
          <t>C00109546</t>
        </is>
      </c>
      <c r="C1057" t="inlineStr">
        <is>
          <t>Valero Energy Corp PAC</t>
        </is>
      </c>
      <c r="D1057" t="inlineStr">
        <is>
          <t>RICHARD E NEAL FOR CONGRESS COMMITTEE</t>
        </is>
      </c>
      <c r="E1057" t="inlineStr">
        <is>
          <t>H8MA02041</t>
        </is>
      </c>
      <c r="F1057" t="inlineStr">
        <is>
          <t>DEM</t>
        </is>
      </c>
      <c r="G1057" t="inlineStr">
        <is>
          <t>11112019</t>
        </is>
      </c>
      <c r="H1057" t="n">
        <v>5000</v>
      </c>
      <c r="I1057" t="inlineStr">
        <is>
          <t>201912189166370440</t>
        </is>
      </c>
      <c r="J1057" t="inlineStr">
        <is>
          <t>https://docquery.fec.gov/cgi-bin/fecimg/?201912189166370440</t>
        </is>
      </c>
    </row>
    <row r="1058">
      <c r="A1058" t="inlineStr">
        <is>
          <t>2020</t>
        </is>
      </c>
      <c r="B1058" t="inlineStr">
        <is>
          <t>C00109546</t>
        </is>
      </c>
      <c r="C1058" t="inlineStr">
        <is>
          <t>Valero Energy Corp PAC</t>
        </is>
      </c>
      <c r="D1058" t="inlineStr">
        <is>
          <t>STEIL FOR WISCONSIN, INC.</t>
        </is>
      </c>
      <c r="E1058" t="inlineStr">
        <is>
          <t>H8WI01156</t>
        </is>
      </c>
      <c r="F1058" t="inlineStr">
        <is>
          <t>REP</t>
        </is>
      </c>
      <c r="G1058" t="inlineStr">
        <is>
          <t>11112019</t>
        </is>
      </c>
      <c r="H1058" t="n">
        <v>2500</v>
      </c>
      <c r="I1058" t="inlineStr">
        <is>
          <t>201912189166370440</t>
        </is>
      </c>
      <c r="J1058" t="inlineStr">
        <is>
          <t>https://docquery.fec.gov/cgi-bin/fecimg/?201912189166370440</t>
        </is>
      </c>
    </row>
    <row r="1059">
      <c r="A1059" t="inlineStr">
        <is>
          <t>2020</t>
        </is>
      </c>
      <c r="B1059" t="inlineStr">
        <is>
          <t>C00109546</t>
        </is>
      </c>
      <c r="C1059" t="inlineStr">
        <is>
          <t>Valero Energy Corp PAC</t>
        </is>
      </c>
      <c r="D1059" t="inlineStr">
        <is>
          <t>VICENTE GONZALEZ FOR CONGRESS</t>
        </is>
      </c>
      <c r="E1059" t="inlineStr">
        <is>
          <t>H6TX15162</t>
        </is>
      </c>
      <c r="F1059" t="inlineStr">
        <is>
          <t>DEM</t>
        </is>
      </c>
      <c r="G1059" t="inlineStr">
        <is>
          <t>11112019</t>
        </is>
      </c>
      <c r="H1059" t="n">
        <v>5000</v>
      </c>
      <c r="I1059" t="inlineStr">
        <is>
          <t>201912189166370441</t>
        </is>
      </c>
      <c r="J1059" t="inlineStr">
        <is>
          <t>https://docquery.fec.gov/cgi-bin/fecimg/?201912189166370441</t>
        </is>
      </c>
    </row>
    <row r="1060">
      <c r="A1060" t="inlineStr">
        <is>
          <t>2020</t>
        </is>
      </c>
      <c r="B1060" t="inlineStr">
        <is>
          <t>C00109546</t>
        </is>
      </c>
      <c r="C1060" t="inlineStr">
        <is>
          <t>Valero Energy Corp PAC</t>
        </is>
      </c>
      <c r="D1060" t="inlineStr">
        <is>
          <t>TEXANS FOR RONNY JACKSON</t>
        </is>
      </c>
      <c r="E1060" t="inlineStr">
        <is>
          <t>H0TX13228</t>
        </is>
      </c>
      <c r="F1060" t="inlineStr">
        <is>
          <t>REP</t>
        </is>
      </c>
      <c r="G1060" t="inlineStr">
        <is>
          <t>11242020</t>
        </is>
      </c>
      <c r="H1060" t="n">
        <v>5000</v>
      </c>
      <c r="I1060" t="inlineStr">
        <is>
          <t>202103019431309952</t>
        </is>
      </c>
      <c r="J1060" t="inlineStr">
        <is>
          <t>https://docquery.fec.gov/cgi-bin/fecimg/?202103019431309952</t>
        </is>
      </c>
    </row>
    <row r="1061">
      <c r="A1061" t="inlineStr">
        <is>
          <t>2020</t>
        </is>
      </c>
      <c r="B1061" t="inlineStr">
        <is>
          <t>C00109546</t>
        </is>
      </c>
      <c r="C1061" t="inlineStr">
        <is>
          <t>Valero Energy Corp PAC</t>
        </is>
      </c>
      <c r="D1061" t="inlineStr">
        <is>
          <t>CAPITO FOR WEST VIRGINIA</t>
        </is>
      </c>
      <c r="E1061" t="inlineStr">
        <is>
          <t>S4WV00159</t>
        </is>
      </c>
      <c r="F1061" t="inlineStr">
        <is>
          <t>REP</t>
        </is>
      </c>
      <c r="G1061" t="inlineStr">
        <is>
          <t>12202019</t>
        </is>
      </c>
      <c r="H1061" t="n">
        <v>5000</v>
      </c>
      <c r="I1061" t="inlineStr">
        <is>
          <t>202001319184581193</t>
        </is>
      </c>
      <c r="J1061" t="inlineStr">
        <is>
          <t>https://docquery.fec.gov/cgi-bin/fecimg/?202001319184581193</t>
        </is>
      </c>
    </row>
    <row r="1062">
      <c r="A1062" t="inlineStr">
        <is>
          <t>2020</t>
        </is>
      </c>
      <c r="B1062" t="inlineStr">
        <is>
          <t>C00109546</t>
        </is>
      </c>
      <c r="C1062" t="inlineStr">
        <is>
          <t>Valero Energy Corp PAC</t>
        </is>
      </c>
      <c r="D1062" t="inlineStr">
        <is>
          <t>COLLINS FOR SENATOR</t>
        </is>
      </c>
      <c r="E1062" t="inlineStr">
        <is>
          <t>S6ME00159</t>
        </is>
      </c>
      <c r="F1062" t="inlineStr">
        <is>
          <t>REP</t>
        </is>
      </c>
      <c r="G1062" t="inlineStr">
        <is>
          <t>12202019</t>
        </is>
      </c>
      <c r="H1062" t="n">
        <v>5000</v>
      </c>
      <c r="I1062" t="inlineStr">
        <is>
          <t>202001319184581194</t>
        </is>
      </c>
      <c r="J1062" t="inlineStr">
        <is>
          <t>https://docquery.fec.gov/cgi-bin/fecimg/?202001319184581194</t>
        </is>
      </c>
    </row>
    <row r="1063">
      <c r="A1063" t="inlineStr">
        <is>
          <t>2020</t>
        </is>
      </c>
      <c r="B1063" t="inlineStr">
        <is>
          <t>C00109546</t>
        </is>
      </c>
      <c r="C1063" t="inlineStr">
        <is>
          <t>Valero Energy Corp PAC</t>
        </is>
      </c>
      <c r="D1063" t="inlineStr">
        <is>
          <t>JASON SMITH FOR CONGRESS</t>
        </is>
      </c>
      <c r="E1063" t="inlineStr">
        <is>
          <t>H4MO08162</t>
        </is>
      </c>
      <c r="F1063" t="inlineStr">
        <is>
          <t>REP</t>
        </is>
      </c>
      <c r="G1063" t="inlineStr">
        <is>
          <t>12202019</t>
        </is>
      </c>
      <c r="H1063" t="n">
        <v>2500</v>
      </c>
      <c r="I1063" t="inlineStr">
        <is>
          <t>202001319184581194</t>
        </is>
      </c>
      <c r="J1063" t="inlineStr">
        <is>
          <t>https://docquery.fec.gov/cgi-bin/fecimg/?202001319184581194</t>
        </is>
      </c>
    </row>
    <row r="1064">
      <c r="A1064" t="inlineStr">
        <is>
          <t>2020</t>
        </is>
      </c>
      <c r="B1064" t="inlineStr">
        <is>
          <t>C00109546</t>
        </is>
      </c>
      <c r="C1064" t="inlineStr">
        <is>
          <t>Valero Energy Corp PAC</t>
        </is>
      </c>
      <c r="D1064" t="inlineStr">
        <is>
          <t>JIM BANKS FOR CONGRESS, INC.</t>
        </is>
      </c>
      <c r="E1064" t="inlineStr">
        <is>
          <t>H6IN03229</t>
        </is>
      </c>
      <c r="F1064" t="inlineStr">
        <is>
          <t>REP</t>
        </is>
      </c>
      <c r="G1064" t="inlineStr">
        <is>
          <t>12202019</t>
        </is>
      </c>
      <c r="H1064" t="n">
        <v>2500</v>
      </c>
      <c r="I1064" t="inlineStr">
        <is>
          <t>202001319184581194</t>
        </is>
      </c>
      <c r="J1064" t="inlineStr">
        <is>
          <t>https://docquery.fec.gov/cgi-bin/fecimg/?202001319184581194</t>
        </is>
      </c>
    </row>
    <row r="1065">
      <c r="A1065" t="inlineStr">
        <is>
          <t>2020</t>
        </is>
      </c>
      <c r="B1065" t="inlineStr">
        <is>
          <t>C00109546</t>
        </is>
      </c>
      <c r="C1065" t="inlineStr">
        <is>
          <t>Valero Energy Corp PAC</t>
        </is>
      </c>
      <c r="D1065" t="inlineStr">
        <is>
          <t>RATCLIFFE FOR CONGRESS</t>
        </is>
      </c>
      <c r="E1065" t="inlineStr">
        <is>
          <t>H4TX04153</t>
        </is>
      </c>
      <c r="F1065" t="inlineStr">
        <is>
          <t>REP</t>
        </is>
      </c>
      <c r="G1065" t="inlineStr">
        <is>
          <t>12202019</t>
        </is>
      </c>
      <c r="H1065" t="n">
        <v>2500</v>
      </c>
      <c r="I1065" t="inlineStr">
        <is>
          <t>202001319184581195</t>
        </is>
      </c>
      <c r="J1065" t="inlineStr">
        <is>
          <t>https://docquery.fec.gov/cgi-bin/fecimg/?202001319184581195</t>
        </is>
      </c>
    </row>
    <row r="1066">
      <c r="A1066" t="inlineStr">
        <is>
          <t>2020</t>
        </is>
      </c>
      <c r="B1066" t="inlineStr">
        <is>
          <t>C00109546</t>
        </is>
      </c>
      <c r="C1066" t="inlineStr">
        <is>
          <t>Valero Energy Corp PAC</t>
        </is>
      </c>
      <c r="D1066" t="inlineStr">
        <is>
          <t>RICHMOND FOR CONGRESS</t>
        </is>
      </c>
      <c r="E1066" t="inlineStr">
        <is>
          <t>H8LA02054</t>
        </is>
      </c>
      <c r="F1066" t="inlineStr">
        <is>
          <t>DEM</t>
        </is>
      </c>
      <c r="G1066" t="inlineStr">
        <is>
          <t>12202019</t>
        </is>
      </c>
      <c r="H1066" t="n">
        <v>2500</v>
      </c>
      <c r="I1066" t="inlineStr">
        <is>
          <t>202001319184581196</t>
        </is>
      </c>
      <c r="J1066" t="inlineStr">
        <is>
          <t>https://docquery.fec.gov/cgi-bin/fecimg/?202001319184581196</t>
        </is>
      </c>
    </row>
    <row r="1067">
      <c r="A1067" t="inlineStr">
        <is>
          <t>2020</t>
        </is>
      </c>
      <c r="B1067" t="inlineStr">
        <is>
          <t>C00109546</t>
        </is>
      </c>
      <c r="C1067" t="inlineStr">
        <is>
          <t>Valero Energy Corp PAC</t>
        </is>
      </c>
      <c r="D1067" t="inlineStr">
        <is>
          <t>RICHMOND FOR CONGRESS</t>
        </is>
      </c>
      <c r="E1067" t="inlineStr">
        <is>
          <t>H8LA02054</t>
        </is>
      </c>
      <c r="F1067" t="inlineStr">
        <is>
          <t>DEM</t>
        </is>
      </c>
      <c r="G1067" t="inlineStr">
        <is>
          <t>12202019</t>
        </is>
      </c>
      <c r="H1067" t="n">
        <v>2500</v>
      </c>
      <c r="I1067" t="inlineStr">
        <is>
          <t>202001319184581196</t>
        </is>
      </c>
      <c r="J1067" t="inlineStr">
        <is>
          <t>https://docquery.fec.gov/cgi-bin/fecimg/?202001319184581196</t>
        </is>
      </c>
    </row>
    <row r="1068">
      <c r="A1068" t="inlineStr">
        <is>
          <t>2020</t>
        </is>
      </c>
      <c r="B1068" t="inlineStr">
        <is>
          <t>C00109546</t>
        </is>
      </c>
      <c r="C1068" t="inlineStr">
        <is>
          <t>Valero Energy Corp PAC</t>
        </is>
      </c>
      <c r="D1068" t="inlineStr">
        <is>
          <t>TOM REED FOR CONGRESS</t>
        </is>
      </c>
      <c r="E1068" t="inlineStr">
        <is>
          <t>H0NY29054</t>
        </is>
      </c>
      <c r="F1068" t="inlineStr">
        <is>
          <t>REP</t>
        </is>
      </c>
      <c r="G1068" t="inlineStr">
        <is>
          <t>12202019</t>
        </is>
      </c>
      <c r="H1068" t="n">
        <v>2500</v>
      </c>
      <c r="I1068" t="inlineStr">
        <is>
          <t>202001319184581197</t>
        </is>
      </c>
      <c r="J1068" t="inlineStr">
        <is>
          <t>https://docquery.fec.gov/cgi-bin/fecimg/?202001319184581197</t>
        </is>
      </c>
    </row>
    <row r="1069">
      <c r="A1069" t="inlineStr">
        <is>
          <t>2020</t>
        </is>
      </c>
      <c r="B1069" t="inlineStr">
        <is>
          <t>C00109546</t>
        </is>
      </c>
      <c r="C1069" t="inlineStr">
        <is>
          <t>Valero Energy Corp PAC</t>
        </is>
      </c>
      <c r="D1069" t="inlineStr">
        <is>
          <t>WALBERG FOR CONGRESS</t>
        </is>
      </c>
      <c r="E1069" t="inlineStr">
        <is>
          <t>H4MI07103</t>
        </is>
      </c>
      <c r="F1069" t="inlineStr">
        <is>
          <t>REP</t>
        </is>
      </c>
      <c r="G1069" t="inlineStr">
        <is>
          <t>12202019</t>
        </is>
      </c>
      <c r="H1069" t="n">
        <v>2500</v>
      </c>
      <c r="I1069" t="inlineStr">
        <is>
          <t>202001319184581197</t>
        </is>
      </c>
      <c r="J1069" t="inlineStr">
        <is>
          <t>https://docquery.fec.gov/cgi-bin/fecimg/?202001319184581197</t>
        </is>
      </c>
    </row>
    <row r="1070">
      <c r="A1070" t="inlineStr">
        <is>
          <t>2022</t>
        </is>
      </c>
      <c r="B1070" t="inlineStr">
        <is>
          <t>C00415026</t>
        </is>
      </c>
      <c r="C1070" t="inlineStr">
        <is>
          <t>American Fuel &amp; Petrochemical Manufacturers PAC (AFPM PAC)</t>
        </is>
      </c>
      <c r="D1070" t="inlineStr">
        <is>
          <t>ASHLEY HINSON FOR CONGRESS</t>
        </is>
      </c>
      <c r="E1070" t="inlineStr">
        <is>
          <t>H0IA01174</t>
        </is>
      </c>
      <c r="F1070" t="inlineStr">
        <is>
          <t>REP</t>
        </is>
      </c>
      <c r="G1070" t="inlineStr">
        <is>
          <t>03092022</t>
        </is>
      </c>
      <c r="H1070" t="n">
        <v>1000</v>
      </c>
      <c r="I1070" t="inlineStr">
        <is>
          <t>202204199500027684</t>
        </is>
      </c>
      <c r="J1070" t="inlineStr">
        <is>
          <t>https://docquery.fec.gov/cgi-bin/fecimg/?202204199500027684</t>
        </is>
      </c>
    </row>
    <row r="1071">
      <c r="A1071" t="inlineStr">
        <is>
          <t>2022</t>
        </is>
      </c>
      <c r="B1071" t="inlineStr">
        <is>
          <t>C00415026</t>
        </is>
      </c>
      <c r="C1071" t="inlineStr">
        <is>
          <t>American Fuel &amp; Petrochemical Manufacturers PAC (AFPM PAC)</t>
        </is>
      </c>
      <c r="D1071" t="inlineStr">
        <is>
          <t>DR. BRIAN BABIN FOR CONGRESS</t>
        </is>
      </c>
      <c r="E1071" t="inlineStr">
        <is>
          <t>H6TX02079</t>
        </is>
      </c>
      <c r="F1071" t="inlineStr">
        <is>
          <t>REP</t>
        </is>
      </c>
      <c r="G1071" t="inlineStr">
        <is>
          <t>03162022</t>
        </is>
      </c>
      <c r="H1071" t="n">
        <v>1000</v>
      </c>
      <c r="I1071" t="inlineStr">
        <is>
          <t>202204199500027684</t>
        </is>
      </c>
      <c r="J1071" t="inlineStr">
        <is>
          <t>https://docquery.fec.gov/cgi-bin/fecimg/?202204199500027684</t>
        </is>
      </c>
    </row>
    <row r="1072">
      <c r="A1072" t="inlineStr">
        <is>
          <t>2022</t>
        </is>
      </c>
      <c r="B1072" t="inlineStr">
        <is>
          <t>C00415026</t>
        </is>
      </c>
      <c r="C1072" t="inlineStr">
        <is>
          <t>American Fuel &amp; Petrochemical Manufacturers PAC (AFPM PAC)</t>
        </is>
      </c>
      <c r="D1072" t="inlineStr">
        <is>
          <t>FEENSTRA FOR CONGRESS</t>
        </is>
      </c>
      <c r="E1072" t="inlineStr">
        <is>
          <t>H0IA04145</t>
        </is>
      </c>
      <c r="F1072" t="inlineStr">
        <is>
          <t>REP</t>
        </is>
      </c>
      <c r="G1072" t="inlineStr">
        <is>
          <t>03162022</t>
        </is>
      </c>
      <c r="H1072" t="n">
        <v>1000</v>
      </c>
      <c r="I1072" t="inlineStr">
        <is>
          <t>202204199500027684</t>
        </is>
      </c>
      <c r="J1072" t="inlineStr">
        <is>
          <t>https://docquery.fec.gov/cgi-bin/fecimg/?202204199500027684</t>
        </is>
      </c>
    </row>
    <row r="1073">
      <c r="A1073" t="inlineStr">
        <is>
          <t>2022</t>
        </is>
      </c>
      <c r="B1073" t="inlineStr">
        <is>
          <t>C00415026</t>
        </is>
      </c>
      <c r="C1073" t="inlineStr">
        <is>
          <t>American Fuel &amp; Petrochemical Manufacturers PAC (AFPM PAC)</t>
        </is>
      </c>
      <c r="D1073" t="inlineStr">
        <is>
          <t>GARRET GRAVES FOR CONGRESS</t>
        </is>
      </c>
      <c r="E1073" t="inlineStr">
        <is>
          <t>H4LA06153</t>
        </is>
      </c>
      <c r="F1073" t="inlineStr">
        <is>
          <t>REP</t>
        </is>
      </c>
      <c r="G1073" t="inlineStr">
        <is>
          <t>03162022</t>
        </is>
      </c>
      <c r="H1073" t="n">
        <v>4000</v>
      </c>
      <c r="I1073" t="inlineStr">
        <is>
          <t>202204199500027685</t>
        </is>
      </c>
      <c r="J1073" t="inlineStr">
        <is>
          <t>https://docquery.fec.gov/cgi-bin/fecimg/?202204199500027685</t>
        </is>
      </c>
    </row>
    <row r="1074">
      <c r="A1074" t="inlineStr">
        <is>
          <t>2022</t>
        </is>
      </c>
      <c r="B1074" t="inlineStr">
        <is>
          <t>C00415026</t>
        </is>
      </c>
      <c r="C1074" t="inlineStr">
        <is>
          <t>American Fuel &amp; Petrochemical Manufacturers PAC (AFPM PAC)</t>
        </is>
      </c>
      <c r="D1074" t="inlineStr">
        <is>
          <t>JIM COSTA FOR CONGRESS</t>
        </is>
      </c>
      <c r="E1074" t="inlineStr">
        <is>
          <t>H4CA20082</t>
        </is>
      </c>
      <c r="F1074" t="inlineStr">
        <is>
          <t>DEM</t>
        </is>
      </c>
      <c r="G1074" t="inlineStr">
        <is>
          <t>03162022</t>
        </is>
      </c>
      <c r="H1074" t="n">
        <v>2500</v>
      </c>
      <c r="I1074" t="inlineStr">
        <is>
          <t>202204199500027685</t>
        </is>
      </c>
      <c r="J1074" t="inlineStr">
        <is>
          <t>https://docquery.fec.gov/cgi-bin/fecimg/?202204199500027685</t>
        </is>
      </c>
    </row>
    <row r="1075">
      <c r="A1075" t="inlineStr">
        <is>
          <t>2022</t>
        </is>
      </c>
      <c r="B1075" t="inlineStr">
        <is>
          <t>C00415026</t>
        </is>
      </c>
      <c r="C1075" t="inlineStr">
        <is>
          <t>American Fuel &amp; Petrochemical Manufacturers PAC (AFPM PAC)</t>
        </is>
      </c>
      <c r="D1075" t="inlineStr">
        <is>
          <t>JOHN KENNEDY FOR US</t>
        </is>
      </c>
      <c r="E1075" t="inlineStr">
        <is>
          <t>S4LA00065</t>
        </is>
      </c>
      <c r="F1075" t="inlineStr">
        <is>
          <t>REP</t>
        </is>
      </c>
      <c r="G1075" t="inlineStr">
        <is>
          <t>03162022</t>
        </is>
      </c>
      <c r="H1075" t="n">
        <v>2500</v>
      </c>
      <c r="I1075" t="inlineStr">
        <is>
          <t>202204199500027685</t>
        </is>
      </c>
      <c r="J1075" t="inlineStr">
        <is>
          <t>https://docquery.fec.gov/cgi-bin/fecimg/?202204199500027685</t>
        </is>
      </c>
    </row>
    <row r="1076">
      <c r="A1076" t="inlineStr">
        <is>
          <t>2022</t>
        </is>
      </c>
      <c r="B1076" t="inlineStr">
        <is>
          <t>C00415026</t>
        </is>
      </c>
      <c r="C1076" t="inlineStr">
        <is>
          <t>American Fuel &amp; Petrochemical Manufacturers PAC (AFPM PAC)</t>
        </is>
      </c>
      <c r="D1076" t="inlineStr">
        <is>
          <t>LANCE GOODEN FOR CONGRESS COMMITTEE</t>
        </is>
      </c>
      <c r="E1076" t="inlineStr">
        <is>
          <t>H8TX05144</t>
        </is>
      </c>
      <c r="F1076" t="inlineStr">
        <is>
          <t>REP</t>
        </is>
      </c>
      <c r="G1076" t="inlineStr">
        <is>
          <t>03162022</t>
        </is>
      </c>
      <c r="H1076" t="n">
        <v>1000</v>
      </c>
      <c r="I1076" t="inlineStr">
        <is>
          <t>202204199500027686</t>
        </is>
      </c>
      <c r="J1076" t="inlineStr">
        <is>
          <t>https://docquery.fec.gov/cgi-bin/fecimg/?202204199500027686</t>
        </is>
      </c>
    </row>
    <row r="1077">
      <c r="A1077" t="inlineStr">
        <is>
          <t>2022</t>
        </is>
      </c>
      <c r="B1077" t="inlineStr">
        <is>
          <t>C00415026</t>
        </is>
      </c>
      <c r="C1077" t="inlineStr">
        <is>
          <t>American Fuel &amp; Petrochemical Manufacturers PAC (AFPM PAC)</t>
        </is>
      </c>
      <c r="D1077" t="inlineStr">
        <is>
          <t>TONY GONZALES FOR CONGRESS</t>
        </is>
      </c>
      <c r="E1077" t="inlineStr">
        <is>
          <t>H0TX35015</t>
        </is>
      </c>
      <c r="F1077" t="inlineStr">
        <is>
          <t>REP</t>
        </is>
      </c>
      <c r="G1077" t="inlineStr">
        <is>
          <t>03162022</t>
        </is>
      </c>
      <c r="H1077" t="n">
        <v>2500</v>
      </c>
      <c r="I1077" t="inlineStr">
        <is>
          <t>202204199500027686</t>
        </is>
      </c>
      <c r="J1077" t="inlineStr">
        <is>
          <t>https://docquery.fec.gov/cgi-bin/fecimg/?202204199500027686</t>
        </is>
      </c>
    </row>
    <row r="1078">
      <c r="A1078" t="inlineStr">
        <is>
          <t>2022</t>
        </is>
      </c>
      <c r="B1078" t="inlineStr">
        <is>
          <t>C00415026</t>
        </is>
      </c>
      <c r="C1078" t="inlineStr">
        <is>
          <t>American Fuel &amp; Petrochemical Manufacturers PAC (AFPM PAC)</t>
        </is>
      </c>
      <c r="D1078" t="inlineStr">
        <is>
          <t>VICENTE GONZALEZ FOR CONGRESS</t>
        </is>
      </c>
      <c r="E1078" t="inlineStr">
        <is>
          <t>H6TX15162</t>
        </is>
      </c>
      <c r="F1078" t="inlineStr">
        <is>
          <t>DEM</t>
        </is>
      </c>
      <c r="G1078" t="inlineStr">
        <is>
          <t>03182021</t>
        </is>
      </c>
      <c r="H1078" t="n">
        <v>1000</v>
      </c>
      <c r="I1078" t="inlineStr">
        <is>
          <t>202104169443786844</t>
        </is>
      </c>
      <c r="J1078" t="inlineStr">
        <is>
          <t>https://docquery.fec.gov/cgi-bin/fecimg/?202104169443786844</t>
        </is>
      </c>
    </row>
    <row r="1079">
      <c r="A1079" t="inlineStr">
        <is>
          <t>2022</t>
        </is>
      </c>
      <c r="B1079" t="inlineStr">
        <is>
          <t>C00415026</t>
        </is>
      </c>
      <c r="C1079" t="inlineStr">
        <is>
          <t>American Fuel &amp; Petrochemical Manufacturers PAC (AFPM PAC)</t>
        </is>
      </c>
      <c r="D1079" t="inlineStr">
        <is>
          <t>JIM COSTA FOR CONGRESS</t>
        </is>
      </c>
      <c r="E1079" t="inlineStr">
        <is>
          <t>H4CA20082</t>
        </is>
      </c>
      <c r="F1079" t="inlineStr">
        <is>
          <t>DEM</t>
        </is>
      </c>
      <c r="G1079" t="inlineStr">
        <is>
          <t>03182021</t>
        </is>
      </c>
      <c r="H1079" t="n">
        <v>1000</v>
      </c>
      <c r="I1079" t="inlineStr">
        <is>
          <t>202104169443786843</t>
        </is>
      </c>
      <c r="J1079" t="inlineStr">
        <is>
          <t>https://docquery.fec.gov/cgi-bin/fecimg/?202104169443786843</t>
        </is>
      </c>
    </row>
    <row r="1080">
      <c r="A1080" t="inlineStr">
        <is>
          <t>2022</t>
        </is>
      </c>
      <c r="B1080" t="inlineStr">
        <is>
          <t>C00415026</t>
        </is>
      </c>
      <c r="C1080" t="inlineStr">
        <is>
          <t>American Fuel &amp; Petrochemical Manufacturers PAC (AFPM PAC)</t>
        </is>
      </c>
      <c r="D1080" t="inlineStr">
        <is>
          <t>LOU CORREA FOR CONGRESS</t>
        </is>
      </c>
      <c r="E1080" t="inlineStr">
        <is>
          <t>H6CA46116</t>
        </is>
      </c>
      <c r="F1080" t="inlineStr">
        <is>
          <t>DEM</t>
        </is>
      </c>
      <c r="G1080" t="inlineStr">
        <is>
          <t>03182021</t>
        </is>
      </c>
      <c r="H1080" t="n">
        <v>1000</v>
      </c>
      <c r="I1080" t="inlineStr">
        <is>
          <t>202104169443786844</t>
        </is>
      </c>
      <c r="J1080" t="inlineStr">
        <is>
          <t>https://docquery.fec.gov/cgi-bin/fecimg/?202104169443786844</t>
        </is>
      </c>
    </row>
    <row r="1081">
      <c r="A1081" t="inlineStr">
        <is>
          <t>2022</t>
        </is>
      </c>
      <c r="B1081" t="inlineStr">
        <is>
          <t>C00415026</t>
        </is>
      </c>
      <c r="C1081" t="inlineStr">
        <is>
          <t>American Fuel &amp; Petrochemical Manufacturers PAC (AFPM PAC)</t>
        </is>
      </c>
      <c r="D1081" t="inlineStr">
        <is>
          <t>ARMSTRONG FOR CONGRESS</t>
        </is>
      </c>
      <c r="E1081" t="inlineStr">
        <is>
          <t>H8ND00096</t>
        </is>
      </c>
      <c r="F1081" t="inlineStr">
        <is>
          <t>REP</t>
        </is>
      </c>
      <c r="G1081" t="inlineStr">
        <is>
          <t>03222021</t>
        </is>
      </c>
      <c r="H1081" t="n">
        <v>1000</v>
      </c>
      <c r="I1081" t="inlineStr">
        <is>
          <t>202104169443786843</t>
        </is>
      </c>
      <c r="J1081" t="inlineStr">
        <is>
          <t>https://docquery.fec.gov/cgi-bin/fecimg/?202104169443786843</t>
        </is>
      </c>
    </row>
    <row r="1082">
      <c r="A1082" t="inlineStr">
        <is>
          <t>2022</t>
        </is>
      </c>
      <c r="B1082" t="inlineStr">
        <is>
          <t>C00415026</t>
        </is>
      </c>
      <c r="C1082" t="inlineStr">
        <is>
          <t>American Fuel &amp; Petrochemical Manufacturers PAC (AFPM PAC)</t>
        </is>
      </c>
      <c r="D1082" t="inlineStr">
        <is>
          <t>CURTIS FOR CONGRESS</t>
        </is>
      </c>
      <c r="E1082" t="inlineStr">
        <is>
          <t>H8UT03238</t>
        </is>
      </c>
      <c r="F1082" t="inlineStr">
        <is>
          <t>REP</t>
        </is>
      </c>
      <c r="G1082" t="inlineStr">
        <is>
          <t>03222021</t>
        </is>
      </c>
      <c r="H1082" t="n">
        <v>1000</v>
      </c>
      <c r="I1082" t="inlineStr">
        <is>
          <t>202104169443786843</t>
        </is>
      </c>
      <c r="J1082" t="inlineStr">
        <is>
          <t>https://docquery.fec.gov/cgi-bin/fecimg/?202104169443786843</t>
        </is>
      </c>
    </row>
    <row r="1083">
      <c r="A1083" t="inlineStr">
        <is>
          <t>2022</t>
        </is>
      </c>
      <c r="B1083" t="inlineStr">
        <is>
          <t>C00415026</t>
        </is>
      </c>
      <c r="C1083" t="inlineStr">
        <is>
          <t>American Fuel &amp; Petrochemical Manufacturers PAC (AFPM PAC)</t>
        </is>
      </c>
      <c r="D1083" t="inlineStr">
        <is>
          <t>STEIL FOR WISCONSIN, INC.</t>
        </is>
      </c>
      <c r="E1083" t="inlineStr">
        <is>
          <t>H8WI01156</t>
        </is>
      </c>
      <c r="F1083" t="inlineStr">
        <is>
          <t>REP</t>
        </is>
      </c>
      <c r="G1083" t="inlineStr">
        <is>
          <t>03282022</t>
        </is>
      </c>
      <c r="H1083" t="n">
        <v>1000</v>
      </c>
      <c r="I1083" t="inlineStr">
        <is>
          <t>202204199500027686</t>
        </is>
      </c>
      <c r="J1083" t="inlineStr">
        <is>
          <t>https://docquery.fec.gov/cgi-bin/fecimg/?202204199500027686</t>
        </is>
      </c>
    </row>
    <row r="1084">
      <c r="A1084" t="inlineStr">
        <is>
          <t>2022</t>
        </is>
      </c>
      <c r="B1084" t="inlineStr">
        <is>
          <t>C00415026</t>
        </is>
      </c>
      <c r="C1084" t="inlineStr">
        <is>
          <t>American Fuel &amp; Petrochemical Manufacturers PAC (AFPM PAC)</t>
        </is>
      </c>
      <c r="D1084" t="inlineStr">
        <is>
          <t>JASON SMITH FOR CONGRESS</t>
        </is>
      </c>
      <c r="E1084" t="inlineStr">
        <is>
          <t>H4MO08162</t>
        </is>
      </c>
      <c r="F1084" t="inlineStr">
        <is>
          <t>REP</t>
        </is>
      </c>
      <c r="G1084" t="inlineStr">
        <is>
          <t>04292022</t>
        </is>
      </c>
      <c r="H1084" t="n">
        <v>2500</v>
      </c>
      <c r="I1084" t="inlineStr">
        <is>
          <t>202209309532009266</t>
        </is>
      </c>
      <c r="J1084" t="inlineStr">
        <is>
          <t>https://docquery.fec.gov/cgi-bin/fecimg/?202209309532009266</t>
        </is>
      </c>
    </row>
    <row r="1085">
      <c r="A1085" t="inlineStr">
        <is>
          <t>2022</t>
        </is>
      </c>
      <c r="B1085" t="inlineStr">
        <is>
          <t>C00415026</t>
        </is>
      </c>
      <c r="C1085" t="inlineStr">
        <is>
          <t>American Fuel &amp; Petrochemical Manufacturers PAC (AFPM PAC)</t>
        </is>
      </c>
      <c r="D1085" t="inlineStr">
        <is>
          <t>LUCAS FOR CONGRESS</t>
        </is>
      </c>
      <c r="E1085" t="inlineStr">
        <is>
          <t>H4OK06056</t>
        </is>
      </c>
      <c r="F1085" t="inlineStr">
        <is>
          <t>REP</t>
        </is>
      </c>
      <c r="G1085" t="inlineStr">
        <is>
          <t>04292022</t>
        </is>
      </c>
      <c r="H1085" t="n">
        <v>1000</v>
      </c>
      <c r="I1085" t="inlineStr">
        <is>
          <t>202209309532009266</t>
        </is>
      </c>
      <c r="J1085" t="inlineStr">
        <is>
          <t>https://docquery.fec.gov/cgi-bin/fecimg/?202209309532009266</t>
        </is>
      </c>
    </row>
    <row r="1086">
      <c r="A1086" t="inlineStr">
        <is>
          <t>2022</t>
        </is>
      </c>
      <c r="B1086" t="inlineStr">
        <is>
          <t>C00415026</t>
        </is>
      </c>
      <c r="C1086" t="inlineStr">
        <is>
          <t>American Fuel &amp; Petrochemical Manufacturers PAC (AFPM PAC)</t>
        </is>
      </c>
      <c r="D1086" t="inlineStr">
        <is>
          <t>TEXANS FOR HENRY CUELLAR CONGRESSIONAL CAMPAIGN</t>
        </is>
      </c>
      <c r="E1086" t="inlineStr">
        <is>
          <t>H2TX23082</t>
        </is>
      </c>
      <c r="F1086" t="inlineStr">
        <is>
          <t>DEM</t>
        </is>
      </c>
      <c r="G1086" t="inlineStr">
        <is>
          <t>04292022</t>
        </is>
      </c>
      <c r="H1086" t="n">
        <v>5000</v>
      </c>
      <c r="I1086" t="inlineStr">
        <is>
          <t>202209309532009267</t>
        </is>
      </c>
      <c r="J1086" t="inlineStr">
        <is>
          <t>https://docquery.fec.gov/cgi-bin/fecimg/?202209309532009267</t>
        </is>
      </c>
    </row>
    <row r="1087">
      <c r="A1087" t="inlineStr">
        <is>
          <t>2022</t>
        </is>
      </c>
      <c r="B1087" t="inlineStr">
        <is>
          <t>C00415026</t>
        </is>
      </c>
      <c r="C1087" t="inlineStr">
        <is>
          <t>American Fuel &amp; Petrochemical Manufacturers PAC (AFPM PAC)</t>
        </is>
      </c>
      <c r="D1087" t="inlineStr">
        <is>
          <t>AUGUST PFLUGER FOR CONGRESS</t>
        </is>
      </c>
      <c r="E1087" t="inlineStr">
        <is>
          <t>H0TX11230</t>
        </is>
      </c>
      <c r="F1087" t="inlineStr">
        <is>
          <t>REP</t>
        </is>
      </c>
      <c r="G1087" t="inlineStr">
        <is>
          <t>04292022</t>
        </is>
      </c>
      <c r="H1087" t="n">
        <v>2500</v>
      </c>
      <c r="I1087" t="inlineStr">
        <is>
          <t>202209309532009265</t>
        </is>
      </c>
      <c r="J1087" t="inlineStr">
        <is>
          <t>https://docquery.fec.gov/cgi-bin/fecimg/?202209309532009265</t>
        </is>
      </c>
    </row>
    <row r="1088">
      <c r="A1088" t="inlineStr">
        <is>
          <t>2022</t>
        </is>
      </c>
      <c r="B1088" t="inlineStr">
        <is>
          <t>C00415026</t>
        </is>
      </c>
      <c r="C1088" t="inlineStr">
        <is>
          <t>American Fuel &amp; Petrochemical Manufacturers PAC (AFPM PAC)</t>
        </is>
      </c>
      <c r="D1088" t="inlineStr">
        <is>
          <t>JANE HOPE HAMILTON FOR CONGRESS</t>
        </is>
      </c>
      <c r="E1088" t="inlineStr">
        <is>
          <t>H2TX30137</t>
        </is>
      </c>
      <c r="F1088" t="inlineStr">
        <is>
          <t>DEM</t>
        </is>
      </c>
      <c r="G1088" t="inlineStr">
        <is>
          <t>04292022</t>
        </is>
      </c>
      <c r="H1088" t="n">
        <v>1000</v>
      </c>
      <c r="I1088" t="inlineStr">
        <is>
          <t>202209309532009265</t>
        </is>
      </c>
      <c r="J1088" t="inlineStr">
        <is>
          <t>https://docquery.fec.gov/cgi-bin/fecimg/?202209309532009265</t>
        </is>
      </c>
    </row>
    <row r="1089">
      <c r="A1089" t="inlineStr">
        <is>
          <t>2022</t>
        </is>
      </c>
      <c r="B1089" t="inlineStr">
        <is>
          <t>C00415026</t>
        </is>
      </c>
      <c r="C1089" t="inlineStr">
        <is>
          <t>American Fuel &amp; Petrochemical Manufacturers PAC (AFPM PAC)</t>
        </is>
      </c>
      <c r="D1089" t="inlineStr">
        <is>
          <t>FAMILIES FOR JAMES LANKFORD</t>
        </is>
      </c>
      <c r="E1089" t="inlineStr">
        <is>
          <t>S4OK00232</t>
        </is>
      </c>
      <c r="F1089" t="inlineStr">
        <is>
          <t>REP</t>
        </is>
      </c>
      <c r="G1089" t="inlineStr">
        <is>
          <t>06212022</t>
        </is>
      </c>
      <c r="H1089" t="n">
        <v>2500</v>
      </c>
      <c r="I1089" t="inlineStr">
        <is>
          <t>202207149518443440</t>
        </is>
      </c>
      <c r="J1089" t="inlineStr">
        <is>
          <t>https://docquery.fec.gov/cgi-bin/fecimg/?202207149518443440</t>
        </is>
      </c>
    </row>
    <row r="1090">
      <c r="A1090" t="inlineStr">
        <is>
          <t>2022</t>
        </is>
      </c>
      <c r="B1090" t="inlineStr">
        <is>
          <t>C00415026</t>
        </is>
      </c>
      <c r="C1090" t="inlineStr">
        <is>
          <t>American Fuel &amp; Petrochemical Manufacturers PAC (AFPM PAC)</t>
        </is>
      </c>
      <c r="D1090" t="inlineStr">
        <is>
          <t>JAKE ELLZEY FOR CONGRESS</t>
        </is>
      </c>
      <c r="E1090" t="inlineStr">
        <is>
          <t>H8TX06266</t>
        </is>
      </c>
      <c r="F1090" t="inlineStr">
        <is>
          <t>REP</t>
        </is>
      </c>
      <c r="G1090" t="inlineStr">
        <is>
          <t>06212022</t>
        </is>
      </c>
      <c r="H1090" t="n">
        <v>1000</v>
      </c>
      <c r="I1090" t="inlineStr">
        <is>
          <t>202207149518443440</t>
        </is>
      </c>
      <c r="J1090" t="inlineStr">
        <is>
          <t>https://docquery.fec.gov/cgi-bin/fecimg/?202207149518443440</t>
        </is>
      </c>
    </row>
    <row r="1091">
      <c r="A1091" t="inlineStr">
        <is>
          <t>2022</t>
        </is>
      </c>
      <c r="B1091" t="inlineStr">
        <is>
          <t>C00415026</t>
        </is>
      </c>
      <c r="C1091" t="inlineStr">
        <is>
          <t>American Fuel &amp; Petrochemical Manufacturers PAC (AFPM PAC)</t>
        </is>
      </c>
      <c r="D1091" t="inlineStr">
        <is>
          <t>GARRET GRAVES FOR CONGRESS</t>
        </is>
      </c>
      <c r="E1091" t="inlineStr">
        <is>
          <t>H4LA06153</t>
        </is>
      </c>
      <c r="F1091" t="inlineStr">
        <is>
          <t>REP</t>
        </is>
      </c>
      <c r="G1091" t="inlineStr">
        <is>
          <t>06282021</t>
        </is>
      </c>
      <c r="H1091" t="n">
        <v>1000</v>
      </c>
      <c r="I1091" t="inlineStr">
        <is>
          <t>202107159451098758</t>
        </is>
      </c>
      <c r="J1091" t="inlineStr">
        <is>
          <t>https://docquery.fec.gov/cgi-bin/fecimg/?202107159451098758</t>
        </is>
      </c>
    </row>
    <row r="1092">
      <c r="A1092" t="inlineStr">
        <is>
          <t>2022</t>
        </is>
      </c>
      <c r="B1092" t="inlineStr">
        <is>
          <t>C00415026</t>
        </is>
      </c>
      <c r="C1092" t="inlineStr">
        <is>
          <t>American Fuel &amp; Petrochemical Manufacturers PAC (AFPM PAC)</t>
        </is>
      </c>
      <c r="D1092" t="inlineStr">
        <is>
          <t>KURT SCHRADER FOR CONGRESS</t>
        </is>
      </c>
      <c r="E1092" t="inlineStr">
        <is>
          <t>H8OR05107</t>
        </is>
      </c>
      <c r="F1092" t="inlineStr">
        <is>
          <t>DEM</t>
        </is>
      </c>
      <c r="G1092" t="inlineStr">
        <is>
          <t>06282021</t>
        </is>
      </c>
      <c r="H1092" t="n">
        <v>1000</v>
      </c>
      <c r="I1092" t="inlineStr">
        <is>
          <t>202107159451098758</t>
        </is>
      </c>
      <c r="J1092" t="inlineStr">
        <is>
          <t>https://docquery.fec.gov/cgi-bin/fecimg/?202107159451098758</t>
        </is>
      </c>
    </row>
    <row r="1093">
      <c r="A1093" t="inlineStr">
        <is>
          <t>2022</t>
        </is>
      </c>
      <c r="B1093" t="inlineStr">
        <is>
          <t>C00415026</t>
        </is>
      </c>
      <c r="C1093" t="inlineStr">
        <is>
          <t>American Fuel &amp; Petrochemical Manufacturers PAC (AFPM PAC)</t>
        </is>
      </c>
      <c r="D1093" t="inlineStr">
        <is>
          <t>MARC VEASEY CONGRESSIONAL CAMPAIGN COMMITTEE</t>
        </is>
      </c>
      <c r="E1093" t="inlineStr">
        <is>
          <t>H2TX33073</t>
        </is>
      </c>
      <c r="F1093" t="inlineStr">
        <is>
          <t>DEM</t>
        </is>
      </c>
      <c r="G1093" t="inlineStr">
        <is>
          <t>06282021</t>
        </is>
      </c>
      <c r="H1093" t="n">
        <v>5000</v>
      </c>
      <c r="I1093" t="inlineStr">
        <is>
          <t>202107159451098758</t>
        </is>
      </c>
      <c r="J1093" t="inlineStr">
        <is>
          <t>https://docquery.fec.gov/cgi-bin/fecimg/?202107159451098758</t>
        </is>
      </c>
    </row>
    <row r="1094">
      <c r="A1094" t="inlineStr">
        <is>
          <t>2022</t>
        </is>
      </c>
      <c r="B1094" t="inlineStr">
        <is>
          <t>C00415026</t>
        </is>
      </c>
      <c r="C1094" t="inlineStr">
        <is>
          <t>American Fuel &amp; Petrochemical Manufacturers PAC (AFPM PAC)</t>
        </is>
      </c>
      <c r="D1094" t="inlineStr">
        <is>
          <t>BUCSHON FOR CONGRESS</t>
        </is>
      </c>
      <c r="E1094" t="inlineStr">
        <is>
          <t>H0IN08114</t>
        </is>
      </c>
      <c r="F1094" t="inlineStr">
        <is>
          <t>REP</t>
        </is>
      </c>
      <c r="G1094" t="inlineStr">
        <is>
          <t>06282022</t>
        </is>
      </c>
      <c r="H1094" t="n">
        <v>1000</v>
      </c>
      <c r="I1094" t="inlineStr">
        <is>
          <t>202207149518443440</t>
        </is>
      </c>
      <c r="J1094" t="inlineStr">
        <is>
          <t>https://docquery.fec.gov/cgi-bin/fecimg/?202207149518443440</t>
        </is>
      </c>
    </row>
    <row r="1095">
      <c r="A1095" t="inlineStr">
        <is>
          <t>2022</t>
        </is>
      </c>
      <c r="B1095" t="inlineStr">
        <is>
          <t>C00415026</t>
        </is>
      </c>
      <c r="C1095" t="inlineStr">
        <is>
          <t>American Fuel &amp; Petrochemical Manufacturers PAC (AFPM PAC)</t>
        </is>
      </c>
      <c r="D1095" t="inlineStr">
        <is>
          <t>TEXANS FOR JODEY ARRINGTON</t>
        </is>
      </c>
      <c r="E1095" t="inlineStr">
        <is>
          <t>H6TX19099</t>
        </is>
      </c>
      <c r="F1095" t="inlineStr">
        <is>
          <t>REP</t>
        </is>
      </c>
      <c r="G1095" t="inlineStr">
        <is>
          <t>07132022</t>
        </is>
      </c>
      <c r="H1095" t="n">
        <v>2500</v>
      </c>
      <c r="I1095" t="inlineStr">
        <is>
          <t>202208189525508348</t>
        </is>
      </c>
      <c r="J1095" t="inlineStr">
        <is>
          <t>https://docquery.fec.gov/cgi-bin/fecimg/?202208189525508348</t>
        </is>
      </c>
    </row>
    <row r="1096">
      <c r="A1096" t="inlineStr">
        <is>
          <t>2022</t>
        </is>
      </c>
      <c r="B1096" t="inlineStr">
        <is>
          <t>C00415026</t>
        </is>
      </c>
      <c r="C1096" t="inlineStr">
        <is>
          <t>American Fuel &amp; Petrochemical Manufacturers PAC (AFPM PAC)</t>
        </is>
      </c>
      <c r="D1096" t="inlineStr">
        <is>
          <t>ELIZABETH PANNILL FLETCHER FOR CONGRESS</t>
        </is>
      </c>
      <c r="E1096" t="inlineStr">
        <is>
          <t>H8TX07140</t>
        </is>
      </c>
      <c r="F1096" t="inlineStr">
        <is>
          <t>DEM</t>
        </is>
      </c>
      <c r="G1096" t="inlineStr">
        <is>
          <t>07262021</t>
        </is>
      </c>
      <c r="H1096" t="n">
        <v>5000</v>
      </c>
      <c r="I1096" t="inlineStr">
        <is>
          <t>202108139466259839</t>
        </is>
      </c>
      <c r="J1096" t="inlineStr">
        <is>
          <t>https://docquery.fec.gov/cgi-bin/fecimg/?202108139466259839</t>
        </is>
      </c>
    </row>
    <row r="1097">
      <c r="A1097" t="inlineStr">
        <is>
          <t>2022</t>
        </is>
      </c>
      <c r="B1097" t="inlineStr">
        <is>
          <t>C00415026</t>
        </is>
      </c>
      <c r="C1097" t="inlineStr">
        <is>
          <t>American Fuel &amp; Petrochemical Manufacturers PAC (AFPM PAC)</t>
        </is>
      </c>
      <c r="D1097" t="inlineStr">
        <is>
          <t>VICENTE GONZALEZ FOR CONGRESS</t>
        </is>
      </c>
      <c r="E1097" t="inlineStr">
        <is>
          <t>H6TX15162</t>
        </is>
      </c>
      <c r="F1097" t="inlineStr">
        <is>
          <t>DEM</t>
        </is>
      </c>
      <c r="G1097" t="inlineStr">
        <is>
          <t>07262021</t>
        </is>
      </c>
      <c r="H1097" t="n">
        <v>4000</v>
      </c>
      <c r="I1097" t="inlineStr">
        <is>
          <t>202108139466259839</t>
        </is>
      </c>
      <c r="J1097" t="inlineStr">
        <is>
          <t>https://docquery.fec.gov/cgi-bin/fecimg/?202108139466259839</t>
        </is>
      </c>
    </row>
    <row r="1098">
      <c r="A1098" t="inlineStr">
        <is>
          <t>2022</t>
        </is>
      </c>
      <c r="B1098" t="inlineStr">
        <is>
          <t>C00415026</t>
        </is>
      </c>
      <c r="C1098" t="inlineStr">
        <is>
          <t>American Fuel &amp; Petrochemical Manufacturers PAC (AFPM PAC)</t>
        </is>
      </c>
      <c r="D1098" t="inlineStr">
        <is>
          <t>JIM BANKS FOR CONGRESS, INC.</t>
        </is>
      </c>
      <c r="E1098" t="inlineStr">
        <is>
          <t>H6IN03229</t>
        </is>
      </c>
      <c r="F1098" t="inlineStr">
        <is>
          <t>REP</t>
        </is>
      </c>
      <c r="G1098" t="inlineStr">
        <is>
          <t>08102022</t>
        </is>
      </c>
      <c r="H1098" t="n">
        <v>1000</v>
      </c>
      <c r="I1098" t="inlineStr">
        <is>
          <t>202209159528474521</t>
        </is>
      </c>
      <c r="J1098" t="inlineStr">
        <is>
          <t>https://docquery.fec.gov/cgi-bin/fecimg/?202209159528474521</t>
        </is>
      </c>
    </row>
    <row r="1099">
      <c r="A1099" t="inlineStr">
        <is>
          <t>2022</t>
        </is>
      </c>
      <c r="B1099" t="inlineStr">
        <is>
          <t>C00415026</t>
        </is>
      </c>
      <c r="C1099" t="inlineStr">
        <is>
          <t>American Fuel &amp; Petrochemical Manufacturers PAC (AFPM PAC)</t>
        </is>
      </c>
      <c r="D1099" t="inlineStr">
        <is>
          <t>BYRON DONALDS FOR CONGRESS</t>
        </is>
      </c>
      <c r="E1099" t="inlineStr">
        <is>
          <t>H2FL14186</t>
        </is>
      </c>
      <c r="F1099" t="inlineStr">
        <is>
          <t>REP</t>
        </is>
      </c>
      <c r="G1099" t="inlineStr">
        <is>
          <t>08102022</t>
        </is>
      </c>
      <c r="H1099" t="n">
        <v>1000</v>
      </c>
      <c r="I1099" t="inlineStr">
        <is>
          <t>202209159528474520</t>
        </is>
      </c>
      <c r="J1099" t="inlineStr">
        <is>
          <t>https://docquery.fec.gov/cgi-bin/fecimg/?202209159528474520</t>
        </is>
      </c>
    </row>
    <row r="1100">
      <c r="A1100" t="inlineStr">
        <is>
          <t>2022</t>
        </is>
      </c>
      <c r="B1100" t="inlineStr">
        <is>
          <t>C00415026</t>
        </is>
      </c>
      <c r="C1100" t="inlineStr">
        <is>
          <t>American Fuel &amp; Petrochemical Manufacturers PAC (AFPM PAC)</t>
        </is>
      </c>
      <c r="D1100" t="inlineStr">
        <is>
          <t>CAPITO FOR WEST VIRGINIA</t>
        </is>
      </c>
      <c r="E1100" t="inlineStr">
        <is>
          <t>S4WV00159</t>
        </is>
      </c>
      <c r="F1100" t="inlineStr">
        <is>
          <t>REP</t>
        </is>
      </c>
      <c r="G1100" t="inlineStr">
        <is>
          <t>08102022</t>
        </is>
      </c>
      <c r="H1100" t="n">
        <v>5000</v>
      </c>
      <c r="I1100" t="inlineStr">
        <is>
          <t>202209159528474520</t>
        </is>
      </c>
      <c r="J1100" t="inlineStr">
        <is>
          <t>https://docquery.fec.gov/cgi-bin/fecimg/?202209159528474520</t>
        </is>
      </c>
    </row>
    <row r="1101">
      <c r="A1101" t="inlineStr">
        <is>
          <t>2022</t>
        </is>
      </c>
      <c r="B1101" t="inlineStr">
        <is>
          <t>C00415026</t>
        </is>
      </c>
      <c r="C1101" t="inlineStr">
        <is>
          <t>American Fuel &amp; Petrochemical Manufacturers PAC (AFPM PAC)</t>
        </is>
      </c>
      <c r="D1101" t="inlineStr">
        <is>
          <t>CLOUD FOR CONGRESS</t>
        </is>
      </c>
      <c r="E1101" t="inlineStr">
        <is>
          <t>H8TX27049</t>
        </is>
      </c>
      <c r="F1101" t="inlineStr">
        <is>
          <t>REP</t>
        </is>
      </c>
      <c r="G1101" t="inlineStr">
        <is>
          <t>08102022</t>
        </is>
      </c>
      <c r="H1101" t="n">
        <v>1000</v>
      </c>
      <c r="I1101" t="inlineStr">
        <is>
          <t>202209159528474521</t>
        </is>
      </c>
      <c r="J1101" t="inlineStr">
        <is>
          <t>https://docquery.fec.gov/cgi-bin/fecimg/?202209159528474521</t>
        </is>
      </c>
    </row>
    <row r="1102">
      <c r="A1102" t="inlineStr">
        <is>
          <t>2022</t>
        </is>
      </c>
      <c r="B1102" t="inlineStr">
        <is>
          <t>C00415026</t>
        </is>
      </c>
      <c r="C1102" t="inlineStr">
        <is>
          <t>American Fuel &amp; Petrochemical Manufacturers PAC (AFPM PAC)</t>
        </is>
      </c>
      <c r="D1102" t="inlineStr">
        <is>
          <t>JOHN JAMES FOR CONGRESS, INC.</t>
        </is>
      </c>
      <c r="E1102" t="inlineStr">
        <is>
          <t>H2MI10150</t>
        </is>
      </c>
      <c r="F1102" t="inlineStr">
        <is>
          <t>REP</t>
        </is>
      </c>
      <c r="G1102" t="inlineStr">
        <is>
          <t>08102022</t>
        </is>
      </c>
      <c r="H1102" t="n">
        <v>1000</v>
      </c>
      <c r="I1102" t="inlineStr">
        <is>
          <t>202209159528474521</t>
        </is>
      </c>
      <c r="J1102" t="inlineStr">
        <is>
          <t>https://docquery.fec.gov/cgi-bin/fecimg/?202209159528474521</t>
        </is>
      </c>
    </row>
    <row r="1103">
      <c r="A1103" t="inlineStr">
        <is>
          <t>2022</t>
        </is>
      </c>
      <c r="B1103" t="inlineStr">
        <is>
          <t>C00415026</t>
        </is>
      </c>
      <c r="C1103" t="inlineStr">
        <is>
          <t>American Fuel &amp; Petrochemical Manufacturers PAC (AFPM PAC)</t>
        </is>
      </c>
      <c r="D1103" t="inlineStr">
        <is>
          <t>MONICA FOR CONGRESS</t>
        </is>
      </c>
      <c r="E1103" t="inlineStr">
        <is>
          <t>H0TX15124</t>
        </is>
      </c>
      <c r="F1103" t="inlineStr">
        <is>
          <t>REP</t>
        </is>
      </c>
      <c r="G1103" t="inlineStr">
        <is>
          <t>08102022</t>
        </is>
      </c>
      <c r="H1103" t="n">
        <v>1000</v>
      </c>
      <c r="I1103" t="inlineStr">
        <is>
          <t>202209159528474522</t>
        </is>
      </c>
      <c r="J1103" t="inlineStr">
        <is>
          <t>https://docquery.fec.gov/cgi-bin/fecimg/?202209159528474522</t>
        </is>
      </c>
    </row>
    <row r="1104">
      <c r="A1104" t="inlineStr">
        <is>
          <t>2022</t>
        </is>
      </c>
      <c r="B1104" t="inlineStr">
        <is>
          <t>C00415026</t>
        </is>
      </c>
      <c r="C1104" t="inlineStr">
        <is>
          <t>American Fuel &amp; Petrochemical Manufacturers PAC (AFPM PAC)</t>
        </is>
      </c>
      <c r="D1104" t="inlineStr">
        <is>
          <t>TEXANS FOR HENRY CUELLAR CONGRESSIONAL CAMPAIGN</t>
        </is>
      </c>
      <c r="E1104" t="inlineStr">
        <is>
          <t>H2TX23082</t>
        </is>
      </c>
      <c r="F1104" t="inlineStr">
        <is>
          <t>DEM</t>
        </is>
      </c>
      <c r="G1104" t="inlineStr">
        <is>
          <t>09152022</t>
        </is>
      </c>
      <c r="H1104" t="n">
        <v>5000</v>
      </c>
      <c r="I1104" t="inlineStr">
        <is>
          <t>202210079532089761</t>
        </is>
      </c>
      <c r="J1104" t="inlineStr">
        <is>
          <t>https://docquery.fec.gov/cgi-bin/fecimg/?202210079532089761</t>
        </is>
      </c>
    </row>
    <row r="1105">
      <c r="A1105" t="inlineStr">
        <is>
          <t>2022</t>
        </is>
      </c>
      <c r="B1105" t="inlineStr">
        <is>
          <t>C00415026</t>
        </is>
      </c>
      <c r="C1105" t="inlineStr">
        <is>
          <t>American Fuel &amp; Petrochemical Manufacturers PAC (AFPM PAC)</t>
        </is>
      </c>
      <c r="D1105" t="inlineStr">
        <is>
          <t>VICENTE GONZALEZ FOR CONGRESS</t>
        </is>
      </c>
      <c r="E1105" t="inlineStr">
        <is>
          <t>H6TX15162</t>
        </is>
      </c>
      <c r="F1105" t="inlineStr">
        <is>
          <t>DEM</t>
        </is>
      </c>
      <c r="G1105" t="inlineStr">
        <is>
          <t>09152022</t>
        </is>
      </c>
      <c r="H1105" t="n">
        <v>5000</v>
      </c>
      <c r="I1105" t="inlineStr">
        <is>
          <t>202210079532089762</t>
        </is>
      </c>
      <c r="J1105" t="inlineStr">
        <is>
          <t>https://docquery.fec.gov/cgi-bin/fecimg/?202210079532089762</t>
        </is>
      </c>
    </row>
    <row r="1106">
      <c r="A1106" t="inlineStr">
        <is>
          <t>2022</t>
        </is>
      </c>
      <c r="B1106" t="inlineStr">
        <is>
          <t>C00415026</t>
        </is>
      </c>
      <c r="C1106" t="inlineStr">
        <is>
          <t>American Fuel &amp; Petrochemical Manufacturers PAC (AFPM PAC)</t>
        </is>
      </c>
      <c r="D1106" t="inlineStr">
        <is>
          <t>TEXANS FOR HENRY CUELLAR CONGRESSIONAL CAMPAIGN</t>
        </is>
      </c>
      <c r="E1106" t="inlineStr">
        <is>
          <t>H2TX23082</t>
        </is>
      </c>
      <c r="F1106" t="inlineStr">
        <is>
          <t>DEM</t>
        </is>
      </c>
      <c r="G1106" t="inlineStr">
        <is>
          <t>09172021</t>
        </is>
      </c>
      <c r="H1106" t="n">
        <v>5000</v>
      </c>
      <c r="I1106" t="inlineStr">
        <is>
          <t>202110199467958951</t>
        </is>
      </c>
      <c r="J1106" t="inlineStr">
        <is>
          <t>https://docquery.fec.gov/cgi-bin/fecimg/?202110199467958951</t>
        </is>
      </c>
    </row>
    <row r="1107">
      <c r="A1107" t="inlineStr">
        <is>
          <t>2022</t>
        </is>
      </c>
      <c r="B1107" t="inlineStr">
        <is>
          <t>C00415026</t>
        </is>
      </c>
      <c r="C1107" t="inlineStr">
        <is>
          <t>American Fuel &amp; Petrochemical Manufacturers PAC (AFPM PAC)</t>
        </is>
      </c>
      <c r="D1107" t="inlineStr">
        <is>
          <t>JIM COSTA FOR CONGRESS</t>
        </is>
      </c>
      <c r="E1107" t="inlineStr">
        <is>
          <t>H4CA20082</t>
        </is>
      </c>
      <c r="F1107" t="inlineStr">
        <is>
          <t>DEM</t>
        </is>
      </c>
      <c r="G1107" t="inlineStr">
        <is>
          <t>09232021</t>
        </is>
      </c>
      <c r="H1107" t="n">
        <v>1000</v>
      </c>
      <c r="I1107" t="inlineStr">
        <is>
          <t>202110199467958949</t>
        </is>
      </c>
      <c r="J1107" t="inlineStr">
        <is>
          <t>https://docquery.fec.gov/cgi-bin/fecimg/?202110199467958949</t>
        </is>
      </c>
    </row>
    <row r="1108">
      <c r="A1108" t="inlineStr">
        <is>
          <t>2022</t>
        </is>
      </c>
      <c r="B1108" t="inlineStr">
        <is>
          <t>C00415026</t>
        </is>
      </c>
      <c r="C1108" t="inlineStr">
        <is>
          <t>American Fuel &amp; Petrochemical Manufacturers PAC (AFPM PAC)</t>
        </is>
      </c>
      <c r="D1108" t="inlineStr">
        <is>
          <t>MARCO RUBIO FOR SENATE</t>
        </is>
      </c>
      <c r="E1108" t="inlineStr">
        <is>
          <t>S0FL00338</t>
        </is>
      </c>
      <c r="F1108" t="inlineStr">
        <is>
          <t>REP</t>
        </is>
      </c>
      <c r="G1108" t="inlineStr">
        <is>
          <t>09232021</t>
        </is>
      </c>
      <c r="H1108" t="n">
        <v>1500</v>
      </c>
      <c r="I1108" t="inlineStr">
        <is>
          <t>202110199467958950</t>
        </is>
      </c>
      <c r="J1108" t="inlineStr">
        <is>
          <t>https://docquery.fec.gov/cgi-bin/fecimg/?202110199467958950</t>
        </is>
      </c>
    </row>
    <row r="1109">
      <c r="A1109" t="inlineStr">
        <is>
          <t>2022</t>
        </is>
      </c>
      <c r="B1109" t="inlineStr">
        <is>
          <t>C00415026</t>
        </is>
      </c>
      <c r="C1109" t="inlineStr">
        <is>
          <t>American Fuel &amp; Petrochemical Manufacturers PAC (AFPM PAC)</t>
        </is>
      </c>
      <c r="D1109" t="inlineStr">
        <is>
          <t>FRIENDS OF ALLAN FUNG</t>
        </is>
      </c>
      <c r="E1109" t="inlineStr">
        <is>
          <t>H2RI02226</t>
        </is>
      </c>
      <c r="F1109" t="inlineStr">
        <is>
          <t>REP</t>
        </is>
      </c>
      <c r="G1109" t="inlineStr">
        <is>
          <t>09272022</t>
        </is>
      </c>
      <c r="H1109" t="n">
        <v>1000</v>
      </c>
      <c r="I1109" t="inlineStr">
        <is>
          <t>202210079532089758</t>
        </is>
      </c>
      <c r="J1109" t="inlineStr">
        <is>
          <t>https://docquery.fec.gov/cgi-bin/fecimg/?202210079532089758</t>
        </is>
      </c>
    </row>
    <row r="1110">
      <c r="A1110" t="inlineStr">
        <is>
          <t>2022</t>
        </is>
      </c>
      <c r="B1110" t="inlineStr">
        <is>
          <t>C00415026</t>
        </is>
      </c>
      <c r="C1110" t="inlineStr">
        <is>
          <t>American Fuel &amp; Petrochemical Manufacturers PAC (AFPM PAC)</t>
        </is>
      </c>
      <c r="D1110" t="inlineStr">
        <is>
          <t>FRIENDS OF GLENN THOMPSON</t>
        </is>
      </c>
      <c r="E1110" t="inlineStr">
        <is>
          <t>H8PA05071</t>
        </is>
      </c>
      <c r="F1110" t="inlineStr">
        <is>
          <t>REP</t>
        </is>
      </c>
      <c r="G1110" t="inlineStr">
        <is>
          <t>09272022</t>
        </is>
      </c>
      <c r="H1110" t="n">
        <v>1500</v>
      </c>
      <c r="I1110" t="inlineStr">
        <is>
          <t>202210079532089759</t>
        </is>
      </c>
      <c r="J1110" t="inlineStr">
        <is>
          <t>https://docquery.fec.gov/cgi-bin/fecimg/?202210079532089759</t>
        </is>
      </c>
    </row>
    <row r="1111">
      <c r="A1111" t="inlineStr">
        <is>
          <t>2022</t>
        </is>
      </c>
      <c r="B1111" t="inlineStr">
        <is>
          <t>C00415026</t>
        </is>
      </c>
      <c r="C1111" t="inlineStr">
        <is>
          <t>American Fuel &amp; Petrochemical Manufacturers PAC (AFPM PAC)</t>
        </is>
      </c>
      <c r="D1111" t="inlineStr">
        <is>
          <t>FRIENDS OF JEREMY SHAFFER</t>
        </is>
      </c>
      <c r="E1111" t="inlineStr">
        <is>
          <t>H2PA17160</t>
        </is>
      </c>
      <c r="F1111" t="inlineStr">
        <is>
          <t>REP</t>
        </is>
      </c>
      <c r="G1111" t="inlineStr">
        <is>
          <t>09272022</t>
        </is>
      </c>
      <c r="H1111" t="n">
        <v>2500</v>
      </c>
      <c r="I1111" t="inlineStr">
        <is>
          <t>202210079532089759</t>
        </is>
      </c>
      <c r="J1111" t="inlineStr">
        <is>
          <t>https://docquery.fec.gov/cgi-bin/fecimg/?202210079532089759</t>
        </is>
      </c>
    </row>
    <row r="1112">
      <c r="A1112" t="inlineStr">
        <is>
          <t>2022</t>
        </is>
      </c>
      <c r="B1112" t="inlineStr">
        <is>
          <t>C00415026</t>
        </is>
      </c>
      <c r="C1112" t="inlineStr">
        <is>
          <t>American Fuel &amp; Petrochemical Manufacturers PAC (AFPM PAC)</t>
        </is>
      </c>
      <c r="D1112" t="inlineStr">
        <is>
          <t>FRIENDS OF MIKE LEE INC</t>
        </is>
      </c>
      <c r="E1112" t="inlineStr">
        <is>
          <t>S0UT00165</t>
        </is>
      </c>
      <c r="F1112" t="inlineStr">
        <is>
          <t>REP</t>
        </is>
      </c>
      <c r="G1112" t="inlineStr">
        <is>
          <t>09272022</t>
        </is>
      </c>
      <c r="H1112" t="n">
        <v>2500</v>
      </c>
      <c r="I1112" t="inlineStr">
        <is>
          <t>202210079532089759</t>
        </is>
      </c>
      <c r="J1112" t="inlineStr">
        <is>
          <t>https://docquery.fec.gov/cgi-bin/fecimg/?202210079532089759</t>
        </is>
      </c>
    </row>
    <row r="1113">
      <c r="A1113" t="inlineStr">
        <is>
          <t>2022</t>
        </is>
      </c>
      <c r="B1113" t="inlineStr">
        <is>
          <t>C00415026</t>
        </is>
      </c>
      <c r="C1113" t="inlineStr">
        <is>
          <t>American Fuel &amp; Petrochemical Manufacturers PAC (AFPM PAC)</t>
        </is>
      </c>
      <c r="D1113" t="inlineStr">
        <is>
          <t>HERN FOR CONGRESS</t>
        </is>
      </c>
      <c r="E1113" t="inlineStr">
        <is>
          <t>H8OK01157</t>
        </is>
      </c>
      <c r="F1113" t="inlineStr">
        <is>
          <t>REP</t>
        </is>
      </c>
      <c r="G1113" t="inlineStr">
        <is>
          <t>09272022</t>
        </is>
      </c>
      <c r="H1113" t="n">
        <v>1500</v>
      </c>
      <c r="I1113" t="inlineStr">
        <is>
          <t>202210079532089760</t>
        </is>
      </c>
      <c r="J1113" t="inlineStr">
        <is>
          <t>https://docquery.fec.gov/cgi-bin/fecimg/?202210079532089760</t>
        </is>
      </c>
    </row>
    <row r="1114">
      <c r="A1114" t="inlineStr">
        <is>
          <t>2022</t>
        </is>
      </c>
      <c r="B1114" t="inlineStr">
        <is>
          <t>C00415026</t>
        </is>
      </c>
      <c r="C1114" t="inlineStr">
        <is>
          <t>American Fuel &amp; Petrochemical Manufacturers PAC (AFPM PAC)</t>
        </is>
      </c>
      <c r="D1114" t="inlineStr">
        <is>
          <t>TEXANS FOR MORGAN LUTTRELL</t>
        </is>
      </c>
      <c r="E1114" t="inlineStr">
        <is>
          <t>H2TX08182</t>
        </is>
      </c>
      <c r="F1114" t="inlineStr">
        <is>
          <t>REP</t>
        </is>
      </c>
      <c r="G1114" t="inlineStr">
        <is>
          <t>09272022</t>
        </is>
      </c>
      <c r="H1114" t="n">
        <v>2500</v>
      </c>
      <c r="I1114" t="inlineStr">
        <is>
          <t>202210079532089762</t>
        </is>
      </c>
      <c r="J1114" t="inlineStr">
        <is>
          <t>https://docquery.fec.gov/cgi-bin/fecimg/?202210079532089762</t>
        </is>
      </c>
    </row>
    <row r="1115">
      <c r="A1115" t="inlineStr">
        <is>
          <t>2022</t>
        </is>
      </c>
      <c r="B1115" t="inlineStr">
        <is>
          <t>C00415026</t>
        </is>
      </c>
      <c r="C1115" t="inlineStr">
        <is>
          <t>American Fuel &amp; Petrochemical Manufacturers PAC (AFPM PAC)</t>
        </is>
      </c>
      <c r="D1115" t="inlineStr">
        <is>
          <t>VERN BUCHANAN FOR CONGRESS</t>
        </is>
      </c>
      <c r="E1115" t="inlineStr">
        <is>
          <t>H6FL13148</t>
        </is>
      </c>
      <c r="F1115" t="inlineStr">
        <is>
          <t>REP</t>
        </is>
      </c>
      <c r="G1115" t="inlineStr">
        <is>
          <t>09272022</t>
        </is>
      </c>
      <c r="H1115" t="n">
        <v>2500</v>
      </c>
      <c r="I1115" t="inlineStr">
        <is>
          <t>202210079532089762</t>
        </is>
      </c>
      <c r="J1115" t="inlineStr">
        <is>
          <t>https://docquery.fec.gov/cgi-bin/fecimg/?202210079532089762</t>
        </is>
      </c>
    </row>
    <row r="1116">
      <c r="A1116" t="inlineStr">
        <is>
          <t>2022</t>
        </is>
      </c>
      <c r="B1116" t="inlineStr">
        <is>
          <t>C00415026</t>
        </is>
      </c>
      <c r="C1116" t="inlineStr">
        <is>
          <t>American Fuel &amp; Petrochemical Manufacturers PAC (AFPM PAC)</t>
        </is>
      </c>
      <c r="D1116" t="inlineStr">
        <is>
          <t>JEFF DUNCAN FOR CONGRESS</t>
        </is>
      </c>
      <c r="E1116" t="inlineStr">
        <is>
          <t>H0SC03077</t>
        </is>
      </c>
      <c r="F1116" t="inlineStr">
        <is>
          <t>REP</t>
        </is>
      </c>
      <c r="G1116" t="inlineStr">
        <is>
          <t>09272022</t>
        </is>
      </c>
      <c r="H1116" t="n">
        <v>2500</v>
      </c>
      <c r="I1116" t="inlineStr">
        <is>
          <t>202210079532089760</t>
        </is>
      </c>
      <c r="J1116" t="inlineStr">
        <is>
          <t>https://docquery.fec.gov/cgi-bin/fecimg/?202210079532089760</t>
        </is>
      </c>
    </row>
    <row r="1117">
      <c r="A1117" t="inlineStr">
        <is>
          <t>2022</t>
        </is>
      </c>
      <c r="B1117" t="inlineStr">
        <is>
          <t>C00415026</t>
        </is>
      </c>
      <c r="C1117" t="inlineStr">
        <is>
          <t>American Fuel &amp; Petrochemical Manufacturers PAC (AFPM PAC)</t>
        </is>
      </c>
      <c r="D1117" t="inlineStr">
        <is>
          <t>MIKE JOHNSON FOR LOUISIANA</t>
        </is>
      </c>
      <c r="E1117" t="inlineStr">
        <is>
          <t>H6LA04138</t>
        </is>
      </c>
      <c r="F1117" t="inlineStr">
        <is>
          <t>REP</t>
        </is>
      </c>
      <c r="G1117" t="inlineStr">
        <is>
          <t>09272022</t>
        </is>
      </c>
      <c r="H1117" t="n">
        <v>1500</v>
      </c>
      <c r="I1117" t="inlineStr">
        <is>
          <t>202210079532089760</t>
        </is>
      </c>
      <c r="J1117" t="inlineStr">
        <is>
          <t>https://docquery.fec.gov/cgi-bin/fecimg/?202210079532089760</t>
        </is>
      </c>
    </row>
    <row r="1118">
      <c r="A1118" t="inlineStr">
        <is>
          <t>2022</t>
        </is>
      </c>
      <c r="B1118" t="inlineStr">
        <is>
          <t>C00415026</t>
        </is>
      </c>
      <c r="C1118" t="inlineStr">
        <is>
          <t>American Fuel &amp; Petrochemical Manufacturers PAC (AFPM PAC)</t>
        </is>
      </c>
      <c r="D1118" t="inlineStr">
        <is>
          <t>RON ESTES FOR CONGRESS</t>
        </is>
      </c>
      <c r="E1118" t="inlineStr">
        <is>
          <t>H8KS04112</t>
        </is>
      </c>
      <c r="F1118" t="inlineStr">
        <is>
          <t>REP</t>
        </is>
      </c>
      <c r="G1118" t="inlineStr">
        <is>
          <t>09272022</t>
        </is>
      </c>
      <c r="H1118" t="n">
        <v>1500</v>
      </c>
      <c r="I1118" t="inlineStr">
        <is>
          <t>202210079532089761</t>
        </is>
      </c>
      <c r="J1118" t="inlineStr">
        <is>
          <t>https://docquery.fec.gov/cgi-bin/fecimg/?202210079532089761</t>
        </is>
      </c>
    </row>
    <row r="1119">
      <c r="A1119" t="inlineStr">
        <is>
          <t>2022</t>
        </is>
      </c>
      <c r="B1119" t="inlineStr">
        <is>
          <t>C00415026</t>
        </is>
      </c>
      <c r="C1119" t="inlineStr">
        <is>
          <t>American Fuel &amp; Petrochemical Manufacturers PAC (AFPM PAC)</t>
        </is>
      </c>
      <c r="D1119" t="inlineStr">
        <is>
          <t>ADRIAN SMITH FOR CONGRESS</t>
        </is>
      </c>
      <c r="E1119" t="inlineStr">
        <is>
          <t>H6NE03115</t>
        </is>
      </c>
      <c r="F1119" t="inlineStr">
        <is>
          <t>REP</t>
        </is>
      </c>
      <c r="G1119" t="inlineStr">
        <is>
          <t>09272022</t>
        </is>
      </c>
      <c r="H1119" t="n">
        <v>2500</v>
      </c>
      <c r="I1119" t="inlineStr">
        <is>
          <t>202210079532089756</t>
        </is>
      </c>
      <c r="J1119" t="inlineStr">
        <is>
          <t>https://docquery.fec.gov/cgi-bin/fecimg/?202210079532089756</t>
        </is>
      </c>
    </row>
    <row r="1120">
      <c r="A1120" t="inlineStr">
        <is>
          <t>2022</t>
        </is>
      </c>
      <c r="B1120" t="inlineStr">
        <is>
          <t>C00415026</t>
        </is>
      </c>
      <c r="C1120" t="inlineStr">
        <is>
          <t>American Fuel &amp; Petrochemical Manufacturers PAC (AFPM PAC)</t>
        </is>
      </c>
      <c r="D1120" t="inlineStr">
        <is>
          <t>ARMSTRONG FOR CONGRESS</t>
        </is>
      </c>
      <c r="E1120" t="inlineStr">
        <is>
          <t>H8ND00096</t>
        </is>
      </c>
      <c r="F1120" t="inlineStr">
        <is>
          <t>REP</t>
        </is>
      </c>
      <c r="G1120" t="inlineStr">
        <is>
          <t>09272022</t>
        </is>
      </c>
      <c r="H1120" t="n">
        <v>2500</v>
      </c>
      <c r="I1120" t="inlineStr">
        <is>
          <t>202210079532089756</t>
        </is>
      </c>
      <c r="J1120" t="inlineStr">
        <is>
          <t>https://docquery.fec.gov/cgi-bin/fecimg/?202210079532089756</t>
        </is>
      </c>
    </row>
    <row r="1121">
      <c r="A1121" t="inlineStr">
        <is>
          <t>2022</t>
        </is>
      </c>
      <c r="B1121" t="inlineStr">
        <is>
          <t>C00415026</t>
        </is>
      </c>
      <c r="C1121" t="inlineStr">
        <is>
          <t>American Fuel &amp; Petrochemical Manufacturers PAC (AFPM PAC)</t>
        </is>
      </c>
      <c r="D1121" t="inlineStr">
        <is>
          <t>ASHLEY HINSON FOR CONGRESS</t>
        </is>
      </c>
      <c r="E1121" t="inlineStr">
        <is>
          <t>H0IA01174</t>
        </is>
      </c>
      <c r="F1121" t="inlineStr">
        <is>
          <t>REP</t>
        </is>
      </c>
      <c r="G1121" t="inlineStr">
        <is>
          <t>09272022</t>
        </is>
      </c>
      <c r="H1121" t="n">
        <v>4000</v>
      </c>
      <c r="I1121" t="inlineStr">
        <is>
          <t>202210079532089756</t>
        </is>
      </c>
      <c r="J1121" t="inlineStr">
        <is>
          <t>https://docquery.fec.gov/cgi-bin/fecimg/?202210079532089756</t>
        </is>
      </c>
    </row>
    <row r="1122">
      <c r="A1122" t="inlineStr">
        <is>
          <t>2022</t>
        </is>
      </c>
      <c r="B1122" t="inlineStr">
        <is>
          <t>C00415026</t>
        </is>
      </c>
      <c r="C1122" t="inlineStr">
        <is>
          <t>American Fuel &amp; Petrochemical Manufacturers PAC (AFPM PAC)</t>
        </is>
      </c>
      <c r="D1122" t="inlineStr">
        <is>
          <t>BICE FOR CONGRESS</t>
        </is>
      </c>
      <c r="E1122" t="inlineStr">
        <is>
          <t>H0OK05205</t>
        </is>
      </c>
      <c r="F1122" t="inlineStr">
        <is>
          <t>REP</t>
        </is>
      </c>
      <c r="G1122" t="inlineStr">
        <is>
          <t>09272022</t>
        </is>
      </c>
      <c r="H1122" t="n">
        <v>1500</v>
      </c>
      <c r="I1122" t="inlineStr">
        <is>
          <t>202210079532089757</t>
        </is>
      </c>
      <c r="J1122" t="inlineStr">
        <is>
          <t>https://docquery.fec.gov/cgi-bin/fecimg/?202210079532089757</t>
        </is>
      </c>
    </row>
    <row r="1123">
      <c r="A1123" t="inlineStr">
        <is>
          <t>2022</t>
        </is>
      </c>
      <c r="B1123" t="inlineStr">
        <is>
          <t>C00415026</t>
        </is>
      </c>
      <c r="C1123" t="inlineStr">
        <is>
          <t>American Fuel &amp; Petrochemical Manufacturers PAC (AFPM PAC)</t>
        </is>
      </c>
      <c r="D1123" t="inlineStr">
        <is>
          <t>COLE FOR CONGRESS</t>
        </is>
      </c>
      <c r="E1123" t="inlineStr">
        <is>
          <t>H2OK04055</t>
        </is>
      </c>
      <c r="F1123" t="inlineStr">
        <is>
          <t>REP</t>
        </is>
      </c>
      <c r="G1123" t="inlineStr">
        <is>
          <t>09272022</t>
        </is>
      </c>
      <c r="H1123" t="n">
        <v>2500</v>
      </c>
      <c r="I1123" t="inlineStr">
        <is>
          <t>202210079532089757</t>
        </is>
      </c>
      <c r="J1123" t="inlineStr">
        <is>
          <t>https://docquery.fec.gov/cgi-bin/fecimg/?202210079532089757</t>
        </is>
      </c>
    </row>
    <row r="1124">
      <c r="A1124" t="inlineStr">
        <is>
          <t>2022</t>
        </is>
      </c>
      <c r="B1124" t="inlineStr">
        <is>
          <t>C00415026</t>
        </is>
      </c>
      <c r="C1124" t="inlineStr">
        <is>
          <t>American Fuel &amp; Petrochemical Manufacturers PAC (AFPM PAC)</t>
        </is>
      </c>
      <c r="D1124" t="inlineStr">
        <is>
          <t>COMER FOR CONGRESS</t>
        </is>
      </c>
      <c r="E1124" t="inlineStr">
        <is>
          <t>H6KY01110</t>
        </is>
      </c>
      <c r="F1124" t="inlineStr">
        <is>
          <t>REP</t>
        </is>
      </c>
      <c r="G1124" t="inlineStr">
        <is>
          <t>09272022</t>
        </is>
      </c>
      <c r="H1124" t="n">
        <v>2500</v>
      </c>
      <c r="I1124" t="inlineStr">
        <is>
          <t>202210079532089757</t>
        </is>
      </c>
      <c r="J1124" t="inlineStr">
        <is>
          <t>https://docquery.fec.gov/cgi-bin/fecimg/?202210079532089757</t>
        </is>
      </c>
    </row>
    <row r="1125">
      <c r="A1125" t="inlineStr">
        <is>
          <t>2022</t>
        </is>
      </c>
      <c r="B1125" t="inlineStr">
        <is>
          <t>C00415026</t>
        </is>
      </c>
      <c r="C1125" t="inlineStr">
        <is>
          <t>American Fuel &amp; Petrochemical Manufacturers PAC (AFPM PAC)</t>
        </is>
      </c>
      <c r="D1125" t="inlineStr">
        <is>
          <t>DAN CRENSHAW FOR CONGRESS</t>
        </is>
      </c>
      <c r="E1125" t="inlineStr">
        <is>
          <t>H8TX02166</t>
        </is>
      </c>
      <c r="F1125" t="inlineStr">
        <is>
          <t>REP</t>
        </is>
      </c>
      <c r="G1125" t="inlineStr">
        <is>
          <t>09272022</t>
        </is>
      </c>
      <c r="H1125" t="n">
        <v>2500</v>
      </c>
      <c r="I1125" t="inlineStr">
        <is>
          <t>202210079532089758</t>
        </is>
      </c>
      <c r="J1125" t="inlineStr">
        <is>
          <t>https://docquery.fec.gov/cgi-bin/fecimg/?202210079532089758</t>
        </is>
      </c>
    </row>
    <row r="1126">
      <c r="A1126" t="inlineStr">
        <is>
          <t>2022</t>
        </is>
      </c>
      <c r="B1126" t="inlineStr">
        <is>
          <t>C00415026</t>
        </is>
      </c>
      <c r="C1126" t="inlineStr">
        <is>
          <t>American Fuel &amp; Petrochemical Manufacturers PAC (AFPM PAC)</t>
        </is>
      </c>
      <c r="D1126" t="inlineStr">
        <is>
          <t>DREW FERGUSON FOR CONGRESS INC.</t>
        </is>
      </c>
      <c r="E1126" t="inlineStr">
        <is>
          <t>H6GA03113</t>
        </is>
      </c>
      <c r="F1126" t="inlineStr">
        <is>
          <t>REP</t>
        </is>
      </c>
      <c r="G1126" t="inlineStr">
        <is>
          <t>09272022</t>
        </is>
      </c>
      <c r="H1126" t="n">
        <v>2500</v>
      </c>
      <c r="I1126" t="inlineStr">
        <is>
          <t>202210079532089758</t>
        </is>
      </c>
      <c r="J1126" t="inlineStr">
        <is>
          <t>https://docquery.fec.gov/cgi-bin/fecimg/?202210079532089758</t>
        </is>
      </c>
    </row>
    <row r="1127">
      <c r="A1127" t="inlineStr">
        <is>
          <t>2022</t>
        </is>
      </c>
      <c r="B1127" t="inlineStr">
        <is>
          <t>C00415026</t>
        </is>
      </c>
      <c r="C1127" t="inlineStr">
        <is>
          <t>American Fuel &amp; Petrochemical Manufacturers PAC (AFPM PAC)</t>
        </is>
      </c>
      <c r="D1127" t="inlineStr">
        <is>
          <t>BICE FOR CONGRESS</t>
        </is>
      </c>
      <c r="E1127" t="inlineStr">
        <is>
          <t>H0OK05205</t>
        </is>
      </c>
      <c r="F1127" t="inlineStr">
        <is>
          <t>REP</t>
        </is>
      </c>
      <c r="G1127" t="inlineStr">
        <is>
          <t>09282021</t>
        </is>
      </c>
      <c r="H1127" t="n">
        <v>2500</v>
      </c>
      <c r="I1127" t="inlineStr">
        <is>
          <t>202110199467958949</t>
        </is>
      </c>
      <c r="J1127" t="inlineStr">
        <is>
          <t>https://docquery.fec.gov/cgi-bin/fecimg/?202110199467958949</t>
        </is>
      </c>
    </row>
    <row r="1128">
      <c r="A1128" t="inlineStr">
        <is>
          <t>2022</t>
        </is>
      </c>
      <c r="B1128" t="inlineStr">
        <is>
          <t>C00415026</t>
        </is>
      </c>
      <c r="C1128" t="inlineStr">
        <is>
          <t>American Fuel &amp; Petrochemical Manufacturers PAC (AFPM PAC)</t>
        </is>
      </c>
      <c r="D1128" t="inlineStr">
        <is>
          <t>HUDSON FOR CONGRESS</t>
        </is>
      </c>
      <c r="E1128" t="inlineStr">
        <is>
          <t>H2NC08185</t>
        </is>
      </c>
      <c r="F1128" t="inlineStr">
        <is>
          <t>REP</t>
        </is>
      </c>
      <c r="G1128" t="inlineStr">
        <is>
          <t>09282021</t>
        </is>
      </c>
      <c r="H1128" t="n">
        <v>1000</v>
      </c>
      <c r="I1128" t="inlineStr">
        <is>
          <t>202110199467958949</t>
        </is>
      </c>
      <c r="J1128" t="inlineStr">
        <is>
          <t>https://docquery.fec.gov/cgi-bin/fecimg/?202110199467958949</t>
        </is>
      </c>
    </row>
    <row r="1129">
      <c r="A1129" t="inlineStr">
        <is>
          <t>2022</t>
        </is>
      </c>
      <c r="B1129" t="inlineStr">
        <is>
          <t>C00415026</t>
        </is>
      </c>
      <c r="C1129" t="inlineStr">
        <is>
          <t>American Fuel &amp; Petrochemical Manufacturers PAC (AFPM PAC)</t>
        </is>
      </c>
      <c r="D1129" t="inlineStr">
        <is>
          <t>KURT SCHRADER FOR CONGRESS</t>
        </is>
      </c>
      <c r="E1129" t="inlineStr">
        <is>
          <t>H8OR05107</t>
        </is>
      </c>
      <c r="F1129" t="inlineStr">
        <is>
          <t>DEM</t>
        </is>
      </c>
      <c r="G1129" t="inlineStr">
        <is>
          <t>09282021</t>
        </is>
      </c>
      <c r="H1129" t="n">
        <v>1500</v>
      </c>
      <c r="I1129" t="inlineStr">
        <is>
          <t>202110199467958950</t>
        </is>
      </c>
      <c r="J1129" t="inlineStr">
        <is>
          <t>https://docquery.fec.gov/cgi-bin/fecimg/?202110199467958950</t>
        </is>
      </c>
    </row>
    <row r="1130">
      <c r="A1130" t="inlineStr">
        <is>
          <t>2022</t>
        </is>
      </c>
      <c r="B1130" t="inlineStr">
        <is>
          <t>C00415026</t>
        </is>
      </c>
      <c r="C1130" t="inlineStr">
        <is>
          <t>American Fuel &amp; Petrochemical Manufacturers PAC (AFPM PAC)</t>
        </is>
      </c>
      <c r="D1130" t="inlineStr">
        <is>
          <t>PETE STAUBER FOR CONGRESS</t>
        </is>
      </c>
      <c r="E1130" t="inlineStr">
        <is>
          <t>H8MN08043</t>
        </is>
      </c>
      <c r="F1130" t="inlineStr">
        <is>
          <t>REP</t>
        </is>
      </c>
      <c r="G1130" t="inlineStr">
        <is>
          <t>09282021</t>
        </is>
      </c>
      <c r="H1130" t="n">
        <v>2500</v>
      </c>
      <c r="I1130" t="inlineStr">
        <is>
          <t>202110199467958950</t>
        </is>
      </c>
      <c r="J1130" t="inlineStr">
        <is>
          <t>https://docquery.fec.gov/cgi-bin/fecimg/?202110199467958950</t>
        </is>
      </c>
    </row>
    <row r="1131">
      <c r="A1131" t="inlineStr">
        <is>
          <t>2022</t>
        </is>
      </c>
      <c r="B1131" t="inlineStr">
        <is>
          <t>C00415026</t>
        </is>
      </c>
      <c r="C1131" t="inlineStr">
        <is>
          <t>American Fuel &amp; Petrochemical Manufacturers PAC (AFPM PAC)</t>
        </is>
      </c>
      <c r="D1131" t="inlineStr">
        <is>
          <t>AMANDA ADKINS FOR CONGRESS</t>
        </is>
      </c>
      <c r="E1131" t="inlineStr">
        <is>
          <t>H0KS03236</t>
        </is>
      </c>
      <c r="F1131" t="inlineStr">
        <is>
          <t>REP</t>
        </is>
      </c>
      <c r="G1131" t="inlineStr">
        <is>
          <t>10122022</t>
        </is>
      </c>
      <c r="H1131" t="n">
        <v>2500</v>
      </c>
      <c r="I1131" t="inlineStr">
        <is>
          <t>202210269541664075</t>
        </is>
      </c>
      <c r="J1131" t="inlineStr">
        <is>
          <t>https://docquery.fec.gov/cgi-bin/fecimg/?202210269541664075</t>
        </is>
      </c>
    </row>
    <row r="1132">
      <c r="A1132" t="inlineStr">
        <is>
          <t>2022</t>
        </is>
      </c>
      <c r="B1132" t="inlineStr">
        <is>
          <t>C00415026</t>
        </is>
      </c>
      <c r="C1132" t="inlineStr">
        <is>
          <t>American Fuel &amp; Petrochemical Manufacturers PAC (AFPM PAC)</t>
        </is>
      </c>
      <c r="D1132" t="inlineStr">
        <is>
          <t>AUGUST PFLUGER FOR CONGRESS</t>
        </is>
      </c>
      <c r="E1132" t="inlineStr">
        <is>
          <t>H0TX11230</t>
        </is>
      </c>
      <c r="F1132" t="inlineStr">
        <is>
          <t>REP</t>
        </is>
      </c>
      <c r="G1132" t="inlineStr">
        <is>
          <t>10122022</t>
        </is>
      </c>
      <c r="H1132" t="n">
        <v>2500</v>
      </c>
      <c r="I1132" t="inlineStr">
        <is>
          <t>202210269541664075</t>
        </is>
      </c>
      <c r="J1132" t="inlineStr">
        <is>
          <t>https://docquery.fec.gov/cgi-bin/fecimg/?202210269541664075</t>
        </is>
      </c>
    </row>
    <row r="1133">
      <c r="A1133" t="inlineStr">
        <is>
          <t>2022</t>
        </is>
      </c>
      <c r="B1133" t="inlineStr">
        <is>
          <t>C00415026</t>
        </is>
      </c>
      <c r="C1133" t="inlineStr">
        <is>
          <t>American Fuel &amp; Petrochemical Manufacturers PAC (AFPM PAC)</t>
        </is>
      </c>
      <c r="D1133" t="inlineStr">
        <is>
          <t>BRITT FOR ALABAMA INC</t>
        </is>
      </c>
      <c r="E1133" t="inlineStr">
        <is>
          <t>S2AL00145</t>
        </is>
      </c>
      <c r="F1133" t="inlineStr">
        <is>
          <t>REP</t>
        </is>
      </c>
      <c r="G1133" t="inlineStr">
        <is>
          <t>10122022</t>
        </is>
      </c>
      <c r="H1133" t="n">
        <v>2500</v>
      </c>
      <c r="I1133" t="inlineStr">
        <is>
          <t>202210269541664076</t>
        </is>
      </c>
      <c r="J1133" t="inlineStr">
        <is>
          <t>https://docquery.fec.gov/cgi-bin/fecimg/?202210269541664076</t>
        </is>
      </c>
    </row>
    <row r="1134">
      <c r="A1134" t="inlineStr">
        <is>
          <t>2022</t>
        </is>
      </c>
      <c r="B1134" t="inlineStr">
        <is>
          <t>C00415026</t>
        </is>
      </c>
      <c r="C1134" t="inlineStr">
        <is>
          <t>American Fuel &amp; Petrochemical Manufacturers PAC (AFPM PAC)</t>
        </is>
      </c>
      <c r="D1134" t="inlineStr">
        <is>
          <t>BRUCE POLIQUIN FOR CONGRESS</t>
        </is>
      </c>
      <c r="E1134" t="inlineStr">
        <is>
          <t>H4ME02234</t>
        </is>
      </c>
      <c r="F1134" t="inlineStr">
        <is>
          <t>REP</t>
        </is>
      </c>
      <c r="G1134" t="inlineStr">
        <is>
          <t>10122022</t>
        </is>
      </c>
      <c r="H1134" t="n">
        <v>2500</v>
      </c>
      <c r="I1134" t="inlineStr">
        <is>
          <t>202210269541664076</t>
        </is>
      </c>
      <c r="J1134" t="inlineStr">
        <is>
          <t>https://docquery.fec.gov/cgi-bin/fecimg/?202210269541664076</t>
        </is>
      </c>
    </row>
    <row r="1135">
      <c r="A1135" t="inlineStr">
        <is>
          <t>2022</t>
        </is>
      </c>
      <c r="B1135" t="inlineStr">
        <is>
          <t>C00415026</t>
        </is>
      </c>
      <c r="C1135" t="inlineStr">
        <is>
          <t>American Fuel &amp; Petrochemical Manufacturers PAC (AFPM PAC)</t>
        </is>
      </c>
      <c r="D1135" t="inlineStr">
        <is>
          <t>MIKE CRAPO FOR US SENATE</t>
        </is>
      </c>
      <c r="E1135" t="inlineStr">
        <is>
          <t>S8ID00027</t>
        </is>
      </c>
      <c r="F1135" t="inlineStr">
        <is>
          <t>REP</t>
        </is>
      </c>
      <c r="G1135" t="inlineStr">
        <is>
          <t>10122022</t>
        </is>
      </c>
      <c r="H1135" t="n">
        <v>2500</v>
      </c>
      <c r="I1135" t="inlineStr">
        <is>
          <t>202210269541664082</t>
        </is>
      </c>
      <c r="J1135" t="inlineStr">
        <is>
          <t>https://docquery.fec.gov/cgi-bin/fecimg/?202210269541664082</t>
        </is>
      </c>
    </row>
    <row r="1136">
      <c r="A1136" t="inlineStr">
        <is>
          <t>2022</t>
        </is>
      </c>
      <c r="B1136" t="inlineStr">
        <is>
          <t>C00415026</t>
        </is>
      </c>
      <c r="C1136" t="inlineStr">
        <is>
          <t>American Fuel &amp; Petrochemical Manufacturers PAC (AFPM PAC)</t>
        </is>
      </c>
      <c r="D1136" t="inlineStr">
        <is>
          <t>ROGER WILLIAMS FOR U S CONGRESS COMMITTEE</t>
        </is>
      </c>
      <c r="E1136" t="inlineStr">
        <is>
          <t>H2TX33040</t>
        </is>
      </c>
      <c r="F1136" t="inlineStr">
        <is>
          <t>REP</t>
        </is>
      </c>
      <c r="G1136" t="inlineStr">
        <is>
          <t>10122022</t>
        </is>
      </c>
      <c r="H1136" t="n">
        <v>2500</v>
      </c>
      <c r="I1136" t="inlineStr">
        <is>
          <t>202210269541664083</t>
        </is>
      </c>
      <c r="J1136" t="inlineStr">
        <is>
          <t>https://docquery.fec.gov/cgi-bin/fecimg/?202210269541664083</t>
        </is>
      </c>
    </row>
    <row r="1137">
      <c r="A1137" t="inlineStr">
        <is>
          <t>2022</t>
        </is>
      </c>
      <c r="B1137" t="inlineStr">
        <is>
          <t>C00415026</t>
        </is>
      </c>
      <c r="C1137" t="inlineStr">
        <is>
          <t>American Fuel &amp; Petrochemical Manufacturers PAC (AFPM PAC)</t>
        </is>
      </c>
      <c r="D1137" t="inlineStr">
        <is>
          <t>WESTERMAN FOR CONGRESS</t>
        </is>
      </c>
      <c r="E1137" t="inlineStr">
        <is>
          <t>H4AR04048</t>
        </is>
      </c>
      <c r="F1137" t="inlineStr">
        <is>
          <t>REP</t>
        </is>
      </c>
      <c r="G1137" t="inlineStr">
        <is>
          <t>10122022</t>
        </is>
      </c>
      <c r="H1137" t="n">
        <v>5000</v>
      </c>
      <c r="I1137" t="inlineStr">
        <is>
          <t>202210269541664084</t>
        </is>
      </c>
      <c r="J1137" t="inlineStr">
        <is>
          <t>https://docquery.fec.gov/cgi-bin/fecimg/?202210269541664084</t>
        </is>
      </c>
    </row>
    <row r="1138">
      <c r="A1138" t="inlineStr">
        <is>
          <t>2022</t>
        </is>
      </c>
      <c r="B1138" t="inlineStr">
        <is>
          <t>C00415026</t>
        </is>
      </c>
      <c r="C1138" t="inlineStr">
        <is>
          <t>American Fuel &amp; Petrochemical Manufacturers PAC (AFPM PAC)</t>
        </is>
      </c>
      <c r="D1138" t="inlineStr">
        <is>
          <t>CAREY FOR CONGRESS</t>
        </is>
      </c>
      <c r="E1138" t="inlineStr">
        <is>
          <t>H2OH15228</t>
        </is>
      </c>
      <c r="F1138" t="inlineStr">
        <is>
          <t>REP</t>
        </is>
      </c>
      <c r="G1138" t="inlineStr">
        <is>
          <t>10122022</t>
        </is>
      </c>
      <c r="H1138" t="n">
        <v>2500</v>
      </c>
      <c r="I1138" t="inlineStr">
        <is>
          <t>202210269541664077</t>
        </is>
      </c>
      <c r="J1138" t="inlineStr">
        <is>
          <t>https://docquery.fec.gov/cgi-bin/fecimg/?202210269541664077</t>
        </is>
      </c>
    </row>
    <row r="1139">
      <c r="A1139" t="inlineStr">
        <is>
          <t>2022</t>
        </is>
      </c>
      <c r="B1139" t="inlineStr">
        <is>
          <t>C00415026</t>
        </is>
      </c>
      <c r="C1139" t="inlineStr">
        <is>
          <t>American Fuel &amp; Petrochemical Manufacturers PAC (AFPM PAC)</t>
        </is>
      </c>
      <c r="D1139" t="inlineStr">
        <is>
          <t>CURTIS FOR CONGRESS</t>
        </is>
      </c>
      <c r="E1139" t="inlineStr">
        <is>
          <t>H8UT03238</t>
        </is>
      </c>
      <c r="F1139" t="inlineStr">
        <is>
          <t>REP</t>
        </is>
      </c>
      <c r="G1139" t="inlineStr">
        <is>
          <t>10122022</t>
        </is>
      </c>
      <c r="H1139" t="n">
        <v>2500</v>
      </c>
      <c r="I1139" t="inlineStr">
        <is>
          <t>202210269541664077</t>
        </is>
      </c>
      <c r="J1139" t="inlineStr">
        <is>
          <t>https://docquery.fec.gov/cgi-bin/fecimg/?202210269541664077</t>
        </is>
      </c>
    </row>
    <row r="1140">
      <c r="A1140" t="inlineStr">
        <is>
          <t>2022</t>
        </is>
      </c>
      <c r="B1140" t="inlineStr">
        <is>
          <t>C00415026</t>
        </is>
      </c>
      <c r="C1140" t="inlineStr">
        <is>
          <t>American Fuel &amp; Petrochemical Manufacturers PAC (AFPM PAC)</t>
        </is>
      </c>
      <c r="D1140" t="inlineStr">
        <is>
          <t>EMMER FOR CONGRESS</t>
        </is>
      </c>
      <c r="E1140" t="inlineStr">
        <is>
          <t>H4MN06087</t>
        </is>
      </c>
      <c r="F1140" t="inlineStr">
        <is>
          <t>REP</t>
        </is>
      </c>
      <c r="G1140" t="inlineStr">
        <is>
          <t>10122022</t>
        </is>
      </c>
      <c r="H1140" t="n">
        <v>2500</v>
      </c>
      <c r="I1140" t="inlineStr">
        <is>
          <t>202210269541664078</t>
        </is>
      </c>
      <c r="J1140" t="inlineStr">
        <is>
          <t>https://docquery.fec.gov/cgi-bin/fecimg/?202210269541664078</t>
        </is>
      </c>
    </row>
    <row r="1141">
      <c r="A1141" t="inlineStr">
        <is>
          <t>2022</t>
        </is>
      </c>
      <c r="B1141" t="inlineStr">
        <is>
          <t>C00415026</t>
        </is>
      </c>
      <c r="C1141" t="inlineStr">
        <is>
          <t>American Fuel &amp; Petrochemical Manufacturers PAC (AFPM PAC)</t>
        </is>
      </c>
      <c r="D1141" t="inlineStr">
        <is>
          <t>FRIENDS OF TODD YOUNG, INC.</t>
        </is>
      </c>
      <c r="E1141" t="inlineStr">
        <is>
          <t>S6IN00191</t>
        </is>
      </c>
      <c r="F1141" t="inlineStr">
        <is>
          <t>REP</t>
        </is>
      </c>
      <c r="G1141" t="inlineStr">
        <is>
          <t>10122022</t>
        </is>
      </c>
      <c r="H1141" t="n">
        <v>2500</v>
      </c>
      <c r="I1141" t="inlineStr">
        <is>
          <t>202210269541664078</t>
        </is>
      </c>
      <c r="J1141" t="inlineStr">
        <is>
          <t>https://docquery.fec.gov/cgi-bin/fecimg/?202210269541664078</t>
        </is>
      </c>
    </row>
    <row r="1142">
      <c r="A1142" t="inlineStr">
        <is>
          <t>2022</t>
        </is>
      </c>
      <c r="B1142" t="inlineStr">
        <is>
          <t>C00415026</t>
        </is>
      </c>
      <c r="C1142" t="inlineStr">
        <is>
          <t>American Fuel &amp; Petrochemical Manufacturers PAC (AFPM PAC)</t>
        </is>
      </c>
      <c r="D1142" t="inlineStr">
        <is>
          <t>GARY PALMER FOR CONGRESS</t>
        </is>
      </c>
      <c r="E1142" t="inlineStr">
        <is>
          <t>H4AL06098</t>
        </is>
      </c>
      <c r="F1142" t="inlineStr">
        <is>
          <t>REP</t>
        </is>
      </c>
      <c r="G1142" t="inlineStr">
        <is>
          <t>10122022</t>
        </is>
      </c>
      <c r="H1142" t="n">
        <v>2500</v>
      </c>
      <c r="I1142" t="inlineStr">
        <is>
          <t>202210269541664079</t>
        </is>
      </c>
      <c r="J1142" t="inlineStr">
        <is>
          <t>https://docquery.fec.gov/cgi-bin/fecimg/?202210269541664079</t>
        </is>
      </c>
    </row>
    <row r="1143">
      <c r="A1143" t="inlineStr">
        <is>
          <t>2022</t>
        </is>
      </c>
      <c r="B1143" t="inlineStr">
        <is>
          <t>C00415026</t>
        </is>
      </c>
      <c r="C1143" t="inlineStr">
        <is>
          <t>American Fuel &amp; Petrochemical Manufacturers PAC (AFPM PAC)</t>
        </is>
      </c>
      <c r="D1143" t="inlineStr">
        <is>
          <t>HOEVEN FOR SENATE</t>
        </is>
      </c>
      <c r="E1143" t="inlineStr">
        <is>
          <t>S0ND00093</t>
        </is>
      </c>
      <c r="F1143" t="inlineStr">
        <is>
          <t>REP</t>
        </is>
      </c>
      <c r="G1143" t="inlineStr">
        <is>
          <t>10122022</t>
        </is>
      </c>
      <c r="H1143" t="n">
        <v>2500</v>
      </c>
      <c r="I1143" t="inlineStr">
        <is>
          <t>202210269541664079</t>
        </is>
      </c>
      <c r="J1143" t="inlineStr">
        <is>
          <t>https://docquery.fec.gov/cgi-bin/fecimg/?202210269541664079</t>
        </is>
      </c>
    </row>
    <row r="1144">
      <c r="A1144" t="inlineStr">
        <is>
          <t>2022</t>
        </is>
      </c>
      <c r="B1144" t="inlineStr">
        <is>
          <t>C00415026</t>
        </is>
      </c>
      <c r="C1144" t="inlineStr">
        <is>
          <t>American Fuel &amp; Petrochemical Manufacturers PAC (AFPM PAC)</t>
        </is>
      </c>
      <c r="D1144" t="inlineStr">
        <is>
          <t>HUDSON FOR CONGRESS</t>
        </is>
      </c>
      <c r="E1144" t="inlineStr">
        <is>
          <t>H2NC08185</t>
        </is>
      </c>
      <c r="F1144" t="inlineStr">
        <is>
          <t>REP</t>
        </is>
      </c>
      <c r="G1144" t="inlineStr">
        <is>
          <t>10122022</t>
        </is>
      </c>
      <c r="H1144" t="n">
        <v>1500</v>
      </c>
      <c r="I1144" t="inlineStr">
        <is>
          <t>202210269541664079</t>
        </is>
      </c>
      <c r="J1144" t="inlineStr">
        <is>
          <t>https://docquery.fec.gov/cgi-bin/fecimg/?202210269541664079</t>
        </is>
      </c>
    </row>
    <row r="1145">
      <c r="A1145" t="inlineStr">
        <is>
          <t>2022</t>
        </is>
      </c>
      <c r="B1145" t="inlineStr">
        <is>
          <t>C00415026</t>
        </is>
      </c>
      <c r="C1145" t="inlineStr">
        <is>
          <t>American Fuel &amp; Petrochemical Manufacturers PAC (AFPM PAC)</t>
        </is>
      </c>
      <c r="D1145" t="inlineStr">
        <is>
          <t>KEN CALVERT FOR CONGRESS COMMITTEE</t>
        </is>
      </c>
      <c r="E1145" t="inlineStr">
        <is>
          <t>H2CA37023</t>
        </is>
      </c>
      <c r="F1145" t="inlineStr">
        <is>
          <t>REP</t>
        </is>
      </c>
      <c r="G1145" t="inlineStr">
        <is>
          <t>10122022</t>
        </is>
      </c>
      <c r="H1145" t="n">
        <v>2500</v>
      </c>
      <c r="I1145" t="inlineStr">
        <is>
          <t>202210269541664080</t>
        </is>
      </c>
      <c r="J1145" t="inlineStr">
        <is>
          <t>https://docquery.fec.gov/cgi-bin/fecimg/?202210269541664080</t>
        </is>
      </c>
    </row>
    <row r="1146">
      <c r="A1146" t="inlineStr">
        <is>
          <t>2022</t>
        </is>
      </c>
      <c r="B1146" t="inlineStr">
        <is>
          <t>C00415026</t>
        </is>
      </c>
      <c r="C1146" t="inlineStr">
        <is>
          <t>American Fuel &amp; Petrochemical Manufacturers PAC (AFPM PAC)</t>
        </is>
      </c>
      <c r="D1146" t="inlineStr">
        <is>
          <t>LAXALT FOR SENATE</t>
        </is>
      </c>
      <c r="E1146" t="inlineStr">
        <is>
          <t>S2NV00324</t>
        </is>
      </c>
      <c r="F1146" t="inlineStr">
        <is>
          <t>REP</t>
        </is>
      </c>
      <c r="G1146" t="inlineStr">
        <is>
          <t>10122022</t>
        </is>
      </c>
      <c r="H1146" t="n">
        <v>2500</v>
      </c>
      <c r="I1146" t="inlineStr">
        <is>
          <t>202210269541664080</t>
        </is>
      </c>
      <c r="J1146" t="inlineStr">
        <is>
          <t>https://docquery.fec.gov/cgi-bin/fecimg/?202210269541664080</t>
        </is>
      </c>
    </row>
    <row r="1147">
      <c r="A1147" t="inlineStr">
        <is>
          <t>2022</t>
        </is>
      </c>
      <c r="B1147" t="inlineStr">
        <is>
          <t>C00415026</t>
        </is>
      </c>
      <c r="C1147" t="inlineStr">
        <is>
          <t>American Fuel &amp; Petrochemical Manufacturers PAC (AFPM PAC)</t>
        </is>
      </c>
      <c r="D1147" t="inlineStr">
        <is>
          <t>MICHELLE STEEL FOR CONGRESS</t>
        </is>
      </c>
      <c r="E1147" t="inlineStr">
        <is>
          <t>H0CA48198</t>
        </is>
      </c>
      <c r="F1147" t="inlineStr">
        <is>
          <t>REP</t>
        </is>
      </c>
      <c r="G1147" t="inlineStr">
        <is>
          <t>10122022</t>
        </is>
      </c>
      <c r="H1147" t="n">
        <v>2500</v>
      </c>
      <c r="I1147" t="inlineStr">
        <is>
          <t>202210269541664081</t>
        </is>
      </c>
      <c r="J1147" t="inlineStr">
        <is>
          <t>https://docquery.fec.gov/cgi-bin/fecimg/?202210269541664081</t>
        </is>
      </c>
    </row>
    <row r="1148">
      <c r="A1148" t="inlineStr">
        <is>
          <t>2022</t>
        </is>
      </c>
      <c r="B1148" t="inlineStr">
        <is>
          <t>C00415026</t>
        </is>
      </c>
      <c r="C1148" t="inlineStr">
        <is>
          <t>American Fuel &amp; Petrochemical Manufacturers PAC (AFPM PAC)</t>
        </is>
      </c>
      <c r="D1148" t="inlineStr">
        <is>
          <t>MANCHIN FOR WEST VIRGINIA</t>
        </is>
      </c>
      <c r="E1148" t="inlineStr">
        <is>
          <t>S0WV00090</t>
        </is>
      </c>
      <c r="F1148" t="inlineStr">
        <is>
          <t>DEM</t>
        </is>
      </c>
      <c r="G1148" t="inlineStr">
        <is>
          <t>10182021</t>
        </is>
      </c>
      <c r="H1148" t="n">
        <v>5000</v>
      </c>
      <c r="I1148" t="inlineStr">
        <is>
          <t>202111129468489740</t>
        </is>
      </c>
      <c r="J1148" t="inlineStr">
        <is>
          <t>https://docquery.fec.gov/cgi-bin/fecimg/?202111129468489740</t>
        </is>
      </c>
    </row>
    <row r="1149">
      <c r="A1149" t="inlineStr">
        <is>
          <t>2022</t>
        </is>
      </c>
      <c r="B1149" t="inlineStr">
        <is>
          <t>C00415026</t>
        </is>
      </c>
      <c r="C1149" t="inlineStr">
        <is>
          <t>American Fuel &amp; Petrochemical Manufacturers PAC (AFPM PAC)</t>
        </is>
      </c>
      <c r="D1149" t="inlineStr">
        <is>
          <t>BILIRAKIS FOR CONGRESS</t>
        </is>
      </c>
      <c r="E1149" t="inlineStr">
        <is>
          <t>H6FL09070</t>
        </is>
      </c>
      <c r="F1149" t="inlineStr">
        <is>
          <t>REP</t>
        </is>
      </c>
      <c r="G1149" t="inlineStr">
        <is>
          <t>10182022</t>
        </is>
      </c>
      <c r="H1149" t="n">
        <v>2500</v>
      </c>
      <c r="I1149" t="inlineStr">
        <is>
          <t>202210269541664075</t>
        </is>
      </c>
      <c r="J1149" t="inlineStr">
        <is>
          <t>https://docquery.fec.gov/cgi-bin/fecimg/?202210269541664075</t>
        </is>
      </c>
    </row>
    <row r="1150">
      <c r="A1150" t="inlineStr">
        <is>
          <t>2022</t>
        </is>
      </c>
      <c r="B1150" t="inlineStr">
        <is>
          <t>C00415026</t>
        </is>
      </c>
      <c r="C1150" t="inlineStr">
        <is>
          <t>American Fuel &amp; Petrochemical Manufacturers PAC (AFPM PAC)</t>
        </is>
      </c>
      <c r="D1150" t="inlineStr">
        <is>
          <t>MIKE GARCIA FOR CONGRESS</t>
        </is>
      </c>
      <c r="E1150" t="inlineStr">
        <is>
          <t>H0CA25105</t>
        </is>
      </c>
      <c r="F1150" t="inlineStr">
        <is>
          <t>REP</t>
        </is>
      </c>
      <c r="G1150" t="inlineStr">
        <is>
          <t>10182022</t>
        </is>
      </c>
      <c r="H1150" t="n">
        <v>2500</v>
      </c>
      <c r="I1150" t="inlineStr">
        <is>
          <t>202210269541664082</t>
        </is>
      </c>
      <c r="J1150" t="inlineStr">
        <is>
          <t>https://docquery.fec.gov/cgi-bin/fecimg/?202210269541664082</t>
        </is>
      </c>
    </row>
    <row r="1151">
      <c r="A1151" t="inlineStr">
        <is>
          <t>2022</t>
        </is>
      </c>
      <c r="B1151" t="inlineStr">
        <is>
          <t>C00415026</t>
        </is>
      </c>
      <c r="C1151" t="inlineStr">
        <is>
          <t>American Fuel &amp; Petrochemical Manufacturers PAC (AFPM PAC)</t>
        </is>
      </c>
      <c r="D1151" t="inlineStr">
        <is>
          <t>MULLIN FOR AMERICA</t>
        </is>
      </c>
      <c r="E1151" t="inlineStr">
        <is>
          <t>S2OK00186</t>
        </is>
      </c>
      <c r="F1151" t="inlineStr">
        <is>
          <t>REP</t>
        </is>
      </c>
      <c r="G1151" t="inlineStr">
        <is>
          <t>10182022</t>
        </is>
      </c>
      <c r="H1151" t="n">
        <v>2500</v>
      </c>
      <c r="I1151" t="inlineStr">
        <is>
          <t>202210269541664082</t>
        </is>
      </c>
      <c r="J1151" t="inlineStr">
        <is>
          <t>https://docquery.fec.gov/cgi-bin/fecimg/?202210269541664082</t>
        </is>
      </c>
    </row>
    <row r="1152">
      <c r="A1152" t="inlineStr">
        <is>
          <t>2022</t>
        </is>
      </c>
      <c r="B1152" t="inlineStr">
        <is>
          <t>C00415026</t>
        </is>
      </c>
      <c r="C1152" t="inlineStr">
        <is>
          <t>American Fuel &amp; Petrochemical Manufacturers PAC (AFPM PAC)</t>
        </is>
      </c>
      <c r="D1152" t="inlineStr">
        <is>
          <t>PETE STAUBER FOR CONGRESS</t>
        </is>
      </c>
      <c r="E1152" t="inlineStr">
        <is>
          <t>H8MN08043</t>
        </is>
      </c>
      <c r="F1152" t="inlineStr">
        <is>
          <t>REP</t>
        </is>
      </c>
      <c r="G1152" t="inlineStr">
        <is>
          <t>10182022</t>
        </is>
      </c>
      <c r="H1152" t="n">
        <v>2500</v>
      </c>
      <c r="I1152" t="inlineStr">
        <is>
          <t>202210269541664083</t>
        </is>
      </c>
      <c r="J1152" t="inlineStr">
        <is>
          <t>https://docquery.fec.gov/cgi-bin/fecimg/?202210269541664083</t>
        </is>
      </c>
    </row>
    <row r="1153">
      <c r="A1153" t="inlineStr">
        <is>
          <t>2022</t>
        </is>
      </c>
      <c r="B1153" t="inlineStr">
        <is>
          <t>C00415026</t>
        </is>
      </c>
      <c r="C1153" t="inlineStr">
        <is>
          <t>American Fuel &amp; Petrochemical Manufacturers PAC (AFPM PAC)</t>
        </is>
      </c>
      <c r="D1153" t="inlineStr">
        <is>
          <t>STEIL FOR WISCONSIN, INC.</t>
        </is>
      </c>
      <c r="E1153" t="inlineStr">
        <is>
          <t>H8WI01156</t>
        </is>
      </c>
      <c r="F1153" t="inlineStr">
        <is>
          <t>REP</t>
        </is>
      </c>
      <c r="G1153" t="inlineStr">
        <is>
          <t>10182022</t>
        </is>
      </c>
      <c r="H1153" t="n">
        <v>1500</v>
      </c>
      <c r="I1153" t="inlineStr">
        <is>
          <t>202210269541664083</t>
        </is>
      </c>
      <c r="J1153" t="inlineStr">
        <is>
          <t>https://docquery.fec.gov/cgi-bin/fecimg/?202210269541664083</t>
        </is>
      </c>
    </row>
    <row r="1154">
      <c r="A1154" t="inlineStr">
        <is>
          <t>2022</t>
        </is>
      </c>
      <c r="B1154" t="inlineStr">
        <is>
          <t>C00415026</t>
        </is>
      </c>
      <c r="C1154" t="inlineStr">
        <is>
          <t>American Fuel &amp; Petrochemical Manufacturers PAC (AFPM PAC)</t>
        </is>
      </c>
      <c r="D1154" t="inlineStr">
        <is>
          <t>TEXANS FOR JODEY ARRINGTON</t>
        </is>
      </c>
      <c r="E1154" t="inlineStr">
        <is>
          <t>H6TX19099</t>
        </is>
      </c>
      <c r="F1154" t="inlineStr">
        <is>
          <t>REP</t>
        </is>
      </c>
      <c r="G1154" t="inlineStr">
        <is>
          <t>10182022</t>
        </is>
      </c>
      <c r="H1154" t="n">
        <v>1500</v>
      </c>
      <c r="I1154" t="inlineStr">
        <is>
          <t>202210269541664084</t>
        </is>
      </c>
      <c r="J1154" t="inlineStr">
        <is>
          <t>https://docquery.fec.gov/cgi-bin/fecimg/?202210269541664084</t>
        </is>
      </c>
    </row>
    <row r="1155">
      <c r="A1155" t="inlineStr">
        <is>
          <t>2022</t>
        </is>
      </c>
      <c r="B1155" t="inlineStr">
        <is>
          <t>C00415026</t>
        </is>
      </c>
      <c r="C1155" t="inlineStr">
        <is>
          <t>American Fuel &amp; Petrochemical Manufacturers PAC (AFPM PAC)</t>
        </is>
      </c>
      <c r="D1155" t="inlineStr">
        <is>
          <t>VALADAO FOR CONGRESS</t>
        </is>
      </c>
      <c r="E1155" t="inlineStr">
        <is>
          <t>H2CA20094</t>
        </is>
      </c>
      <c r="F1155" t="inlineStr">
        <is>
          <t>REP</t>
        </is>
      </c>
      <c r="G1155" t="inlineStr">
        <is>
          <t>10182022</t>
        </is>
      </c>
      <c r="H1155" t="n">
        <v>2500</v>
      </c>
      <c r="I1155" t="inlineStr">
        <is>
          <t>202210269541664084</t>
        </is>
      </c>
      <c r="J1155" t="inlineStr">
        <is>
          <t>https://docquery.fec.gov/cgi-bin/fecimg/?202210269541664084</t>
        </is>
      </c>
    </row>
    <row r="1156">
      <c r="A1156" t="inlineStr">
        <is>
          <t>2022</t>
        </is>
      </c>
      <c r="B1156" t="inlineStr">
        <is>
          <t>C00415026</t>
        </is>
      </c>
      <c r="C1156" t="inlineStr">
        <is>
          <t>American Fuel &amp; Petrochemical Manufacturers PAC (AFPM PAC)</t>
        </is>
      </c>
      <c r="D1156" t="inlineStr">
        <is>
          <t>YOUNG KIM FOR CONGRESS</t>
        </is>
      </c>
      <c r="E1156" t="inlineStr">
        <is>
          <t>H8CA39240</t>
        </is>
      </c>
      <c r="F1156" t="inlineStr">
        <is>
          <t>REP</t>
        </is>
      </c>
      <c r="G1156" t="inlineStr">
        <is>
          <t>10182022</t>
        </is>
      </c>
      <c r="H1156" t="n">
        <v>2500</v>
      </c>
      <c r="I1156" t="inlineStr">
        <is>
          <t>202210269541664085</t>
        </is>
      </c>
      <c r="J1156" t="inlineStr">
        <is>
          <t>https://docquery.fec.gov/cgi-bin/fecimg/?202210269541664085</t>
        </is>
      </c>
    </row>
    <row r="1157">
      <c r="A1157" t="inlineStr">
        <is>
          <t>2022</t>
        </is>
      </c>
      <c r="B1157" t="inlineStr">
        <is>
          <t>C00415026</t>
        </is>
      </c>
      <c r="C1157" t="inlineStr">
        <is>
          <t>American Fuel &amp; Petrochemical Manufacturers PAC (AFPM PAC)</t>
        </is>
      </c>
      <c r="D1157" t="inlineStr">
        <is>
          <t>YVETTE4CONGRESS</t>
        </is>
      </c>
      <c r="E1157" t="inlineStr">
        <is>
          <t>H8NM02156</t>
        </is>
      </c>
      <c r="F1157" t="inlineStr">
        <is>
          <t>REP</t>
        </is>
      </c>
      <c r="G1157" t="inlineStr">
        <is>
          <t>10182022</t>
        </is>
      </c>
      <c r="H1157" t="n">
        <v>2500</v>
      </c>
      <c r="I1157" t="inlineStr">
        <is>
          <t>202210269541664085</t>
        </is>
      </c>
      <c r="J1157" t="inlineStr">
        <is>
          <t>https://docquery.fec.gov/cgi-bin/fecimg/?202210269541664085</t>
        </is>
      </c>
    </row>
    <row r="1158">
      <c r="A1158" t="inlineStr">
        <is>
          <t>2022</t>
        </is>
      </c>
      <c r="B1158" t="inlineStr">
        <is>
          <t>C00415026</t>
        </is>
      </c>
      <c r="C1158" t="inlineStr">
        <is>
          <t>American Fuel &amp; Petrochemical Manufacturers PAC (AFPM PAC)</t>
        </is>
      </c>
      <c r="D1158" t="inlineStr">
        <is>
          <t>BYRON DONALDS FOR CONGRESS</t>
        </is>
      </c>
      <c r="E1158" t="inlineStr">
        <is>
          <t>H2FL14186</t>
        </is>
      </c>
      <c r="F1158" t="inlineStr">
        <is>
          <t>REP</t>
        </is>
      </c>
      <c r="G1158" t="inlineStr">
        <is>
          <t>10182022</t>
        </is>
      </c>
      <c r="H1158" t="n">
        <v>1500</v>
      </c>
      <c r="I1158" t="inlineStr">
        <is>
          <t>202210269541664076</t>
        </is>
      </c>
      <c r="J1158" t="inlineStr">
        <is>
          <t>https://docquery.fec.gov/cgi-bin/fecimg/?202210269541664076</t>
        </is>
      </c>
    </row>
    <row r="1159">
      <c r="A1159" t="inlineStr">
        <is>
          <t>2022</t>
        </is>
      </c>
      <c r="B1159" t="inlineStr">
        <is>
          <t>C00415026</t>
        </is>
      </c>
      <c r="C1159" t="inlineStr">
        <is>
          <t>American Fuel &amp; Petrochemical Manufacturers PAC (AFPM PAC)</t>
        </is>
      </c>
      <c r="D1159" t="inlineStr">
        <is>
          <t>DR JOHN JOYCE FOR CONGRESS</t>
        </is>
      </c>
      <c r="E1159" t="inlineStr">
        <is>
          <t>H8PA13125</t>
        </is>
      </c>
      <c r="F1159" t="inlineStr">
        <is>
          <t>REP</t>
        </is>
      </c>
      <c r="G1159" t="inlineStr">
        <is>
          <t>10182022</t>
        </is>
      </c>
      <c r="H1159" t="n">
        <v>1500</v>
      </c>
      <c r="I1159" t="inlineStr">
        <is>
          <t>202210269541664077</t>
        </is>
      </c>
      <c r="J1159" t="inlineStr">
        <is>
          <t>https://docquery.fec.gov/cgi-bin/fecimg/?202210269541664077</t>
        </is>
      </c>
    </row>
    <row r="1160">
      <c r="A1160" t="inlineStr">
        <is>
          <t>2022</t>
        </is>
      </c>
      <c r="B1160" t="inlineStr">
        <is>
          <t>C00415026</t>
        </is>
      </c>
      <c r="C1160" t="inlineStr">
        <is>
          <t>American Fuel &amp; Petrochemical Manufacturers PAC (AFPM PAC)</t>
        </is>
      </c>
      <c r="D1160" t="inlineStr">
        <is>
          <t>FRIENDS OF ALLAN FUNG</t>
        </is>
      </c>
      <c r="E1160" t="inlineStr">
        <is>
          <t>H2RI02226</t>
        </is>
      </c>
      <c r="F1160" t="inlineStr">
        <is>
          <t>REP</t>
        </is>
      </c>
      <c r="G1160" t="inlineStr">
        <is>
          <t>10182022</t>
        </is>
      </c>
      <c r="H1160" t="n">
        <v>1500</v>
      </c>
      <c r="I1160" t="inlineStr">
        <is>
          <t>202210269541664078</t>
        </is>
      </c>
      <c r="J1160" t="inlineStr">
        <is>
          <t>https://docquery.fec.gov/cgi-bin/fecimg/?202210269541664078</t>
        </is>
      </c>
    </row>
    <row r="1161">
      <c r="A1161" t="inlineStr">
        <is>
          <t>2022</t>
        </is>
      </c>
      <c r="B1161" t="inlineStr">
        <is>
          <t>C00415026</t>
        </is>
      </c>
      <c r="C1161" t="inlineStr">
        <is>
          <t>American Fuel &amp; Petrochemical Manufacturers PAC (AFPM PAC)</t>
        </is>
      </c>
      <c r="D1161" t="inlineStr">
        <is>
          <t>LATTA FOR CONGRESS</t>
        </is>
      </c>
      <c r="E1161" t="inlineStr">
        <is>
          <t>H8OH05036</t>
        </is>
      </c>
      <c r="F1161" t="inlineStr">
        <is>
          <t>REP</t>
        </is>
      </c>
      <c r="G1161" t="inlineStr">
        <is>
          <t>10182022</t>
        </is>
      </c>
      <c r="H1161" t="n">
        <v>2500</v>
      </c>
      <c r="I1161" t="inlineStr">
        <is>
          <t>202210269541664080</t>
        </is>
      </c>
      <c r="J1161" t="inlineStr">
        <is>
          <t>https://docquery.fec.gov/cgi-bin/fecimg/?202210269541664080</t>
        </is>
      </c>
    </row>
    <row r="1162">
      <c r="A1162" t="inlineStr">
        <is>
          <t>2022</t>
        </is>
      </c>
      <c r="B1162" t="inlineStr">
        <is>
          <t>C00415026</t>
        </is>
      </c>
      <c r="C1162" t="inlineStr">
        <is>
          <t>American Fuel &amp; Petrochemical Manufacturers PAC (AFPM PAC)</t>
        </is>
      </c>
      <c r="D1162" t="inlineStr">
        <is>
          <t>MCHENRY FOR CONGRESS</t>
        </is>
      </c>
      <c r="E1162" t="inlineStr">
        <is>
          <t>H4NC10047</t>
        </is>
      </c>
      <c r="F1162" t="inlineStr">
        <is>
          <t>REP</t>
        </is>
      </c>
      <c r="G1162" t="inlineStr">
        <is>
          <t>10182022</t>
        </is>
      </c>
      <c r="H1162" t="n">
        <v>1500</v>
      </c>
      <c r="I1162" t="inlineStr">
        <is>
          <t>202210269541664081</t>
        </is>
      </c>
      <c r="J1162" t="inlineStr">
        <is>
          <t>https://docquery.fec.gov/cgi-bin/fecimg/?202210269541664081</t>
        </is>
      </c>
    </row>
    <row r="1163">
      <c r="A1163" t="inlineStr">
        <is>
          <t>2022</t>
        </is>
      </c>
      <c r="B1163" t="inlineStr">
        <is>
          <t>C00415026</t>
        </is>
      </c>
      <c r="C1163" t="inlineStr">
        <is>
          <t>American Fuel &amp; Petrochemical Manufacturers PAC (AFPM PAC)</t>
        </is>
      </c>
      <c r="D1163" t="inlineStr">
        <is>
          <t>KELLY FOR CONGRESS</t>
        </is>
      </c>
      <c r="E1163" t="inlineStr">
        <is>
          <t>H6MS01131</t>
        </is>
      </c>
      <c r="F1163" t="inlineStr">
        <is>
          <t>REP</t>
        </is>
      </c>
      <c r="G1163" t="inlineStr">
        <is>
          <t>10202021</t>
        </is>
      </c>
      <c r="H1163" t="n">
        <v>1000</v>
      </c>
      <c r="I1163" t="inlineStr">
        <is>
          <t>202111129468489740</t>
        </is>
      </c>
      <c r="J1163" t="inlineStr">
        <is>
          <t>https://docquery.fec.gov/cgi-bin/fecimg/?202111129468489740</t>
        </is>
      </c>
    </row>
    <row r="1164">
      <c r="A1164" t="inlineStr">
        <is>
          <t>2022</t>
        </is>
      </c>
      <c r="B1164" t="inlineStr">
        <is>
          <t>C00415026</t>
        </is>
      </c>
      <c r="C1164" t="inlineStr">
        <is>
          <t>American Fuel &amp; Petrochemical Manufacturers PAC (AFPM PAC)</t>
        </is>
      </c>
      <c r="D1164" t="inlineStr">
        <is>
          <t>ARMSTRONG FOR CONGRESS</t>
        </is>
      </c>
      <c r="E1164" t="inlineStr">
        <is>
          <t>H8ND00096</t>
        </is>
      </c>
      <c r="F1164" t="inlineStr">
        <is>
          <t>REP</t>
        </is>
      </c>
      <c r="G1164" t="inlineStr">
        <is>
          <t>12032021</t>
        </is>
      </c>
      <c r="H1164" t="n">
        <v>1500</v>
      </c>
      <c r="I1164" t="inlineStr">
        <is>
          <t>202201149474986942</t>
        </is>
      </c>
      <c r="J1164" t="inlineStr">
        <is>
          <t>https://docquery.fec.gov/cgi-bin/fecimg/?202201149474986942</t>
        </is>
      </c>
    </row>
    <row r="1165">
      <c r="A1165" t="inlineStr">
        <is>
          <t>2022</t>
        </is>
      </c>
      <c r="B1165" t="inlineStr">
        <is>
          <t>C00415026</t>
        </is>
      </c>
      <c r="C1165" t="inlineStr">
        <is>
          <t>American Fuel &amp; Petrochemical Manufacturers PAC (AFPM PAC)</t>
        </is>
      </c>
      <c r="D1165" t="inlineStr">
        <is>
          <t>BETH VAN DUYNE FOR CONGRESS</t>
        </is>
      </c>
      <c r="E1165" t="inlineStr">
        <is>
          <t>H0TX24209</t>
        </is>
      </c>
      <c r="F1165" t="inlineStr">
        <is>
          <t>REP</t>
        </is>
      </c>
      <c r="G1165" t="inlineStr">
        <is>
          <t>12032021</t>
        </is>
      </c>
      <c r="H1165" t="n">
        <v>2500</v>
      </c>
      <c r="I1165" t="inlineStr">
        <is>
          <t>202201149474986942</t>
        </is>
      </c>
      <c r="J1165" t="inlineStr">
        <is>
          <t>https://docquery.fec.gov/cgi-bin/fecimg/?202201149474986942</t>
        </is>
      </c>
    </row>
    <row r="1166">
      <c r="A1166" t="inlineStr">
        <is>
          <t>2022</t>
        </is>
      </c>
      <c r="B1166" t="inlineStr">
        <is>
          <t>C00415026</t>
        </is>
      </c>
      <c r="C1166" t="inlineStr">
        <is>
          <t>American Fuel &amp; Petrochemical Manufacturers PAC (AFPM PAC)</t>
        </is>
      </c>
      <c r="D1166" t="inlineStr">
        <is>
          <t>CAROL FOR CONGRESS</t>
        </is>
      </c>
      <c r="E1166" t="inlineStr">
        <is>
          <t>H8WV03097</t>
        </is>
      </c>
      <c r="F1166" t="inlineStr">
        <is>
          <t>REP</t>
        </is>
      </c>
      <c r="G1166" t="inlineStr">
        <is>
          <t>12032021</t>
        </is>
      </c>
      <c r="H1166" t="n">
        <v>1500</v>
      </c>
      <c r="I1166" t="inlineStr">
        <is>
          <t>202201149474986942</t>
        </is>
      </c>
      <c r="J1166" t="inlineStr">
        <is>
          <t>https://docquery.fec.gov/cgi-bin/fecimg/?202201149474986942</t>
        </is>
      </c>
    </row>
    <row r="1167">
      <c r="A1167" t="inlineStr">
        <is>
          <t>2022</t>
        </is>
      </c>
      <c r="B1167" t="inlineStr">
        <is>
          <t>C00415026</t>
        </is>
      </c>
      <c r="C1167" t="inlineStr">
        <is>
          <t>American Fuel &amp; Petrochemical Manufacturers PAC (AFPM PAC)</t>
        </is>
      </c>
      <c r="D1167" t="inlineStr">
        <is>
          <t>CATHY MCMORRIS RODGERS FOR CONGRESS</t>
        </is>
      </c>
      <c r="E1167" t="inlineStr">
        <is>
          <t>H4WA05077</t>
        </is>
      </c>
      <c r="F1167" t="inlineStr">
        <is>
          <t>REP</t>
        </is>
      </c>
      <c r="G1167" t="inlineStr">
        <is>
          <t>12032021</t>
        </is>
      </c>
      <c r="H1167" t="n">
        <v>5000</v>
      </c>
      <c r="I1167" t="inlineStr">
        <is>
          <t>202201149474986943</t>
        </is>
      </c>
      <c r="J1167" t="inlineStr">
        <is>
          <t>https://docquery.fec.gov/cgi-bin/fecimg/?202201149474986943</t>
        </is>
      </c>
    </row>
    <row r="1168">
      <c r="A1168" t="inlineStr">
        <is>
          <t>2022</t>
        </is>
      </c>
      <c r="B1168" t="inlineStr">
        <is>
          <t>C00415026</t>
        </is>
      </c>
      <c r="C1168" t="inlineStr">
        <is>
          <t>American Fuel &amp; Petrochemical Manufacturers PAC (AFPM PAC)</t>
        </is>
      </c>
      <c r="D1168" t="inlineStr">
        <is>
          <t>CURTIS FOR CONGRESS</t>
        </is>
      </c>
      <c r="E1168" t="inlineStr">
        <is>
          <t>H8UT03238</t>
        </is>
      </c>
      <c r="F1168" t="inlineStr">
        <is>
          <t>REP</t>
        </is>
      </c>
      <c r="G1168" t="inlineStr">
        <is>
          <t>12032021</t>
        </is>
      </c>
      <c r="H1168" t="n">
        <v>1500</v>
      </c>
      <c r="I1168" t="inlineStr">
        <is>
          <t>202201149474986943</t>
        </is>
      </c>
      <c r="J1168" t="inlineStr">
        <is>
          <t>https://docquery.fec.gov/cgi-bin/fecimg/?202201149474986943</t>
        </is>
      </c>
    </row>
    <row r="1169">
      <c r="A1169" t="inlineStr">
        <is>
          <t>2022</t>
        </is>
      </c>
      <c r="B1169" t="inlineStr">
        <is>
          <t>C00415026</t>
        </is>
      </c>
      <c r="C1169" t="inlineStr">
        <is>
          <t>American Fuel &amp; Petrochemical Manufacturers PAC (AFPM PAC)</t>
        </is>
      </c>
      <c r="D1169" t="inlineStr">
        <is>
          <t>GREG PENCE FOR CONGRESS</t>
        </is>
      </c>
      <c r="E1169" t="inlineStr">
        <is>
          <t>H8IN06129</t>
        </is>
      </c>
      <c r="F1169" t="inlineStr">
        <is>
          <t>REP</t>
        </is>
      </c>
      <c r="G1169" t="inlineStr">
        <is>
          <t>12032021</t>
        </is>
      </c>
      <c r="H1169" t="n">
        <v>2500</v>
      </c>
      <c r="I1169" t="inlineStr">
        <is>
          <t>202201149474986943</t>
        </is>
      </c>
      <c r="J1169" t="inlineStr">
        <is>
          <t>https://docquery.fec.gov/cgi-bin/fecimg/?202201149474986943</t>
        </is>
      </c>
    </row>
    <row r="1170">
      <c r="A1170" t="inlineStr">
        <is>
          <t>2022</t>
        </is>
      </c>
      <c r="B1170" t="inlineStr">
        <is>
          <t>C00415026</t>
        </is>
      </c>
      <c r="C1170" t="inlineStr">
        <is>
          <t>American Fuel &amp; Petrochemical Manufacturers PAC (AFPM PAC)</t>
        </is>
      </c>
      <c r="D1170" t="inlineStr">
        <is>
          <t>GUTHRIE FOR CONGRESS</t>
        </is>
      </c>
      <c r="E1170" t="inlineStr">
        <is>
          <t>H8KY02031</t>
        </is>
      </c>
      <c r="F1170" t="inlineStr">
        <is>
          <t>REP</t>
        </is>
      </c>
      <c r="G1170" t="inlineStr">
        <is>
          <t>12032021</t>
        </is>
      </c>
      <c r="H1170" t="n">
        <v>1000</v>
      </c>
      <c r="I1170" t="inlineStr">
        <is>
          <t>202201149474986944</t>
        </is>
      </c>
      <c r="J1170" t="inlineStr">
        <is>
          <t>https://docquery.fec.gov/cgi-bin/fecimg/?202201149474986944</t>
        </is>
      </c>
    </row>
    <row r="1171">
      <c r="A1171" t="inlineStr">
        <is>
          <t>2022</t>
        </is>
      </c>
      <c r="B1171" t="inlineStr">
        <is>
          <t>C00415026</t>
        </is>
      </c>
      <c r="C1171" t="inlineStr">
        <is>
          <t>American Fuel &amp; Petrochemical Manufacturers PAC (AFPM PAC)</t>
        </is>
      </c>
      <c r="D1171" t="inlineStr">
        <is>
          <t>HUDSON FOR CONGRESS</t>
        </is>
      </c>
      <c r="E1171" t="inlineStr">
        <is>
          <t>H2NC08185</t>
        </is>
      </c>
      <c r="F1171" t="inlineStr">
        <is>
          <t>REP</t>
        </is>
      </c>
      <c r="G1171" t="inlineStr">
        <is>
          <t>12032021</t>
        </is>
      </c>
      <c r="H1171" t="n">
        <v>1000</v>
      </c>
      <c r="I1171" t="inlineStr">
        <is>
          <t>202201149474986944</t>
        </is>
      </c>
      <c r="J1171" t="inlineStr">
        <is>
          <t>https://docquery.fec.gov/cgi-bin/fecimg/?202201149474986944</t>
        </is>
      </c>
    </row>
    <row r="1172">
      <c r="A1172" t="inlineStr">
        <is>
          <t>2022</t>
        </is>
      </c>
      <c r="B1172" t="inlineStr">
        <is>
          <t>C00415026</t>
        </is>
      </c>
      <c r="C1172" t="inlineStr">
        <is>
          <t>American Fuel &amp; Petrochemical Manufacturers PAC (AFPM PAC)</t>
        </is>
      </c>
      <c r="D1172" t="inlineStr">
        <is>
          <t>MIKE KELLY FOR CONGRESS</t>
        </is>
      </c>
      <c r="E1172" t="inlineStr">
        <is>
          <t>H0PA03271</t>
        </is>
      </c>
      <c r="F1172" t="inlineStr">
        <is>
          <t>REP</t>
        </is>
      </c>
      <c r="G1172" t="inlineStr">
        <is>
          <t>12032021</t>
        </is>
      </c>
      <c r="H1172" t="n">
        <v>1500</v>
      </c>
      <c r="I1172" t="inlineStr">
        <is>
          <t>202201149474986944</t>
        </is>
      </c>
      <c r="J1172" t="inlineStr">
        <is>
          <t>https://docquery.fec.gov/cgi-bin/fecimg/?202201149474986944</t>
        </is>
      </c>
    </row>
    <row r="1173">
      <c r="A1173" t="inlineStr">
        <is>
          <t>2022</t>
        </is>
      </c>
      <c r="B1173" t="inlineStr">
        <is>
          <t>C00415026</t>
        </is>
      </c>
      <c r="C1173" t="inlineStr">
        <is>
          <t>American Fuel &amp; Petrochemical Manufacturers PAC (AFPM PAC)</t>
        </is>
      </c>
      <c r="D1173" t="inlineStr">
        <is>
          <t>MULLIN FOR CONGRESS</t>
        </is>
      </c>
      <c r="E1173" t="inlineStr">
        <is>
          <t>H2OK02083</t>
        </is>
      </c>
      <c r="F1173" t="inlineStr">
        <is>
          <t>REP</t>
        </is>
      </c>
      <c r="G1173" t="inlineStr">
        <is>
          <t>12032021</t>
        </is>
      </c>
      <c r="H1173" t="n">
        <v>2500</v>
      </c>
      <c r="I1173" t="inlineStr">
        <is>
          <t>202201149474986945</t>
        </is>
      </c>
      <c r="J1173" t="inlineStr">
        <is>
          <t>https://docquery.fec.gov/cgi-bin/fecimg/?202201149474986945</t>
        </is>
      </c>
    </row>
    <row r="1174">
      <c r="A1174" t="inlineStr">
        <is>
          <t>2022</t>
        </is>
      </c>
      <c r="B1174" t="inlineStr">
        <is>
          <t>C00415026</t>
        </is>
      </c>
      <c r="C1174" t="inlineStr">
        <is>
          <t>American Fuel &amp; Petrochemical Manufacturers PAC (AFPM PAC)</t>
        </is>
      </c>
      <c r="D1174" t="inlineStr">
        <is>
          <t>SYLVIA GARCIA FOR CONGRESS</t>
        </is>
      </c>
      <c r="E1174" t="inlineStr">
        <is>
          <t>H8TX29052</t>
        </is>
      </c>
      <c r="F1174" t="inlineStr">
        <is>
          <t>DEM</t>
        </is>
      </c>
      <c r="G1174" t="inlineStr">
        <is>
          <t>12032021</t>
        </is>
      </c>
      <c r="H1174" t="n">
        <v>1000</v>
      </c>
      <c r="I1174" t="inlineStr">
        <is>
          <t>202201149474986945</t>
        </is>
      </c>
      <c r="J1174" t="inlineStr">
        <is>
          <t>https://docquery.fec.gov/cgi-bin/fecimg/?202201149474986945</t>
        </is>
      </c>
    </row>
    <row r="1175">
      <c r="A1175" t="inlineStr">
        <is>
          <t>2022</t>
        </is>
      </c>
      <c r="B1175" t="inlineStr">
        <is>
          <t>C00415026</t>
        </is>
      </c>
      <c r="C1175" t="inlineStr">
        <is>
          <t>American Fuel &amp; Petrochemical Manufacturers PAC (AFPM PAC)</t>
        </is>
      </c>
      <c r="D1175" t="inlineStr">
        <is>
          <t>VAN TAYLOR CAMPAIGN</t>
        </is>
      </c>
      <c r="E1175" t="inlineStr">
        <is>
          <t>H8TX03123</t>
        </is>
      </c>
      <c r="F1175" t="inlineStr">
        <is>
          <t>REP</t>
        </is>
      </c>
      <c r="G1175" t="inlineStr">
        <is>
          <t>12032021</t>
        </is>
      </c>
      <c r="H1175" t="n">
        <v>1000</v>
      </c>
      <c r="I1175" t="inlineStr">
        <is>
          <t>202201149474986945</t>
        </is>
      </c>
      <c r="J1175" t="inlineStr">
        <is>
          <t>https://docquery.fec.gov/cgi-bin/fecimg/?202201149474986945</t>
        </is>
      </c>
    </row>
    <row r="1176">
      <c r="A1176" t="inlineStr">
        <is>
          <t>2022</t>
        </is>
      </c>
      <c r="B1176" t="inlineStr">
        <is>
          <t>C00483677</t>
        </is>
      </c>
      <c r="C1176" t="inlineStr">
        <is>
          <t>American Petroleum Institute PAC (API PAC)</t>
        </is>
      </c>
      <c r="D1176" t="inlineStr">
        <is>
          <t>ELIZABETH PANNILL FLETCHER FOR CONGRESS</t>
        </is>
      </c>
      <c r="E1176" t="inlineStr">
        <is>
          <t>H8TX07140</t>
        </is>
      </c>
      <c r="F1176" t="inlineStr">
        <is>
          <t>DEM</t>
        </is>
      </c>
      <c r="G1176" t="inlineStr">
        <is>
          <t>01312021</t>
        </is>
      </c>
      <c r="H1176" t="n">
        <v>-1000</v>
      </c>
      <c r="I1176" t="inlineStr">
        <is>
          <t>202102199428681226</t>
        </is>
      </c>
      <c r="J1176" t="inlineStr">
        <is>
          <t>https://docquery.fec.gov/cgi-bin/fecimg/?202102199428681226</t>
        </is>
      </c>
    </row>
    <row r="1177">
      <c r="A1177" t="inlineStr">
        <is>
          <t>2022</t>
        </is>
      </c>
      <c r="B1177" t="inlineStr">
        <is>
          <t>C00483677</t>
        </is>
      </c>
      <c r="C1177" t="inlineStr">
        <is>
          <t>American Petroleum Institute PAC (API PAC)</t>
        </is>
      </c>
      <c r="D1177" t="inlineStr">
        <is>
          <t>ELIZABETH PANNILL FLETCHER FOR CONGRESS</t>
        </is>
      </c>
      <c r="E1177" t="inlineStr">
        <is>
          <t>H8TX07140</t>
        </is>
      </c>
      <c r="F1177" t="inlineStr">
        <is>
          <t>DEM</t>
        </is>
      </c>
      <c r="G1177" t="inlineStr">
        <is>
          <t>03242021</t>
        </is>
      </c>
      <c r="H1177" t="n">
        <v>1000</v>
      </c>
      <c r="I1177" t="inlineStr">
        <is>
          <t>202104209443922989</t>
        </is>
      </c>
      <c r="J1177" t="inlineStr">
        <is>
          <t>https://docquery.fec.gov/cgi-bin/fecimg/?202104209443922989</t>
        </is>
      </c>
    </row>
    <row r="1178">
      <c r="A1178" t="inlineStr">
        <is>
          <t>2022</t>
        </is>
      </c>
      <c r="B1178" t="inlineStr">
        <is>
          <t>C00483677</t>
        </is>
      </c>
      <c r="C1178" t="inlineStr">
        <is>
          <t>American Petroleum Institute PAC (API PAC)</t>
        </is>
      </c>
      <c r="D1178" t="inlineStr">
        <is>
          <t>KURT SCHRADER FOR CONGRESS</t>
        </is>
      </c>
      <c r="E1178" t="inlineStr">
        <is>
          <t>H8OR05107</t>
        </is>
      </c>
      <c r="F1178" t="inlineStr">
        <is>
          <t>DEM</t>
        </is>
      </c>
      <c r="G1178" t="inlineStr">
        <is>
          <t>05162022</t>
        </is>
      </c>
      <c r="H1178" t="n">
        <v>1000</v>
      </c>
      <c r="I1178" t="inlineStr">
        <is>
          <t>202206209515042971</t>
        </is>
      </c>
      <c r="J1178" t="inlineStr">
        <is>
          <t>https://docquery.fec.gov/cgi-bin/fecimg/?202206209515042971</t>
        </is>
      </c>
    </row>
    <row r="1179">
      <c r="A1179" t="inlineStr">
        <is>
          <t>2022</t>
        </is>
      </c>
      <c r="B1179" t="inlineStr">
        <is>
          <t>C00483677</t>
        </is>
      </c>
      <c r="C1179" t="inlineStr">
        <is>
          <t>American Petroleum Institute PAC (API PAC)</t>
        </is>
      </c>
      <c r="D1179" t="inlineStr">
        <is>
          <t>GREG PENCE FOR CONGRESS</t>
        </is>
      </c>
      <c r="E1179" t="inlineStr">
        <is>
          <t>H8IN06129</t>
        </is>
      </c>
      <c r="F1179" t="inlineStr">
        <is>
          <t>REP</t>
        </is>
      </c>
      <c r="G1179" t="inlineStr">
        <is>
          <t>05242022</t>
        </is>
      </c>
      <c r="H1179" t="n">
        <v>-2500</v>
      </c>
      <c r="I1179" t="inlineStr">
        <is>
          <t>202206209515042971</t>
        </is>
      </c>
      <c r="J1179" t="inlineStr">
        <is>
          <t>https://docquery.fec.gov/cgi-bin/fecimg/?202206209515042971</t>
        </is>
      </c>
    </row>
    <row r="1180">
      <c r="A1180" t="inlineStr">
        <is>
          <t>2022</t>
        </is>
      </c>
      <c r="B1180" t="inlineStr">
        <is>
          <t>C00483677</t>
        </is>
      </c>
      <c r="C1180" t="inlineStr">
        <is>
          <t>American Petroleum Institute PAC (API PAC)</t>
        </is>
      </c>
      <c r="D1180" t="inlineStr">
        <is>
          <t>BICE FOR CONGRESS</t>
        </is>
      </c>
      <c r="E1180" t="inlineStr">
        <is>
          <t>H0OK05205</t>
        </is>
      </c>
      <c r="F1180" t="inlineStr">
        <is>
          <t>REP</t>
        </is>
      </c>
      <c r="G1180" t="inlineStr">
        <is>
          <t>06282022</t>
        </is>
      </c>
      <c r="H1180" t="n">
        <v>2500</v>
      </c>
      <c r="I1180" t="inlineStr">
        <is>
          <t>202207209522249302</t>
        </is>
      </c>
      <c r="J1180" t="inlineStr">
        <is>
          <t>https://docquery.fec.gov/cgi-bin/fecimg/?202207209522249302</t>
        </is>
      </c>
    </row>
    <row r="1181">
      <c r="A1181" t="inlineStr">
        <is>
          <t>2022</t>
        </is>
      </c>
      <c r="B1181" t="inlineStr">
        <is>
          <t>C00483677</t>
        </is>
      </c>
      <c r="C1181" t="inlineStr">
        <is>
          <t>American Petroleum Institute PAC (API PAC)</t>
        </is>
      </c>
      <c r="D1181" t="inlineStr">
        <is>
          <t>DAVID ROUZER FOR CONGRESS</t>
        </is>
      </c>
      <c r="E1181" t="inlineStr">
        <is>
          <t>H2NC07096</t>
        </is>
      </c>
      <c r="F1181" t="inlineStr">
        <is>
          <t>REP</t>
        </is>
      </c>
      <c r="G1181" t="inlineStr">
        <is>
          <t>06282022</t>
        </is>
      </c>
      <c r="H1181" t="n">
        <v>1000</v>
      </c>
      <c r="I1181" t="inlineStr">
        <is>
          <t>202207209522249303</t>
        </is>
      </c>
      <c r="J1181" t="inlineStr">
        <is>
          <t>https://docquery.fec.gov/cgi-bin/fecimg/?202207209522249303</t>
        </is>
      </c>
    </row>
    <row r="1182">
      <c r="A1182" t="inlineStr">
        <is>
          <t>2022</t>
        </is>
      </c>
      <c r="B1182" t="inlineStr">
        <is>
          <t>C00483677</t>
        </is>
      </c>
      <c r="C1182" t="inlineStr">
        <is>
          <t>American Petroleum Institute PAC (API PAC)</t>
        </is>
      </c>
      <c r="D1182" t="inlineStr">
        <is>
          <t>GREG PENCE FOR CONGRESS</t>
        </is>
      </c>
      <c r="E1182" t="inlineStr">
        <is>
          <t>H8IN06129</t>
        </is>
      </c>
      <c r="F1182" t="inlineStr">
        <is>
          <t>REP</t>
        </is>
      </c>
      <c r="G1182" t="inlineStr">
        <is>
          <t>06282022</t>
        </is>
      </c>
      <c r="H1182" t="n">
        <v>2500</v>
      </c>
      <c r="I1182" t="inlineStr">
        <is>
          <t>202207209522249303</t>
        </is>
      </c>
      <c r="J1182" t="inlineStr">
        <is>
          <t>https://docquery.fec.gov/cgi-bin/fecimg/?202207209522249303</t>
        </is>
      </c>
    </row>
    <row r="1183">
      <c r="A1183" t="inlineStr">
        <is>
          <t>2022</t>
        </is>
      </c>
      <c r="B1183" t="inlineStr">
        <is>
          <t>C00483677</t>
        </is>
      </c>
      <c r="C1183" t="inlineStr">
        <is>
          <t>American Petroleum Institute PAC (API PAC)</t>
        </is>
      </c>
      <c r="D1183" t="inlineStr">
        <is>
          <t>JD VANCE FOR SENATE INC.</t>
        </is>
      </c>
      <c r="E1183" t="inlineStr">
        <is>
          <t>S2OH00436</t>
        </is>
      </c>
      <c r="F1183" t="inlineStr">
        <is>
          <t>REP</t>
        </is>
      </c>
      <c r="G1183" t="inlineStr">
        <is>
          <t>06282022</t>
        </is>
      </c>
      <c r="H1183" t="n">
        <v>2500</v>
      </c>
      <c r="I1183" t="inlineStr">
        <is>
          <t>202207209522249303</t>
        </is>
      </c>
      <c r="J1183" t="inlineStr">
        <is>
          <t>https://docquery.fec.gov/cgi-bin/fecimg/?202207209522249303</t>
        </is>
      </c>
    </row>
    <row r="1184">
      <c r="A1184" t="inlineStr">
        <is>
          <t>2022</t>
        </is>
      </c>
      <c r="B1184" t="inlineStr">
        <is>
          <t>C00483677</t>
        </is>
      </c>
      <c r="C1184" t="inlineStr">
        <is>
          <t>American Petroleum Institute PAC (API PAC)</t>
        </is>
      </c>
      <c r="D1184" t="inlineStr">
        <is>
          <t>LUCAS FOR CONGRESS</t>
        </is>
      </c>
      <c r="E1184" t="inlineStr">
        <is>
          <t>H4OK06056</t>
        </is>
      </c>
      <c r="F1184" t="inlineStr">
        <is>
          <t>REP</t>
        </is>
      </c>
      <c r="G1184" t="inlineStr">
        <is>
          <t>06282022</t>
        </is>
      </c>
      <c r="H1184" t="n">
        <v>2500</v>
      </c>
      <c r="I1184" t="inlineStr">
        <is>
          <t>202207209522249304</t>
        </is>
      </c>
      <c r="J1184" t="inlineStr">
        <is>
          <t>https://docquery.fec.gov/cgi-bin/fecimg/?202207209522249304</t>
        </is>
      </c>
    </row>
    <row r="1185">
      <c r="A1185" t="inlineStr">
        <is>
          <t>2022</t>
        </is>
      </c>
      <c r="B1185" t="inlineStr">
        <is>
          <t>C00483677</t>
        </is>
      </c>
      <c r="C1185" t="inlineStr">
        <is>
          <t>American Petroleum Institute PAC (API PAC)</t>
        </is>
      </c>
      <c r="D1185" t="inlineStr">
        <is>
          <t>MCCAUL FOR CONGRESS, INC</t>
        </is>
      </c>
      <c r="E1185" t="inlineStr">
        <is>
          <t>H4TX10093</t>
        </is>
      </c>
      <c r="F1185" t="inlineStr">
        <is>
          <t>REP</t>
        </is>
      </c>
      <c r="G1185" t="inlineStr">
        <is>
          <t>06282022</t>
        </is>
      </c>
      <c r="H1185" t="n">
        <v>2500</v>
      </c>
      <c r="I1185" t="inlineStr">
        <is>
          <t>202207209522249304</t>
        </is>
      </c>
      <c r="J1185" t="inlineStr">
        <is>
          <t>https://docquery.fec.gov/cgi-bin/fecimg/?202207209522249304</t>
        </is>
      </c>
    </row>
    <row r="1186">
      <c r="A1186" t="inlineStr">
        <is>
          <t>2022</t>
        </is>
      </c>
      <c r="B1186" t="inlineStr">
        <is>
          <t>C00483677</t>
        </is>
      </c>
      <c r="C1186" t="inlineStr">
        <is>
          <t>American Petroleum Institute PAC (API PAC)</t>
        </is>
      </c>
      <c r="D1186" t="inlineStr">
        <is>
          <t>TERRI SEWELL FOR CONGRESS</t>
        </is>
      </c>
      <c r="E1186" t="inlineStr">
        <is>
          <t>H0AL07086</t>
        </is>
      </c>
      <c r="F1186" t="inlineStr">
        <is>
          <t>DEM</t>
        </is>
      </c>
      <c r="G1186" t="inlineStr">
        <is>
          <t>06282022</t>
        </is>
      </c>
      <c r="H1186" t="n">
        <v>1000</v>
      </c>
      <c r="I1186" t="inlineStr">
        <is>
          <t>202207209522249305</t>
        </is>
      </c>
      <c r="J1186" t="inlineStr">
        <is>
          <t>https://docquery.fec.gov/cgi-bin/fecimg/?202207209522249305</t>
        </is>
      </c>
    </row>
    <row r="1187">
      <c r="A1187" t="inlineStr">
        <is>
          <t>2022</t>
        </is>
      </c>
      <c r="B1187" t="inlineStr">
        <is>
          <t>C00483677</t>
        </is>
      </c>
      <c r="C1187" t="inlineStr">
        <is>
          <t>American Petroleum Institute PAC (API PAC)</t>
        </is>
      </c>
      <c r="D1187" t="inlineStr">
        <is>
          <t>VICENTE GONZALEZ FOR CONGRESS</t>
        </is>
      </c>
      <c r="E1187" t="inlineStr">
        <is>
          <t>H6TX15162</t>
        </is>
      </c>
      <c r="F1187" t="inlineStr">
        <is>
          <t>DEM</t>
        </is>
      </c>
      <c r="G1187" t="inlineStr">
        <is>
          <t>06282022</t>
        </is>
      </c>
      <c r="H1187" t="n">
        <v>1000</v>
      </c>
      <c r="I1187" t="inlineStr">
        <is>
          <t>202207209522249305</t>
        </is>
      </c>
      <c r="J1187" t="inlineStr">
        <is>
          <t>https://docquery.fec.gov/cgi-bin/fecimg/?202207209522249305</t>
        </is>
      </c>
    </row>
    <row r="1188">
      <c r="A1188" t="inlineStr">
        <is>
          <t>2022</t>
        </is>
      </c>
      <c r="B1188" t="inlineStr">
        <is>
          <t>C00483677</t>
        </is>
      </c>
      <c r="C1188" t="inlineStr">
        <is>
          <t>American Petroleum Institute PAC (API PAC)</t>
        </is>
      </c>
      <c r="D1188" t="inlineStr">
        <is>
          <t>BALDERSON FOR CONGRESS</t>
        </is>
      </c>
      <c r="E1188" t="inlineStr">
        <is>
          <t>H8OH12180</t>
        </is>
      </c>
      <c r="F1188" t="inlineStr">
        <is>
          <t>REP</t>
        </is>
      </c>
      <c r="G1188" t="inlineStr">
        <is>
          <t>06282022</t>
        </is>
      </c>
      <c r="H1188" t="n">
        <v>1200</v>
      </c>
      <c r="I1188" t="inlineStr">
        <is>
          <t>202207209522249302</t>
        </is>
      </c>
      <c r="J1188" t="inlineStr">
        <is>
          <t>https://docquery.fec.gov/cgi-bin/fecimg/?202207209522249302</t>
        </is>
      </c>
    </row>
    <row r="1189">
      <c r="A1189" t="inlineStr">
        <is>
          <t>2022</t>
        </is>
      </c>
      <c r="B1189" t="inlineStr">
        <is>
          <t>C00483677</t>
        </is>
      </c>
      <c r="C1189" t="inlineStr">
        <is>
          <t>American Petroleum Institute PAC (API PAC)</t>
        </is>
      </c>
      <c r="D1189" t="inlineStr">
        <is>
          <t>ELIZABETH PANNILL FLETCHER FOR CONGRESS</t>
        </is>
      </c>
      <c r="E1189" t="inlineStr">
        <is>
          <t>H8TX07140</t>
        </is>
      </c>
      <c r="F1189" t="inlineStr">
        <is>
          <t>DEM</t>
        </is>
      </c>
      <c r="G1189" t="inlineStr">
        <is>
          <t>06292021</t>
        </is>
      </c>
      <c r="H1189" t="n">
        <v>-1000</v>
      </c>
      <c r="I1189" t="inlineStr">
        <is>
          <t>202107209451834729</t>
        </is>
      </c>
      <c r="J1189" t="inlineStr">
        <is>
          <t>https://docquery.fec.gov/cgi-bin/fecimg/?202107209451834729</t>
        </is>
      </c>
    </row>
    <row r="1190">
      <c r="A1190" t="inlineStr">
        <is>
          <t>2022</t>
        </is>
      </c>
      <c r="B1190" t="inlineStr">
        <is>
          <t>C00483677</t>
        </is>
      </c>
      <c r="C1190" t="inlineStr">
        <is>
          <t>American Petroleum Institute PAC (API PAC)</t>
        </is>
      </c>
      <c r="D1190" t="inlineStr">
        <is>
          <t>ELIZABETH PANNILL FLETCHER FOR CONGRESS</t>
        </is>
      </c>
      <c r="E1190" t="inlineStr">
        <is>
          <t>H8TX07140</t>
        </is>
      </c>
      <c r="F1190" t="inlineStr">
        <is>
          <t>DEM</t>
        </is>
      </c>
      <c r="G1190" t="inlineStr">
        <is>
          <t>06302021</t>
        </is>
      </c>
      <c r="H1190" t="n">
        <v>2000</v>
      </c>
      <c r="I1190" t="inlineStr">
        <is>
          <t>202107209451834729</t>
        </is>
      </c>
      <c r="J1190" t="inlineStr">
        <is>
          <t>https://docquery.fec.gov/cgi-bin/fecimg/?202107209451834729</t>
        </is>
      </c>
    </row>
    <row r="1191">
      <c r="A1191" t="inlineStr">
        <is>
          <t>2022</t>
        </is>
      </c>
      <c r="B1191" t="inlineStr">
        <is>
          <t>C00483677</t>
        </is>
      </c>
      <c r="C1191" t="inlineStr">
        <is>
          <t>American Petroleum Institute PAC (API PAC)</t>
        </is>
      </c>
      <c r="D1191" t="inlineStr">
        <is>
          <t>DONALD M PAYNE JR FOR CONGRESS</t>
        </is>
      </c>
      <c r="E1191" t="inlineStr">
        <is>
          <t>H2NJ10154</t>
        </is>
      </c>
      <c r="F1191" t="inlineStr">
        <is>
          <t>DEM</t>
        </is>
      </c>
      <c r="G1191" t="inlineStr">
        <is>
          <t>07262021</t>
        </is>
      </c>
      <c r="H1191" t="n">
        <v>1000</v>
      </c>
      <c r="I1191" t="inlineStr">
        <is>
          <t>202108209466414509</t>
        </is>
      </c>
      <c r="J1191" t="inlineStr">
        <is>
          <t>https://docquery.fec.gov/cgi-bin/fecimg/?202108209466414509</t>
        </is>
      </c>
    </row>
    <row r="1192">
      <c r="A1192" t="inlineStr">
        <is>
          <t>2022</t>
        </is>
      </c>
      <c r="B1192" t="inlineStr">
        <is>
          <t>C00483677</t>
        </is>
      </c>
      <c r="C1192" t="inlineStr">
        <is>
          <t>American Petroleum Institute PAC (API PAC)</t>
        </is>
      </c>
      <c r="D1192" t="inlineStr">
        <is>
          <t>FAMILIES FOR JAMES LANKFORD</t>
        </is>
      </c>
      <c r="E1192" t="inlineStr">
        <is>
          <t>S4OK00232</t>
        </is>
      </c>
      <c r="F1192" t="inlineStr">
        <is>
          <t>REP</t>
        </is>
      </c>
      <c r="G1192" t="inlineStr">
        <is>
          <t>07262021</t>
        </is>
      </c>
      <c r="H1192" t="n">
        <v>1500</v>
      </c>
      <c r="I1192" t="inlineStr">
        <is>
          <t>202108209466414509</t>
        </is>
      </c>
      <c r="J1192" t="inlineStr">
        <is>
          <t>https://docquery.fec.gov/cgi-bin/fecimg/?202108209466414509</t>
        </is>
      </c>
    </row>
    <row r="1193">
      <c r="A1193" t="inlineStr">
        <is>
          <t>2022</t>
        </is>
      </c>
      <c r="B1193" t="inlineStr">
        <is>
          <t>C00483677</t>
        </is>
      </c>
      <c r="C1193" t="inlineStr">
        <is>
          <t>American Petroleum Institute PAC (API PAC)</t>
        </is>
      </c>
      <c r="D1193" t="inlineStr">
        <is>
          <t>KEVIN MCCARTHY FOR CONGRESS</t>
        </is>
      </c>
      <c r="E1193" t="inlineStr">
        <is>
          <t>H6CA22125</t>
        </is>
      </c>
      <c r="F1193" t="inlineStr">
        <is>
          <t>REP</t>
        </is>
      </c>
      <c r="G1193" t="inlineStr">
        <is>
          <t>07262021</t>
        </is>
      </c>
      <c r="H1193" t="n">
        <v>2500</v>
      </c>
      <c r="I1193" t="inlineStr">
        <is>
          <t>202108209466414510</t>
        </is>
      </c>
      <c r="J1193" t="inlineStr">
        <is>
          <t>https://docquery.fec.gov/cgi-bin/fecimg/?202108209466414510</t>
        </is>
      </c>
    </row>
    <row r="1194">
      <c r="A1194" t="inlineStr">
        <is>
          <t>2022</t>
        </is>
      </c>
      <c r="B1194" t="inlineStr">
        <is>
          <t>C00483677</t>
        </is>
      </c>
      <c r="C1194" t="inlineStr">
        <is>
          <t>American Petroleum Institute PAC (API PAC)</t>
        </is>
      </c>
      <c r="D1194" t="inlineStr">
        <is>
          <t>KURT SCHRADER FOR CONGRESS</t>
        </is>
      </c>
      <c r="E1194" t="inlineStr">
        <is>
          <t>H8OR05107</t>
        </is>
      </c>
      <c r="F1194" t="inlineStr">
        <is>
          <t>DEM</t>
        </is>
      </c>
      <c r="G1194" t="inlineStr">
        <is>
          <t>07262021</t>
        </is>
      </c>
      <c r="H1194" t="n">
        <v>1000</v>
      </c>
      <c r="I1194" t="inlineStr">
        <is>
          <t>202108209466414510</t>
        </is>
      </c>
      <c r="J1194" t="inlineStr">
        <is>
          <t>https://docquery.fec.gov/cgi-bin/fecimg/?202108209466414510</t>
        </is>
      </c>
    </row>
    <row r="1195">
      <c r="A1195" t="inlineStr">
        <is>
          <t>2022</t>
        </is>
      </c>
      <c r="B1195" t="inlineStr">
        <is>
          <t>C00483677</t>
        </is>
      </c>
      <c r="C1195" t="inlineStr">
        <is>
          <t>American Petroleum Institute PAC (API PAC)</t>
        </is>
      </c>
      <c r="D1195" t="inlineStr">
        <is>
          <t>MARC VEASEY CONGRESSIONAL CAMPAIGN COMMITTEE</t>
        </is>
      </c>
      <c r="E1195" t="inlineStr">
        <is>
          <t>H2TX33073</t>
        </is>
      </c>
      <c r="F1195" t="inlineStr">
        <is>
          <t>DEM</t>
        </is>
      </c>
      <c r="G1195" t="inlineStr">
        <is>
          <t>07262021</t>
        </is>
      </c>
      <c r="H1195" t="n">
        <v>1000</v>
      </c>
      <c r="I1195" t="inlineStr">
        <is>
          <t>202108209466414510</t>
        </is>
      </c>
      <c r="J1195" t="inlineStr">
        <is>
          <t>https://docquery.fec.gov/cgi-bin/fecimg/?202108209466414510</t>
        </is>
      </c>
    </row>
    <row r="1196">
      <c r="A1196" t="inlineStr">
        <is>
          <t>2022</t>
        </is>
      </c>
      <c r="B1196" t="inlineStr">
        <is>
          <t>C00483677</t>
        </is>
      </c>
      <c r="C1196" t="inlineStr">
        <is>
          <t>American Petroleum Institute PAC (API PAC)</t>
        </is>
      </c>
      <c r="D1196" t="inlineStr">
        <is>
          <t>MCHENRY FOR CONGRESS</t>
        </is>
      </c>
      <c r="E1196" t="inlineStr">
        <is>
          <t>H4NC10047</t>
        </is>
      </c>
      <c r="F1196" t="inlineStr">
        <is>
          <t>REP</t>
        </is>
      </c>
      <c r="G1196" t="inlineStr">
        <is>
          <t>07262021</t>
        </is>
      </c>
      <c r="H1196" t="n">
        <v>1000</v>
      </c>
      <c r="I1196" t="inlineStr">
        <is>
          <t>202108209466414511</t>
        </is>
      </c>
      <c r="J1196" t="inlineStr">
        <is>
          <t>https://docquery.fec.gov/cgi-bin/fecimg/?202108209466414511</t>
        </is>
      </c>
    </row>
    <row r="1197">
      <c r="A1197" t="inlineStr">
        <is>
          <t>2022</t>
        </is>
      </c>
      <c r="B1197" t="inlineStr">
        <is>
          <t>C00483677</t>
        </is>
      </c>
      <c r="C1197" t="inlineStr">
        <is>
          <t>American Petroleum Institute PAC (API PAC)</t>
        </is>
      </c>
      <c r="D1197" t="inlineStr">
        <is>
          <t>TEXANS FOR HENRY CUELLAR CONGRESSIONAL CAMPAIGN</t>
        </is>
      </c>
      <c r="E1197" t="inlineStr">
        <is>
          <t>H2TX23082</t>
        </is>
      </c>
      <c r="F1197" t="inlineStr">
        <is>
          <t>DEM</t>
        </is>
      </c>
      <c r="G1197" t="inlineStr">
        <is>
          <t>07262021</t>
        </is>
      </c>
      <c r="H1197" t="n">
        <v>1000</v>
      </c>
      <c r="I1197" t="inlineStr">
        <is>
          <t>202108209466414511</t>
        </is>
      </c>
      <c r="J1197" t="inlineStr">
        <is>
          <t>https://docquery.fec.gov/cgi-bin/fecimg/?202108209466414511</t>
        </is>
      </c>
    </row>
    <row r="1198">
      <c r="A1198" t="inlineStr">
        <is>
          <t>2022</t>
        </is>
      </c>
      <c r="B1198" t="inlineStr">
        <is>
          <t>C00483677</t>
        </is>
      </c>
      <c r="C1198" t="inlineStr">
        <is>
          <t>American Petroleum Institute PAC (API PAC)</t>
        </is>
      </c>
      <c r="D1198" t="inlineStr">
        <is>
          <t>TONY GONZALES FOR CONGRESS</t>
        </is>
      </c>
      <c r="E1198" t="inlineStr">
        <is>
          <t>H0TX35015</t>
        </is>
      </c>
      <c r="F1198" t="inlineStr">
        <is>
          <t>REP</t>
        </is>
      </c>
      <c r="G1198" t="inlineStr">
        <is>
          <t>07262021</t>
        </is>
      </c>
      <c r="H1198" t="n">
        <v>1000</v>
      </c>
      <c r="I1198" t="inlineStr">
        <is>
          <t>202108209466414512</t>
        </is>
      </c>
      <c r="J1198" t="inlineStr">
        <is>
          <t>https://docquery.fec.gov/cgi-bin/fecimg/?202108209466414512</t>
        </is>
      </c>
    </row>
    <row r="1199">
      <c r="A1199" t="inlineStr">
        <is>
          <t>2022</t>
        </is>
      </c>
      <c r="B1199" t="inlineStr">
        <is>
          <t>C00483677</t>
        </is>
      </c>
      <c r="C1199" t="inlineStr">
        <is>
          <t>American Petroleum Institute PAC (API PAC)</t>
        </is>
      </c>
      <c r="D1199" t="inlineStr">
        <is>
          <t>VICENTE GONZALEZ FOR CONGRESS</t>
        </is>
      </c>
      <c r="E1199" t="inlineStr">
        <is>
          <t>H6TX15162</t>
        </is>
      </c>
      <c r="F1199" t="inlineStr">
        <is>
          <t>DEM</t>
        </is>
      </c>
      <c r="G1199" t="inlineStr">
        <is>
          <t>07262021</t>
        </is>
      </c>
      <c r="H1199" t="n">
        <v>1000</v>
      </c>
      <c r="I1199" t="inlineStr">
        <is>
          <t>202108209466414512</t>
        </is>
      </c>
      <c r="J1199" t="inlineStr">
        <is>
          <t>https://docquery.fec.gov/cgi-bin/fecimg/?202108209466414512</t>
        </is>
      </c>
    </row>
    <row r="1200">
      <c r="A1200" t="inlineStr">
        <is>
          <t>2022</t>
        </is>
      </c>
      <c r="B1200" t="inlineStr">
        <is>
          <t>C00483677</t>
        </is>
      </c>
      <c r="C1200" t="inlineStr">
        <is>
          <t>American Petroleum Institute PAC (API PAC)</t>
        </is>
      </c>
      <c r="D1200" t="inlineStr">
        <is>
          <t>JIM BANKS FOR CONGRESS, INC.</t>
        </is>
      </c>
      <c r="E1200" t="inlineStr">
        <is>
          <t>H6IN03229</t>
        </is>
      </c>
      <c r="F1200" t="inlineStr">
        <is>
          <t>REP</t>
        </is>
      </c>
      <c r="G1200" t="inlineStr">
        <is>
          <t>08012022</t>
        </is>
      </c>
      <c r="H1200" t="n">
        <v>1000</v>
      </c>
      <c r="I1200" t="inlineStr">
        <is>
          <t>202210209537721036</t>
        </is>
      </c>
      <c r="J1200" t="inlineStr">
        <is>
          <t>https://docquery.fec.gov/cgi-bin/fecimg/?202210209537721036</t>
        </is>
      </c>
    </row>
    <row r="1201">
      <c r="A1201" t="inlineStr">
        <is>
          <t>2022</t>
        </is>
      </c>
      <c r="B1201" t="inlineStr">
        <is>
          <t>C00483677</t>
        </is>
      </c>
      <c r="C1201" t="inlineStr">
        <is>
          <t>American Petroleum Institute PAC (API PAC)</t>
        </is>
      </c>
      <c r="D1201" t="inlineStr">
        <is>
          <t>JIM COSTA FOR CONGRESS</t>
        </is>
      </c>
      <c r="E1201" t="inlineStr">
        <is>
          <t>H4CA20082</t>
        </is>
      </c>
      <c r="F1201" t="inlineStr">
        <is>
          <t>DEM</t>
        </is>
      </c>
      <c r="G1201" t="inlineStr">
        <is>
          <t>08012022</t>
        </is>
      </c>
      <c r="H1201" t="n">
        <v>1000</v>
      </c>
      <c r="I1201" t="inlineStr">
        <is>
          <t>202210209537721036</t>
        </is>
      </c>
      <c r="J1201" t="inlineStr">
        <is>
          <t>https://docquery.fec.gov/cgi-bin/fecimg/?202210209537721036</t>
        </is>
      </c>
    </row>
    <row r="1202">
      <c r="A1202" t="inlineStr">
        <is>
          <t>2022</t>
        </is>
      </c>
      <c r="B1202" t="inlineStr">
        <is>
          <t>C00483677</t>
        </is>
      </c>
      <c r="C1202" t="inlineStr">
        <is>
          <t>American Petroleum Institute PAC (API PAC)</t>
        </is>
      </c>
      <c r="D1202" t="inlineStr">
        <is>
          <t>SINEMA FOR ARIZONA</t>
        </is>
      </c>
      <c r="E1202" t="inlineStr">
        <is>
          <t>S8AZ00197</t>
        </is>
      </c>
      <c r="F1202" t="inlineStr">
        <is>
          <t>IND</t>
        </is>
      </c>
      <c r="G1202" t="inlineStr">
        <is>
          <t>08012022</t>
        </is>
      </c>
      <c r="H1202" t="n">
        <v>2500</v>
      </c>
      <c r="I1202" t="inlineStr">
        <is>
          <t>202210209537721036</t>
        </is>
      </c>
      <c r="J1202" t="inlineStr">
        <is>
          <t>https://docquery.fec.gov/cgi-bin/fecimg/?202210209537721036</t>
        </is>
      </c>
    </row>
    <row r="1203">
      <c r="A1203" t="inlineStr">
        <is>
          <t>2022</t>
        </is>
      </c>
      <c r="B1203" t="inlineStr">
        <is>
          <t>C00483677</t>
        </is>
      </c>
      <c r="C1203" t="inlineStr">
        <is>
          <t>American Petroleum Institute PAC (API PAC)</t>
        </is>
      </c>
      <c r="D1203" t="inlineStr">
        <is>
          <t>WEBER FOR CONGRESS</t>
        </is>
      </c>
      <c r="E1203" t="inlineStr">
        <is>
          <t>H2TX14149</t>
        </is>
      </c>
      <c r="F1203" t="inlineStr">
        <is>
          <t>REP</t>
        </is>
      </c>
      <c r="G1203" t="inlineStr">
        <is>
          <t>08012022</t>
        </is>
      </c>
      <c r="H1203" t="n">
        <v>1000</v>
      </c>
      <c r="I1203" t="inlineStr">
        <is>
          <t>202210209537721037</t>
        </is>
      </c>
      <c r="J1203" t="inlineStr">
        <is>
          <t>https://docquery.fec.gov/cgi-bin/fecimg/?202210209537721037</t>
        </is>
      </c>
    </row>
    <row r="1204">
      <c r="A1204" t="inlineStr">
        <is>
          <t>2022</t>
        </is>
      </c>
      <c r="B1204" t="inlineStr">
        <is>
          <t>C00483677</t>
        </is>
      </c>
      <c r="C1204" t="inlineStr">
        <is>
          <t>American Petroleum Institute PAC (API PAC)</t>
        </is>
      </c>
      <c r="D1204" t="inlineStr">
        <is>
          <t>ZINKE FOR CONGRESS</t>
        </is>
      </c>
      <c r="E1204" t="inlineStr">
        <is>
          <t>H4MT01041</t>
        </is>
      </c>
      <c r="F1204" t="inlineStr">
        <is>
          <t>UNK</t>
        </is>
      </c>
      <c r="G1204" t="inlineStr">
        <is>
          <t>08012022</t>
        </is>
      </c>
      <c r="H1204" t="n">
        <v>1000</v>
      </c>
      <c r="I1204" t="inlineStr">
        <is>
          <t>202210209537721037</t>
        </is>
      </c>
      <c r="J1204" t="inlineStr">
        <is>
          <t>https://docquery.fec.gov/cgi-bin/fecimg/?202210209537721037</t>
        </is>
      </c>
    </row>
    <row r="1205">
      <c r="A1205" t="inlineStr">
        <is>
          <t>2022</t>
        </is>
      </c>
      <c r="B1205" t="inlineStr">
        <is>
          <t>C00483677</t>
        </is>
      </c>
      <c r="C1205" t="inlineStr">
        <is>
          <t>American Petroleum Institute PAC (API PAC)</t>
        </is>
      </c>
      <c r="D1205" t="inlineStr">
        <is>
          <t>JOSH GOTTHEIMER FOR CONGRESS</t>
        </is>
      </c>
      <c r="E1205" t="inlineStr">
        <is>
          <t>H6NJ05171</t>
        </is>
      </c>
      <c r="F1205" t="inlineStr">
        <is>
          <t>DEM</t>
        </is>
      </c>
      <c r="G1205" t="inlineStr">
        <is>
          <t>09282022</t>
        </is>
      </c>
      <c r="H1205" t="n">
        <v>1500</v>
      </c>
      <c r="I1205" t="inlineStr">
        <is>
          <t>202210209537721064</t>
        </is>
      </c>
      <c r="J1205" t="inlineStr">
        <is>
          <t>https://docquery.fec.gov/cgi-bin/fecimg/?202210209537721064</t>
        </is>
      </c>
    </row>
    <row r="1206">
      <c r="A1206" t="inlineStr">
        <is>
          <t>2022</t>
        </is>
      </c>
      <c r="B1206" t="inlineStr">
        <is>
          <t>C00483677</t>
        </is>
      </c>
      <c r="C1206" t="inlineStr">
        <is>
          <t>American Petroleum Institute PAC (API PAC)</t>
        </is>
      </c>
      <c r="D1206" t="inlineStr">
        <is>
          <t>ARMSTRONG FOR CONGRESS</t>
        </is>
      </c>
      <c r="E1206" t="inlineStr">
        <is>
          <t>H8ND00096</t>
        </is>
      </c>
      <c r="F1206" t="inlineStr">
        <is>
          <t>REP</t>
        </is>
      </c>
      <c r="G1206" t="inlineStr">
        <is>
          <t>09292022</t>
        </is>
      </c>
      <c r="H1206" t="n">
        <v>1000</v>
      </c>
      <c r="I1206" t="inlineStr">
        <is>
          <t>202210209537721062</t>
        </is>
      </c>
      <c r="J1206" t="inlineStr">
        <is>
          <t>https://docquery.fec.gov/cgi-bin/fecimg/?202210209537721062</t>
        </is>
      </c>
    </row>
    <row r="1207">
      <c r="A1207" t="inlineStr">
        <is>
          <t>2022</t>
        </is>
      </c>
      <c r="B1207" t="inlineStr">
        <is>
          <t>C00483677</t>
        </is>
      </c>
      <c r="C1207" t="inlineStr">
        <is>
          <t>American Petroleum Institute PAC (API PAC)</t>
        </is>
      </c>
      <c r="D1207" t="inlineStr">
        <is>
          <t>BALDERSON FOR CONGRESS</t>
        </is>
      </c>
      <c r="E1207" t="inlineStr">
        <is>
          <t>H8OH12180</t>
        </is>
      </c>
      <c r="F1207" t="inlineStr">
        <is>
          <t>REP</t>
        </is>
      </c>
      <c r="G1207" t="inlineStr">
        <is>
          <t>09292022</t>
        </is>
      </c>
      <c r="H1207" t="n">
        <v>1000</v>
      </c>
      <c r="I1207" t="inlineStr">
        <is>
          <t>202210209537721062</t>
        </is>
      </c>
      <c r="J1207" t="inlineStr">
        <is>
          <t>https://docquery.fec.gov/cgi-bin/fecimg/?202210209537721062</t>
        </is>
      </c>
    </row>
    <row r="1208">
      <c r="A1208" t="inlineStr">
        <is>
          <t>2022</t>
        </is>
      </c>
      <c r="B1208" t="inlineStr">
        <is>
          <t>C00483677</t>
        </is>
      </c>
      <c r="C1208" t="inlineStr">
        <is>
          <t>American Petroleum Institute PAC (API PAC)</t>
        </is>
      </c>
      <c r="D1208" t="inlineStr">
        <is>
          <t>CATHY MCMORRIS RODGERS FOR CONGRESS</t>
        </is>
      </c>
      <c r="E1208" t="inlineStr">
        <is>
          <t>H4WA05077</t>
        </is>
      </c>
      <c r="F1208" t="inlineStr">
        <is>
          <t>REP</t>
        </is>
      </c>
      <c r="G1208" t="inlineStr">
        <is>
          <t>09292022</t>
        </is>
      </c>
      <c r="H1208" t="n">
        <v>2500</v>
      </c>
      <c r="I1208" t="inlineStr">
        <is>
          <t>202210209537721062</t>
        </is>
      </c>
      <c r="J1208" t="inlineStr">
        <is>
          <t>https://docquery.fec.gov/cgi-bin/fecimg/?202210209537721062</t>
        </is>
      </c>
    </row>
    <row r="1209">
      <c r="A1209" t="inlineStr">
        <is>
          <t>2022</t>
        </is>
      </c>
      <c r="B1209" t="inlineStr">
        <is>
          <t>C00483677</t>
        </is>
      </c>
      <c r="C1209" t="inlineStr">
        <is>
          <t>American Petroleum Institute PAC (API PAC)</t>
        </is>
      </c>
      <c r="D1209" t="inlineStr">
        <is>
          <t>DREW FERGUSON FOR CONGRESS INC.</t>
        </is>
      </c>
      <c r="E1209" t="inlineStr">
        <is>
          <t>H6GA03113</t>
        </is>
      </c>
      <c r="F1209" t="inlineStr">
        <is>
          <t>REP</t>
        </is>
      </c>
      <c r="G1209" t="inlineStr">
        <is>
          <t>09292022</t>
        </is>
      </c>
      <c r="H1209" t="n">
        <v>1500</v>
      </c>
      <c r="I1209" t="inlineStr">
        <is>
          <t>202210209537721063</t>
        </is>
      </c>
      <c r="J1209" t="inlineStr">
        <is>
          <t>https://docquery.fec.gov/cgi-bin/fecimg/?202210209537721063</t>
        </is>
      </c>
    </row>
    <row r="1210">
      <c r="A1210" t="inlineStr">
        <is>
          <t>2022</t>
        </is>
      </c>
      <c r="B1210" t="inlineStr">
        <is>
          <t>C00483677</t>
        </is>
      </c>
      <c r="C1210" t="inlineStr">
        <is>
          <t>American Petroleum Institute PAC (API PAC)</t>
        </is>
      </c>
      <c r="D1210" t="inlineStr">
        <is>
          <t>FRIENDS OF JOHN THUNE</t>
        </is>
      </c>
      <c r="E1210" t="inlineStr">
        <is>
          <t>S2SD00068</t>
        </is>
      </c>
      <c r="F1210" t="inlineStr">
        <is>
          <t>REP</t>
        </is>
      </c>
      <c r="G1210" t="inlineStr">
        <is>
          <t>09292022</t>
        </is>
      </c>
      <c r="H1210" t="n">
        <v>2500</v>
      </c>
      <c r="I1210" t="inlineStr">
        <is>
          <t>202210209537721063</t>
        </is>
      </c>
      <c r="J1210" t="inlineStr">
        <is>
          <t>https://docquery.fec.gov/cgi-bin/fecimg/?202210209537721063</t>
        </is>
      </c>
    </row>
    <row r="1211">
      <c r="A1211" t="inlineStr">
        <is>
          <t>2022</t>
        </is>
      </c>
      <c r="B1211" t="inlineStr">
        <is>
          <t>C00483677</t>
        </is>
      </c>
      <c r="C1211" t="inlineStr">
        <is>
          <t>American Petroleum Institute PAC (API PAC)</t>
        </is>
      </c>
      <c r="D1211" t="inlineStr">
        <is>
          <t>HUIZENGA FOR CONGRESS</t>
        </is>
      </c>
      <c r="E1211" t="inlineStr">
        <is>
          <t>H0MI02094</t>
        </is>
      </c>
      <c r="F1211" t="inlineStr">
        <is>
          <t>REP</t>
        </is>
      </c>
      <c r="G1211" t="inlineStr">
        <is>
          <t>09292022</t>
        </is>
      </c>
      <c r="H1211" t="n">
        <v>1000</v>
      </c>
      <c r="I1211" t="inlineStr">
        <is>
          <t>202210209537721063</t>
        </is>
      </c>
      <c r="J1211" t="inlineStr">
        <is>
          <t>https://docquery.fec.gov/cgi-bin/fecimg/?202210209537721063</t>
        </is>
      </c>
    </row>
    <row r="1212">
      <c r="A1212" t="inlineStr">
        <is>
          <t>2022</t>
        </is>
      </c>
      <c r="B1212" t="inlineStr">
        <is>
          <t>C00483677</t>
        </is>
      </c>
      <c r="C1212" t="inlineStr">
        <is>
          <t>American Petroleum Institute PAC (API PAC)</t>
        </is>
      </c>
      <c r="D1212" t="inlineStr">
        <is>
          <t>MARCO RUBIO FOR SENATE</t>
        </is>
      </c>
      <c r="E1212" t="inlineStr">
        <is>
          <t>S0FL00338</t>
        </is>
      </c>
      <c r="F1212" t="inlineStr">
        <is>
          <t>REP</t>
        </is>
      </c>
      <c r="G1212" t="inlineStr">
        <is>
          <t>09292022</t>
        </is>
      </c>
      <c r="H1212" t="n">
        <v>2500</v>
      </c>
      <c r="I1212" t="inlineStr">
        <is>
          <t>202210209537721064</t>
        </is>
      </c>
      <c r="J1212" t="inlineStr">
        <is>
          <t>https://docquery.fec.gov/cgi-bin/fecimg/?202210209537721064</t>
        </is>
      </c>
    </row>
    <row r="1213">
      <c r="A1213" t="inlineStr">
        <is>
          <t>2022</t>
        </is>
      </c>
      <c r="B1213" t="inlineStr">
        <is>
          <t>C00483677</t>
        </is>
      </c>
      <c r="C1213" t="inlineStr">
        <is>
          <t>American Petroleum Institute PAC (API PAC)</t>
        </is>
      </c>
      <c r="D1213" t="inlineStr">
        <is>
          <t>MICHELLE STEEL FOR CONGRESS</t>
        </is>
      </c>
      <c r="E1213" t="inlineStr">
        <is>
          <t>H0CA48198</t>
        </is>
      </c>
      <c r="F1213" t="inlineStr">
        <is>
          <t>REP</t>
        </is>
      </c>
      <c r="G1213" t="inlineStr">
        <is>
          <t>09292022</t>
        </is>
      </c>
      <c r="H1213" t="n">
        <v>1000</v>
      </c>
      <c r="I1213" t="inlineStr">
        <is>
          <t>202210209537721064</t>
        </is>
      </c>
      <c r="J1213" t="inlineStr">
        <is>
          <t>https://docquery.fec.gov/cgi-bin/fecimg/?202210209537721064</t>
        </is>
      </c>
    </row>
    <row r="1214">
      <c r="A1214" t="inlineStr">
        <is>
          <t>2022</t>
        </is>
      </c>
      <c r="B1214" t="inlineStr">
        <is>
          <t>C00483677</t>
        </is>
      </c>
      <c r="C1214" t="inlineStr">
        <is>
          <t>American Petroleum Institute PAC (API PAC)</t>
        </is>
      </c>
      <c r="D1214" t="inlineStr">
        <is>
          <t>SCALISE FOR CONGRESS</t>
        </is>
      </c>
      <c r="E1214" t="inlineStr">
        <is>
          <t>H0LA01087</t>
        </is>
      </c>
      <c r="F1214" t="inlineStr">
        <is>
          <t>REP</t>
        </is>
      </c>
      <c r="G1214" t="inlineStr">
        <is>
          <t>09292022</t>
        </is>
      </c>
      <c r="H1214" t="n">
        <v>2500</v>
      </c>
      <c r="I1214" t="inlineStr">
        <is>
          <t>202210209537721065</t>
        </is>
      </c>
      <c r="J1214" t="inlineStr">
        <is>
          <t>https://docquery.fec.gov/cgi-bin/fecimg/?202210209537721065</t>
        </is>
      </c>
    </row>
    <row r="1215">
      <c r="A1215" t="inlineStr">
        <is>
          <t>2022</t>
        </is>
      </c>
      <c r="B1215" t="inlineStr">
        <is>
          <t>C00483677</t>
        </is>
      </c>
      <c r="C1215" t="inlineStr">
        <is>
          <t>American Petroleum Institute PAC (API PAC)</t>
        </is>
      </c>
      <c r="D1215" t="inlineStr">
        <is>
          <t>WESTERMAN FOR CONGRESS</t>
        </is>
      </c>
      <c r="E1215" t="inlineStr">
        <is>
          <t>H4AR04048</t>
        </is>
      </c>
      <c r="F1215" t="inlineStr">
        <is>
          <t>REP</t>
        </is>
      </c>
      <c r="G1215" t="inlineStr">
        <is>
          <t>09292022</t>
        </is>
      </c>
      <c r="H1215" t="n">
        <v>1000</v>
      </c>
      <c r="I1215" t="inlineStr">
        <is>
          <t>202210209537721065</t>
        </is>
      </c>
      <c r="J1215" t="inlineStr">
        <is>
          <t>https://docquery.fec.gov/cgi-bin/fecimg/?202210209537721065</t>
        </is>
      </c>
    </row>
    <row r="1216">
      <c r="A1216" t="inlineStr">
        <is>
          <t>2022</t>
        </is>
      </c>
      <c r="B1216" t="inlineStr">
        <is>
          <t>C00483677</t>
        </is>
      </c>
      <c r="C1216" t="inlineStr">
        <is>
          <t>American Petroleum Institute PAC (API PAC)</t>
        </is>
      </c>
      <c r="D1216" t="inlineStr">
        <is>
          <t>MULLIN FOR AMERICA</t>
        </is>
      </c>
      <c r="E1216" t="inlineStr">
        <is>
          <t>S2OK00186</t>
        </is>
      </c>
      <c r="F1216" t="inlineStr">
        <is>
          <t>REP</t>
        </is>
      </c>
      <c r="G1216" t="inlineStr">
        <is>
          <t>11022022</t>
        </is>
      </c>
      <c r="H1216" t="n">
        <v>2500</v>
      </c>
      <c r="I1216" t="inlineStr">
        <is>
          <t>202212089548007729</t>
        </is>
      </c>
      <c r="J1216" t="inlineStr">
        <is>
          <t>https://docquery.fec.gov/cgi-bin/fecimg/?202212089548007729</t>
        </is>
      </c>
    </row>
    <row r="1217">
      <c r="A1217" t="inlineStr">
        <is>
          <t>2022</t>
        </is>
      </c>
      <c r="B1217" t="inlineStr">
        <is>
          <t>C00483677</t>
        </is>
      </c>
      <c r="C1217" t="inlineStr">
        <is>
          <t>American Petroleum Institute PAC (API PAC)</t>
        </is>
      </c>
      <c r="D1217" t="inlineStr">
        <is>
          <t>RON JOHNSON FOR SENATE, INC.</t>
        </is>
      </c>
      <c r="E1217" t="inlineStr">
        <is>
          <t>S0WI00197</t>
        </is>
      </c>
      <c r="F1217" t="inlineStr">
        <is>
          <t>REP</t>
        </is>
      </c>
      <c r="G1217" t="inlineStr">
        <is>
          <t>11022022</t>
        </is>
      </c>
      <c r="H1217" t="n">
        <v>2500</v>
      </c>
      <c r="I1217" t="inlineStr">
        <is>
          <t>202212089548007729</t>
        </is>
      </c>
      <c r="J1217" t="inlineStr">
        <is>
          <t>https://docquery.fec.gov/cgi-bin/fecimg/?202212089548007729</t>
        </is>
      </c>
    </row>
    <row r="1218">
      <c r="A1218" t="inlineStr">
        <is>
          <t>2022</t>
        </is>
      </c>
      <c r="B1218" t="inlineStr">
        <is>
          <t>C00483677</t>
        </is>
      </c>
      <c r="C1218" t="inlineStr">
        <is>
          <t>American Petroleum Institute PAC (API PAC)</t>
        </is>
      </c>
      <c r="D1218" t="inlineStr">
        <is>
          <t>SCHMITT FOR SENATE</t>
        </is>
      </c>
      <c r="E1218" t="inlineStr">
        <is>
          <t>S2MO00544</t>
        </is>
      </c>
      <c r="F1218" t="inlineStr">
        <is>
          <t>REP</t>
        </is>
      </c>
      <c r="G1218" t="inlineStr">
        <is>
          <t>11022022</t>
        </is>
      </c>
      <c r="H1218" t="n">
        <v>2500</v>
      </c>
      <c r="I1218" t="inlineStr">
        <is>
          <t>202212089548007729</t>
        </is>
      </c>
      <c r="J1218" t="inlineStr">
        <is>
          <t>https://docquery.fec.gov/cgi-bin/fecimg/?202212089548007729</t>
        </is>
      </c>
    </row>
    <row r="1219">
      <c r="A1219" t="inlineStr">
        <is>
          <t>2022</t>
        </is>
      </c>
      <c r="B1219" t="inlineStr">
        <is>
          <t>C00483677</t>
        </is>
      </c>
      <c r="C1219" t="inlineStr">
        <is>
          <t>American Petroleum Institute PAC (API PAC)</t>
        </is>
      </c>
      <c r="D1219" t="inlineStr">
        <is>
          <t>SCOTT BAUGH FOR CONGRESS</t>
        </is>
      </c>
      <c r="E1219" t="inlineStr">
        <is>
          <t>H2CA47196</t>
        </is>
      </c>
      <c r="G1219" t="inlineStr">
        <is>
          <t>11022022</t>
        </is>
      </c>
      <c r="H1219" t="n">
        <v>1000</v>
      </c>
      <c r="I1219" t="inlineStr">
        <is>
          <t>202212089548007730</t>
        </is>
      </c>
      <c r="J1219" t="inlineStr">
        <is>
          <t>https://docquery.fec.gov/cgi-bin/fecimg/?202212089548007730</t>
        </is>
      </c>
    </row>
    <row r="1220">
      <c r="A1220" t="inlineStr">
        <is>
          <t>2022</t>
        </is>
      </c>
      <c r="B1220" t="inlineStr">
        <is>
          <t>C00483677</t>
        </is>
      </c>
      <c r="C1220" t="inlineStr">
        <is>
          <t>American Petroleum Institute PAC (API PAC)</t>
        </is>
      </c>
      <c r="D1220" t="inlineStr">
        <is>
          <t>TEXANS FOR HENRY CUELLAR CONGRESSIONAL CAMPAIGN</t>
        </is>
      </c>
      <c r="E1220" t="inlineStr">
        <is>
          <t>H2TX23082</t>
        </is>
      </c>
      <c r="F1220" t="inlineStr">
        <is>
          <t>DEM</t>
        </is>
      </c>
      <c r="G1220" t="inlineStr">
        <is>
          <t>11022022</t>
        </is>
      </c>
      <c r="H1220" t="n">
        <v>5000</v>
      </c>
      <c r="I1220" t="inlineStr">
        <is>
          <t>202212089548007730</t>
        </is>
      </c>
      <c r="J1220" t="inlineStr">
        <is>
          <t>https://docquery.fec.gov/cgi-bin/fecimg/?202212089548007730</t>
        </is>
      </c>
    </row>
    <row r="1221">
      <c r="A1221" t="inlineStr">
        <is>
          <t>2022</t>
        </is>
      </c>
      <c r="B1221" t="inlineStr">
        <is>
          <t>C00483677</t>
        </is>
      </c>
      <c r="C1221" t="inlineStr">
        <is>
          <t>American Petroleum Institute PAC (API PAC)</t>
        </is>
      </c>
      <c r="D1221" t="inlineStr">
        <is>
          <t>KIRKMEYER FOR CO-08</t>
        </is>
      </c>
      <c r="E1221" t="inlineStr">
        <is>
          <t>H2CO08079</t>
        </is>
      </c>
      <c r="F1221" t="inlineStr">
        <is>
          <t>REP</t>
        </is>
      </c>
      <c r="G1221" t="inlineStr">
        <is>
          <t>11022022</t>
        </is>
      </c>
      <c r="H1221" t="n">
        <v>2500</v>
      </c>
      <c r="I1221" t="inlineStr">
        <is>
          <t>202212089548007728</t>
        </is>
      </c>
      <c r="J1221" t="inlineStr">
        <is>
          <t>https://docquery.fec.gov/cgi-bin/fecimg/?202212089548007728</t>
        </is>
      </c>
    </row>
    <row r="1222">
      <c r="A1222" t="inlineStr">
        <is>
          <t>2022</t>
        </is>
      </c>
      <c r="B1222" t="inlineStr">
        <is>
          <t>C00483677</t>
        </is>
      </c>
      <c r="C1222" t="inlineStr">
        <is>
          <t>American Petroleum Institute PAC (API PAC)</t>
        </is>
      </c>
      <c r="D1222" t="inlineStr">
        <is>
          <t>LAXALT FOR SENATE</t>
        </is>
      </c>
      <c r="E1222" t="inlineStr">
        <is>
          <t>S2NV00324</t>
        </is>
      </c>
      <c r="F1222" t="inlineStr">
        <is>
          <t>REP</t>
        </is>
      </c>
      <c r="G1222" t="inlineStr">
        <is>
          <t>11022022</t>
        </is>
      </c>
      <c r="H1222" t="n">
        <v>2500</v>
      </c>
      <c r="I1222" t="inlineStr">
        <is>
          <t>202212089548007728</t>
        </is>
      </c>
      <c r="J1222" t="inlineStr">
        <is>
          <t>https://docquery.fec.gov/cgi-bin/fecimg/?202212089548007728</t>
        </is>
      </c>
    </row>
    <row r="1223">
      <c r="A1223" t="inlineStr">
        <is>
          <t>2022</t>
        </is>
      </c>
      <c r="B1223" t="inlineStr">
        <is>
          <t>C00483677</t>
        </is>
      </c>
      <c r="C1223" t="inlineStr">
        <is>
          <t>American Petroleum Institute PAC (API PAC)</t>
        </is>
      </c>
      <c r="D1223" t="inlineStr">
        <is>
          <t>BRITT FOR ALABAMA INC</t>
        </is>
      </c>
      <c r="E1223" t="inlineStr">
        <is>
          <t>S2AL00145</t>
        </is>
      </c>
      <c r="F1223" t="inlineStr">
        <is>
          <t>REP</t>
        </is>
      </c>
      <c r="G1223" t="inlineStr">
        <is>
          <t>11022022</t>
        </is>
      </c>
      <c r="H1223" t="n">
        <v>2500</v>
      </c>
      <c r="I1223" t="inlineStr">
        <is>
          <t>202212089548007726</t>
        </is>
      </c>
      <c r="J1223" t="inlineStr">
        <is>
          <t>https://docquery.fec.gov/cgi-bin/fecimg/?202212089548007726</t>
        </is>
      </c>
    </row>
    <row r="1224">
      <c r="A1224" t="inlineStr">
        <is>
          <t>2022</t>
        </is>
      </c>
      <c r="B1224" t="inlineStr">
        <is>
          <t>C00483677</t>
        </is>
      </c>
      <c r="C1224" t="inlineStr">
        <is>
          <t>American Petroleum Institute PAC (API PAC)</t>
        </is>
      </c>
      <c r="D1224" t="inlineStr">
        <is>
          <t>DOCTOR OZ FOR SENATE</t>
        </is>
      </c>
      <c r="E1224" t="inlineStr">
        <is>
          <t>S2PA00638</t>
        </is>
      </c>
      <c r="F1224" t="inlineStr">
        <is>
          <t>REP</t>
        </is>
      </c>
      <c r="G1224" t="inlineStr">
        <is>
          <t>11022022</t>
        </is>
      </c>
      <c r="H1224" t="n">
        <v>2500</v>
      </c>
      <c r="I1224" t="inlineStr">
        <is>
          <t>202212089548007726</t>
        </is>
      </c>
      <c r="J1224" t="inlineStr">
        <is>
          <t>https://docquery.fec.gov/cgi-bin/fecimg/?202212089548007726</t>
        </is>
      </c>
    </row>
    <row r="1225">
      <c r="A1225" t="inlineStr">
        <is>
          <t>2022</t>
        </is>
      </c>
      <c r="B1225" t="inlineStr">
        <is>
          <t>C00483677</t>
        </is>
      </c>
      <c r="C1225" t="inlineStr">
        <is>
          <t>American Petroleum Institute PAC (API PAC)</t>
        </is>
      </c>
      <c r="D1225" t="inlineStr">
        <is>
          <t>ELISE FOR CONGRESS</t>
        </is>
      </c>
      <c r="E1225" t="inlineStr">
        <is>
          <t>H4NY21079</t>
        </is>
      </c>
      <c r="F1225" t="inlineStr">
        <is>
          <t>REP</t>
        </is>
      </c>
      <c r="G1225" t="inlineStr">
        <is>
          <t>11022022</t>
        </is>
      </c>
      <c r="H1225" t="n">
        <v>2500</v>
      </c>
      <c r="I1225" t="inlineStr">
        <is>
          <t>202212089548007727</t>
        </is>
      </c>
      <c r="J1225" t="inlineStr">
        <is>
          <t>https://docquery.fec.gov/cgi-bin/fecimg/?202212089548007727</t>
        </is>
      </c>
    </row>
    <row r="1226">
      <c r="A1226" t="inlineStr">
        <is>
          <t>2022</t>
        </is>
      </c>
      <c r="B1226" t="inlineStr">
        <is>
          <t>C00483677</t>
        </is>
      </c>
      <c r="C1226" t="inlineStr">
        <is>
          <t>American Petroleum Institute PAC (API PAC)</t>
        </is>
      </c>
      <c r="D1226" t="inlineStr">
        <is>
          <t>HUDSON FOR CONGRESS</t>
        </is>
      </c>
      <c r="E1226" t="inlineStr">
        <is>
          <t>H2NC08185</t>
        </is>
      </c>
      <c r="F1226" t="inlineStr">
        <is>
          <t>REP</t>
        </is>
      </c>
      <c r="G1226" t="inlineStr">
        <is>
          <t>11042022</t>
        </is>
      </c>
      <c r="H1226" t="n">
        <v>1500</v>
      </c>
      <c r="I1226" t="inlineStr">
        <is>
          <t>202212089548007727</t>
        </is>
      </c>
      <c r="J1226" t="inlineStr">
        <is>
          <t>https://docquery.fec.gov/cgi-bin/fecimg/?202212089548007727</t>
        </is>
      </c>
    </row>
    <row r="1227">
      <c r="A1227" t="inlineStr">
        <is>
          <t>2022</t>
        </is>
      </c>
      <c r="B1227" t="inlineStr">
        <is>
          <t>C00483677</t>
        </is>
      </c>
      <c r="C1227" t="inlineStr">
        <is>
          <t>American Petroleum Institute PAC (API PAC)</t>
        </is>
      </c>
      <c r="D1227" t="inlineStr">
        <is>
          <t>JEFF DUNCAN FOR CONGRESS</t>
        </is>
      </c>
      <c r="E1227" t="inlineStr">
        <is>
          <t>H0SC03077</t>
        </is>
      </c>
      <c r="F1227" t="inlineStr">
        <is>
          <t>REP</t>
        </is>
      </c>
      <c r="G1227" t="inlineStr">
        <is>
          <t>11042022</t>
        </is>
      </c>
      <c r="H1227" t="n">
        <v>1500</v>
      </c>
      <c r="I1227" t="inlineStr">
        <is>
          <t>202212089548007727</t>
        </is>
      </c>
      <c r="J1227" t="inlineStr">
        <is>
          <t>https://docquery.fec.gov/cgi-bin/fecimg/?202212089548007727</t>
        </is>
      </c>
    </row>
    <row r="1228">
      <c r="A1228" t="inlineStr">
        <is>
          <t>2022</t>
        </is>
      </c>
      <c r="B1228" t="inlineStr">
        <is>
          <t>C00483677</t>
        </is>
      </c>
      <c r="C1228" t="inlineStr">
        <is>
          <t>American Petroleum Institute PAC (API PAC)</t>
        </is>
      </c>
      <c r="D1228" t="inlineStr">
        <is>
          <t>LAHOOD FOR CONGRESS</t>
        </is>
      </c>
      <c r="E1228" t="inlineStr">
        <is>
          <t>H6IL18088</t>
        </is>
      </c>
      <c r="F1228" t="inlineStr">
        <is>
          <t>REP</t>
        </is>
      </c>
      <c r="G1228" t="inlineStr">
        <is>
          <t>11042022</t>
        </is>
      </c>
      <c r="H1228" t="n">
        <v>1500</v>
      </c>
      <c r="I1228" t="inlineStr">
        <is>
          <t>202212089548007728</t>
        </is>
      </c>
      <c r="J1228" t="inlineStr">
        <is>
          <t>https://docquery.fec.gov/cgi-bin/fecimg/?202212089548007728</t>
        </is>
      </c>
    </row>
    <row r="1229">
      <c r="A1229" t="inlineStr">
        <is>
          <t>2022</t>
        </is>
      </c>
      <c r="B1229" t="inlineStr">
        <is>
          <t>C00483677</t>
        </is>
      </c>
      <c r="C1229" t="inlineStr">
        <is>
          <t>American Petroleum Institute PAC (API PAC)</t>
        </is>
      </c>
      <c r="D1229" t="inlineStr">
        <is>
          <t>BYRON DONALDS FOR CONGRESS</t>
        </is>
      </c>
      <c r="E1229" t="inlineStr">
        <is>
          <t>H2FL14186</t>
        </is>
      </c>
      <c r="F1229" t="inlineStr">
        <is>
          <t>REP</t>
        </is>
      </c>
      <c r="G1229" t="inlineStr">
        <is>
          <t>11042022</t>
        </is>
      </c>
      <c r="H1229" t="n">
        <v>1500</v>
      </c>
      <c r="I1229" t="inlineStr">
        <is>
          <t>202212089548007726</t>
        </is>
      </c>
      <c r="J1229" t="inlineStr">
        <is>
          <t>https://docquery.fec.gov/cgi-bin/fecimg/?202212089548007726</t>
        </is>
      </c>
    </row>
    <row r="1230">
      <c r="A1230" t="inlineStr">
        <is>
          <t>2022</t>
        </is>
      </c>
      <c r="B1230" t="inlineStr">
        <is>
          <t>C00483677</t>
        </is>
      </c>
      <c r="C1230" t="inlineStr">
        <is>
          <t>American Petroleum Institute PAC (API PAC)</t>
        </is>
      </c>
      <c r="D1230" t="inlineStr">
        <is>
          <t>AUGUST PFLUGER FOR CONGRESS</t>
        </is>
      </c>
      <c r="E1230" t="inlineStr">
        <is>
          <t>H0TX11230</t>
        </is>
      </c>
      <c r="F1230" t="inlineStr">
        <is>
          <t>REP</t>
        </is>
      </c>
      <c r="G1230" t="inlineStr">
        <is>
          <t>11052021</t>
        </is>
      </c>
      <c r="H1230" t="n">
        <v>1000</v>
      </c>
      <c r="I1230" t="inlineStr">
        <is>
          <t>202112209474630298</t>
        </is>
      </c>
      <c r="J1230" t="inlineStr">
        <is>
          <t>https://docquery.fec.gov/cgi-bin/fecimg/?202112209474630298</t>
        </is>
      </c>
    </row>
    <row r="1231">
      <c r="A1231" t="inlineStr">
        <is>
          <t>2022</t>
        </is>
      </c>
      <c r="B1231" t="inlineStr">
        <is>
          <t>C00483677</t>
        </is>
      </c>
      <c r="C1231" t="inlineStr">
        <is>
          <t>American Petroleum Institute PAC (API PAC)</t>
        </is>
      </c>
      <c r="D1231" t="inlineStr">
        <is>
          <t>CURTIS FOR CONGRESS</t>
        </is>
      </c>
      <c r="E1231" t="inlineStr">
        <is>
          <t>H8UT03238</t>
        </is>
      </c>
      <c r="F1231" t="inlineStr">
        <is>
          <t>REP</t>
        </is>
      </c>
      <c r="G1231" t="inlineStr">
        <is>
          <t>11052021</t>
        </is>
      </c>
      <c r="H1231" t="n">
        <v>1000</v>
      </c>
      <c r="I1231" t="inlineStr">
        <is>
          <t>202112209474630298</t>
        </is>
      </c>
      <c r="J1231" t="inlineStr">
        <is>
          <t>https://docquery.fec.gov/cgi-bin/fecimg/?202112209474630298</t>
        </is>
      </c>
    </row>
    <row r="1232">
      <c r="A1232" t="inlineStr">
        <is>
          <t>2022</t>
        </is>
      </c>
      <c r="B1232" t="inlineStr">
        <is>
          <t>C00483677</t>
        </is>
      </c>
      <c r="C1232" t="inlineStr">
        <is>
          <t>American Petroleum Institute PAC (API PAC)</t>
        </is>
      </c>
      <c r="D1232" t="inlineStr">
        <is>
          <t>DAN CRENSHAW FOR CONGRESS</t>
        </is>
      </c>
      <c r="E1232" t="inlineStr">
        <is>
          <t>H8TX02166</t>
        </is>
      </c>
      <c r="F1232" t="inlineStr">
        <is>
          <t>REP</t>
        </is>
      </c>
      <c r="G1232" t="inlineStr">
        <is>
          <t>11052021</t>
        </is>
      </c>
      <c r="H1232" t="n">
        <v>1000</v>
      </c>
      <c r="I1232" t="inlineStr">
        <is>
          <t>202112209474630298</t>
        </is>
      </c>
      <c r="J1232" t="inlineStr">
        <is>
          <t>https://docquery.fec.gov/cgi-bin/fecimg/?202112209474630298</t>
        </is>
      </c>
    </row>
    <row r="1233">
      <c r="A1233" t="inlineStr">
        <is>
          <t>2022</t>
        </is>
      </c>
      <c r="B1233" t="inlineStr">
        <is>
          <t>C00483677</t>
        </is>
      </c>
      <c r="C1233" t="inlineStr">
        <is>
          <t>American Petroleum Institute PAC (API PAC)</t>
        </is>
      </c>
      <c r="D1233" t="inlineStr">
        <is>
          <t>GARRET GRAVES FOR CONGRESS</t>
        </is>
      </c>
      <c r="E1233" t="inlineStr">
        <is>
          <t>H4LA06153</t>
        </is>
      </c>
      <c r="F1233" t="inlineStr">
        <is>
          <t>REP</t>
        </is>
      </c>
      <c r="G1233" t="inlineStr">
        <is>
          <t>11052021</t>
        </is>
      </c>
      <c r="H1233" t="n">
        <v>1000</v>
      </c>
      <c r="I1233" t="inlineStr">
        <is>
          <t>202112209474630299</t>
        </is>
      </c>
      <c r="J1233" t="inlineStr">
        <is>
          <t>https://docquery.fec.gov/cgi-bin/fecimg/?202112209474630299</t>
        </is>
      </c>
    </row>
    <row r="1234">
      <c r="A1234" t="inlineStr">
        <is>
          <t>2022</t>
        </is>
      </c>
      <c r="B1234" t="inlineStr">
        <is>
          <t>C00483677</t>
        </is>
      </c>
      <c r="C1234" t="inlineStr">
        <is>
          <t>American Petroleum Institute PAC (API PAC)</t>
        </is>
      </c>
      <c r="D1234" t="inlineStr">
        <is>
          <t>HOEVEN FOR SENATE</t>
        </is>
      </c>
      <c r="E1234" t="inlineStr">
        <is>
          <t>S0ND00093</t>
        </is>
      </c>
      <c r="F1234" t="inlineStr">
        <is>
          <t>REP</t>
        </is>
      </c>
      <c r="G1234" t="inlineStr">
        <is>
          <t>11052021</t>
        </is>
      </c>
      <c r="H1234" t="n">
        <v>1000</v>
      </c>
      <c r="I1234" t="inlineStr">
        <is>
          <t>202112209474630299</t>
        </is>
      </c>
      <c r="J1234" t="inlineStr">
        <is>
          <t>https://docquery.fec.gov/cgi-bin/fecimg/?202112209474630299</t>
        </is>
      </c>
    </row>
    <row r="1235">
      <c r="A1235" t="inlineStr">
        <is>
          <t>2022</t>
        </is>
      </c>
      <c r="B1235" t="inlineStr">
        <is>
          <t>C00483677</t>
        </is>
      </c>
      <c r="C1235" t="inlineStr">
        <is>
          <t>American Petroleum Institute PAC (API PAC)</t>
        </is>
      </c>
      <c r="D1235" t="inlineStr">
        <is>
          <t>JOHNSON FOR CONGRESS</t>
        </is>
      </c>
      <c r="E1235" t="inlineStr">
        <is>
          <t>H0OH06189</t>
        </is>
      </c>
      <c r="F1235" t="inlineStr">
        <is>
          <t>REP</t>
        </is>
      </c>
      <c r="G1235" t="inlineStr">
        <is>
          <t>11052021</t>
        </is>
      </c>
      <c r="H1235" t="n">
        <v>1000</v>
      </c>
      <c r="I1235" t="inlineStr">
        <is>
          <t>202112209474630299</t>
        </is>
      </c>
      <c r="J1235" t="inlineStr">
        <is>
          <t>https://docquery.fec.gov/cgi-bin/fecimg/?202112209474630299</t>
        </is>
      </c>
    </row>
    <row r="1236">
      <c r="A1236" t="inlineStr">
        <is>
          <t>2022</t>
        </is>
      </c>
      <c r="B1236" t="inlineStr">
        <is>
          <t>C00483677</t>
        </is>
      </c>
      <c r="C1236" t="inlineStr">
        <is>
          <t>American Petroleum Institute PAC (API PAC)</t>
        </is>
      </c>
      <c r="D1236" t="inlineStr">
        <is>
          <t>KEVIN MCCARTHY FOR CONGRESS</t>
        </is>
      </c>
      <c r="E1236" t="inlineStr">
        <is>
          <t>H6CA22125</t>
        </is>
      </c>
      <c r="F1236" t="inlineStr">
        <is>
          <t>REP</t>
        </is>
      </c>
      <c r="G1236" t="inlineStr">
        <is>
          <t>11052021</t>
        </is>
      </c>
      <c r="H1236" t="n">
        <v>2500</v>
      </c>
      <c r="I1236" t="inlineStr">
        <is>
          <t>202112209474630300</t>
        </is>
      </c>
      <c r="J1236" t="inlineStr">
        <is>
          <t>https://docquery.fec.gov/cgi-bin/fecimg/?202112209474630300</t>
        </is>
      </c>
    </row>
    <row r="1237">
      <c r="A1237" t="inlineStr">
        <is>
          <t>2022</t>
        </is>
      </c>
      <c r="B1237" t="inlineStr">
        <is>
          <t>C00483677</t>
        </is>
      </c>
      <c r="C1237" t="inlineStr">
        <is>
          <t>American Petroleum Institute PAC (API PAC)</t>
        </is>
      </c>
      <c r="D1237" t="inlineStr">
        <is>
          <t>MIKE CRAPO FOR US SENATE</t>
        </is>
      </c>
      <c r="E1237" t="inlineStr">
        <is>
          <t>S8ID00027</t>
        </is>
      </c>
      <c r="F1237" t="inlineStr">
        <is>
          <t>REP</t>
        </is>
      </c>
      <c r="G1237" t="inlineStr">
        <is>
          <t>11052021</t>
        </is>
      </c>
      <c r="H1237" t="n">
        <v>2500</v>
      </c>
      <c r="I1237" t="inlineStr">
        <is>
          <t>202112209474630300</t>
        </is>
      </c>
      <c r="J1237" t="inlineStr">
        <is>
          <t>https://docquery.fec.gov/cgi-bin/fecimg/?202112209474630300</t>
        </is>
      </c>
    </row>
    <row r="1238">
      <c r="A1238" t="inlineStr">
        <is>
          <t>2022</t>
        </is>
      </c>
      <c r="B1238" t="inlineStr">
        <is>
          <t>C00483677</t>
        </is>
      </c>
      <c r="C1238" t="inlineStr">
        <is>
          <t>American Petroleum Institute PAC (API PAC)</t>
        </is>
      </c>
      <c r="D1238" t="inlineStr">
        <is>
          <t>SCALISE FOR CONGRESS</t>
        </is>
      </c>
      <c r="E1238" t="inlineStr">
        <is>
          <t>H0LA01087</t>
        </is>
      </c>
      <c r="F1238" t="inlineStr">
        <is>
          <t>REP</t>
        </is>
      </c>
      <c r="G1238" t="inlineStr">
        <is>
          <t>11052021</t>
        </is>
      </c>
      <c r="H1238" t="n">
        <v>2500</v>
      </c>
      <c r="I1238" t="inlineStr">
        <is>
          <t>202112209474630300</t>
        </is>
      </c>
      <c r="J1238" t="inlineStr">
        <is>
          <t>https://docquery.fec.gov/cgi-bin/fecimg/?202112209474630300</t>
        </is>
      </c>
    </row>
    <row r="1239">
      <c r="A1239" t="inlineStr">
        <is>
          <t>2022</t>
        </is>
      </c>
      <c r="B1239" t="inlineStr">
        <is>
          <t>C00483677</t>
        </is>
      </c>
      <c r="C1239" t="inlineStr">
        <is>
          <t>American Petroleum Institute PAC (API PAC)</t>
        </is>
      </c>
      <c r="D1239" t="inlineStr">
        <is>
          <t>SYLVIA GARCIA FOR CONGRESS</t>
        </is>
      </c>
      <c r="E1239" t="inlineStr">
        <is>
          <t>H8TX29052</t>
        </is>
      </c>
      <c r="F1239" t="inlineStr">
        <is>
          <t>DEM</t>
        </is>
      </c>
      <c r="G1239" t="inlineStr">
        <is>
          <t>11052021</t>
        </is>
      </c>
      <c r="H1239" t="n">
        <v>1000</v>
      </c>
      <c r="I1239" t="inlineStr">
        <is>
          <t>202112209474630301</t>
        </is>
      </c>
      <c r="J1239" t="inlineStr">
        <is>
          <t>https://docquery.fec.gov/cgi-bin/fecimg/?202112209474630301</t>
        </is>
      </c>
    </row>
    <row r="1240">
      <c r="A1240" t="inlineStr">
        <is>
          <t>2022</t>
        </is>
      </c>
      <c r="B1240" t="inlineStr">
        <is>
          <t>C00483677</t>
        </is>
      </c>
      <c r="C1240" t="inlineStr">
        <is>
          <t>American Petroleum Institute PAC (API PAC)</t>
        </is>
      </c>
      <c r="D1240" t="inlineStr">
        <is>
          <t>TEXANS FOR JODEY ARRINGTON</t>
        </is>
      </c>
      <c r="E1240" t="inlineStr">
        <is>
          <t>H6TX19099</t>
        </is>
      </c>
      <c r="F1240" t="inlineStr">
        <is>
          <t>REP</t>
        </is>
      </c>
      <c r="G1240" t="inlineStr">
        <is>
          <t>11052021</t>
        </is>
      </c>
      <c r="H1240" t="n">
        <v>1000</v>
      </c>
      <c r="I1240" t="inlineStr">
        <is>
          <t>202112209474630301</t>
        </is>
      </c>
      <c r="J1240" t="inlineStr">
        <is>
          <t>https://docquery.fec.gov/cgi-bin/fecimg/?202112209474630301</t>
        </is>
      </c>
    </row>
    <row r="1241">
      <c r="A1241" t="inlineStr">
        <is>
          <t>2022</t>
        </is>
      </c>
      <c r="B1241" t="inlineStr">
        <is>
          <t>C00483677</t>
        </is>
      </c>
      <c r="C1241" t="inlineStr">
        <is>
          <t>American Petroleum Institute PAC (API PAC)</t>
        </is>
      </c>
      <c r="D1241" t="inlineStr">
        <is>
          <t>TIM SCOTT FOR SENATE</t>
        </is>
      </c>
      <c r="E1241" t="inlineStr">
        <is>
          <t>S4SC00240</t>
        </is>
      </c>
      <c r="F1241" t="inlineStr">
        <is>
          <t>REP</t>
        </is>
      </c>
      <c r="G1241" t="inlineStr">
        <is>
          <t>11052021</t>
        </is>
      </c>
      <c r="H1241" t="n">
        <v>2500</v>
      </c>
      <c r="I1241" t="inlineStr">
        <is>
          <t>202112209474630301</t>
        </is>
      </c>
      <c r="J1241" t="inlineStr">
        <is>
          <t>https://docquery.fec.gov/cgi-bin/fecimg/?202112209474630301</t>
        </is>
      </c>
    </row>
    <row r="1242">
      <c r="A1242" t="inlineStr">
        <is>
          <t>2022</t>
        </is>
      </c>
      <c r="B1242" t="inlineStr">
        <is>
          <t>C00483677</t>
        </is>
      </c>
      <c r="C1242" t="inlineStr">
        <is>
          <t>American Petroleum Institute PAC (API PAC)</t>
        </is>
      </c>
      <c r="D1242" t="inlineStr">
        <is>
          <t>WESTERMAN FOR CONGRESS</t>
        </is>
      </c>
      <c r="E1242" t="inlineStr">
        <is>
          <t>H4AR04048</t>
        </is>
      </c>
      <c r="F1242" t="inlineStr">
        <is>
          <t>REP</t>
        </is>
      </c>
      <c r="G1242" t="inlineStr">
        <is>
          <t>11052021</t>
        </is>
      </c>
      <c r="H1242" t="n">
        <v>1000</v>
      </c>
      <c r="I1242" t="inlineStr">
        <is>
          <t>202112209474630302</t>
        </is>
      </c>
      <c r="J1242" t="inlineStr">
        <is>
          <t>https://docquery.fec.gov/cgi-bin/fecimg/?202112209474630302</t>
        </is>
      </c>
    </row>
    <row r="1243">
      <c r="A1243" t="inlineStr">
        <is>
          <t>2022</t>
        </is>
      </c>
      <c r="B1243" t="inlineStr">
        <is>
          <t>C00483677</t>
        </is>
      </c>
      <c r="C1243" t="inlineStr">
        <is>
          <t>American Petroleum Institute PAC (API PAC)</t>
        </is>
      </c>
      <c r="D1243" t="inlineStr">
        <is>
          <t>COTTON FOR SENATE, INC.</t>
        </is>
      </c>
      <c r="E1243" t="inlineStr">
        <is>
          <t>S4AR00103</t>
        </is>
      </c>
      <c r="F1243" t="inlineStr">
        <is>
          <t>REP</t>
        </is>
      </c>
      <c r="G1243" t="inlineStr">
        <is>
          <t>12122022</t>
        </is>
      </c>
      <c r="H1243" t="n">
        <v>2500</v>
      </c>
      <c r="I1243" t="inlineStr">
        <is>
          <t>202301249574944208</t>
        </is>
      </c>
      <c r="J1243" t="inlineStr">
        <is>
          <t>https://docquery.fec.gov/cgi-bin/fecimg/?202301249574944208</t>
        </is>
      </c>
    </row>
    <row r="1244">
      <c r="A1244" t="inlineStr">
        <is>
          <t>2022</t>
        </is>
      </c>
      <c r="B1244" t="inlineStr">
        <is>
          <t>C00483677</t>
        </is>
      </c>
      <c r="C1244" t="inlineStr">
        <is>
          <t>American Petroleum Institute PAC (API PAC)</t>
        </is>
      </c>
      <c r="D1244" t="inlineStr">
        <is>
          <t>DEB FISCHER FOR US SENATE</t>
        </is>
      </c>
      <c r="E1244" t="inlineStr">
        <is>
          <t>S2NE00094</t>
        </is>
      </c>
      <c r="F1244" t="inlineStr">
        <is>
          <t>REP</t>
        </is>
      </c>
      <c r="G1244" t="inlineStr">
        <is>
          <t>12122022</t>
        </is>
      </c>
      <c r="H1244" t="n">
        <v>1000</v>
      </c>
      <c r="I1244" t="inlineStr">
        <is>
          <t>202301249574944208</t>
        </is>
      </c>
      <c r="J1244" t="inlineStr">
        <is>
          <t>https://docquery.fec.gov/cgi-bin/fecimg/?202301249574944208</t>
        </is>
      </c>
    </row>
    <row r="1245">
      <c r="A1245" t="inlineStr">
        <is>
          <t>2022</t>
        </is>
      </c>
      <c r="B1245" t="inlineStr">
        <is>
          <t>C00483677</t>
        </is>
      </c>
      <c r="C1245" t="inlineStr">
        <is>
          <t>American Petroleum Institute PAC (API PAC)</t>
        </is>
      </c>
      <c r="D1245" t="inlineStr">
        <is>
          <t>JIM JORDAN FOR CONGRESS</t>
        </is>
      </c>
      <c r="E1245" t="inlineStr">
        <is>
          <t>H6OH04082</t>
        </is>
      </c>
      <c r="F1245" t="inlineStr">
        <is>
          <t>REP</t>
        </is>
      </c>
      <c r="G1245" t="inlineStr">
        <is>
          <t>12162021</t>
        </is>
      </c>
      <c r="H1245" t="n">
        <v>1000</v>
      </c>
      <c r="I1245" t="inlineStr">
        <is>
          <t>202201319485556183</t>
        </is>
      </c>
      <c r="J1245" t="inlineStr">
        <is>
          <t>https://docquery.fec.gov/cgi-bin/fecimg/?202201319485556183</t>
        </is>
      </c>
    </row>
    <row r="1246">
      <c r="A1246" t="inlineStr">
        <is>
          <t>2022</t>
        </is>
      </c>
      <c r="B1246" t="inlineStr">
        <is>
          <t>C00483677</t>
        </is>
      </c>
      <c r="C1246" t="inlineStr">
        <is>
          <t>American Petroleum Institute PAC (API PAC)</t>
        </is>
      </c>
      <c r="D1246" t="inlineStr">
        <is>
          <t>JOHN KENNEDY FOR US</t>
        </is>
      </c>
      <c r="E1246" t="inlineStr">
        <is>
          <t>S4LA00065</t>
        </is>
      </c>
      <c r="F1246" t="inlineStr">
        <is>
          <t>REP</t>
        </is>
      </c>
      <c r="G1246" t="inlineStr">
        <is>
          <t>12162021</t>
        </is>
      </c>
      <c r="H1246" t="n">
        <v>1000</v>
      </c>
      <c r="I1246" t="inlineStr">
        <is>
          <t>202201319485556183</t>
        </is>
      </c>
      <c r="J1246" t="inlineStr">
        <is>
          <t>https://docquery.fec.gov/cgi-bin/fecimg/?202201319485556183</t>
        </is>
      </c>
    </row>
    <row r="1247">
      <c r="A1247" t="inlineStr">
        <is>
          <t>2022</t>
        </is>
      </c>
      <c r="B1247" t="inlineStr">
        <is>
          <t>C00483677</t>
        </is>
      </c>
      <c r="C1247" t="inlineStr">
        <is>
          <t>American Petroleum Institute PAC (API PAC)</t>
        </is>
      </c>
      <c r="D1247" t="inlineStr">
        <is>
          <t>MCKINLEY FOR CONGRESS</t>
        </is>
      </c>
      <c r="E1247" t="inlineStr">
        <is>
          <t>H0WV01072</t>
        </is>
      </c>
      <c r="F1247" t="inlineStr">
        <is>
          <t>REP</t>
        </is>
      </c>
      <c r="G1247" t="inlineStr">
        <is>
          <t>12162021</t>
        </is>
      </c>
      <c r="H1247" t="n">
        <v>1000</v>
      </c>
      <c r="I1247" t="inlineStr">
        <is>
          <t>202201319485556183</t>
        </is>
      </c>
      <c r="J1247" t="inlineStr">
        <is>
          <t>https://docquery.fec.gov/cgi-bin/fecimg/?202201319485556183</t>
        </is>
      </c>
    </row>
    <row r="1248">
      <c r="A1248" t="inlineStr">
        <is>
          <t>2022</t>
        </is>
      </c>
      <c r="B1248" t="inlineStr">
        <is>
          <t>C00483677</t>
        </is>
      </c>
      <c r="C1248" t="inlineStr">
        <is>
          <t>American Petroleum Institute PAC (API PAC)</t>
        </is>
      </c>
      <c r="D1248" t="inlineStr">
        <is>
          <t>RODNEY FOR CONGRESS</t>
        </is>
      </c>
      <c r="E1248" t="inlineStr">
        <is>
          <t>H2IL13120</t>
        </is>
      </c>
      <c r="F1248" t="inlineStr">
        <is>
          <t>REP</t>
        </is>
      </c>
      <c r="G1248" t="inlineStr">
        <is>
          <t>12162021</t>
        </is>
      </c>
      <c r="H1248" t="n">
        <v>1000</v>
      </c>
      <c r="I1248" t="inlineStr">
        <is>
          <t>202201319485556184</t>
        </is>
      </c>
      <c r="J1248" t="inlineStr">
        <is>
          <t>https://docquery.fec.gov/cgi-bin/fecimg/?202201319485556184</t>
        </is>
      </c>
    </row>
    <row r="1249">
      <c r="A1249" t="inlineStr">
        <is>
          <t>2022</t>
        </is>
      </c>
      <c r="B1249" t="inlineStr">
        <is>
          <t>C00483677</t>
        </is>
      </c>
      <c r="C1249" t="inlineStr">
        <is>
          <t>American Petroleum Institute PAC (API PAC)</t>
        </is>
      </c>
      <c r="D1249" t="inlineStr">
        <is>
          <t>BILL CASSIDY FOR US SENATE</t>
        </is>
      </c>
      <c r="E1249" t="inlineStr">
        <is>
          <t>S4LA00107</t>
        </is>
      </c>
      <c r="F1249" t="inlineStr">
        <is>
          <t>REP</t>
        </is>
      </c>
      <c r="G1249" t="inlineStr">
        <is>
          <t>12162021</t>
        </is>
      </c>
      <c r="H1249" t="n">
        <v>500</v>
      </c>
      <c r="I1249" t="inlineStr">
        <is>
          <t>202201319485556180</t>
        </is>
      </c>
      <c r="J1249" t="inlineStr">
        <is>
          <t>https://docquery.fec.gov/cgi-bin/fecimg/?202201319485556180</t>
        </is>
      </c>
    </row>
    <row r="1250">
      <c r="A1250" t="inlineStr">
        <is>
          <t>2022</t>
        </is>
      </c>
      <c r="B1250" t="inlineStr">
        <is>
          <t>C00483677</t>
        </is>
      </c>
      <c r="C1250" t="inlineStr">
        <is>
          <t>American Petroleum Institute PAC (API PAC)</t>
        </is>
      </c>
      <c r="D1250" t="inlineStr">
        <is>
          <t>COTTON FOR SENATE, INC.</t>
        </is>
      </c>
      <c r="E1250" t="inlineStr">
        <is>
          <t>S4AR00103</t>
        </is>
      </c>
      <c r="F1250" t="inlineStr">
        <is>
          <t>REP</t>
        </is>
      </c>
      <c r="G1250" t="inlineStr">
        <is>
          <t>12162021</t>
        </is>
      </c>
      <c r="H1250" t="n">
        <v>2500</v>
      </c>
      <c r="I1250" t="inlineStr">
        <is>
          <t>202201319485556180</t>
        </is>
      </c>
      <c r="J1250" t="inlineStr">
        <is>
          <t>https://docquery.fec.gov/cgi-bin/fecimg/?202201319485556180</t>
        </is>
      </c>
    </row>
    <row r="1251">
      <c r="A1251" t="inlineStr">
        <is>
          <t>2022</t>
        </is>
      </c>
      <c r="B1251" t="inlineStr">
        <is>
          <t>C00483677</t>
        </is>
      </c>
      <c r="C1251" t="inlineStr">
        <is>
          <t>American Petroleum Institute PAC (API PAC)</t>
        </is>
      </c>
      <c r="D1251" t="inlineStr">
        <is>
          <t>DAN LIPINSKI FOR CONGRESS</t>
        </is>
      </c>
      <c r="E1251" t="inlineStr">
        <is>
          <t>H4IL03077</t>
        </is>
      </c>
      <c r="F1251" t="inlineStr">
        <is>
          <t>DEM</t>
        </is>
      </c>
      <c r="G1251" t="inlineStr">
        <is>
          <t>12162021</t>
        </is>
      </c>
      <c r="H1251" t="n">
        <v>2500</v>
      </c>
      <c r="I1251" t="inlineStr">
        <is>
          <t>202201319485556181</t>
        </is>
      </c>
      <c r="J1251" t="inlineStr">
        <is>
          <t>https://docquery.fec.gov/cgi-bin/fecimg/?202201319485556181</t>
        </is>
      </c>
    </row>
    <row r="1252">
      <c r="A1252" t="inlineStr">
        <is>
          <t>2022</t>
        </is>
      </c>
      <c r="B1252" t="inlineStr">
        <is>
          <t>C00483677</t>
        </is>
      </c>
      <c r="C1252" t="inlineStr">
        <is>
          <t>American Petroleum Institute PAC (API PAC)</t>
        </is>
      </c>
      <c r="D1252" t="inlineStr">
        <is>
          <t>DAN NEWHOUSE FOR CONGRESS</t>
        </is>
      </c>
      <c r="E1252" t="inlineStr">
        <is>
          <t>H4WA04104</t>
        </is>
      </c>
      <c r="F1252" t="inlineStr">
        <is>
          <t>REP</t>
        </is>
      </c>
      <c r="G1252" t="inlineStr">
        <is>
          <t>12162021</t>
        </is>
      </c>
      <c r="H1252" t="n">
        <v>1000</v>
      </c>
      <c r="I1252" t="inlineStr">
        <is>
          <t>202201319485556181</t>
        </is>
      </c>
      <c r="J1252" t="inlineStr">
        <is>
          <t>https://docquery.fec.gov/cgi-bin/fecimg/?202201319485556181</t>
        </is>
      </c>
    </row>
    <row r="1253">
      <c r="A1253" t="inlineStr">
        <is>
          <t>2022</t>
        </is>
      </c>
      <c r="B1253" t="inlineStr">
        <is>
          <t>C00483677</t>
        </is>
      </c>
      <c r="C1253" t="inlineStr">
        <is>
          <t>American Petroleum Institute PAC (API PAC)</t>
        </is>
      </c>
      <c r="D1253" t="inlineStr">
        <is>
          <t>FRIENDS OF DAVE JOYCE</t>
        </is>
      </c>
      <c r="E1253" t="inlineStr">
        <is>
          <t>H2OH14064</t>
        </is>
      </c>
      <c r="F1253" t="inlineStr">
        <is>
          <t>REP</t>
        </is>
      </c>
      <c r="G1253" t="inlineStr">
        <is>
          <t>12162021</t>
        </is>
      </c>
      <c r="H1253" t="n">
        <v>1000</v>
      </c>
      <c r="I1253" t="inlineStr">
        <is>
          <t>202201319485556181</t>
        </is>
      </c>
      <c r="J1253" t="inlineStr">
        <is>
          <t>https://docquery.fec.gov/cgi-bin/fecimg/?202201319485556181</t>
        </is>
      </c>
    </row>
    <row r="1254">
      <c r="A1254" t="inlineStr">
        <is>
          <t>2022</t>
        </is>
      </c>
      <c r="B1254" t="inlineStr">
        <is>
          <t>C00483677</t>
        </is>
      </c>
      <c r="C1254" t="inlineStr">
        <is>
          <t>American Petroleum Institute PAC (API PAC)</t>
        </is>
      </c>
      <c r="D1254" t="inlineStr">
        <is>
          <t>GREG PENCE FOR CONGRESS</t>
        </is>
      </c>
      <c r="E1254" t="inlineStr">
        <is>
          <t>H8IN06129</t>
        </is>
      </c>
      <c r="F1254" t="inlineStr">
        <is>
          <t>REP</t>
        </is>
      </c>
      <c r="G1254" t="inlineStr">
        <is>
          <t>12162021</t>
        </is>
      </c>
      <c r="H1254" t="n">
        <v>2500</v>
      </c>
      <c r="I1254" t="inlineStr">
        <is>
          <t>202201319485556182</t>
        </is>
      </c>
      <c r="J1254" t="inlineStr">
        <is>
          <t>https://docquery.fec.gov/cgi-bin/fecimg/?202201319485556182</t>
        </is>
      </c>
    </row>
    <row r="1255">
      <c r="A1255" t="inlineStr">
        <is>
          <t>2022</t>
        </is>
      </c>
      <c r="B1255" t="inlineStr">
        <is>
          <t>C00483677</t>
        </is>
      </c>
      <c r="C1255" t="inlineStr">
        <is>
          <t>American Petroleum Institute PAC (API PAC)</t>
        </is>
      </c>
      <c r="D1255" t="inlineStr">
        <is>
          <t>JEFF DUNCAN FOR CONGRESS</t>
        </is>
      </c>
      <c r="E1255" t="inlineStr">
        <is>
          <t>H0SC03077</t>
        </is>
      </c>
      <c r="F1255" t="inlineStr">
        <is>
          <t>REP</t>
        </is>
      </c>
      <c r="G1255" t="inlineStr">
        <is>
          <t>12162021</t>
        </is>
      </c>
      <c r="H1255" t="n">
        <v>1000</v>
      </c>
      <c r="I1255" t="inlineStr">
        <is>
          <t>202201319485556182</t>
        </is>
      </c>
      <c r="J1255" t="inlineStr">
        <is>
          <t>https://docquery.fec.gov/cgi-bin/fecimg/?202201319485556182</t>
        </is>
      </c>
    </row>
    <row r="1256">
      <c r="A1256" t="inlineStr">
        <is>
          <t>2022</t>
        </is>
      </c>
      <c r="B1256" t="inlineStr">
        <is>
          <t>C00483677</t>
        </is>
      </c>
      <c r="C1256" t="inlineStr">
        <is>
          <t>American Petroleum Institute PAC (API PAC)</t>
        </is>
      </c>
      <c r="D1256" t="inlineStr">
        <is>
          <t>JIM BANKS FOR CONGRESS, INC.</t>
        </is>
      </c>
      <c r="E1256" t="inlineStr">
        <is>
          <t>H6IN03229</t>
        </is>
      </c>
      <c r="F1256" t="inlineStr">
        <is>
          <t>REP</t>
        </is>
      </c>
      <c r="G1256" t="inlineStr">
        <is>
          <t>12162021</t>
        </is>
      </c>
      <c r="H1256" t="n">
        <v>1000</v>
      </c>
      <c r="I1256" t="inlineStr">
        <is>
          <t>202201319485556182</t>
        </is>
      </c>
      <c r="J1256" t="inlineStr">
        <is>
          <t>https://docquery.fec.gov/cgi-bin/fecimg/?202201319485556182</t>
        </is>
      </c>
    </row>
    <row r="1257">
      <c r="A1257" t="inlineStr">
        <is>
          <t>2022</t>
        </is>
      </c>
      <c r="B1257" t="inlineStr">
        <is>
          <t>C00483677</t>
        </is>
      </c>
      <c r="C1257" t="inlineStr">
        <is>
          <t>American Petroleum Institute PAC (API PAC)</t>
        </is>
      </c>
      <c r="D1257" t="inlineStr">
        <is>
          <t>SINEMA FOR ARIZONA</t>
        </is>
      </c>
      <c r="E1257" t="inlineStr">
        <is>
          <t>S8AZ00197</t>
        </is>
      </c>
      <c r="F1257" t="inlineStr">
        <is>
          <t>IND</t>
        </is>
      </c>
      <c r="G1257" t="inlineStr">
        <is>
          <t>12162021</t>
        </is>
      </c>
      <c r="H1257" t="n">
        <v>2500</v>
      </c>
      <c r="I1257" t="inlineStr">
        <is>
          <t>202201319485556184</t>
        </is>
      </c>
      <c r="J1257" t="inlineStr">
        <is>
          <t>https://docquery.fec.gov/cgi-bin/fecimg/?202201319485556184</t>
        </is>
      </c>
    </row>
    <row r="1258">
      <c r="A1258" t="inlineStr">
        <is>
          <t>2022</t>
        </is>
      </c>
      <c r="B1258" t="inlineStr">
        <is>
          <t>C00483677</t>
        </is>
      </c>
      <c r="C1258" t="inlineStr">
        <is>
          <t>American Petroleum Institute PAC (API PAC)</t>
        </is>
      </c>
      <c r="D1258" t="inlineStr">
        <is>
          <t>YOUNG KIM FOR CONGRESS</t>
        </is>
      </c>
      <c r="E1258" t="inlineStr">
        <is>
          <t>H8CA39240</t>
        </is>
      </c>
      <c r="F1258" t="inlineStr">
        <is>
          <t>REP</t>
        </is>
      </c>
      <c r="G1258" t="inlineStr">
        <is>
          <t>12162021</t>
        </is>
      </c>
      <c r="H1258" t="n">
        <v>1000</v>
      </c>
      <c r="I1258" t="inlineStr">
        <is>
          <t>202201319485556185</t>
        </is>
      </c>
      <c r="J1258" t="inlineStr">
        <is>
          <t>https://docquery.fec.gov/cgi-bin/fecimg/?202201319485556185</t>
        </is>
      </c>
    </row>
    <row r="1259">
      <c r="A1259" t="inlineStr">
        <is>
          <t>2022</t>
        </is>
      </c>
      <c r="B1259" t="inlineStr">
        <is>
          <t>C00483677</t>
        </is>
      </c>
      <c r="C1259" t="inlineStr">
        <is>
          <t>American Petroleum Institute PAC (API PAC)</t>
        </is>
      </c>
      <c r="D1259" t="inlineStr">
        <is>
          <t>ZINKE FOR CONGRESS</t>
        </is>
      </c>
      <c r="E1259" t="inlineStr">
        <is>
          <t>H2MT02050</t>
        </is>
      </c>
      <c r="G1259" t="inlineStr">
        <is>
          <t>12162021</t>
        </is>
      </c>
      <c r="H1259" t="n">
        <v>2500</v>
      </c>
      <c r="I1259" t="inlineStr">
        <is>
          <t>202201319485556185</t>
        </is>
      </c>
      <c r="J1259" t="inlineStr">
        <is>
          <t>https://docquery.fec.gov/cgi-bin/fecimg/?202201319485556185</t>
        </is>
      </c>
    </row>
    <row r="1260">
      <c r="A1260" t="inlineStr">
        <is>
          <t>2022</t>
        </is>
      </c>
      <c r="B1260" t="inlineStr">
        <is>
          <t>C00342766</t>
        </is>
      </c>
      <c r="C1260" t="inlineStr">
        <is>
          <t>HF Sinclair PAC (DINO PAC; formerly HollyFrontier PAC)</t>
        </is>
      </c>
      <c r="D1260" t="inlineStr">
        <is>
          <t>FRIENDS OF PAT TOOMEY</t>
        </is>
      </c>
      <c r="E1260" t="inlineStr">
        <is>
          <t>S4PA00121</t>
        </is>
      </c>
      <c r="F1260" t="inlineStr">
        <is>
          <t>REP</t>
        </is>
      </c>
      <c r="G1260" t="inlineStr">
        <is>
          <t>01122021</t>
        </is>
      </c>
      <c r="H1260" t="n">
        <v>-2500</v>
      </c>
      <c r="I1260" t="inlineStr">
        <is>
          <t>202102089427098292</t>
        </is>
      </c>
      <c r="J1260" t="inlineStr">
        <is>
          <t>https://docquery.fec.gov/cgi-bin/fecimg/?202102089427098292</t>
        </is>
      </c>
    </row>
    <row r="1261">
      <c r="A1261" t="inlineStr">
        <is>
          <t>2022</t>
        </is>
      </c>
      <c r="B1261" t="inlineStr">
        <is>
          <t>C00342766</t>
        </is>
      </c>
      <c r="C1261" t="inlineStr">
        <is>
          <t>HF Sinclair PAC (DINO PAC; formerly HollyFrontier PAC)</t>
        </is>
      </c>
      <c r="D1261" t="inlineStr">
        <is>
          <t>GEORGIANS FOR KELLY LOEFFLER</t>
        </is>
      </c>
      <c r="E1261" t="inlineStr">
        <is>
          <t>S0GA00526</t>
        </is>
      </c>
      <c r="F1261" t="inlineStr">
        <is>
          <t>REP</t>
        </is>
      </c>
      <c r="G1261" t="inlineStr">
        <is>
          <t>01122021</t>
        </is>
      </c>
      <c r="H1261" t="n">
        <v>-5000</v>
      </c>
      <c r="I1261" t="inlineStr">
        <is>
          <t>202102089427098292</t>
        </is>
      </c>
      <c r="J1261" t="inlineStr">
        <is>
          <t>https://docquery.fec.gov/cgi-bin/fecimg/?202102089427098292</t>
        </is>
      </c>
    </row>
    <row r="1262">
      <c r="A1262" t="inlineStr">
        <is>
          <t>2022</t>
        </is>
      </c>
      <c r="B1262" t="inlineStr">
        <is>
          <t>C00342766</t>
        </is>
      </c>
      <c r="C1262" t="inlineStr">
        <is>
          <t>HF Sinclair PAC (DINO PAC; formerly HollyFrontier PAC)</t>
        </is>
      </c>
      <c r="D1262" t="inlineStr">
        <is>
          <t>SMUCKER FOR CONGRESS</t>
        </is>
      </c>
      <c r="E1262" t="inlineStr">
        <is>
          <t>H6PA16320</t>
        </is>
      </c>
      <c r="F1262" t="inlineStr">
        <is>
          <t>REP</t>
        </is>
      </c>
      <c r="G1262" t="inlineStr">
        <is>
          <t>01192022</t>
        </is>
      </c>
      <c r="H1262" t="n">
        <v>1000</v>
      </c>
      <c r="I1262" t="inlineStr">
        <is>
          <t>202202099491613342</t>
        </is>
      </c>
      <c r="J1262" t="inlineStr">
        <is>
          <t>https://docquery.fec.gov/cgi-bin/fecimg/?202202099491613342</t>
        </is>
      </c>
    </row>
    <row r="1263">
      <c r="A1263" t="inlineStr">
        <is>
          <t>2022</t>
        </is>
      </c>
      <c r="B1263" t="inlineStr">
        <is>
          <t>C00342766</t>
        </is>
      </c>
      <c r="C1263" t="inlineStr">
        <is>
          <t>HF Sinclair PAC (DINO PAC; formerly HollyFrontier PAC)</t>
        </is>
      </c>
      <c r="D1263" t="inlineStr">
        <is>
          <t>ASHLEY HINSON FOR CONGRESS</t>
        </is>
      </c>
      <c r="E1263" t="inlineStr">
        <is>
          <t>H0IA01174</t>
        </is>
      </c>
      <c r="F1263" t="inlineStr">
        <is>
          <t>REP</t>
        </is>
      </c>
      <c r="G1263" t="inlineStr">
        <is>
          <t>02102022</t>
        </is>
      </c>
      <c r="H1263" t="n">
        <v>2500</v>
      </c>
      <c r="I1263" t="inlineStr">
        <is>
          <t>202203099493745951</t>
        </is>
      </c>
      <c r="J1263" t="inlineStr">
        <is>
          <t>https://docquery.fec.gov/cgi-bin/fecimg/?202203099493745951</t>
        </is>
      </c>
    </row>
    <row r="1264">
      <c r="A1264" t="inlineStr">
        <is>
          <t>2022</t>
        </is>
      </c>
      <c r="B1264" t="inlineStr">
        <is>
          <t>C00342766</t>
        </is>
      </c>
      <c r="C1264" t="inlineStr">
        <is>
          <t>HF Sinclair PAC (DINO PAC; formerly HollyFrontier PAC)</t>
        </is>
      </c>
      <c r="D1264" t="inlineStr">
        <is>
          <t>DR. BRIAN BABIN FOR CONGRESS</t>
        </is>
      </c>
      <c r="E1264" t="inlineStr">
        <is>
          <t>H6TX02079</t>
        </is>
      </c>
      <c r="F1264" t="inlineStr">
        <is>
          <t>REP</t>
        </is>
      </c>
      <c r="G1264" t="inlineStr">
        <is>
          <t>02102022</t>
        </is>
      </c>
      <c r="H1264" t="n">
        <v>1000</v>
      </c>
      <c r="I1264" t="inlineStr">
        <is>
          <t>202203099493745951</t>
        </is>
      </c>
      <c r="J1264" t="inlineStr">
        <is>
          <t>https://docquery.fec.gov/cgi-bin/fecimg/?202203099493745951</t>
        </is>
      </c>
    </row>
    <row r="1265">
      <c r="A1265" t="inlineStr">
        <is>
          <t>2022</t>
        </is>
      </c>
      <c r="B1265" t="inlineStr">
        <is>
          <t>C00342766</t>
        </is>
      </c>
      <c r="C1265" t="inlineStr">
        <is>
          <t>HF Sinclair PAC (DINO PAC; formerly HollyFrontier PAC)</t>
        </is>
      </c>
      <c r="D1265" t="inlineStr">
        <is>
          <t>LANCE GOODEN FOR CONGRESS COMMITTEE</t>
        </is>
      </c>
      <c r="E1265" t="inlineStr">
        <is>
          <t>H8TX05144</t>
        </is>
      </c>
      <c r="F1265" t="inlineStr">
        <is>
          <t>REP</t>
        </is>
      </c>
      <c r="G1265" t="inlineStr">
        <is>
          <t>02102022</t>
        </is>
      </c>
      <c r="H1265" t="n">
        <v>2500</v>
      </c>
      <c r="I1265" t="inlineStr">
        <is>
          <t>202203099493745952</t>
        </is>
      </c>
      <c r="J1265" t="inlineStr">
        <is>
          <t>https://docquery.fec.gov/cgi-bin/fecimg/?202203099493745952</t>
        </is>
      </c>
    </row>
    <row r="1266">
      <c r="A1266" t="inlineStr">
        <is>
          <t>2022</t>
        </is>
      </c>
      <c r="B1266" t="inlineStr">
        <is>
          <t>C00342766</t>
        </is>
      </c>
      <c r="C1266" t="inlineStr">
        <is>
          <t>HF Sinclair PAC (DINO PAC; formerly HollyFrontier PAC)</t>
        </is>
      </c>
      <c r="D1266" t="inlineStr">
        <is>
          <t>TONY GONZALES FOR CONGRESS</t>
        </is>
      </c>
      <c r="E1266" t="inlineStr">
        <is>
          <t>H0TX35015</t>
        </is>
      </c>
      <c r="F1266" t="inlineStr">
        <is>
          <t>REP</t>
        </is>
      </c>
      <c r="G1266" t="inlineStr">
        <is>
          <t>02102022</t>
        </is>
      </c>
      <c r="H1266" t="n">
        <v>2500</v>
      </c>
      <c r="I1266" t="inlineStr">
        <is>
          <t>202203099493745953</t>
        </is>
      </c>
      <c r="J1266" t="inlineStr">
        <is>
          <t>https://docquery.fec.gov/cgi-bin/fecimg/?202203099493745953</t>
        </is>
      </c>
    </row>
    <row r="1267">
      <c r="A1267" t="inlineStr">
        <is>
          <t>2022</t>
        </is>
      </c>
      <c r="B1267" t="inlineStr">
        <is>
          <t>C00342766</t>
        </is>
      </c>
      <c r="C1267" t="inlineStr">
        <is>
          <t>HF Sinclair PAC (DINO PAC; formerly HollyFrontier PAC)</t>
        </is>
      </c>
      <c r="D1267" t="inlineStr">
        <is>
          <t>HERN FOR CONGRESS</t>
        </is>
      </c>
      <c r="E1267" t="inlineStr">
        <is>
          <t>H8OK01157</t>
        </is>
      </c>
      <c r="F1267" t="inlineStr">
        <is>
          <t>REP</t>
        </is>
      </c>
      <c r="G1267" t="inlineStr">
        <is>
          <t>03082021</t>
        </is>
      </c>
      <c r="H1267" t="n">
        <v>5000</v>
      </c>
      <c r="I1267" t="inlineStr">
        <is>
          <t>202104079443135478</t>
        </is>
      </c>
      <c r="J1267" t="inlineStr">
        <is>
          <t>https://docquery.fec.gov/cgi-bin/fecimg/?202104079443135478</t>
        </is>
      </c>
    </row>
    <row r="1268">
      <c r="A1268" t="inlineStr">
        <is>
          <t>2022</t>
        </is>
      </c>
      <c r="B1268" t="inlineStr">
        <is>
          <t>C00342766</t>
        </is>
      </c>
      <c r="C1268" t="inlineStr">
        <is>
          <t>HF Sinclair PAC (DINO PAC; formerly HollyFrontier PAC)</t>
        </is>
      </c>
      <c r="D1268" t="inlineStr">
        <is>
          <t>YVETTE4CONGRESS</t>
        </is>
      </c>
      <c r="E1268" t="inlineStr">
        <is>
          <t>H8NM02156</t>
        </is>
      </c>
      <c r="F1268" t="inlineStr">
        <is>
          <t>REP</t>
        </is>
      </c>
      <c r="G1268" t="inlineStr">
        <is>
          <t>03082021</t>
        </is>
      </c>
      <c r="H1268" t="n">
        <v>2500</v>
      </c>
      <c r="I1268" t="inlineStr">
        <is>
          <t>202104079443135478</t>
        </is>
      </c>
      <c r="J1268" t="inlineStr">
        <is>
          <t>https://docquery.fec.gov/cgi-bin/fecimg/?202104079443135478</t>
        </is>
      </c>
    </row>
    <row r="1269">
      <c r="A1269" t="inlineStr">
        <is>
          <t>2022</t>
        </is>
      </c>
      <c r="B1269" t="inlineStr">
        <is>
          <t>C00342766</t>
        </is>
      </c>
      <c r="C1269" t="inlineStr">
        <is>
          <t>HF Sinclair PAC (DINO PAC; formerly HollyFrontier PAC)</t>
        </is>
      </c>
      <c r="D1269" t="inlineStr">
        <is>
          <t>DR JOHN JOYCE FOR CONGRESS</t>
        </is>
      </c>
      <c r="E1269" t="inlineStr">
        <is>
          <t>H8PA13125</t>
        </is>
      </c>
      <c r="F1269" t="inlineStr">
        <is>
          <t>REP</t>
        </is>
      </c>
      <c r="G1269" t="inlineStr">
        <is>
          <t>03092022</t>
        </is>
      </c>
      <c r="H1269" t="n">
        <v>1500</v>
      </c>
      <c r="I1269" t="inlineStr">
        <is>
          <t>202204119496022133</t>
        </is>
      </c>
      <c r="J1269" t="inlineStr">
        <is>
          <t>https://docquery.fec.gov/cgi-bin/fecimg/?202204119496022133</t>
        </is>
      </c>
    </row>
    <row r="1270">
      <c r="A1270" t="inlineStr">
        <is>
          <t>2022</t>
        </is>
      </c>
      <c r="B1270" t="inlineStr">
        <is>
          <t>C00342766</t>
        </is>
      </c>
      <c r="C1270" t="inlineStr">
        <is>
          <t>HF Sinclair PAC (DINO PAC; formerly HollyFrontier PAC)</t>
        </is>
      </c>
      <c r="D1270" t="inlineStr">
        <is>
          <t>TEXANS FOR JODEY ARRINGTON</t>
        </is>
      </c>
      <c r="E1270" t="inlineStr">
        <is>
          <t>H6TX19099</t>
        </is>
      </c>
      <c r="F1270" t="inlineStr">
        <is>
          <t>REP</t>
        </is>
      </c>
      <c r="G1270" t="inlineStr">
        <is>
          <t>03092022</t>
        </is>
      </c>
      <c r="H1270" t="n">
        <v>2500</v>
      </c>
      <c r="I1270" t="inlineStr">
        <is>
          <t>202204119496022133</t>
        </is>
      </c>
      <c r="J1270" t="inlineStr">
        <is>
          <t>https://docquery.fec.gov/cgi-bin/fecimg/?202204119496022133</t>
        </is>
      </c>
    </row>
    <row r="1271">
      <c r="A1271" t="inlineStr">
        <is>
          <t>2022</t>
        </is>
      </c>
      <c r="B1271" t="inlineStr">
        <is>
          <t>C00342766</t>
        </is>
      </c>
      <c r="C1271" t="inlineStr">
        <is>
          <t>HF Sinclair PAC (DINO PAC; formerly HollyFrontier PAC)</t>
        </is>
      </c>
      <c r="D1271" t="inlineStr">
        <is>
          <t>PERDUE FOR SENATE</t>
        </is>
      </c>
      <c r="E1271" t="inlineStr">
        <is>
          <t>S4GA11285</t>
        </is>
      </c>
      <c r="F1271" t="inlineStr">
        <is>
          <t>REP</t>
        </is>
      </c>
      <c r="G1271" t="inlineStr">
        <is>
          <t>03102021</t>
        </is>
      </c>
      <c r="H1271" t="n">
        <v>-5000</v>
      </c>
      <c r="I1271" t="inlineStr">
        <is>
          <t>202104079443135477</t>
        </is>
      </c>
      <c r="J1271" t="inlineStr">
        <is>
          <t>https://docquery.fec.gov/cgi-bin/fecimg/?202104079443135477</t>
        </is>
      </c>
    </row>
    <row r="1272">
      <c r="A1272" t="inlineStr">
        <is>
          <t>2022</t>
        </is>
      </c>
      <c r="B1272" t="inlineStr">
        <is>
          <t>C00342766</t>
        </is>
      </c>
      <c r="C1272" t="inlineStr">
        <is>
          <t>HF Sinclair PAC (DINO PAC; formerly HollyFrontier PAC)</t>
        </is>
      </c>
      <c r="D1272" t="inlineStr">
        <is>
          <t>CRAPO, MICHAEL D</t>
        </is>
      </c>
      <c r="E1272" t="inlineStr">
        <is>
          <t>S8ID00027</t>
        </is>
      </c>
      <c r="F1272" t="inlineStr">
        <is>
          <t>REP</t>
        </is>
      </c>
      <c r="G1272" t="inlineStr">
        <is>
          <t>04062021</t>
        </is>
      </c>
      <c r="H1272" t="n">
        <v>2500</v>
      </c>
      <c r="I1272" t="inlineStr">
        <is>
          <t>202105069446310236</t>
        </is>
      </c>
      <c r="J1272" t="inlineStr">
        <is>
          <t>https://docquery.fec.gov/cgi-bin/fecimg/?202105069446310236</t>
        </is>
      </c>
    </row>
    <row r="1273">
      <c r="A1273" t="inlineStr">
        <is>
          <t>2022</t>
        </is>
      </c>
      <c r="B1273" t="inlineStr">
        <is>
          <t>C00342766</t>
        </is>
      </c>
      <c r="C1273" t="inlineStr">
        <is>
          <t>HF Sinclair PAC (DINO PAC; formerly HollyFrontier PAC)</t>
        </is>
      </c>
      <c r="D1273" t="inlineStr">
        <is>
          <t>FRIENDS OF MIKE LEE INC</t>
        </is>
      </c>
      <c r="E1273" t="inlineStr">
        <is>
          <t>S0UT00165</t>
        </is>
      </c>
      <c r="F1273" t="inlineStr">
        <is>
          <t>REP</t>
        </is>
      </c>
      <c r="G1273" t="inlineStr">
        <is>
          <t>04062021</t>
        </is>
      </c>
      <c r="H1273" t="n">
        <v>2500</v>
      </c>
      <c r="I1273" t="inlineStr">
        <is>
          <t>202105069446310236</t>
        </is>
      </c>
      <c r="J1273" t="inlineStr">
        <is>
          <t>https://docquery.fec.gov/cgi-bin/fecimg/?202105069446310236</t>
        </is>
      </c>
    </row>
    <row r="1274">
      <c r="A1274" t="inlineStr">
        <is>
          <t>2022</t>
        </is>
      </c>
      <c r="B1274" t="inlineStr">
        <is>
          <t>C00342766</t>
        </is>
      </c>
      <c r="C1274" t="inlineStr">
        <is>
          <t>HF Sinclair PAC (DINO PAC; formerly HollyFrontier PAC)</t>
        </is>
      </c>
      <c r="D1274" t="inlineStr">
        <is>
          <t>O'HALLERAN, TOM</t>
        </is>
      </c>
      <c r="E1274" t="inlineStr">
        <is>
          <t>H6AZ01199</t>
        </is>
      </c>
      <c r="F1274" t="inlineStr">
        <is>
          <t>DEM</t>
        </is>
      </c>
      <c r="G1274" t="inlineStr">
        <is>
          <t>04062021</t>
        </is>
      </c>
      <c r="H1274" t="n">
        <v>1000</v>
      </c>
      <c r="I1274" t="inlineStr">
        <is>
          <t>202105069446310236</t>
        </is>
      </c>
      <c r="J1274" t="inlineStr">
        <is>
          <t>https://docquery.fec.gov/cgi-bin/fecimg/?202105069446310236</t>
        </is>
      </c>
    </row>
    <row r="1275">
      <c r="A1275" t="inlineStr">
        <is>
          <t>2022</t>
        </is>
      </c>
      <c r="B1275" t="inlineStr">
        <is>
          <t>C00342766</t>
        </is>
      </c>
      <c r="C1275" t="inlineStr">
        <is>
          <t>HF Sinclair PAC (DINO PAC; formerly HollyFrontier PAC)</t>
        </is>
      </c>
      <c r="D1275" t="inlineStr">
        <is>
          <t>AUGUST PFLUGER FOR CONGRESS</t>
        </is>
      </c>
      <c r="E1275" t="inlineStr">
        <is>
          <t>H0TX11230</t>
        </is>
      </c>
      <c r="F1275" t="inlineStr">
        <is>
          <t>REP</t>
        </is>
      </c>
      <c r="G1275" t="inlineStr">
        <is>
          <t>05012021</t>
        </is>
      </c>
      <c r="H1275" t="n">
        <v>1000</v>
      </c>
      <c r="I1275" t="inlineStr">
        <is>
          <t>202106079448861726</t>
        </is>
      </c>
      <c r="J1275" t="inlineStr">
        <is>
          <t>https://docquery.fec.gov/cgi-bin/fecimg/?202106079448861726</t>
        </is>
      </c>
    </row>
    <row r="1276">
      <c r="A1276" t="inlineStr">
        <is>
          <t>2022</t>
        </is>
      </c>
      <c r="B1276" t="inlineStr">
        <is>
          <t>C00342766</t>
        </is>
      </c>
      <c r="C1276" t="inlineStr">
        <is>
          <t>HF Sinclair PAC (DINO PAC; formerly HollyFrontier PAC)</t>
        </is>
      </c>
      <c r="D1276" t="inlineStr">
        <is>
          <t>JAKE ELLZEY FOR CONGRESS</t>
        </is>
      </c>
      <c r="E1276" t="inlineStr">
        <is>
          <t>H8TX06266</t>
        </is>
      </c>
      <c r="F1276" t="inlineStr">
        <is>
          <t>REP</t>
        </is>
      </c>
      <c r="G1276" t="inlineStr">
        <is>
          <t>05012021</t>
        </is>
      </c>
      <c r="H1276" t="n">
        <v>1000</v>
      </c>
      <c r="I1276" t="inlineStr">
        <is>
          <t>202106079448861727</t>
        </is>
      </c>
      <c r="J1276" t="inlineStr">
        <is>
          <t>https://docquery.fec.gov/cgi-bin/fecimg/?202106079448861727</t>
        </is>
      </c>
    </row>
    <row r="1277">
      <c r="A1277" t="inlineStr">
        <is>
          <t>2022</t>
        </is>
      </c>
      <c r="B1277" t="inlineStr">
        <is>
          <t>C00342766</t>
        </is>
      </c>
      <c r="C1277" t="inlineStr">
        <is>
          <t>HF Sinclair PAC (DINO PAC; formerly HollyFrontier PAC)</t>
        </is>
      </c>
      <c r="D1277" t="inlineStr">
        <is>
          <t>MARK MOORES FOR CONGRESS</t>
        </is>
      </c>
      <c r="E1277" t="inlineStr">
        <is>
          <t>H2NM01276</t>
        </is>
      </c>
      <c r="F1277" t="inlineStr">
        <is>
          <t>REP</t>
        </is>
      </c>
      <c r="G1277" t="inlineStr">
        <is>
          <t>05012021</t>
        </is>
      </c>
      <c r="H1277" t="n">
        <v>2000</v>
      </c>
      <c r="I1277" t="inlineStr">
        <is>
          <t>202106079448861727</t>
        </is>
      </c>
      <c r="J1277" t="inlineStr">
        <is>
          <t>https://docquery.fec.gov/cgi-bin/fecimg/?202106079448861727</t>
        </is>
      </c>
    </row>
    <row r="1278">
      <c r="A1278" t="inlineStr">
        <is>
          <t>2022</t>
        </is>
      </c>
      <c r="B1278" t="inlineStr">
        <is>
          <t>C00342766</t>
        </is>
      </c>
      <c r="C1278" t="inlineStr">
        <is>
          <t>HF Sinclair PAC (DINO PAC; formerly HollyFrontier PAC)</t>
        </is>
      </c>
      <c r="D1278" t="inlineStr">
        <is>
          <t>TEXANS FOR RONNY JACKSON</t>
        </is>
      </c>
      <c r="E1278" t="inlineStr">
        <is>
          <t>H0TX13228</t>
        </is>
      </c>
      <c r="F1278" t="inlineStr">
        <is>
          <t>REP</t>
        </is>
      </c>
      <c r="G1278" t="inlineStr">
        <is>
          <t>05012021</t>
        </is>
      </c>
      <c r="H1278" t="n">
        <v>1000</v>
      </c>
      <c r="I1278" t="inlineStr">
        <is>
          <t>202106079448861727</t>
        </is>
      </c>
      <c r="J1278" t="inlineStr">
        <is>
          <t>https://docquery.fec.gov/cgi-bin/fecimg/?202106079448861727</t>
        </is>
      </c>
    </row>
    <row r="1279">
      <c r="A1279" t="inlineStr">
        <is>
          <t>2022</t>
        </is>
      </c>
      <c r="B1279" t="inlineStr">
        <is>
          <t>C00342766</t>
        </is>
      </c>
      <c r="C1279" t="inlineStr">
        <is>
          <t>HF Sinclair PAC (DINO PAC; formerly HollyFrontier PAC)</t>
        </is>
      </c>
      <c r="D1279" t="inlineStr">
        <is>
          <t>AUGUST PFLUGER FOR CONGRESS</t>
        </is>
      </c>
      <c r="E1279" t="inlineStr">
        <is>
          <t>H0TX11230</t>
        </is>
      </c>
      <c r="F1279" t="inlineStr">
        <is>
          <t>REP</t>
        </is>
      </c>
      <c r="G1279" t="inlineStr">
        <is>
          <t>06202022</t>
        </is>
      </c>
      <c r="H1279" t="n">
        <v>2500</v>
      </c>
      <c r="I1279" t="inlineStr">
        <is>
          <t>202207089518062319</t>
        </is>
      </c>
      <c r="J1279" t="inlineStr">
        <is>
          <t>https://docquery.fec.gov/cgi-bin/fecimg/?202207089518062319</t>
        </is>
      </c>
    </row>
    <row r="1280">
      <c r="A1280" t="inlineStr">
        <is>
          <t>2022</t>
        </is>
      </c>
      <c r="B1280" t="inlineStr">
        <is>
          <t>C00342766</t>
        </is>
      </c>
      <c r="C1280" t="inlineStr">
        <is>
          <t>HF Sinclair PAC (DINO PAC; formerly HollyFrontier PAC)</t>
        </is>
      </c>
      <c r="D1280" t="inlineStr">
        <is>
          <t>JAKE ELLZEY FOR CONGRESS</t>
        </is>
      </c>
      <c r="E1280" t="inlineStr">
        <is>
          <t>H8TX06266</t>
        </is>
      </c>
      <c r="F1280" t="inlineStr">
        <is>
          <t>REP</t>
        </is>
      </c>
      <c r="G1280" t="inlineStr">
        <is>
          <t>06202022</t>
        </is>
      </c>
      <c r="H1280" t="n">
        <v>1500</v>
      </c>
      <c r="I1280" t="inlineStr">
        <is>
          <t>202207089518062319</t>
        </is>
      </c>
      <c r="J1280" t="inlineStr">
        <is>
          <t>https://docquery.fec.gov/cgi-bin/fecimg/?202207089518062319</t>
        </is>
      </c>
    </row>
    <row r="1281">
      <c r="A1281" t="inlineStr">
        <is>
          <t>2022</t>
        </is>
      </c>
      <c r="B1281" t="inlineStr">
        <is>
          <t>C00342766</t>
        </is>
      </c>
      <c r="C1281" t="inlineStr">
        <is>
          <t>HF Sinclair PAC (DINO PAC; formerly HollyFrontier PAC)</t>
        </is>
      </c>
      <c r="D1281" t="inlineStr">
        <is>
          <t>LEE, MIKE</t>
        </is>
      </c>
      <c r="E1281" t="inlineStr">
        <is>
          <t>S0UT00165</t>
        </is>
      </c>
      <c r="F1281" t="inlineStr">
        <is>
          <t>REP</t>
        </is>
      </c>
      <c r="G1281" t="inlineStr">
        <is>
          <t>06202022</t>
        </is>
      </c>
      <c r="H1281" t="n">
        <v>5000</v>
      </c>
      <c r="I1281" t="inlineStr">
        <is>
          <t>202207089518062320</t>
        </is>
      </c>
      <c r="J1281" t="inlineStr">
        <is>
          <t>https://docquery.fec.gov/cgi-bin/fecimg/?202207089518062320</t>
        </is>
      </c>
    </row>
    <row r="1282">
      <c r="A1282" t="inlineStr">
        <is>
          <t>2022</t>
        </is>
      </c>
      <c r="B1282" t="inlineStr">
        <is>
          <t>C00342766</t>
        </is>
      </c>
      <c r="C1282" t="inlineStr">
        <is>
          <t>HF Sinclair PAC (DINO PAC; formerly HollyFrontier PAC)</t>
        </is>
      </c>
      <c r="D1282" t="inlineStr">
        <is>
          <t>TEXANS FOR RONNY JACKSON</t>
        </is>
      </c>
      <c r="E1282" t="inlineStr">
        <is>
          <t>H0TX13228</t>
        </is>
      </c>
      <c r="F1282" t="inlineStr">
        <is>
          <t>REP</t>
        </is>
      </c>
      <c r="G1282" t="inlineStr">
        <is>
          <t>06202022</t>
        </is>
      </c>
      <c r="H1282" t="n">
        <v>2500</v>
      </c>
      <c r="I1282" t="inlineStr">
        <is>
          <t>202207089518062320</t>
        </is>
      </c>
      <c r="J1282" t="inlineStr">
        <is>
          <t>https://docquery.fec.gov/cgi-bin/fecimg/?202207089518062320</t>
        </is>
      </c>
    </row>
    <row r="1283">
      <c r="A1283" t="inlineStr">
        <is>
          <t>2022</t>
        </is>
      </c>
      <c r="B1283" t="inlineStr">
        <is>
          <t>C00342766</t>
        </is>
      </c>
      <c r="C1283" t="inlineStr">
        <is>
          <t>HF Sinclair PAC (DINO PAC; formerly HollyFrontier PAC)</t>
        </is>
      </c>
      <c r="D1283" t="inlineStr">
        <is>
          <t>LEE, MIKE</t>
        </is>
      </c>
      <c r="E1283" t="inlineStr">
        <is>
          <t>S0UT00165</t>
        </is>
      </c>
      <c r="F1283" t="inlineStr">
        <is>
          <t>REP</t>
        </is>
      </c>
      <c r="G1283" t="inlineStr">
        <is>
          <t>06202022</t>
        </is>
      </c>
      <c r="H1283" t="n">
        <v>2500</v>
      </c>
      <c r="I1283" t="inlineStr">
        <is>
          <t>202207089518062320</t>
        </is>
      </c>
      <c r="J1283" t="inlineStr">
        <is>
          <t>https://docquery.fec.gov/cgi-bin/fecimg/?202207089518062320</t>
        </is>
      </c>
    </row>
    <row r="1284">
      <c r="A1284" t="inlineStr">
        <is>
          <t>2022</t>
        </is>
      </c>
      <c r="B1284" t="inlineStr">
        <is>
          <t>C00342766</t>
        </is>
      </c>
      <c r="C1284" t="inlineStr">
        <is>
          <t>HF Sinclair PAC (DINO PAC; formerly HollyFrontier PAC)</t>
        </is>
      </c>
      <c r="D1284" t="inlineStr">
        <is>
          <t>BICE FOR CONGRESS</t>
        </is>
      </c>
      <c r="E1284" t="inlineStr">
        <is>
          <t>H0OK05205</t>
        </is>
      </c>
      <c r="F1284" t="inlineStr">
        <is>
          <t>REP</t>
        </is>
      </c>
      <c r="G1284" t="inlineStr">
        <is>
          <t>07132021</t>
        </is>
      </c>
      <c r="H1284" t="n">
        <v>5000</v>
      </c>
      <c r="I1284" t="inlineStr">
        <is>
          <t>202108069465926366</t>
        </is>
      </c>
      <c r="J1284" t="inlineStr">
        <is>
          <t>https://docquery.fec.gov/cgi-bin/fecimg/?202108069465926366</t>
        </is>
      </c>
    </row>
    <row r="1285">
      <c r="A1285" t="inlineStr">
        <is>
          <t>2022</t>
        </is>
      </c>
      <c r="B1285" t="inlineStr">
        <is>
          <t>C00342766</t>
        </is>
      </c>
      <c r="C1285" t="inlineStr">
        <is>
          <t>HF Sinclair PAC (DINO PAC; formerly HollyFrontier PAC)</t>
        </is>
      </c>
      <c r="D1285" t="inlineStr">
        <is>
          <t>MANCHIN FOR WEST VIRGINIA</t>
        </is>
      </c>
      <c r="E1285" t="inlineStr">
        <is>
          <t>S0WV00090</t>
        </is>
      </c>
      <c r="F1285" t="inlineStr">
        <is>
          <t>DEM</t>
        </is>
      </c>
      <c r="G1285" t="inlineStr">
        <is>
          <t>07132021</t>
        </is>
      </c>
      <c r="H1285" t="n">
        <v>5000</v>
      </c>
      <c r="I1285" t="inlineStr">
        <is>
          <t>202108069465926366</t>
        </is>
      </c>
      <c r="J1285" t="inlineStr">
        <is>
          <t>https://docquery.fec.gov/cgi-bin/fecimg/?202108069465926366</t>
        </is>
      </c>
    </row>
    <row r="1286">
      <c r="A1286" t="inlineStr">
        <is>
          <t>2022</t>
        </is>
      </c>
      <c r="B1286" t="inlineStr">
        <is>
          <t>C00342766</t>
        </is>
      </c>
      <c r="C1286" t="inlineStr">
        <is>
          <t>HF Sinclair PAC (DINO PAC; formerly HollyFrontier PAC)</t>
        </is>
      </c>
      <c r="D1286" t="inlineStr">
        <is>
          <t>MANCHIN FOR WEST VIRGINIA</t>
        </is>
      </c>
      <c r="E1286" t="inlineStr">
        <is>
          <t>S0WV00090</t>
        </is>
      </c>
      <c r="F1286" t="inlineStr">
        <is>
          <t>DEM</t>
        </is>
      </c>
      <c r="G1286" t="inlineStr">
        <is>
          <t>07132021</t>
        </is>
      </c>
      <c r="H1286" t="n">
        <v>800</v>
      </c>
      <c r="I1286" t="inlineStr">
        <is>
          <t>202108069465926366</t>
        </is>
      </c>
      <c r="J1286" t="inlineStr">
        <is>
          <t>https://docquery.fec.gov/cgi-bin/fecimg/?202108069465926366</t>
        </is>
      </c>
    </row>
    <row r="1287">
      <c r="A1287" t="inlineStr">
        <is>
          <t>2022</t>
        </is>
      </c>
      <c r="B1287" t="inlineStr">
        <is>
          <t>C00342766</t>
        </is>
      </c>
      <c r="C1287" t="inlineStr">
        <is>
          <t>HF Sinclair PAC (DINO PAC; formerly HollyFrontier PAC)</t>
        </is>
      </c>
      <c r="D1287" t="inlineStr">
        <is>
          <t>WESTERMAN FOR CONGRESS</t>
        </is>
      </c>
      <c r="E1287" t="inlineStr">
        <is>
          <t>H4AR04048</t>
        </is>
      </c>
      <c r="F1287" t="inlineStr">
        <is>
          <t>REP</t>
        </is>
      </c>
      <c r="G1287" t="inlineStr">
        <is>
          <t>07132021</t>
        </is>
      </c>
      <c r="H1287" t="n">
        <v>1000</v>
      </c>
      <c r="I1287" t="inlineStr">
        <is>
          <t>202108069465926367</t>
        </is>
      </c>
      <c r="J1287" t="inlineStr">
        <is>
          <t>https://docquery.fec.gov/cgi-bin/fecimg/?202108069465926367</t>
        </is>
      </c>
    </row>
    <row r="1288">
      <c r="A1288" t="inlineStr">
        <is>
          <t>2022</t>
        </is>
      </c>
      <c r="B1288" t="inlineStr">
        <is>
          <t>C00342766</t>
        </is>
      </c>
      <c r="C1288" t="inlineStr">
        <is>
          <t>HF Sinclair PAC (DINO PAC; formerly HollyFrontier PAC)</t>
        </is>
      </c>
      <c r="D1288" t="inlineStr">
        <is>
          <t>RON ESTES FOR CONGRESS</t>
        </is>
      </c>
      <c r="E1288" t="inlineStr">
        <is>
          <t>H8KS04112</t>
        </is>
      </c>
      <c r="F1288" t="inlineStr">
        <is>
          <t>REP</t>
        </is>
      </c>
      <c r="G1288" t="inlineStr">
        <is>
          <t>07252022</t>
        </is>
      </c>
      <c r="H1288" t="n">
        <v>5000</v>
      </c>
      <c r="I1288" t="inlineStr">
        <is>
          <t>202208099525149761</t>
        </is>
      </c>
      <c r="J1288" t="inlineStr">
        <is>
          <t>https://docquery.fec.gov/cgi-bin/fecimg/?202208099525149761</t>
        </is>
      </c>
    </row>
    <row r="1289">
      <c r="A1289" t="inlineStr">
        <is>
          <t>2022</t>
        </is>
      </c>
      <c r="B1289" t="inlineStr">
        <is>
          <t>C00342766</t>
        </is>
      </c>
      <c r="C1289" t="inlineStr">
        <is>
          <t>HF Sinclair PAC (DINO PAC; formerly HollyFrontier PAC)</t>
        </is>
      </c>
      <c r="D1289" t="inlineStr">
        <is>
          <t>WALBERG FOR CONGRESS</t>
        </is>
      </c>
      <c r="E1289" t="inlineStr">
        <is>
          <t>H4MI07103</t>
        </is>
      </c>
      <c r="F1289" t="inlineStr">
        <is>
          <t>REP</t>
        </is>
      </c>
      <c r="G1289" t="inlineStr">
        <is>
          <t>07252022</t>
        </is>
      </c>
      <c r="H1289" t="n">
        <v>1500</v>
      </c>
      <c r="I1289" t="inlineStr">
        <is>
          <t>202208099525149761</t>
        </is>
      </c>
      <c r="J1289" t="inlineStr">
        <is>
          <t>https://docquery.fec.gov/cgi-bin/fecimg/?202208099525149761</t>
        </is>
      </c>
    </row>
    <row r="1290">
      <c r="A1290" t="inlineStr">
        <is>
          <t>2022</t>
        </is>
      </c>
      <c r="B1290" t="inlineStr">
        <is>
          <t>C00342766</t>
        </is>
      </c>
      <c r="C1290" t="inlineStr">
        <is>
          <t>HF Sinclair PAC (DINO PAC; formerly HollyFrontier PAC)</t>
        </is>
      </c>
      <c r="D1290" t="inlineStr">
        <is>
          <t>GARRET GRAVES FOR CONGRESS</t>
        </is>
      </c>
      <c r="E1290" t="inlineStr">
        <is>
          <t>H4LA06153</t>
        </is>
      </c>
      <c r="F1290" t="inlineStr">
        <is>
          <t>REP</t>
        </is>
      </c>
      <c r="G1290" t="inlineStr">
        <is>
          <t>07252022</t>
        </is>
      </c>
      <c r="H1290" t="n">
        <v>1000</v>
      </c>
      <c r="I1290" t="inlineStr">
        <is>
          <t>202208099525149761</t>
        </is>
      </c>
      <c r="J1290" t="inlineStr">
        <is>
          <t>https://docquery.fec.gov/cgi-bin/fecimg/?202208099525149761</t>
        </is>
      </c>
    </row>
    <row r="1291">
      <c r="A1291" t="inlineStr">
        <is>
          <t>2022</t>
        </is>
      </c>
      <c r="B1291" t="inlineStr">
        <is>
          <t>C00342766</t>
        </is>
      </c>
      <c r="C1291" t="inlineStr">
        <is>
          <t>HF Sinclair PAC (DINO PAC; formerly HollyFrontier PAC)</t>
        </is>
      </c>
      <c r="D1291" t="inlineStr">
        <is>
          <t>CAPITO FOR WEST VIRGINIA</t>
        </is>
      </c>
      <c r="E1291" t="inlineStr">
        <is>
          <t>S4WV00159</t>
        </is>
      </c>
      <c r="F1291" t="inlineStr">
        <is>
          <t>REP</t>
        </is>
      </c>
      <c r="G1291" t="inlineStr">
        <is>
          <t>08152022</t>
        </is>
      </c>
      <c r="H1291" t="n">
        <v>5000</v>
      </c>
      <c r="I1291" t="inlineStr">
        <is>
          <t>202209129528393627</t>
        </is>
      </c>
      <c r="J1291" t="inlineStr">
        <is>
          <t>https://docquery.fec.gov/cgi-bin/fecimg/?202209129528393627</t>
        </is>
      </c>
    </row>
    <row r="1292">
      <c r="A1292" t="inlineStr">
        <is>
          <t>2022</t>
        </is>
      </c>
      <c r="B1292" t="inlineStr">
        <is>
          <t>C00342766</t>
        </is>
      </c>
      <c r="C1292" t="inlineStr">
        <is>
          <t>HF Sinclair PAC (DINO PAC; formerly HollyFrontier PAC)</t>
        </is>
      </c>
      <c r="D1292" t="inlineStr">
        <is>
          <t>CATHY MCMORRIS RODGERS FOR CONGRESS</t>
        </is>
      </c>
      <c r="E1292" t="inlineStr">
        <is>
          <t>H4WA05077</t>
        </is>
      </c>
      <c r="F1292" t="inlineStr">
        <is>
          <t>REP</t>
        </is>
      </c>
      <c r="G1292" t="inlineStr">
        <is>
          <t>08152022</t>
        </is>
      </c>
      <c r="H1292" t="n">
        <v>2500</v>
      </c>
      <c r="I1292" t="inlineStr">
        <is>
          <t>202209129528393627</t>
        </is>
      </c>
      <c r="J1292" t="inlineStr">
        <is>
          <t>https://docquery.fec.gov/cgi-bin/fecimg/?202209129528393627</t>
        </is>
      </c>
    </row>
    <row r="1293">
      <c r="A1293" t="inlineStr">
        <is>
          <t>2022</t>
        </is>
      </c>
      <c r="B1293" t="inlineStr">
        <is>
          <t>C00342766</t>
        </is>
      </c>
      <c r="C1293" t="inlineStr">
        <is>
          <t>HF Sinclair PAC (DINO PAC; formerly HollyFrontier PAC)</t>
        </is>
      </c>
      <c r="D1293" t="inlineStr">
        <is>
          <t>CATHY MCMORRIS RODGERS FOR CONGRESS</t>
        </is>
      </c>
      <c r="E1293" t="inlineStr">
        <is>
          <t>H4WA05077</t>
        </is>
      </c>
      <c r="F1293" t="inlineStr">
        <is>
          <t>REP</t>
        </is>
      </c>
      <c r="G1293" t="inlineStr">
        <is>
          <t>08172021</t>
        </is>
      </c>
      <c r="H1293" t="n">
        <v>5000</v>
      </c>
      <c r="I1293" t="inlineStr">
        <is>
          <t>202109079466623161</t>
        </is>
      </c>
      <c r="J1293" t="inlineStr">
        <is>
          <t>https://docquery.fec.gov/cgi-bin/fecimg/?202109079466623161</t>
        </is>
      </c>
    </row>
    <row r="1294">
      <c r="A1294" t="inlineStr">
        <is>
          <t>2022</t>
        </is>
      </c>
      <c r="B1294" t="inlineStr">
        <is>
          <t>C00342766</t>
        </is>
      </c>
      <c r="C1294" t="inlineStr">
        <is>
          <t>HF Sinclair PAC (DINO PAC; formerly HollyFrontier PAC)</t>
        </is>
      </c>
      <c r="D1294" t="inlineStr">
        <is>
          <t>CATHY MCMORRIS RODGERS FOR CONGRESS</t>
        </is>
      </c>
      <c r="E1294" t="inlineStr">
        <is>
          <t>H4WA05077</t>
        </is>
      </c>
      <c r="F1294" t="inlineStr">
        <is>
          <t>REP</t>
        </is>
      </c>
      <c r="G1294" t="inlineStr">
        <is>
          <t>08172021</t>
        </is>
      </c>
      <c r="H1294" t="n">
        <v>800</v>
      </c>
      <c r="I1294" t="inlineStr">
        <is>
          <t>202109079466623161</t>
        </is>
      </c>
      <c r="J1294" t="inlineStr">
        <is>
          <t>https://docquery.fec.gov/cgi-bin/fecimg/?202109079466623161</t>
        </is>
      </c>
    </row>
    <row r="1295">
      <c r="A1295" t="inlineStr">
        <is>
          <t>2022</t>
        </is>
      </c>
      <c r="B1295" t="inlineStr">
        <is>
          <t>C00342766</t>
        </is>
      </c>
      <c r="C1295" t="inlineStr">
        <is>
          <t>HF Sinclair PAC (DINO PAC; formerly HollyFrontier PAC)</t>
        </is>
      </c>
      <c r="D1295" t="inlineStr">
        <is>
          <t>STAUBER, PETER</t>
        </is>
      </c>
      <c r="E1295" t="inlineStr">
        <is>
          <t>H8MN08043</t>
        </is>
      </c>
      <c r="F1295" t="inlineStr">
        <is>
          <t>REP</t>
        </is>
      </c>
      <c r="G1295" t="inlineStr">
        <is>
          <t>08172021</t>
        </is>
      </c>
      <c r="H1295" t="n">
        <v>1000</v>
      </c>
      <c r="I1295" t="inlineStr">
        <is>
          <t>202109079466623162</t>
        </is>
      </c>
      <c r="J1295" t="inlineStr">
        <is>
          <t>https://docquery.fec.gov/cgi-bin/fecimg/?202109079466623162</t>
        </is>
      </c>
    </row>
    <row r="1296">
      <c r="A1296" t="inlineStr">
        <is>
          <t>2022</t>
        </is>
      </c>
      <c r="B1296" t="inlineStr">
        <is>
          <t>C00342766</t>
        </is>
      </c>
      <c r="C1296" t="inlineStr">
        <is>
          <t>HF Sinclair PAC (DINO PAC; formerly HollyFrontier PAC)</t>
        </is>
      </c>
      <c r="D1296" t="inlineStr">
        <is>
          <t>CATHY MCMORRIS RODGERS FOR CONGRESS</t>
        </is>
      </c>
      <c r="E1296" t="inlineStr">
        <is>
          <t>H4WA05077</t>
        </is>
      </c>
      <c r="F1296" t="inlineStr">
        <is>
          <t>REP</t>
        </is>
      </c>
      <c r="G1296" t="inlineStr">
        <is>
          <t>09012022</t>
        </is>
      </c>
      <c r="H1296" t="n">
        <v>-800</v>
      </c>
      <c r="I1296" t="inlineStr">
        <is>
          <t>202210079532090126</t>
        </is>
      </c>
      <c r="J1296" t="inlineStr">
        <is>
          <t>https://docquery.fec.gov/cgi-bin/fecimg/?202210079532090126</t>
        </is>
      </c>
    </row>
    <row r="1297">
      <c r="A1297" t="inlineStr">
        <is>
          <t>2022</t>
        </is>
      </c>
      <c r="B1297" t="inlineStr">
        <is>
          <t>C00342766</t>
        </is>
      </c>
      <c r="C1297" t="inlineStr">
        <is>
          <t>HF Sinclair PAC (DINO PAC; formerly HollyFrontier PAC)</t>
        </is>
      </c>
      <c r="D1297" t="inlineStr">
        <is>
          <t>FRIENDS OF GLENN THOMPSON</t>
        </is>
      </c>
      <c r="E1297" t="inlineStr">
        <is>
          <t>H8PA05071</t>
        </is>
      </c>
      <c r="F1297" t="inlineStr">
        <is>
          <t>REP</t>
        </is>
      </c>
      <c r="G1297" t="inlineStr">
        <is>
          <t>09142022</t>
        </is>
      </c>
      <c r="H1297" t="n">
        <v>2500</v>
      </c>
      <c r="I1297" t="inlineStr">
        <is>
          <t>202210079532090127</t>
        </is>
      </c>
      <c r="J1297" t="inlineStr">
        <is>
          <t>https://docquery.fec.gov/cgi-bin/fecimg/?202210079532090127</t>
        </is>
      </c>
    </row>
    <row r="1298">
      <c r="A1298" t="inlineStr">
        <is>
          <t>2022</t>
        </is>
      </c>
      <c r="B1298" t="inlineStr">
        <is>
          <t>C00342766</t>
        </is>
      </c>
      <c r="C1298" t="inlineStr">
        <is>
          <t>HF Sinclair PAC (DINO PAC; formerly HollyFrontier PAC)</t>
        </is>
      </c>
      <c r="D1298" t="inlineStr">
        <is>
          <t>JD VANCE FOR SENATE INC.</t>
        </is>
      </c>
      <c r="E1298" t="inlineStr">
        <is>
          <t>S2OH00436</t>
        </is>
      </c>
      <c r="F1298" t="inlineStr">
        <is>
          <t>REP</t>
        </is>
      </c>
      <c r="G1298" t="inlineStr">
        <is>
          <t>09142022</t>
        </is>
      </c>
      <c r="H1298" t="n">
        <v>2500</v>
      </c>
      <c r="I1298" t="inlineStr">
        <is>
          <t>202210079532090127</t>
        </is>
      </c>
      <c r="J1298" t="inlineStr">
        <is>
          <t>https://docquery.fec.gov/cgi-bin/fecimg/?202210079532090127</t>
        </is>
      </c>
    </row>
    <row r="1299">
      <c r="A1299" t="inlineStr">
        <is>
          <t>2022</t>
        </is>
      </c>
      <c r="B1299" t="inlineStr">
        <is>
          <t>C00342766</t>
        </is>
      </c>
      <c r="C1299" t="inlineStr">
        <is>
          <t>HF Sinclair PAC (DINO PAC; formerly HollyFrontier PAC)</t>
        </is>
      </c>
      <c r="D1299" t="inlineStr">
        <is>
          <t>BICE FOR CONGRESS</t>
        </is>
      </c>
      <c r="E1299" t="inlineStr">
        <is>
          <t>H0OK05205</t>
        </is>
      </c>
      <c r="F1299" t="inlineStr">
        <is>
          <t>REP</t>
        </is>
      </c>
      <c r="G1299" t="inlineStr">
        <is>
          <t>09232021</t>
        </is>
      </c>
      <c r="H1299" t="n">
        <v>5000</v>
      </c>
      <c r="I1299" t="inlineStr">
        <is>
          <t>202110119467223694</t>
        </is>
      </c>
      <c r="J1299" t="inlineStr">
        <is>
          <t>https://docquery.fec.gov/cgi-bin/fecimg/?202110119467223694</t>
        </is>
      </c>
    </row>
    <row r="1300">
      <c r="A1300" t="inlineStr">
        <is>
          <t>2022</t>
        </is>
      </c>
      <c r="B1300" t="inlineStr">
        <is>
          <t>C00342766</t>
        </is>
      </c>
      <c r="C1300" t="inlineStr">
        <is>
          <t>HF Sinclair PAC (DINO PAC; formerly HollyFrontier PAC)</t>
        </is>
      </c>
      <c r="D1300" t="inlineStr">
        <is>
          <t>FAMILIES FOR JAMES LANKFORD</t>
        </is>
      </c>
      <c r="E1300" t="inlineStr">
        <is>
          <t>S4OK00232</t>
        </is>
      </c>
      <c r="F1300" t="inlineStr">
        <is>
          <t>REP</t>
        </is>
      </c>
      <c r="G1300" t="inlineStr">
        <is>
          <t>09232021</t>
        </is>
      </c>
      <c r="H1300" t="n">
        <v>5000</v>
      </c>
      <c r="I1300" t="inlineStr">
        <is>
          <t>202110119467223694</t>
        </is>
      </c>
      <c r="J1300" t="inlineStr">
        <is>
          <t>https://docquery.fec.gov/cgi-bin/fecimg/?202110119467223694</t>
        </is>
      </c>
    </row>
    <row r="1301">
      <c r="A1301" t="inlineStr">
        <is>
          <t>2022</t>
        </is>
      </c>
      <c r="B1301" t="inlineStr">
        <is>
          <t>C00342766</t>
        </is>
      </c>
      <c r="C1301" t="inlineStr">
        <is>
          <t>HF Sinclair PAC (DINO PAC; formerly HollyFrontier PAC)</t>
        </is>
      </c>
      <c r="D1301" t="inlineStr">
        <is>
          <t>HERN FOR CONGRESS</t>
        </is>
      </c>
      <c r="E1301" t="inlineStr">
        <is>
          <t>H8OK01157</t>
        </is>
      </c>
      <c r="F1301" t="inlineStr">
        <is>
          <t>REP</t>
        </is>
      </c>
      <c r="G1301" t="inlineStr">
        <is>
          <t>09232021</t>
        </is>
      </c>
      <c r="H1301" t="n">
        <v>5000</v>
      </c>
      <c r="I1301" t="inlineStr">
        <is>
          <t>202110119467223694</t>
        </is>
      </c>
      <c r="J1301" t="inlineStr">
        <is>
          <t>https://docquery.fec.gov/cgi-bin/fecimg/?202110119467223694</t>
        </is>
      </c>
    </row>
    <row r="1302">
      <c r="A1302" t="inlineStr">
        <is>
          <t>2022</t>
        </is>
      </c>
      <c r="B1302" t="inlineStr">
        <is>
          <t>C00342766</t>
        </is>
      </c>
      <c r="C1302" t="inlineStr">
        <is>
          <t>HF Sinclair PAC (DINO PAC; formerly HollyFrontier PAC)</t>
        </is>
      </c>
      <c r="D1302" t="inlineStr">
        <is>
          <t>HUDSON FOR CONGRESS</t>
        </is>
      </c>
      <c r="E1302" t="inlineStr">
        <is>
          <t>H2NC08185</t>
        </is>
      </c>
      <c r="F1302" t="inlineStr">
        <is>
          <t>REP</t>
        </is>
      </c>
      <c r="G1302" t="inlineStr">
        <is>
          <t>09232021</t>
        </is>
      </c>
      <c r="H1302" t="n">
        <v>2500</v>
      </c>
      <c r="I1302" t="inlineStr">
        <is>
          <t>202110119467223695</t>
        </is>
      </c>
      <c r="J1302" t="inlineStr">
        <is>
          <t>https://docquery.fec.gov/cgi-bin/fecimg/?202110119467223695</t>
        </is>
      </c>
    </row>
    <row r="1303">
      <c r="A1303" t="inlineStr">
        <is>
          <t>2022</t>
        </is>
      </c>
      <c r="B1303" t="inlineStr">
        <is>
          <t>C00342766</t>
        </is>
      </c>
      <c r="C1303" t="inlineStr">
        <is>
          <t>HF Sinclair PAC (DINO PAC; formerly HollyFrontier PAC)</t>
        </is>
      </c>
      <c r="D1303" t="inlineStr">
        <is>
          <t>MCCARTHY, KEVIN</t>
        </is>
      </c>
      <c r="E1303" t="inlineStr">
        <is>
          <t>H6CA22125</t>
        </is>
      </c>
      <c r="F1303" t="inlineStr">
        <is>
          <t>REP</t>
        </is>
      </c>
      <c r="G1303" t="inlineStr">
        <is>
          <t>09232021</t>
        </is>
      </c>
      <c r="H1303" t="n">
        <v>5000</v>
      </c>
      <c r="I1303" t="inlineStr">
        <is>
          <t>202110119467223695</t>
        </is>
      </c>
      <c r="J1303" t="inlineStr">
        <is>
          <t>https://docquery.fec.gov/cgi-bin/fecimg/?202110119467223695</t>
        </is>
      </c>
    </row>
    <row r="1304">
      <c r="A1304" t="inlineStr">
        <is>
          <t>2022</t>
        </is>
      </c>
      <c r="B1304" t="inlineStr">
        <is>
          <t>C00342766</t>
        </is>
      </c>
      <c r="C1304" t="inlineStr">
        <is>
          <t>HF Sinclair PAC (DINO PAC; formerly HollyFrontier PAC)</t>
        </is>
      </c>
      <c r="D1304" t="inlineStr">
        <is>
          <t>ARMSTRONG FOR CONGRESS</t>
        </is>
      </c>
      <c r="E1304" t="inlineStr">
        <is>
          <t>H8ND00096</t>
        </is>
      </c>
      <c r="F1304" t="inlineStr">
        <is>
          <t>REP</t>
        </is>
      </c>
      <c r="G1304" t="inlineStr">
        <is>
          <t>10192022</t>
        </is>
      </c>
      <c r="H1304" t="n">
        <v>1500</v>
      </c>
      <c r="I1304" t="inlineStr">
        <is>
          <t>202210219541455436</t>
        </is>
      </c>
      <c r="J1304" t="inlineStr">
        <is>
          <t>https://docquery.fec.gov/cgi-bin/fecimg/?202210219541455436</t>
        </is>
      </c>
    </row>
    <row r="1305">
      <c r="A1305" t="inlineStr">
        <is>
          <t>2022</t>
        </is>
      </c>
      <c r="B1305" t="inlineStr">
        <is>
          <t>C00342766</t>
        </is>
      </c>
      <c r="C1305" t="inlineStr">
        <is>
          <t>HF Sinclair PAC (DINO PAC; formerly HollyFrontier PAC)</t>
        </is>
      </c>
      <c r="D1305" t="inlineStr">
        <is>
          <t>CRAWFORD FOR CONGRESS</t>
        </is>
      </c>
      <c r="E1305" t="inlineStr">
        <is>
          <t>H0AR01083</t>
        </is>
      </c>
      <c r="F1305" t="inlineStr">
        <is>
          <t>REP</t>
        </is>
      </c>
      <c r="G1305" t="inlineStr">
        <is>
          <t>10192022</t>
        </is>
      </c>
      <c r="H1305" t="n">
        <v>1500</v>
      </c>
      <c r="I1305" t="inlineStr">
        <is>
          <t>202210219541455436</t>
        </is>
      </c>
      <c r="J1305" t="inlineStr">
        <is>
          <t>https://docquery.fec.gov/cgi-bin/fecimg/?202210219541455436</t>
        </is>
      </c>
    </row>
    <row r="1306">
      <c r="A1306" t="inlineStr">
        <is>
          <t>2022</t>
        </is>
      </c>
      <c r="B1306" t="inlineStr">
        <is>
          <t>C00342766</t>
        </is>
      </c>
      <c r="C1306" t="inlineStr">
        <is>
          <t>HF Sinclair PAC (DINO PAC; formerly HollyFrontier PAC)</t>
        </is>
      </c>
      <c r="D1306" t="inlineStr">
        <is>
          <t>GRAVES FOR CONGRESS</t>
        </is>
      </c>
      <c r="E1306" t="inlineStr">
        <is>
          <t>H0MO06073</t>
        </is>
      </c>
      <c r="F1306" t="inlineStr">
        <is>
          <t>REP</t>
        </is>
      </c>
      <c r="G1306" t="inlineStr">
        <is>
          <t>10192022</t>
        </is>
      </c>
      <c r="H1306" t="n">
        <v>1500</v>
      </c>
      <c r="I1306" t="inlineStr">
        <is>
          <t>202210219541455436</t>
        </is>
      </c>
      <c r="J1306" t="inlineStr">
        <is>
          <t>https://docquery.fec.gov/cgi-bin/fecimg/?202210219541455436</t>
        </is>
      </c>
    </row>
    <row r="1307">
      <c r="A1307" t="inlineStr">
        <is>
          <t>2022</t>
        </is>
      </c>
      <c r="B1307" t="inlineStr">
        <is>
          <t>C00342766</t>
        </is>
      </c>
      <c r="C1307" t="inlineStr">
        <is>
          <t>HF Sinclair PAC (DINO PAC; formerly HollyFrontier PAC)</t>
        </is>
      </c>
      <c r="D1307" t="inlineStr">
        <is>
          <t>HAGEMAN FOR WYOMING</t>
        </is>
      </c>
      <c r="E1307" t="inlineStr">
        <is>
          <t>H2WY00166</t>
        </is>
      </c>
      <c r="F1307" t="inlineStr">
        <is>
          <t>REP</t>
        </is>
      </c>
      <c r="G1307" t="inlineStr">
        <is>
          <t>10192022</t>
        </is>
      </c>
      <c r="H1307" t="n">
        <v>2500</v>
      </c>
      <c r="I1307" t="inlineStr">
        <is>
          <t>202210219541455437</t>
        </is>
      </c>
      <c r="J1307" t="inlineStr">
        <is>
          <t>https://docquery.fec.gov/cgi-bin/fecimg/?202210219541455437</t>
        </is>
      </c>
    </row>
    <row r="1308">
      <c r="A1308" t="inlineStr">
        <is>
          <t>2022</t>
        </is>
      </c>
      <c r="B1308" t="inlineStr">
        <is>
          <t>C00342766</t>
        </is>
      </c>
      <c r="C1308" t="inlineStr">
        <is>
          <t>HF Sinclair PAC (DINO PAC; formerly HollyFrontier PAC)</t>
        </is>
      </c>
      <c r="D1308" t="inlineStr">
        <is>
          <t>JOE O'DEA FOR SENATE</t>
        </is>
      </c>
      <c r="E1308" t="inlineStr">
        <is>
          <t>S2CO00241</t>
        </is>
      </c>
      <c r="F1308" t="inlineStr">
        <is>
          <t>REP</t>
        </is>
      </c>
      <c r="G1308" t="inlineStr">
        <is>
          <t>10192022</t>
        </is>
      </c>
      <c r="H1308" t="n">
        <v>2500</v>
      </c>
      <c r="I1308" t="inlineStr">
        <is>
          <t>202210219541455437</t>
        </is>
      </c>
      <c r="J1308" t="inlineStr">
        <is>
          <t>https://docquery.fec.gov/cgi-bin/fecimg/?202210219541455437</t>
        </is>
      </c>
    </row>
    <row r="1309">
      <c r="A1309" t="inlineStr">
        <is>
          <t>2022</t>
        </is>
      </c>
      <c r="B1309" t="inlineStr">
        <is>
          <t>C00342766</t>
        </is>
      </c>
      <c r="C1309" t="inlineStr">
        <is>
          <t>HF Sinclair PAC (DINO PAC; formerly HollyFrontier PAC)</t>
        </is>
      </c>
      <c r="D1309" t="inlineStr">
        <is>
          <t>LAXALT, ADAM</t>
        </is>
      </c>
      <c r="E1309" t="inlineStr">
        <is>
          <t>S2NV00324</t>
        </is>
      </c>
      <c r="F1309" t="inlineStr">
        <is>
          <t>REP</t>
        </is>
      </c>
      <c r="G1309" t="inlineStr">
        <is>
          <t>10192022</t>
        </is>
      </c>
      <c r="H1309" t="n">
        <v>5000</v>
      </c>
      <c r="I1309" t="inlineStr">
        <is>
          <t>202210219541455437</t>
        </is>
      </c>
      <c r="J1309" t="inlineStr">
        <is>
          <t>https://docquery.fec.gov/cgi-bin/fecimg/?202210219541455437</t>
        </is>
      </c>
    </row>
    <row r="1310">
      <c r="A1310" t="inlineStr">
        <is>
          <t>2022</t>
        </is>
      </c>
      <c r="B1310" t="inlineStr">
        <is>
          <t>C00342766</t>
        </is>
      </c>
      <c r="C1310" t="inlineStr">
        <is>
          <t>HF Sinclair PAC (DINO PAC; formerly HollyFrontier PAC)</t>
        </is>
      </c>
      <c r="D1310" t="inlineStr">
        <is>
          <t>MULLIN FOR AMERICA</t>
        </is>
      </c>
      <c r="E1310" t="inlineStr">
        <is>
          <t>S2OK00186</t>
        </is>
      </c>
      <c r="F1310" t="inlineStr">
        <is>
          <t>REP</t>
        </is>
      </c>
      <c r="G1310" t="inlineStr">
        <is>
          <t>10192022</t>
        </is>
      </c>
      <c r="H1310" t="n">
        <v>5000</v>
      </c>
      <c r="I1310" t="inlineStr">
        <is>
          <t>202210219541455438</t>
        </is>
      </c>
      <c r="J1310" t="inlineStr">
        <is>
          <t>https://docquery.fec.gov/cgi-bin/fecimg/?202210219541455438</t>
        </is>
      </c>
    </row>
    <row r="1311">
      <c r="A1311" t="inlineStr">
        <is>
          <t>2022</t>
        </is>
      </c>
      <c r="B1311" t="inlineStr">
        <is>
          <t>C00342766</t>
        </is>
      </c>
      <c r="C1311" t="inlineStr">
        <is>
          <t>HF Sinclair PAC (DINO PAC; formerly HollyFrontier PAC)</t>
        </is>
      </c>
      <c r="D1311" t="inlineStr">
        <is>
          <t>ARMSTRONG FOR CONGRESS</t>
        </is>
      </c>
      <c r="E1311" t="inlineStr">
        <is>
          <t>H8CO06153</t>
        </is>
      </c>
      <c r="F1311" t="inlineStr">
        <is>
          <t>REP</t>
        </is>
      </c>
      <c r="G1311" t="inlineStr">
        <is>
          <t>10262021</t>
        </is>
      </c>
      <c r="H1311" t="n">
        <v>2500</v>
      </c>
      <c r="I1311" t="inlineStr">
        <is>
          <t>202111039468416702</t>
        </is>
      </c>
      <c r="J1311" t="inlineStr">
        <is>
          <t>https://docquery.fec.gov/cgi-bin/fecimg/?202111039468416702</t>
        </is>
      </c>
    </row>
    <row r="1312">
      <c r="A1312" t="inlineStr">
        <is>
          <t>2022</t>
        </is>
      </c>
      <c r="B1312" t="inlineStr">
        <is>
          <t>C00342766</t>
        </is>
      </c>
      <c r="C1312" t="inlineStr">
        <is>
          <t>HF Sinclair PAC (DINO PAC; formerly HollyFrontier PAC)</t>
        </is>
      </c>
      <c r="D1312" t="inlineStr">
        <is>
          <t>CATHY MCMORRIS RODGERS FOR CONGRESS</t>
        </is>
      </c>
      <c r="E1312" t="inlineStr">
        <is>
          <t>H4WA05077</t>
        </is>
      </c>
      <c r="F1312" t="inlineStr">
        <is>
          <t>REP</t>
        </is>
      </c>
      <c r="G1312" t="inlineStr">
        <is>
          <t>10262021</t>
        </is>
      </c>
      <c r="H1312" t="n">
        <v>2500</v>
      </c>
      <c r="I1312" t="inlineStr">
        <is>
          <t>202111039468416702</t>
        </is>
      </c>
      <c r="J1312" t="inlineStr">
        <is>
          <t>https://docquery.fec.gov/cgi-bin/fecimg/?202111039468416702</t>
        </is>
      </c>
    </row>
    <row r="1313">
      <c r="A1313" t="inlineStr">
        <is>
          <t>2022</t>
        </is>
      </c>
      <c r="B1313" t="inlineStr">
        <is>
          <t>C00342766</t>
        </is>
      </c>
      <c r="C1313" t="inlineStr">
        <is>
          <t>HF Sinclair PAC (DINO PAC; formerly HollyFrontier PAC)</t>
        </is>
      </c>
      <c r="D1313" t="inlineStr">
        <is>
          <t>FRIENDS OF JOHN BARRASSO</t>
        </is>
      </c>
      <c r="E1313" t="inlineStr">
        <is>
          <t>S6WY00068</t>
        </is>
      </c>
      <c r="F1313" t="inlineStr">
        <is>
          <t>REP</t>
        </is>
      </c>
      <c r="G1313" t="inlineStr">
        <is>
          <t>10262021</t>
        </is>
      </c>
      <c r="H1313" t="n">
        <v>2500</v>
      </c>
      <c r="I1313" t="inlineStr">
        <is>
          <t>202111039468416702</t>
        </is>
      </c>
      <c r="J1313" t="inlineStr">
        <is>
          <t>https://docquery.fec.gov/cgi-bin/fecimg/?202111039468416702</t>
        </is>
      </c>
    </row>
    <row r="1314">
      <c r="A1314" t="inlineStr">
        <is>
          <t>2022</t>
        </is>
      </c>
      <c r="B1314" t="inlineStr">
        <is>
          <t>C00342766</t>
        </is>
      </c>
      <c r="C1314" t="inlineStr">
        <is>
          <t>HF Sinclair PAC (DINO PAC; formerly HollyFrontier PAC)</t>
        </is>
      </c>
      <c r="D1314" t="inlineStr">
        <is>
          <t>EMMER FOR CONGRESS</t>
        </is>
      </c>
      <c r="E1314" t="inlineStr">
        <is>
          <t>H4MN06087</t>
        </is>
      </c>
      <c r="F1314" t="inlineStr">
        <is>
          <t>REP</t>
        </is>
      </c>
      <c r="G1314" t="inlineStr">
        <is>
          <t>12062021</t>
        </is>
      </c>
      <c r="H1314" t="n">
        <v>2500</v>
      </c>
      <c r="I1314" t="inlineStr">
        <is>
          <t>202202089491611427</t>
        </is>
      </c>
      <c r="J1314" t="inlineStr">
        <is>
          <t>https://docquery.fec.gov/cgi-bin/fecimg/?202202089491611427</t>
        </is>
      </c>
    </row>
    <row r="1315">
      <c r="A1315" t="inlineStr">
        <is>
          <t>2022</t>
        </is>
      </c>
      <c r="B1315" t="inlineStr">
        <is>
          <t>C00342766</t>
        </is>
      </c>
      <c r="C1315" t="inlineStr">
        <is>
          <t>HF Sinclair PAC (DINO PAC; formerly HollyFrontier PAC)</t>
        </is>
      </c>
      <c r="D1315" t="inlineStr">
        <is>
          <t>GREG PENCE FOR CONGRESS</t>
        </is>
      </c>
      <c r="E1315" t="inlineStr">
        <is>
          <t>H8IN06129</t>
        </is>
      </c>
      <c r="F1315" t="inlineStr">
        <is>
          <t>REP</t>
        </is>
      </c>
      <c r="G1315" t="inlineStr">
        <is>
          <t>12062021</t>
        </is>
      </c>
      <c r="H1315" t="n">
        <v>1000</v>
      </c>
      <c r="I1315" t="inlineStr">
        <is>
          <t>202202089491611427</t>
        </is>
      </c>
      <c r="J1315" t="inlineStr">
        <is>
          <t>https://docquery.fec.gov/cgi-bin/fecimg/?202202089491611427</t>
        </is>
      </c>
    </row>
    <row r="1316">
      <c r="A1316" t="inlineStr">
        <is>
          <t>2022</t>
        </is>
      </c>
      <c r="B1316" t="inlineStr">
        <is>
          <t>C00342766</t>
        </is>
      </c>
      <c r="C1316" t="inlineStr">
        <is>
          <t>HF Sinclair PAC (DINO PAC; formerly HollyFrontier PAC)</t>
        </is>
      </c>
      <c r="D1316" t="inlineStr">
        <is>
          <t>MULLIN FOR CONGRESS</t>
        </is>
      </c>
      <c r="E1316" t="inlineStr">
        <is>
          <t>H2OK02083</t>
        </is>
      </c>
      <c r="F1316" t="inlineStr">
        <is>
          <t>REP</t>
        </is>
      </c>
      <c r="G1316" t="inlineStr">
        <is>
          <t>12062021</t>
        </is>
      </c>
      <c r="H1316" t="n">
        <v>2500</v>
      </c>
      <c r="I1316" t="inlineStr">
        <is>
          <t>202202089491611428</t>
        </is>
      </c>
      <c r="J1316" t="inlineStr">
        <is>
          <t>https://docquery.fec.gov/cgi-bin/fecimg/?202202089491611428</t>
        </is>
      </c>
    </row>
    <row r="1317">
      <c r="A1317" t="inlineStr">
        <is>
          <t>2022</t>
        </is>
      </c>
      <c r="B1317" t="inlineStr">
        <is>
          <t>C00342766</t>
        </is>
      </c>
      <c r="C1317" t="inlineStr">
        <is>
          <t>HF Sinclair PAC (DINO PAC; formerly HollyFrontier PAC)</t>
        </is>
      </c>
      <c r="D1317" t="inlineStr">
        <is>
          <t>CURTIS FOR CONGRESS</t>
        </is>
      </c>
      <c r="E1317" t="inlineStr">
        <is>
          <t>H8UT03238</t>
        </is>
      </c>
      <c r="F1317" t="inlineStr">
        <is>
          <t>REP</t>
        </is>
      </c>
      <c r="G1317" t="inlineStr">
        <is>
          <t>12062021</t>
        </is>
      </c>
      <c r="H1317" t="n">
        <v>5000</v>
      </c>
      <c r="I1317" t="inlineStr">
        <is>
          <t>202202089491611426</t>
        </is>
      </c>
      <c r="J1317" t="inlineStr">
        <is>
          <t>https://docquery.fec.gov/cgi-bin/fecimg/?202202089491611426</t>
        </is>
      </c>
    </row>
    <row r="1318">
      <c r="A1318" t="inlineStr">
        <is>
          <t>2022</t>
        </is>
      </c>
      <c r="B1318" t="inlineStr">
        <is>
          <t>C00342766</t>
        </is>
      </c>
      <c r="C1318" t="inlineStr">
        <is>
          <t>HF Sinclair PAC (DINO PAC; formerly HollyFrontier PAC)</t>
        </is>
      </c>
      <c r="D1318" t="inlineStr">
        <is>
          <t>CAROL FOR CONGRESS</t>
        </is>
      </c>
      <c r="E1318" t="inlineStr">
        <is>
          <t>H8WV03097</t>
        </is>
      </c>
      <c r="F1318" t="inlineStr">
        <is>
          <t>REP</t>
        </is>
      </c>
      <c r="G1318" t="inlineStr">
        <is>
          <t>12062021</t>
        </is>
      </c>
      <c r="H1318" t="n">
        <v>1000</v>
      </c>
      <c r="I1318" t="inlineStr">
        <is>
          <t>202202089491611426</t>
        </is>
      </c>
      <c r="J1318" t="inlineStr">
        <is>
          <t>https://docquery.fec.gov/cgi-bin/fecimg/?202202089491611426</t>
        </is>
      </c>
    </row>
    <row r="1319">
      <c r="A1319" t="inlineStr">
        <is>
          <t>2022</t>
        </is>
      </c>
      <c r="B1319" t="inlineStr">
        <is>
          <t>C00342766</t>
        </is>
      </c>
      <c r="C1319" t="inlineStr">
        <is>
          <t>HF Sinclair PAC (DINO PAC; formerly HollyFrontier PAC)</t>
        </is>
      </c>
      <c r="D1319" t="inlineStr">
        <is>
          <t>MIKE KELLY FOR CONGRESS</t>
        </is>
      </c>
      <c r="E1319" t="inlineStr">
        <is>
          <t>H0PA03271</t>
        </is>
      </c>
      <c r="F1319" t="inlineStr">
        <is>
          <t>REP</t>
        </is>
      </c>
      <c r="G1319" t="inlineStr">
        <is>
          <t>12232021</t>
        </is>
      </c>
      <c r="H1319" t="n">
        <v>2500</v>
      </c>
      <c r="I1319" t="inlineStr">
        <is>
          <t>202202089491611427</t>
        </is>
      </c>
      <c r="J1319" t="inlineStr">
        <is>
          <t>https://docquery.fec.gov/cgi-bin/fecimg/?202202089491611427</t>
        </is>
      </c>
    </row>
    <row r="1320">
      <c r="A1320" t="inlineStr">
        <is>
          <t>2022</t>
        </is>
      </c>
      <c r="B1320" t="inlineStr">
        <is>
          <t>C00496307</t>
        </is>
      </c>
      <c r="C1320" t="inlineStr">
        <is>
          <t>Marathon Petroleum Corp Employees PAC (MPAC)</t>
        </is>
      </c>
      <c r="D1320" t="inlineStr">
        <is>
          <t>MCCONNELL SENATE COMMITTEE</t>
        </is>
      </c>
      <c r="E1320" t="inlineStr">
        <is>
          <t>S2KY00012</t>
        </is>
      </c>
      <c r="F1320" t="inlineStr">
        <is>
          <t>REP</t>
        </is>
      </c>
      <c r="G1320" t="inlineStr">
        <is>
          <t>02022022</t>
        </is>
      </c>
      <c r="H1320" t="n">
        <v>-5000</v>
      </c>
      <c r="I1320" t="inlineStr">
        <is>
          <t>202203119493770664</t>
        </is>
      </c>
      <c r="J1320" t="inlineStr">
        <is>
          <t>https://docquery.fec.gov/cgi-bin/fecimg/?202203119493770664</t>
        </is>
      </c>
    </row>
    <row r="1321">
      <c r="A1321" t="inlineStr">
        <is>
          <t>2022</t>
        </is>
      </c>
      <c r="B1321" t="inlineStr">
        <is>
          <t>C00496307</t>
        </is>
      </c>
      <c r="C1321" t="inlineStr">
        <is>
          <t>Marathon Petroleum Corp Employees PAC (MPAC)</t>
        </is>
      </c>
      <c r="D1321" t="inlineStr">
        <is>
          <t>MCCONNELL SENATE COMMITTEE</t>
        </is>
      </c>
      <c r="E1321" t="inlineStr">
        <is>
          <t>S2KY00012</t>
        </is>
      </c>
      <c r="F1321" t="inlineStr">
        <is>
          <t>REP</t>
        </is>
      </c>
      <c r="G1321" t="inlineStr">
        <is>
          <t>02022022</t>
        </is>
      </c>
      <c r="H1321" t="n">
        <v>-5000</v>
      </c>
      <c r="I1321" t="inlineStr">
        <is>
          <t>202203119493770664</t>
        </is>
      </c>
      <c r="J1321" t="inlineStr">
        <is>
          <t>https://docquery.fec.gov/cgi-bin/fecimg/?202203119493770664</t>
        </is>
      </c>
    </row>
    <row r="1322">
      <c r="A1322" t="inlineStr">
        <is>
          <t>2022</t>
        </is>
      </c>
      <c r="B1322" t="inlineStr">
        <is>
          <t>C00496307</t>
        </is>
      </c>
      <c r="C1322" t="inlineStr">
        <is>
          <t>Marathon Petroleum Corp Employees PAC (MPAC)</t>
        </is>
      </c>
      <c r="D1322" t="inlineStr">
        <is>
          <t>ASHLEY HINSON FOR CONGRESS</t>
        </is>
      </c>
      <c r="E1322" t="inlineStr">
        <is>
          <t>H0IA01174</t>
        </is>
      </c>
      <c r="F1322" t="inlineStr">
        <is>
          <t>REP</t>
        </is>
      </c>
      <c r="G1322" t="inlineStr">
        <is>
          <t>02082022</t>
        </is>
      </c>
      <c r="H1322" t="n">
        <v>2500</v>
      </c>
      <c r="I1322" t="inlineStr">
        <is>
          <t>202203119493770665</t>
        </is>
      </c>
      <c r="J1322" t="inlineStr">
        <is>
          <t>https://docquery.fec.gov/cgi-bin/fecimg/?202203119493770665</t>
        </is>
      </c>
    </row>
    <row r="1323">
      <c r="A1323" t="inlineStr">
        <is>
          <t>2022</t>
        </is>
      </c>
      <c r="B1323" t="inlineStr">
        <is>
          <t>C00496307</t>
        </is>
      </c>
      <c r="C1323" t="inlineStr">
        <is>
          <t>Marathon Petroleum Corp Employees PAC (MPAC)</t>
        </is>
      </c>
      <c r="D1323" t="inlineStr">
        <is>
          <t>BETH VAN DUYNE FOR CONGRESS</t>
        </is>
      </c>
      <c r="E1323" t="inlineStr">
        <is>
          <t>H0TX24209</t>
        </is>
      </c>
      <c r="F1323" t="inlineStr">
        <is>
          <t>REP</t>
        </is>
      </c>
      <c r="G1323" t="inlineStr">
        <is>
          <t>02082022</t>
        </is>
      </c>
      <c r="H1323" t="n">
        <v>2500</v>
      </c>
      <c r="I1323" t="inlineStr">
        <is>
          <t>202203119493770665</t>
        </is>
      </c>
      <c r="J1323" t="inlineStr">
        <is>
          <t>https://docquery.fec.gov/cgi-bin/fecimg/?202203119493770665</t>
        </is>
      </c>
    </row>
    <row r="1324">
      <c r="A1324" t="inlineStr">
        <is>
          <t>2022</t>
        </is>
      </c>
      <c r="B1324" t="inlineStr">
        <is>
          <t>C00496307</t>
        </is>
      </c>
      <c r="C1324" t="inlineStr">
        <is>
          <t>Marathon Petroleum Corp Employees PAC (MPAC)</t>
        </is>
      </c>
      <c r="D1324" t="inlineStr">
        <is>
          <t>DR BRIAN BABIN FOR CONGRESS</t>
        </is>
      </c>
      <c r="E1324" t="inlineStr">
        <is>
          <t>H6TX02079</t>
        </is>
      </c>
      <c r="F1324" t="inlineStr">
        <is>
          <t>REP</t>
        </is>
      </c>
      <c r="G1324" t="inlineStr">
        <is>
          <t>02082022</t>
        </is>
      </c>
      <c r="H1324" t="n">
        <v>2500</v>
      </c>
      <c r="I1324" t="inlineStr">
        <is>
          <t>202203119493770665</t>
        </is>
      </c>
      <c r="J1324" t="inlineStr">
        <is>
          <t>https://docquery.fec.gov/cgi-bin/fecimg/?202203119493770665</t>
        </is>
      </c>
    </row>
    <row r="1325">
      <c r="A1325" t="inlineStr">
        <is>
          <t>2022</t>
        </is>
      </c>
      <c r="B1325" t="inlineStr">
        <is>
          <t>C00496307</t>
        </is>
      </c>
      <c r="C1325" t="inlineStr">
        <is>
          <t>Marathon Petroleum Corp Employees PAC (MPAC)</t>
        </is>
      </c>
      <c r="D1325" t="inlineStr">
        <is>
          <t>FEENSTRA FOR CONGRESS</t>
        </is>
      </c>
      <c r="E1325" t="inlineStr">
        <is>
          <t>H0IA04145</t>
        </is>
      </c>
      <c r="F1325" t="inlineStr">
        <is>
          <t>REP</t>
        </is>
      </c>
      <c r="G1325" t="inlineStr">
        <is>
          <t>02082022</t>
        </is>
      </c>
      <c r="H1325" t="n">
        <v>2500</v>
      </c>
      <c r="I1325" t="inlineStr">
        <is>
          <t>202203119493770666</t>
        </is>
      </c>
      <c r="J1325" t="inlineStr">
        <is>
          <t>https://docquery.fec.gov/cgi-bin/fecimg/?202203119493770666</t>
        </is>
      </c>
    </row>
    <row r="1326">
      <c r="A1326" t="inlineStr">
        <is>
          <t>2022</t>
        </is>
      </c>
      <c r="B1326" t="inlineStr">
        <is>
          <t>C00496307</t>
        </is>
      </c>
      <c r="C1326" t="inlineStr">
        <is>
          <t>Marathon Petroleum Corp Employees PAC (MPAC)</t>
        </is>
      </c>
      <c r="D1326" t="inlineStr">
        <is>
          <t>GARRET GRAVES FOR CONGRESS</t>
        </is>
      </c>
      <c r="E1326" t="inlineStr">
        <is>
          <t>H4LA06153</t>
        </is>
      </c>
      <c r="F1326" t="inlineStr">
        <is>
          <t>REP</t>
        </is>
      </c>
      <c r="G1326" t="inlineStr">
        <is>
          <t>02082022</t>
        </is>
      </c>
      <c r="H1326" t="n">
        <v>2500</v>
      </c>
      <c r="I1326" t="inlineStr">
        <is>
          <t>202203119493770666</t>
        </is>
      </c>
      <c r="J1326" t="inlineStr">
        <is>
          <t>https://docquery.fec.gov/cgi-bin/fecimg/?202203119493770666</t>
        </is>
      </c>
    </row>
    <row r="1327">
      <c r="A1327" t="inlineStr">
        <is>
          <t>2022</t>
        </is>
      </c>
      <c r="B1327" t="inlineStr">
        <is>
          <t>C00496307</t>
        </is>
      </c>
      <c r="C1327" t="inlineStr">
        <is>
          <t>Marathon Petroleum Corp Employees PAC (MPAC)</t>
        </is>
      </c>
      <c r="D1327" t="inlineStr">
        <is>
          <t>JIM COSTA FOR CONGRESS</t>
        </is>
      </c>
      <c r="E1327" t="inlineStr">
        <is>
          <t>H4CA20082</t>
        </is>
      </c>
      <c r="F1327" t="inlineStr">
        <is>
          <t>DEM</t>
        </is>
      </c>
      <c r="G1327" t="inlineStr">
        <is>
          <t>02082022</t>
        </is>
      </c>
      <c r="H1327" t="n">
        <v>2500</v>
      </c>
      <c r="I1327" t="inlineStr">
        <is>
          <t>202203119493770666</t>
        </is>
      </c>
      <c r="J1327" t="inlineStr">
        <is>
          <t>https://docquery.fec.gov/cgi-bin/fecimg/?202203119493770666</t>
        </is>
      </c>
    </row>
    <row r="1328">
      <c r="A1328" t="inlineStr">
        <is>
          <t>2022</t>
        </is>
      </c>
      <c r="B1328" t="inlineStr">
        <is>
          <t>C00496307</t>
        </is>
      </c>
      <c r="C1328" t="inlineStr">
        <is>
          <t>Marathon Petroleum Corp Employees PAC (MPAC)</t>
        </is>
      </c>
      <c r="D1328" t="inlineStr">
        <is>
          <t>JOHN KENNEDY FOR US</t>
        </is>
      </c>
      <c r="E1328" t="inlineStr">
        <is>
          <t>S4LA00065</t>
        </is>
      </c>
      <c r="F1328" t="inlineStr">
        <is>
          <t>REP</t>
        </is>
      </c>
      <c r="G1328" t="inlineStr">
        <is>
          <t>02082022</t>
        </is>
      </c>
      <c r="H1328" t="n">
        <v>5000</v>
      </c>
      <c r="I1328" t="inlineStr">
        <is>
          <t>202203119493770667</t>
        </is>
      </c>
      <c r="J1328" t="inlineStr">
        <is>
          <t>https://docquery.fec.gov/cgi-bin/fecimg/?202203119493770667</t>
        </is>
      </c>
    </row>
    <row r="1329">
      <c r="A1329" t="inlineStr">
        <is>
          <t>2022</t>
        </is>
      </c>
      <c r="B1329" t="inlineStr">
        <is>
          <t>C00496307</t>
        </is>
      </c>
      <c r="C1329" t="inlineStr">
        <is>
          <t>Marathon Petroleum Corp Employees PAC (MPAC)</t>
        </is>
      </c>
      <c r="D1329" t="inlineStr">
        <is>
          <t>LANCE GOODEN FOR CONGRESS</t>
        </is>
      </c>
      <c r="E1329" t="inlineStr">
        <is>
          <t>H8TX05144</t>
        </is>
      </c>
      <c r="F1329" t="inlineStr">
        <is>
          <t>REP</t>
        </is>
      </c>
      <c r="G1329" t="inlineStr">
        <is>
          <t>02082022</t>
        </is>
      </c>
      <c r="H1329" t="n">
        <v>2500</v>
      </c>
      <c r="I1329" t="inlineStr">
        <is>
          <t>202203119493770667</t>
        </is>
      </c>
      <c r="J1329" t="inlineStr">
        <is>
          <t>https://docquery.fec.gov/cgi-bin/fecimg/?202203119493770667</t>
        </is>
      </c>
    </row>
    <row r="1330">
      <c r="A1330" t="inlineStr">
        <is>
          <t>2022</t>
        </is>
      </c>
      <c r="B1330" t="inlineStr">
        <is>
          <t>C00496307</t>
        </is>
      </c>
      <c r="C1330" t="inlineStr">
        <is>
          <t>Marathon Petroleum Corp Employees PAC (MPAC)</t>
        </is>
      </c>
      <c r="D1330" t="inlineStr">
        <is>
          <t>VICENTE GONZALEZ FOR CONGRESS</t>
        </is>
      </c>
      <c r="E1330" t="inlineStr">
        <is>
          <t>H6TX15162</t>
        </is>
      </c>
      <c r="F1330" t="inlineStr">
        <is>
          <t>DEM</t>
        </is>
      </c>
      <c r="G1330" t="inlineStr">
        <is>
          <t>02082022</t>
        </is>
      </c>
      <c r="H1330" t="n">
        <v>2500</v>
      </c>
      <c r="I1330" t="inlineStr">
        <is>
          <t>202203119493770671</t>
        </is>
      </c>
      <c r="J1330" t="inlineStr">
        <is>
          <t>https://docquery.fec.gov/cgi-bin/fecimg/?202203119493770671</t>
        </is>
      </c>
    </row>
    <row r="1331">
      <c r="A1331" t="inlineStr">
        <is>
          <t>2022</t>
        </is>
      </c>
      <c r="B1331" t="inlineStr">
        <is>
          <t>C00496307</t>
        </is>
      </c>
      <c r="C1331" t="inlineStr">
        <is>
          <t>Marathon Petroleum Corp Employees PAC (MPAC)</t>
        </is>
      </c>
      <c r="D1331" t="inlineStr">
        <is>
          <t>MCHENRY FOR CONGRESS</t>
        </is>
      </c>
      <c r="E1331" t="inlineStr">
        <is>
          <t>H4NC10047</t>
        </is>
      </c>
      <c r="F1331" t="inlineStr">
        <is>
          <t>REP</t>
        </is>
      </c>
      <c r="G1331" t="inlineStr">
        <is>
          <t>02082022</t>
        </is>
      </c>
      <c r="H1331" t="n">
        <v>2500</v>
      </c>
      <c r="I1331" t="inlineStr">
        <is>
          <t>202203119493770668</t>
        </is>
      </c>
      <c r="J1331" t="inlineStr">
        <is>
          <t>https://docquery.fec.gov/cgi-bin/fecimg/?202203119493770668</t>
        </is>
      </c>
    </row>
    <row r="1332">
      <c r="A1332" t="inlineStr">
        <is>
          <t>2022</t>
        </is>
      </c>
      <c r="B1332" t="inlineStr">
        <is>
          <t>C00496307</t>
        </is>
      </c>
      <c r="C1332" t="inlineStr">
        <is>
          <t>Marathon Petroleum Corp Employees PAC (MPAC)</t>
        </is>
      </c>
      <c r="D1332" t="inlineStr">
        <is>
          <t>ROGER WILLIAMS FOR U.S. CONGRESS COMMITTEE</t>
        </is>
      </c>
      <c r="E1332" t="inlineStr">
        <is>
          <t>H2TX33040</t>
        </is>
      </c>
      <c r="F1332" t="inlineStr">
        <is>
          <t>REP</t>
        </is>
      </c>
      <c r="G1332" t="inlineStr">
        <is>
          <t>02082022</t>
        </is>
      </c>
      <c r="H1332" t="n">
        <v>5000</v>
      </c>
      <c r="I1332" t="inlineStr">
        <is>
          <t>202203119493770670</t>
        </is>
      </c>
      <c r="J1332" t="inlineStr">
        <is>
          <t>https://docquery.fec.gov/cgi-bin/fecimg/?202203119493770670</t>
        </is>
      </c>
    </row>
    <row r="1333">
      <c r="A1333" t="inlineStr">
        <is>
          <t>2022</t>
        </is>
      </c>
      <c r="B1333" t="inlineStr">
        <is>
          <t>C00496307</t>
        </is>
      </c>
      <c r="C1333" t="inlineStr">
        <is>
          <t>Marathon Petroleum Corp Employees PAC (MPAC)</t>
        </is>
      </c>
      <c r="D1333" t="inlineStr">
        <is>
          <t>TEXANS FOR RONNY JACKSON</t>
        </is>
      </c>
      <c r="E1333" t="inlineStr">
        <is>
          <t>H0TX13228</t>
        </is>
      </c>
      <c r="F1333" t="inlineStr">
        <is>
          <t>REP</t>
        </is>
      </c>
      <c r="G1333" t="inlineStr">
        <is>
          <t>02082022</t>
        </is>
      </c>
      <c r="H1333" t="n">
        <v>1000</v>
      </c>
      <c r="I1333" t="inlineStr">
        <is>
          <t>202203119493770670</t>
        </is>
      </c>
      <c r="J1333" t="inlineStr">
        <is>
          <t>https://docquery.fec.gov/cgi-bin/fecimg/?202203119493770670</t>
        </is>
      </c>
    </row>
    <row r="1334">
      <c r="A1334" t="inlineStr">
        <is>
          <t>2022</t>
        </is>
      </c>
      <c r="B1334" t="inlineStr">
        <is>
          <t>C00496307</t>
        </is>
      </c>
      <c r="C1334" t="inlineStr">
        <is>
          <t>Marathon Petroleum Corp Employees PAC (MPAC)</t>
        </is>
      </c>
      <c r="D1334" t="inlineStr">
        <is>
          <t>TONY GONZALES FOR CONGRESS</t>
        </is>
      </c>
      <c r="E1334" t="inlineStr">
        <is>
          <t>H0TX35015</t>
        </is>
      </c>
      <c r="F1334" t="inlineStr">
        <is>
          <t>REP</t>
        </is>
      </c>
      <c r="G1334" t="inlineStr">
        <is>
          <t>02082022</t>
        </is>
      </c>
      <c r="H1334" t="n">
        <v>2500</v>
      </c>
      <c r="I1334" t="inlineStr">
        <is>
          <t>202203119493770670</t>
        </is>
      </c>
      <c r="J1334" t="inlineStr">
        <is>
          <t>https://docquery.fec.gov/cgi-bin/fecimg/?202203119493770670</t>
        </is>
      </c>
    </row>
    <row r="1335">
      <c r="A1335" t="inlineStr">
        <is>
          <t>2022</t>
        </is>
      </c>
      <c r="B1335" t="inlineStr">
        <is>
          <t>C00496307</t>
        </is>
      </c>
      <c r="C1335" t="inlineStr">
        <is>
          <t>Marathon Petroleum Corp Employees PAC (MPAC)</t>
        </is>
      </c>
      <c r="D1335" t="inlineStr">
        <is>
          <t>MCCAUL FOR CONGRESS</t>
        </is>
      </c>
      <c r="E1335" t="inlineStr">
        <is>
          <t>H4TX10093</t>
        </is>
      </c>
      <c r="F1335" t="inlineStr">
        <is>
          <t>REP</t>
        </is>
      </c>
      <c r="G1335" t="inlineStr">
        <is>
          <t>03102022</t>
        </is>
      </c>
      <c r="H1335" t="n">
        <v>2500</v>
      </c>
      <c r="I1335" t="inlineStr">
        <is>
          <t>202204199500051316</t>
        </is>
      </c>
      <c r="J1335" t="inlineStr">
        <is>
          <t>https://docquery.fec.gov/cgi-bin/fecimg/?202204199500051316</t>
        </is>
      </c>
    </row>
    <row r="1336">
      <c r="A1336" t="inlineStr">
        <is>
          <t>2022</t>
        </is>
      </c>
      <c r="B1336" t="inlineStr">
        <is>
          <t>C00496307</t>
        </is>
      </c>
      <c r="C1336" t="inlineStr">
        <is>
          <t>Marathon Petroleum Corp Employees PAC (MPAC)</t>
        </is>
      </c>
      <c r="D1336" t="inlineStr">
        <is>
          <t>PETE STAUBER FOR CONGRESS</t>
        </is>
      </c>
      <c r="E1336" t="inlineStr">
        <is>
          <t>H8MN08043</t>
        </is>
      </c>
      <c r="F1336" t="inlineStr">
        <is>
          <t>REP</t>
        </is>
      </c>
      <c r="G1336" t="inlineStr">
        <is>
          <t>03102022</t>
        </is>
      </c>
      <c r="H1336" t="n">
        <v>2500</v>
      </c>
      <c r="I1336" t="inlineStr">
        <is>
          <t>202204199500051316</t>
        </is>
      </c>
      <c r="J1336" t="inlineStr">
        <is>
          <t>https://docquery.fec.gov/cgi-bin/fecimg/?202204199500051316</t>
        </is>
      </c>
    </row>
    <row r="1337">
      <c r="A1337" t="inlineStr">
        <is>
          <t>2022</t>
        </is>
      </c>
      <c r="B1337" t="inlineStr">
        <is>
          <t>C00496307</t>
        </is>
      </c>
      <c r="C1337" t="inlineStr">
        <is>
          <t>Marathon Petroleum Corp Employees PAC (MPAC)</t>
        </is>
      </c>
      <c r="D1337" t="inlineStr">
        <is>
          <t>TEXANS FOR JODEY ARRINGTON</t>
        </is>
      </c>
      <c r="E1337" t="inlineStr">
        <is>
          <t>H6TX19099</t>
        </is>
      </c>
      <c r="F1337" t="inlineStr">
        <is>
          <t>REP</t>
        </is>
      </c>
      <c r="G1337" t="inlineStr">
        <is>
          <t>03102022</t>
        </is>
      </c>
      <c r="H1337" t="n">
        <v>2500</v>
      </c>
      <c r="I1337" t="inlineStr">
        <is>
          <t>202204199500051316</t>
        </is>
      </c>
      <c r="J1337" t="inlineStr">
        <is>
          <t>https://docquery.fec.gov/cgi-bin/fecimg/?202204199500051316</t>
        </is>
      </c>
    </row>
    <row r="1338">
      <c r="A1338" t="inlineStr">
        <is>
          <t>2022</t>
        </is>
      </c>
      <c r="B1338" t="inlineStr">
        <is>
          <t>C00496307</t>
        </is>
      </c>
      <c r="C1338" t="inlineStr">
        <is>
          <t>Marathon Petroleum Corp Employees PAC (MPAC)</t>
        </is>
      </c>
      <c r="D1338" t="inlineStr">
        <is>
          <t>WALBERG FOR CONGRESS</t>
        </is>
      </c>
      <c r="E1338" t="inlineStr">
        <is>
          <t>H4MI07103</t>
        </is>
      </c>
      <c r="F1338" t="inlineStr">
        <is>
          <t>REP</t>
        </is>
      </c>
      <c r="G1338" t="inlineStr">
        <is>
          <t>03102022</t>
        </is>
      </c>
      <c r="H1338" t="n">
        <v>2500</v>
      </c>
      <c r="I1338" t="inlineStr">
        <is>
          <t>202204199500051317</t>
        </is>
      </c>
      <c r="J1338" t="inlineStr">
        <is>
          <t>https://docquery.fec.gov/cgi-bin/fecimg/?202204199500051317</t>
        </is>
      </c>
    </row>
    <row r="1339">
      <c r="A1339" t="inlineStr">
        <is>
          <t>2022</t>
        </is>
      </c>
      <c r="B1339" t="inlineStr">
        <is>
          <t>C00496307</t>
        </is>
      </c>
      <c r="C1339" t="inlineStr">
        <is>
          <t>Marathon Petroleum Corp Employees PAC (MPAC)</t>
        </is>
      </c>
      <c r="D1339" t="inlineStr">
        <is>
          <t>WESTERMAN FOR CONGRESS</t>
        </is>
      </c>
      <c r="E1339" t="inlineStr">
        <is>
          <t>H4AR04048</t>
        </is>
      </c>
      <c r="F1339" t="inlineStr">
        <is>
          <t>REP</t>
        </is>
      </c>
      <c r="G1339" t="inlineStr">
        <is>
          <t>03102022</t>
        </is>
      </c>
      <c r="H1339" t="n">
        <v>2500</v>
      </c>
      <c r="I1339" t="inlineStr">
        <is>
          <t>202204199500051317</t>
        </is>
      </c>
      <c r="J1339" t="inlineStr">
        <is>
          <t>https://docquery.fec.gov/cgi-bin/fecimg/?202204199500051317</t>
        </is>
      </c>
    </row>
    <row r="1340">
      <c r="A1340" t="inlineStr">
        <is>
          <t>2022</t>
        </is>
      </c>
      <c r="B1340" t="inlineStr">
        <is>
          <t>C00496307</t>
        </is>
      </c>
      <c r="C1340" t="inlineStr">
        <is>
          <t>Marathon Petroleum Corp Employees PAC (MPAC)</t>
        </is>
      </c>
      <c r="D1340" t="inlineStr">
        <is>
          <t>YVETTE4CONGRESS</t>
        </is>
      </c>
      <c r="E1340" t="inlineStr">
        <is>
          <t>H8NM02156</t>
        </is>
      </c>
      <c r="F1340" t="inlineStr">
        <is>
          <t>REP</t>
        </is>
      </c>
      <c r="G1340" t="inlineStr">
        <is>
          <t>03102022</t>
        </is>
      </c>
      <c r="H1340" t="n">
        <v>2500</v>
      </c>
      <c r="I1340" t="inlineStr">
        <is>
          <t>202204199500051317</t>
        </is>
      </c>
      <c r="J1340" t="inlineStr">
        <is>
          <t>https://docquery.fec.gov/cgi-bin/fecimg/?202204199500051317</t>
        </is>
      </c>
    </row>
    <row r="1341">
      <c r="A1341" t="inlineStr">
        <is>
          <t>2022</t>
        </is>
      </c>
      <c r="B1341" t="inlineStr">
        <is>
          <t>C00496307</t>
        </is>
      </c>
      <c r="C1341" t="inlineStr">
        <is>
          <t>Marathon Petroleum Corp Employees PAC (MPAC)</t>
        </is>
      </c>
      <c r="D1341" t="inlineStr">
        <is>
          <t>DAN CRENSHAW FOR CONGRESS</t>
        </is>
      </c>
      <c r="E1341" t="inlineStr">
        <is>
          <t>H8TX02166</t>
        </is>
      </c>
      <c r="F1341" t="inlineStr">
        <is>
          <t>REP</t>
        </is>
      </c>
      <c r="G1341" t="inlineStr">
        <is>
          <t>03102022</t>
        </is>
      </c>
      <c r="H1341" t="n">
        <v>2500</v>
      </c>
      <c r="I1341" t="inlineStr">
        <is>
          <t>202204199500051313</t>
        </is>
      </c>
      <c r="J1341" t="inlineStr">
        <is>
          <t>https://docquery.fec.gov/cgi-bin/fecimg/?202204199500051313</t>
        </is>
      </c>
    </row>
    <row r="1342">
      <c r="A1342" t="inlineStr">
        <is>
          <t>2022</t>
        </is>
      </c>
      <c r="B1342" t="inlineStr">
        <is>
          <t>C00496307</t>
        </is>
      </c>
      <c r="C1342" t="inlineStr">
        <is>
          <t>Marathon Petroleum Corp Employees PAC (MPAC)</t>
        </is>
      </c>
      <c r="D1342" t="inlineStr">
        <is>
          <t>DR. JOHN JOYCE FOR CONGRESS</t>
        </is>
      </c>
      <c r="E1342" t="inlineStr">
        <is>
          <t>H8PA13125</t>
        </is>
      </c>
      <c r="F1342" t="inlineStr">
        <is>
          <t>REP</t>
        </is>
      </c>
      <c r="G1342" t="inlineStr">
        <is>
          <t>03102022</t>
        </is>
      </c>
      <c r="H1342" t="n">
        <v>2500</v>
      </c>
      <c r="I1342" t="inlineStr">
        <is>
          <t>202204199500051313</t>
        </is>
      </c>
      <c r="J1342" t="inlineStr">
        <is>
          <t>https://docquery.fec.gov/cgi-bin/fecimg/?202204199500051313</t>
        </is>
      </c>
    </row>
    <row r="1343">
      <c r="A1343" t="inlineStr">
        <is>
          <t>2022</t>
        </is>
      </c>
      <c r="B1343" t="inlineStr">
        <is>
          <t>C00496307</t>
        </is>
      </c>
      <c r="C1343" t="inlineStr">
        <is>
          <t>Marathon Petroleum Corp Employees PAC (MPAC)</t>
        </is>
      </c>
      <c r="D1343" t="inlineStr">
        <is>
          <t>DREW FERGUSON FOR CONGRESS INC.</t>
        </is>
      </c>
      <c r="E1343" t="inlineStr">
        <is>
          <t>H6GA03113</t>
        </is>
      </c>
      <c r="F1343" t="inlineStr">
        <is>
          <t>REP</t>
        </is>
      </c>
      <c r="G1343" t="inlineStr">
        <is>
          <t>03102022</t>
        </is>
      </c>
      <c r="H1343" t="n">
        <v>2500</v>
      </c>
      <c r="I1343" t="inlineStr">
        <is>
          <t>202204199500051313</t>
        </is>
      </c>
      <c r="J1343" t="inlineStr">
        <is>
          <t>https://docquery.fec.gov/cgi-bin/fecimg/?202204199500051313</t>
        </is>
      </c>
    </row>
    <row r="1344">
      <c r="A1344" t="inlineStr">
        <is>
          <t>2022</t>
        </is>
      </c>
      <c r="B1344" t="inlineStr">
        <is>
          <t>C00496307</t>
        </is>
      </c>
      <c r="C1344" t="inlineStr">
        <is>
          <t>Marathon Petroleum Corp Employees PAC (MPAC)</t>
        </is>
      </c>
      <c r="D1344" t="inlineStr">
        <is>
          <t>FEENSTRA FOR CONGRESS</t>
        </is>
      </c>
      <c r="E1344" t="inlineStr">
        <is>
          <t>H0IA04145</t>
        </is>
      </c>
      <c r="F1344" t="inlineStr">
        <is>
          <t>REP</t>
        </is>
      </c>
      <c r="G1344" t="inlineStr">
        <is>
          <t>03102022</t>
        </is>
      </c>
      <c r="H1344" t="n">
        <v>2500</v>
      </c>
      <c r="I1344" t="inlineStr">
        <is>
          <t>202204199500051314</t>
        </is>
      </c>
      <c r="J1344" t="inlineStr">
        <is>
          <t>https://docquery.fec.gov/cgi-bin/fecimg/?202204199500051314</t>
        </is>
      </c>
    </row>
    <row r="1345">
      <c r="A1345" t="inlineStr">
        <is>
          <t>2022</t>
        </is>
      </c>
      <c r="B1345" t="inlineStr">
        <is>
          <t>C00496307</t>
        </is>
      </c>
      <c r="C1345" t="inlineStr">
        <is>
          <t>Marathon Petroleum Corp Employees PAC (MPAC)</t>
        </is>
      </c>
      <c r="D1345" t="inlineStr">
        <is>
          <t>FRIENDS OF DUSTY JOHNSON</t>
        </is>
      </c>
      <c r="E1345" t="inlineStr">
        <is>
          <t>H8SD01055</t>
        </is>
      </c>
      <c r="F1345" t="inlineStr">
        <is>
          <t>REP</t>
        </is>
      </c>
      <c r="G1345" t="inlineStr">
        <is>
          <t>03102022</t>
        </is>
      </c>
      <c r="H1345" t="n">
        <v>2500</v>
      </c>
      <c r="I1345" t="inlineStr">
        <is>
          <t>202204199500051314</t>
        </is>
      </c>
      <c r="J1345" t="inlineStr">
        <is>
          <t>https://docquery.fec.gov/cgi-bin/fecimg/?202204199500051314</t>
        </is>
      </c>
    </row>
    <row r="1346">
      <c r="A1346" t="inlineStr">
        <is>
          <t>2022</t>
        </is>
      </c>
      <c r="B1346" t="inlineStr">
        <is>
          <t>C00496307</t>
        </is>
      </c>
      <c r="C1346" t="inlineStr">
        <is>
          <t>Marathon Petroleum Corp Employees PAC (MPAC)</t>
        </is>
      </c>
      <c r="D1346" t="inlineStr">
        <is>
          <t>GARRET GRAVES FOR CONGRESS</t>
        </is>
      </c>
      <c r="E1346" t="inlineStr">
        <is>
          <t>H4LA06153</t>
        </is>
      </c>
      <c r="F1346" t="inlineStr">
        <is>
          <t>REP</t>
        </is>
      </c>
      <c r="G1346" t="inlineStr">
        <is>
          <t>03102022</t>
        </is>
      </c>
      <c r="H1346" t="n">
        <v>2500</v>
      </c>
      <c r="I1346" t="inlineStr">
        <is>
          <t>202204199500051314</t>
        </is>
      </c>
      <c r="J1346" t="inlineStr">
        <is>
          <t>https://docquery.fec.gov/cgi-bin/fecimg/?202204199500051314</t>
        </is>
      </c>
    </row>
    <row r="1347">
      <c r="A1347" t="inlineStr">
        <is>
          <t>2022</t>
        </is>
      </c>
      <c r="B1347" t="inlineStr">
        <is>
          <t>C00496307</t>
        </is>
      </c>
      <c r="C1347" t="inlineStr">
        <is>
          <t>Marathon Petroleum Corp Employees PAC (MPAC)</t>
        </is>
      </c>
      <c r="D1347" t="inlineStr">
        <is>
          <t>HERN FOR CONGRESS</t>
        </is>
      </c>
      <c r="E1347" t="inlineStr">
        <is>
          <t>H8OK01157</t>
        </is>
      </c>
      <c r="F1347" t="inlineStr">
        <is>
          <t>REP</t>
        </is>
      </c>
      <c r="G1347" t="inlineStr">
        <is>
          <t>03102022</t>
        </is>
      </c>
      <c r="H1347" t="n">
        <v>2500</v>
      </c>
      <c r="I1347" t="inlineStr">
        <is>
          <t>202204199500051315</t>
        </is>
      </c>
      <c r="J1347" t="inlineStr">
        <is>
          <t>https://docquery.fec.gov/cgi-bin/fecimg/?202204199500051315</t>
        </is>
      </c>
    </row>
    <row r="1348">
      <c r="A1348" t="inlineStr">
        <is>
          <t>2022</t>
        </is>
      </c>
      <c r="B1348" t="inlineStr">
        <is>
          <t>C00496307</t>
        </is>
      </c>
      <c r="C1348" t="inlineStr">
        <is>
          <t>Marathon Petroleum Corp Employees PAC (MPAC)</t>
        </is>
      </c>
      <c r="D1348" t="inlineStr">
        <is>
          <t>JOHNSON FOR CONGRESS</t>
        </is>
      </c>
      <c r="E1348" t="inlineStr">
        <is>
          <t>H0OH06189</t>
        </is>
      </c>
      <c r="F1348" t="inlineStr">
        <is>
          <t>REP</t>
        </is>
      </c>
      <c r="G1348" t="inlineStr">
        <is>
          <t>03102022</t>
        </is>
      </c>
      <c r="H1348" t="n">
        <v>2500</v>
      </c>
      <c r="I1348" t="inlineStr">
        <is>
          <t>202204199500051315</t>
        </is>
      </c>
      <c r="J1348" t="inlineStr">
        <is>
          <t>https://docquery.fec.gov/cgi-bin/fecimg/?202204199500051315</t>
        </is>
      </c>
    </row>
    <row r="1349">
      <c r="A1349" t="inlineStr">
        <is>
          <t>2022</t>
        </is>
      </c>
      <c r="B1349" t="inlineStr">
        <is>
          <t>C00496307</t>
        </is>
      </c>
      <c r="C1349" t="inlineStr">
        <is>
          <t>Marathon Petroleum Corp Employees PAC (MPAC)</t>
        </is>
      </c>
      <c r="D1349" t="inlineStr">
        <is>
          <t>KAY GRANGER CAMPAIGN FUND</t>
        </is>
      </c>
      <c r="E1349" t="inlineStr">
        <is>
          <t>H6TX12060</t>
        </is>
      </c>
      <c r="F1349" t="inlineStr">
        <is>
          <t>REP</t>
        </is>
      </c>
      <c r="G1349" t="inlineStr">
        <is>
          <t>03102022</t>
        </is>
      </c>
      <c r="H1349" t="n">
        <v>2500</v>
      </c>
      <c r="I1349" t="inlineStr">
        <is>
          <t>202204199500051315</t>
        </is>
      </c>
      <c r="J1349" t="inlineStr">
        <is>
          <t>https://docquery.fec.gov/cgi-bin/fecimg/?202204199500051315</t>
        </is>
      </c>
    </row>
    <row r="1350">
      <c r="A1350" t="inlineStr">
        <is>
          <t>2022</t>
        </is>
      </c>
      <c r="B1350" t="inlineStr">
        <is>
          <t>C00496307</t>
        </is>
      </c>
      <c r="C1350" t="inlineStr">
        <is>
          <t>Marathon Petroleum Corp Employees PAC (MPAC)</t>
        </is>
      </c>
      <c r="D1350" t="inlineStr">
        <is>
          <t>VAN TAYLOR CAMPAIGN</t>
        </is>
      </c>
      <c r="E1350" t="inlineStr">
        <is>
          <t>H8TX03123</t>
        </is>
      </c>
      <c r="F1350" t="inlineStr">
        <is>
          <t>REP</t>
        </is>
      </c>
      <c r="G1350" t="inlineStr">
        <is>
          <t>03282022</t>
        </is>
      </c>
      <c r="H1350" t="n">
        <v>-2500</v>
      </c>
      <c r="I1350" t="inlineStr">
        <is>
          <t>202204199500051312</t>
        </is>
      </c>
      <c r="J1350" t="inlineStr">
        <is>
          <t>https://docquery.fec.gov/cgi-bin/fecimg/?202204199500051312</t>
        </is>
      </c>
    </row>
    <row r="1351">
      <c r="A1351" t="inlineStr">
        <is>
          <t>2022</t>
        </is>
      </c>
      <c r="B1351" t="inlineStr">
        <is>
          <t>C00496307</t>
        </is>
      </c>
      <c r="C1351" t="inlineStr">
        <is>
          <t>Marathon Petroleum Corp Employees PAC (MPAC)</t>
        </is>
      </c>
      <c r="D1351" t="inlineStr">
        <is>
          <t>KATKO FOR CONGRESS</t>
        </is>
      </c>
      <c r="E1351" t="inlineStr">
        <is>
          <t>H4NY24073</t>
        </is>
      </c>
      <c r="F1351" t="inlineStr">
        <is>
          <t>REP</t>
        </is>
      </c>
      <c r="G1351" t="inlineStr">
        <is>
          <t>04072022</t>
        </is>
      </c>
      <c r="H1351" t="n">
        <v>-5000</v>
      </c>
      <c r="I1351" t="inlineStr">
        <is>
          <t>202205099502714812</t>
        </is>
      </c>
      <c r="J1351" t="inlineStr">
        <is>
          <t>https://docquery.fec.gov/cgi-bin/fecimg/?202205099502714812</t>
        </is>
      </c>
    </row>
    <row r="1352">
      <c r="A1352" t="inlineStr">
        <is>
          <t>2022</t>
        </is>
      </c>
      <c r="B1352" t="inlineStr">
        <is>
          <t>C00496307</t>
        </is>
      </c>
      <c r="C1352" t="inlineStr">
        <is>
          <t>Marathon Petroleum Corp Employees PAC (MPAC)</t>
        </is>
      </c>
      <c r="D1352" t="inlineStr">
        <is>
          <t>COMER FOR CONGRESS</t>
        </is>
      </c>
      <c r="E1352" t="inlineStr">
        <is>
          <t>H6KY01110</t>
        </is>
      </c>
      <c r="F1352" t="inlineStr">
        <is>
          <t>REP</t>
        </is>
      </c>
      <c r="G1352" t="inlineStr">
        <is>
          <t>04122021</t>
        </is>
      </c>
      <c r="H1352" t="n">
        <v>-4000</v>
      </c>
      <c r="I1352" t="inlineStr">
        <is>
          <t>202105189446929555</t>
        </is>
      </c>
      <c r="J1352" t="inlineStr">
        <is>
          <t>https://docquery.fec.gov/cgi-bin/fecimg/?202105189446929555</t>
        </is>
      </c>
    </row>
    <row r="1353">
      <c r="A1353" t="inlineStr">
        <is>
          <t>2022</t>
        </is>
      </c>
      <c r="B1353" t="inlineStr">
        <is>
          <t>C00496307</t>
        </is>
      </c>
      <c r="C1353" t="inlineStr">
        <is>
          <t>Marathon Petroleum Corp Employees PAC (MPAC)</t>
        </is>
      </c>
      <c r="D1353" t="inlineStr">
        <is>
          <t>FRIENDS OF TODD YOUNG, INC.</t>
        </is>
      </c>
      <c r="E1353" t="inlineStr">
        <is>
          <t>S6IN00191</t>
        </is>
      </c>
      <c r="F1353" t="inlineStr">
        <is>
          <t>REP</t>
        </is>
      </c>
      <c r="G1353" t="inlineStr">
        <is>
          <t>04282022</t>
        </is>
      </c>
      <c r="H1353" t="n">
        <v>5000</v>
      </c>
      <c r="I1353" t="inlineStr">
        <is>
          <t>202205099502714813</t>
        </is>
      </c>
      <c r="J1353" t="inlineStr">
        <is>
          <t>https://docquery.fec.gov/cgi-bin/fecimg/?202205099502714813</t>
        </is>
      </c>
    </row>
    <row r="1354">
      <c r="A1354" t="inlineStr">
        <is>
          <t>2022</t>
        </is>
      </c>
      <c r="B1354" t="inlineStr">
        <is>
          <t>C00496307</t>
        </is>
      </c>
      <c r="C1354" t="inlineStr">
        <is>
          <t>Marathon Petroleum Corp Employees PAC (MPAC)</t>
        </is>
      </c>
      <c r="D1354" t="inlineStr">
        <is>
          <t>WALORSKI FOR CONGRESS</t>
        </is>
      </c>
      <c r="E1354" t="inlineStr">
        <is>
          <t>H0IN02190</t>
        </is>
      </c>
      <c r="F1354" t="inlineStr">
        <is>
          <t>REP</t>
        </is>
      </c>
      <c r="G1354" t="inlineStr">
        <is>
          <t>04282022</t>
        </is>
      </c>
      <c r="H1354" t="n">
        <v>2500</v>
      </c>
      <c r="I1354" t="inlineStr">
        <is>
          <t>202205099502714813</t>
        </is>
      </c>
      <c r="J1354" t="inlineStr">
        <is>
          <t>https://docquery.fec.gov/cgi-bin/fecimg/?202205099502714813</t>
        </is>
      </c>
    </row>
    <row r="1355">
      <c r="A1355" t="inlineStr">
        <is>
          <t>2022</t>
        </is>
      </c>
      <c r="B1355" t="inlineStr">
        <is>
          <t>C00496307</t>
        </is>
      </c>
      <c r="C1355" t="inlineStr">
        <is>
          <t>Marathon Petroleum Corp Employees PAC (MPAC)</t>
        </is>
      </c>
      <c r="D1355" t="inlineStr">
        <is>
          <t>COLE FOR CONGRESS</t>
        </is>
      </c>
      <c r="E1355" t="inlineStr">
        <is>
          <t>H2OK04055</t>
        </is>
      </c>
      <c r="F1355" t="inlineStr">
        <is>
          <t>REP</t>
        </is>
      </c>
      <c r="G1355" t="inlineStr">
        <is>
          <t>05132022</t>
        </is>
      </c>
      <c r="H1355" t="n">
        <v>5000</v>
      </c>
      <c r="I1355" t="inlineStr">
        <is>
          <t>202206099514814247</t>
        </is>
      </c>
      <c r="J1355" t="inlineStr">
        <is>
          <t>https://docquery.fec.gov/cgi-bin/fecimg/?202206099514814247</t>
        </is>
      </c>
    </row>
    <row r="1356">
      <c r="A1356" t="inlineStr">
        <is>
          <t>2022</t>
        </is>
      </c>
      <c r="B1356" t="inlineStr">
        <is>
          <t>C00496307</t>
        </is>
      </c>
      <c r="C1356" t="inlineStr">
        <is>
          <t>Marathon Petroleum Corp Employees PAC (MPAC)</t>
        </is>
      </c>
      <c r="D1356" t="inlineStr">
        <is>
          <t>SMUCKER FOR CONGRESS</t>
        </is>
      </c>
      <c r="E1356" t="inlineStr">
        <is>
          <t>H6PA16320</t>
        </is>
      </c>
      <c r="F1356" t="inlineStr">
        <is>
          <t>REP</t>
        </is>
      </c>
      <c r="G1356" t="inlineStr">
        <is>
          <t>05132022</t>
        </is>
      </c>
      <c r="H1356" t="n">
        <v>2500</v>
      </c>
      <c r="I1356" t="inlineStr">
        <is>
          <t>202206099514814254</t>
        </is>
      </c>
      <c r="J1356" t="inlineStr">
        <is>
          <t>https://docquery.fec.gov/cgi-bin/fecimg/?202206099514814254</t>
        </is>
      </c>
    </row>
    <row r="1357">
      <c r="A1357" t="inlineStr">
        <is>
          <t>2022</t>
        </is>
      </c>
      <c r="B1357" t="inlineStr">
        <is>
          <t>C00496307</t>
        </is>
      </c>
      <c r="C1357" t="inlineStr">
        <is>
          <t>Marathon Petroleum Corp Employees PAC (MPAC)</t>
        </is>
      </c>
      <c r="D1357" t="inlineStr">
        <is>
          <t>TEXANS FOR RONNY JACKSON</t>
        </is>
      </c>
      <c r="E1357" t="inlineStr">
        <is>
          <t>H0TX13228</t>
        </is>
      </c>
      <c r="F1357" t="inlineStr">
        <is>
          <t>REP</t>
        </is>
      </c>
      <c r="G1357" t="inlineStr">
        <is>
          <t>05132022</t>
        </is>
      </c>
      <c r="H1357" t="n">
        <v>2500</v>
      </c>
      <c r="I1357" t="inlineStr">
        <is>
          <t>202206099514814254</t>
        </is>
      </c>
      <c r="J1357" t="inlineStr">
        <is>
          <t>https://docquery.fec.gov/cgi-bin/fecimg/?202206099514814254</t>
        </is>
      </c>
    </row>
    <row r="1358">
      <c r="A1358" t="inlineStr">
        <is>
          <t>2022</t>
        </is>
      </c>
      <c r="B1358" t="inlineStr">
        <is>
          <t>C00496307</t>
        </is>
      </c>
      <c r="C1358" t="inlineStr">
        <is>
          <t>Marathon Petroleum Corp Employees PAC (MPAC)</t>
        </is>
      </c>
      <c r="D1358" t="inlineStr">
        <is>
          <t>DAN CRENSHAW FOR CONGRESS</t>
        </is>
      </c>
      <c r="E1358" t="inlineStr">
        <is>
          <t>H8TX02166</t>
        </is>
      </c>
      <c r="F1358" t="inlineStr">
        <is>
          <t>REP</t>
        </is>
      </c>
      <c r="G1358" t="inlineStr">
        <is>
          <t>05132022</t>
        </is>
      </c>
      <c r="H1358" t="n">
        <v>2500</v>
      </c>
      <c r="I1358" t="inlineStr">
        <is>
          <t>202206099514814248</t>
        </is>
      </c>
      <c r="J1358" t="inlineStr">
        <is>
          <t>https://docquery.fec.gov/cgi-bin/fecimg/?202206099514814248</t>
        </is>
      </c>
    </row>
    <row r="1359">
      <c r="A1359" t="inlineStr">
        <is>
          <t>2022</t>
        </is>
      </c>
      <c r="B1359" t="inlineStr">
        <is>
          <t>C00496307</t>
        </is>
      </c>
      <c r="C1359" t="inlineStr">
        <is>
          <t>Marathon Petroleum Corp Employees PAC (MPAC)</t>
        </is>
      </c>
      <c r="D1359" t="inlineStr">
        <is>
          <t>FAMILIES FOR JAMES LANKFORD</t>
        </is>
      </c>
      <c r="E1359" t="inlineStr">
        <is>
          <t>S4OK00232</t>
        </is>
      </c>
      <c r="F1359" t="inlineStr">
        <is>
          <t>REP</t>
        </is>
      </c>
      <c r="G1359" t="inlineStr">
        <is>
          <t>05132022</t>
        </is>
      </c>
      <c r="H1359" t="n">
        <v>2500</v>
      </c>
      <c r="I1359" t="inlineStr">
        <is>
          <t>202206099514814248</t>
        </is>
      </c>
      <c r="J1359" t="inlineStr">
        <is>
          <t>https://docquery.fec.gov/cgi-bin/fecimg/?202206099514814248</t>
        </is>
      </c>
    </row>
    <row r="1360">
      <c r="A1360" t="inlineStr">
        <is>
          <t>2022</t>
        </is>
      </c>
      <c r="B1360" t="inlineStr">
        <is>
          <t>C00496307</t>
        </is>
      </c>
      <c r="C1360" t="inlineStr">
        <is>
          <t>Marathon Petroleum Corp Employees PAC (MPAC)</t>
        </is>
      </c>
      <c r="D1360" t="inlineStr">
        <is>
          <t>FRIENDS OF MICHAEL GUEST</t>
        </is>
      </c>
      <c r="E1360" t="inlineStr">
        <is>
          <t>H8MS03125</t>
        </is>
      </c>
      <c r="F1360" t="inlineStr">
        <is>
          <t>REP</t>
        </is>
      </c>
      <c r="G1360" t="inlineStr">
        <is>
          <t>05132022</t>
        </is>
      </c>
      <c r="H1360" t="n">
        <v>2500</v>
      </c>
      <c r="I1360" t="inlineStr">
        <is>
          <t>202206099514814249</t>
        </is>
      </c>
      <c r="J1360" t="inlineStr">
        <is>
          <t>https://docquery.fec.gov/cgi-bin/fecimg/?202206099514814249</t>
        </is>
      </c>
    </row>
    <row r="1361">
      <c r="A1361" t="inlineStr">
        <is>
          <t>2022</t>
        </is>
      </c>
      <c r="B1361" t="inlineStr">
        <is>
          <t>C00496307</t>
        </is>
      </c>
      <c r="C1361" t="inlineStr">
        <is>
          <t>Marathon Petroleum Corp Employees PAC (MPAC)</t>
        </is>
      </c>
      <c r="D1361" t="inlineStr">
        <is>
          <t>GUTHRIE FOR CONGRESS</t>
        </is>
      </c>
      <c r="E1361" t="inlineStr">
        <is>
          <t>H8KY02031</t>
        </is>
      </c>
      <c r="F1361" t="inlineStr">
        <is>
          <t>REP</t>
        </is>
      </c>
      <c r="G1361" t="inlineStr">
        <is>
          <t>05132022</t>
        </is>
      </c>
      <c r="H1361" t="n">
        <v>2500</v>
      </c>
      <c r="I1361" t="inlineStr">
        <is>
          <t>202206099514814249</t>
        </is>
      </c>
      <c r="J1361" t="inlineStr">
        <is>
          <t>https://docquery.fec.gov/cgi-bin/fecimg/?202206099514814249</t>
        </is>
      </c>
    </row>
    <row r="1362">
      <c r="A1362" t="inlineStr">
        <is>
          <t>2022</t>
        </is>
      </c>
      <c r="B1362" t="inlineStr">
        <is>
          <t>C00496307</t>
        </is>
      </c>
      <c r="C1362" t="inlineStr">
        <is>
          <t>Marathon Petroleum Corp Employees PAC (MPAC)</t>
        </is>
      </c>
      <c r="D1362" t="inlineStr">
        <is>
          <t>HAL ROGERS FOR CONGRESS</t>
        </is>
      </c>
      <c r="E1362" t="inlineStr">
        <is>
          <t>H0KY05015</t>
        </is>
      </c>
      <c r="F1362" t="inlineStr">
        <is>
          <t>REP</t>
        </is>
      </c>
      <c r="G1362" t="inlineStr">
        <is>
          <t>05132022</t>
        </is>
      </c>
      <c r="H1362" t="n">
        <v>5000</v>
      </c>
      <c r="I1362" t="inlineStr">
        <is>
          <t>202206099514814249</t>
        </is>
      </c>
      <c r="J1362" t="inlineStr">
        <is>
          <t>https://docquery.fec.gov/cgi-bin/fecimg/?202206099514814249</t>
        </is>
      </c>
    </row>
    <row r="1363">
      <c r="A1363" t="inlineStr">
        <is>
          <t>2022</t>
        </is>
      </c>
      <c r="B1363" t="inlineStr">
        <is>
          <t>C00496307</t>
        </is>
      </c>
      <c r="C1363" t="inlineStr">
        <is>
          <t>Marathon Petroleum Corp Employees PAC (MPAC)</t>
        </is>
      </c>
      <c r="D1363" t="inlineStr">
        <is>
          <t>JASON SMITH FOR CONGRESS</t>
        </is>
      </c>
      <c r="E1363" t="inlineStr">
        <is>
          <t>H4MO08162</t>
        </is>
      </c>
      <c r="F1363" t="inlineStr">
        <is>
          <t>REP</t>
        </is>
      </c>
      <c r="G1363" t="inlineStr">
        <is>
          <t>05132022</t>
        </is>
      </c>
      <c r="H1363" t="n">
        <v>5000</v>
      </c>
      <c r="I1363" t="inlineStr">
        <is>
          <t>202206099514814250</t>
        </is>
      </c>
      <c r="J1363" t="inlineStr">
        <is>
          <t>https://docquery.fec.gov/cgi-bin/fecimg/?202206099514814250</t>
        </is>
      </c>
    </row>
    <row r="1364">
      <c r="A1364" t="inlineStr">
        <is>
          <t>2022</t>
        </is>
      </c>
      <c r="B1364" t="inlineStr">
        <is>
          <t>C00496307</t>
        </is>
      </c>
      <c r="C1364" t="inlineStr">
        <is>
          <t>Marathon Petroleum Corp Employees PAC (MPAC)</t>
        </is>
      </c>
      <c r="D1364" t="inlineStr">
        <is>
          <t>JD VANCE FOR SENATE INC.</t>
        </is>
      </c>
      <c r="E1364" t="inlineStr">
        <is>
          <t>S2OH00436</t>
        </is>
      </c>
      <c r="F1364" t="inlineStr">
        <is>
          <t>REP</t>
        </is>
      </c>
      <c r="G1364" t="inlineStr">
        <is>
          <t>05132022</t>
        </is>
      </c>
      <c r="H1364" t="n">
        <v>5000</v>
      </c>
      <c r="I1364" t="inlineStr">
        <is>
          <t>202206099514814250</t>
        </is>
      </c>
      <c r="J1364" t="inlineStr">
        <is>
          <t>https://docquery.fec.gov/cgi-bin/fecimg/?202206099514814250</t>
        </is>
      </c>
    </row>
    <row r="1365">
      <c r="A1365" t="inlineStr">
        <is>
          <t>2022</t>
        </is>
      </c>
      <c r="B1365" t="inlineStr">
        <is>
          <t>C00496307</t>
        </is>
      </c>
      <c r="C1365" t="inlineStr">
        <is>
          <t>Marathon Petroleum Corp Employees PAC (MPAC)</t>
        </is>
      </c>
      <c r="D1365" t="inlineStr">
        <is>
          <t>JIM BANKS FOR CONGRESS, INC.</t>
        </is>
      </c>
      <c r="E1365" t="inlineStr">
        <is>
          <t>H6IN03229</t>
        </is>
      </c>
      <c r="F1365" t="inlineStr">
        <is>
          <t>REP</t>
        </is>
      </c>
      <c r="G1365" t="inlineStr">
        <is>
          <t>05132022</t>
        </is>
      </c>
      <c r="H1365" t="n">
        <v>2500</v>
      </c>
      <c r="I1365" t="inlineStr">
        <is>
          <t>202206099514814250</t>
        </is>
      </c>
      <c r="J1365" t="inlineStr">
        <is>
          <t>https://docquery.fec.gov/cgi-bin/fecimg/?202206099514814250</t>
        </is>
      </c>
    </row>
    <row r="1366">
      <c r="A1366" t="inlineStr">
        <is>
          <t>2022</t>
        </is>
      </c>
      <c r="B1366" t="inlineStr">
        <is>
          <t>C00496307</t>
        </is>
      </c>
      <c r="C1366" t="inlineStr">
        <is>
          <t>Marathon Petroleum Corp Employees PAC (MPAC)</t>
        </is>
      </c>
      <c r="D1366" t="inlineStr">
        <is>
          <t>KAT FOR CONGRESS</t>
        </is>
      </c>
      <c r="E1366" t="inlineStr">
        <is>
          <t>H0FL03175</t>
        </is>
      </c>
      <c r="F1366" t="inlineStr">
        <is>
          <t>REP</t>
        </is>
      </c>
      <c r="G1366" t="inlineStr">
        <is>
          <t>05132022</t>
        </is>
      </c>
      <c r="H1366" t="n">
        <v>5000</v>
      </c>
      <c r="I1366" t="inlineStr">
        <is>
          <t>202206099514814251</t>
        </is>
      </c>
      <c r="J1366" t="inlineStr">
        <is>
          <t>https://docquery.fec.gov/cgi-bin/fecimg/?202206099514814251</t>
        </is>
      </c>
    </row>
    <row r="1367">
      <c r="A1367" t="inlineStr">
        <is>
          <t>2022</t>
        </is>
      </c>
      <c r="B1367" t="inlineStr">
        <is>
          <t>C00496307</t>
        </is>
      </c>
      <c r="C1367" t="inlineStr">
        <is>
          <t>Marathon Petroleum Corp Employees PAC (MPAC)</t>
        </is>
      </c>
      <c r="D1367" t="inlineStr">
        <is>
          <t>KURT SCHRADER FOR CONGRESS</t>
        </is>
      </c>
      <c r="E1367" t="inlineStr">
        <is>
          <t>H8OR05107</t>
        </is>
      </c>
      <c r="F1367" t="inlineStr">
        <is>
          <t>DEM</t>
        </is>
      </c>
      <c r="G1367" t="inlineStr">
        <is>
          <t>05132022</t>
        </is>
      </c>
      <c r="H1367" t="n">
        <v>2500</v>
      </c>
      <c r="I1367" t="inlineStr">
        <is>
          <t>202206099514814251</t>
        </is>
      </c>
      <c r="J1367" t="inlineStr">
        <is>
          <t>https://docquery.fec.gov/cgi-bin/fecimg/?202206099514814251</t>
        </is>
      </c>
    </row>
    <row r="1368">
      <c r="A1368" t="inlineStr">
        <is>
          <t>2022</t>
        </is>
      </c>
      <c r="B1368" t="inlineStr">
        <is>
          <t>C00496307</t>
        </is>
      </c>
      <c r="C1368" t="inlineStr">
        <is>
          <t>Marathon Petroleum Corp Employees PAC (MPAC)</t>
        </is>
      </c>
      <c r="D1368" t="inlineStr">
        <is>
          <t>LATTA FOR CONGRESS</t>
        </is>
      </c>
      <c r="E1368" t="inlineStr">
        <is>
          <t>H8OH05036</t>
        </is>
      </c>
      <c r="F1368" t="inlineStr">
        <is>
          <t>REP</t>
        </is>
      </c>
      <c r="G1368" t="inlineStr">
        <is>
          <t>05132022</t>
        </is>
      </c>
      <c r="H1368" t="n">
        <v>5000</v>
      </c>
      <c r="I1368" t="inlineStr">
        <is>
          <t>202206099514814251</t>
        </is>
      </c>
      <c r="J1368" t="inlineStr">
        <is>
          <t>https://docquery.fec.gov/cgi-bin/fecimg/?202206099514814251</t>
        </is>
      </c>
    </row>
    <row r="1369">
      <c r="A1369" t="inlineStr">
        <is>
          <t>2022</t>
        </is>
      </c>
      <c r="B1369" t="inlineStr">
        <is>
          <t>C00496307</t>
        </is>
      </c>
      <c r="C1369" t="inlineStr">
        <is>
          <t>Marathon Petroleum Corp Employees PAC (MPAC)</t>
        </is>
      </c>
      <c r="D1369" t="inlineStr">
        <is>
          <t>LISA MURKOWSKI FOR SENATE</t>
        </is>
      </c>
      <c r="E1369" t="inlineStr">
        <is>
          <t>S4AK00099</t>
        </is>
      </c>
      <c r="F1369" t="inlineStr">
        <is>
          <t>REP</t>
        </is>
      </c>
      <c r="G1369" t="inlineStr">
        <is>
          <t>05132022</t>
        </is>
      </c>
      <c r="H1369" t="n">
        <v>1500</v>
      </c>
      <c r="I1369" t="inlineStr">
        <is>
          <t>202206099514814252</t>
        </is>
      </c>
      <c r="J1369" t="inlineStr">
        <is>
          <t>https://docquery.fec.gov/cgi-bin/fecimg/?202206099514814252</t>
        </is>
      </c>
    </row>
    <row r="1370">
      <c r="A1370" t="inlineStr">
        <is>
          <t>2022</t>
        </is>
      </c>
      <c r="B1370" t="inlineStr">
        <is>
          <t>C00496307</t>
        </is>
      </c>
      <c r="C1370" t="inlineStr">
        <is>
          <t>Marathon Petroleum Corp Employees PAC (MPAC)</t>
        </is>
      </c>
      <c r="D1370" t="inlineStr">
        <is>
          <t>LUCAS FOR CONGRESS</t>
        </is>
      </c>
      <c r="E1370" t="inlineStr">
        <is>
          <t>H4OK06056</t>
        </is>
      </c>
      <c r="F1370" t="inlineStr">
        <is>
          <t>REP</t>
        </is>
      </c>
      <c r="G1370" t="inlineStr">
        <is>
          <t>05132022</t>
        </is>
      </c>
      <c r="H1370" t="n">
        <v>2500</v>
      </c>
      <c r="I1370" t="inlineStr">
        <is>
          <t>202206099514814252</t>
        </is>
      </c>
      <c r="J1370" t="inlineStr">
        <is>
          <t>https://docquery.fec.gov/cgi-bin/fecimg/?202206099514814252</t>
        </is>
      </c>
    </row>
    <row r="1371">
      <c r="A1371" t="inlineStr">
        <is>
          <t>2022</t>
        </is>
      </c>
      <c r="B1371" t="inlineStr">
        <is>
          <t>C00496307</t>
        </is>
      </c>
      <c r="C1371" t="inlineStr">
        <is>
          <t>Marathon Petroleum Corp Employees PAC (MPAC)</t>
        </is>
      </c>
      <c r="D1371" t="inlineStr">
        <is>
          <t>MANN FOR CONGRESS</t>
        </is>
      </c>
      <c r="E1371" t="inlineStr">
        <is>
          <t>H0KS01123</t>
        </is>
      </c>
      <c r="F1371" t="inlineStr">
        <is>
          <t>REP</t>
        </is>
      </c>
      <c r="G1371" t="inlineStr">
        <is>
          <t>05132022</t>
        </is>
      </c>
      <c r="H1371" t="n">
        <v>1500</v>
      </c>
      <c r="I1371" t="inlineStr">
        <is>
          <t>202206099514814252</t>
        </is>
      </c>
      <c r="J1371" t="inlineStr">
        <is>
          <t>https://docquery.fec.gov/cgi-bin/fecimg/?202206099514814252</t>
        </is>
      </c>
    </row>
    <row r="1372">
      <c r="A1372" t="inlineStr">
        <is>
          <t>2022</t>
        </is>
      </c>
      <c r="B1372" t="inlineStr">
        <is>
          <t>C00496307</t>
        </is>
      </c>
      <c r="C1372" t="inlineStr">
        <is>
          <t>Marathon Petroleum Corp Employees PAC (MPAC)</t>
        </is>
      </c>
      <c r="D1372" t="inlineStr">
        <is>
          <t>MCHENRY FOR CONGRESS</t>
        </is>
      </c>
      <c r="E1372" t="inlineStr">
        <is>
          <t>H4NC10047</t>
        </is>
      </c>
      <c r="F1372" t="inlineStr">
        <is>
          <t>REP</t>
        </is>
      </c>
      <c r="G1372" t="inlineStr">
        <is>
          <t>05132022</t>
        </is>
      </c>
      <c r="H1372" t="n">
        <v>5000</v>
      </c>
      <c r="I1372" t="inlineStr">
        <is>
          <t>202206099514814253</t>
        </is>
      </c>
      <c r="J1372" t="inlineStr">
        <is>
          <t>https://docquery.fec.gov/cgi-bin/fecimg/?202206099514814253</t>
        </is>
      </c>
    </row>
    <row r="1373">
      <c r="A1373" t="inlineStr">
        <is>
          <t>2022</t>
        </is>
      </c>
      <c r="B1373" t="inlineStr">
        <is>
          <t>C00496307</t>
        </is>
      </c>
      <c r="C1373" t="inlineStr">
        <is>
          <t>Marathon Petroleum Corp Employees PAC (MPAC)</t>
        </is>
      </c>
      <c r="D1373" t="inlineStr">
        <is>
          <t>MIKE BOST FOR CONGRESS COMMITTEE</t>
        </is>
      </c>
      <c r="E1373" t="inlineStr">
        <is>
          <t>H4IL12060</t>
        </is>
      </c>
      <c r="F1373" t="inlineStr">
        <is>
          <t>REP</t>
        </is>
      </c>
      <c r="G1373" t="inlineStr">
        <is>
          <t>05132022</t>
        </is>
      </c>
      <c r="H1373" t="n">
        <v>1000</v>
      </c>
      <c r="I1373" t="inlineStr">
        <is>
          <t>202206099514814253</t>
        </is>
      </c>
      <c r="J1373" t="inlineStr">
        <is>
          <t>https://docquery.fec.gov/cgi-bin/fecimg/?202206099514814253</t>
        </is>
      </c>
    </row>
    <row r="1374">
      <c r="A1374" t="inlineStr">
        <is>
          <t>2022</t>
        </is>
      </c>
      <c r="B1374" t="inlineStr">
        <is>
          <t>C00496307</t>
        </is>
      </c>
      <c r="C1374" t="inlineStr">
        <is>
          <t>Marathon Petroleum Corp Employees PAC (MPAC)</t>
        </is>
      </c>
      <c r="D1374" t="inlineStr">
        <is>
          <t>MIKE CRAPO FOR US SENATE</t>
        </is>
      </c>
      <c r="E1374" t="inlineStr">
        <is>
          <t>S8ID00027</t>
        </is>
      </c>
      <c r="F1374" t="inlineStr">
        <is>
          <t>REP</t>
        </is>
      </c>
      <c r="G1374" t="inlineStr">
        <is>
          <t>05132022</t>
        </is>
      </c>
      <c r="H1374" t="n">
        <v>2500</v>
      </c>
      <c r="I1374" t="inlineStr">
        <is>
          <t>202206099514814253</t>
        </is>
      </c>
      <c r="J1374" t="inlineStr">
        <is>
          <t>https://docquery.fec.gov/cgi-bin/fecimg/?202206099514814253</t>
        </is>
      </c>
    </row>
    <row r="1375">
      <c r="A1375" t="inlineStr">
        <is>
          <t>2022</t>
        </is>
      </c>
      <c r="B1375" t="inlineStr">
        <is>
          <t>C00496307</t>
        </is>
      </c>
      <c r="C1375" t="inlineStr">
        <is>
          <t>Marathon Petroleum Corp Employees PAC (MPAC)</t>
        </is>
      </c>
      <c r="D1375" t="inlineStr">
        <is>
          <t>SCOTT FRANKLIN FOR CONGRESS</t>
        </is>
      </c>
      <c r="E1375" t="inlineStr">
        <is>
          <t>H0FL15104</t>
        </is>
      </c>
      <c r="F1375" t="inlineStr">
        <is>
          <t>REP</t>
        </is>
      </c>
      <c r="G1375" t="inlineStr">
        <is>
          <t>05132022</t>
        </is>
      </c>
      <c r="H1375" t="n">
        <v>1000</v>
      </c>
      <c r="I1375" t="inlineStr">
        <is>
          <t>202206099514814254</t>
        </is>
      </c>
      <c r="J1375" t="inlineStr">
        <is>
          <t>https://docquery.fec.gov/cgi-bin/fecimg/?202206099514814254</t>
        </is>
      </c>
    </row>
    <row r="1376">
      <c r="A1376" t="inlineStr">
        <is>
          <t>2022</t>
        </is>
      </c>
      <c r="B1376" t="inlineStr">
        <is>
          <t>C00496307</t>
        </is>
      </c>
      <c r="C1376" t="inlineStr">
        <is>
          <t>Marathon Petroleum Corp Employees PAC (MPAC)</t>
        </is>
      </c>
      <c r="D1376" t="inlineStr">
        <is>
          <t>AUGUST PFLUGER FOR CONGRESS</t>
        </is>
      </c>
      <c r="E1376" t="inlineStr">
        <is>
          <t>H0TX11230</t>
        </is>
      </c>
      <c r="F1376" t="inlineStr">
        <is>
          <t>REP</t>
        </is>
      </c>
      <c r="G1376" t="inlineStr">
        <is>
          <t>05132022</t>
        </is>
      </c>
      <c r="H1376" t="n">
        <v>2500</v>
      </c>
      <c r="I1376" t="inlineStr">
        <is>
          <t>202206099514814246</t>
        </is>
      </c>
      <c r="J1376" t="inlineStr">
        <is>
          <t>https://docquery.fec.gov/cgi-bin/fecimg/?202206099514814246</t>
        </is>
      </c>
    </row>
    <row r="1377">
      <c r="A1377" t="inlineStr">
        <is>
          <t>2022</t>
        </is>
      </c>
      <c r="B1377" t="inlineStr">
        <is>
          <t>C00496307</t>
        </is>
      </c>
      <c r="C1377" t="inlineStr">
        <is>
          <t>Marathon Petroleum Corp Employees PAC (MPAC)</t>
        </is>
      </c>
      <c r="D1377" t="inlineStr">
        <is>
          <t>BICE FOR CONGRESS</t>
        </is>
      </c>
      <c r="E1377" t="inlineStr">
        <is>
          <t>H0OK05205</t>
        </is>
      </c>
      <c r="F1377" t="inlineStr">
        <is>
          <t>REP</t>
        </is>
      </c>
      <c r="G1377" t="inlineStr">
        <is>
          <t>05132022</t>
        </is>
      </c>
      <c r="H1377" t="n">
        <v>1000</v>
      </c>
      <c r="I1377" t="inlineStr">
        <is>
          <t>202206099514814246</t>
        </is>
      </c>
      <c r="J1377" t="inlineStr">
        <is>
          <t>https://docquery.fec.gov/cgi-bin/fecimg/?202206099514814246</t>
        </is>
      </c>
    </row>
    <row r="1378">
      <c r="A1378" t="inlineStr">
        <is>
          <t>2022</t>
        </is>
      </c>
      <c r="B1378" t="inlineStr">
        <is>
          <t>C00496307</t>
        </is>
      </c>
      <c r="C1378" t="inlineStr">
        <is>
          <t>Marathon Petroleum Corp Employees PAC (MPAC)</t>
        </is>
      </c>
      <c r="D1378" t="inlineStr">
        <is>
          <t>VALADAO FOR CONGRESS</t>
        </is>
      </c>
      <c r="E1378" t="inlineStr">
        <is>
          <t>H2CA20094</t>
        </is>
      </c>
      <c r="F1378" t="inlineStr">
        <is>
          <t>REP</t>
        </is>
      </c>
      <c r="G1378" t="inlineStr">
        <is>
          <t>05132022</t>
        </is>
      </c>
      <c r="H1378" t="n">
        <v>2500</v>
      </c>
      <c r="I1378" t="inlineStr">
        <is>
          <t>202206099514814255</t>
        </is>
      </c>
      <c r="J1378" t="inlineStr">
        <is>
          <t>https://docquery.fec.gov/cgi-bin/fecimg/?202206099514814255</t>
        </is>
      </c>
    </row>
    <row r="1379">
      <c r="A1379" t="inlineStr">
        <is>
          <t>2022</t>
        </is>
      </c>
      <c r="B1379" t="inlineStr">
        <is>
          <t>C00496307</t>
        </is>
      </c>
      <c r="C1379" t="inlineStr">
        <is>
          <t>Marathon Petroleum Corp Employees PAC (MPAC)</t>
        </is>
      </c>
      <c r="D1379" t="inlineStr">
        <is>
          <t>WENSTRUP FOR CONGRESS</t>
        </is>
      </c>
      <c r="E1379" t="inlineStr">
        <is>
          <t>H2OH02085</t>
        </is>
      </c>
      <c r="F1379" t="inlineStr">
        <is>
          <t>REP</t>
        </is>
      </c>
      <c r="G1379" t="inlineStr">
        <is>
          <t>05132022</t>
        </is>
      </c>
      <c r="H1379" t="n">
        <v>2500</v>
      </c>
      <c r="I1379" t="inlineStr">
        <is>
          <t>202206099514814255</t>
        </is>
      </c>
      <c r="J1379" t="inlineStr">
        <is>
          <t>https://docquery.fec.gov/cgi-bin/fecimg/?202206099514814255</t>
        </is>
      </c>
    </row>
    <row r="1380">
      <c r="A1380" t="inlineStr">
        <is>
          <t>2022</t>
        </is>
      </c>
      <c r="B1380" t="inlineStr">
        <is>
          <t>C00496307</t>
        </is>
      </c>
      <c r="C1380" t="inlineStr">
        <is>
          <t>Marathon Petroleum Corp Employees PAC (MPAC)</t>
        </is>
      </c>
      <c r="D1380" t="inlineStr">
        <is>
          <t>WOMACK FOR CONGRESS</t>
        </is>
      </c>
      <c r="E1380" t="inlineStr">
        <is>
          <t>H0AR03055</t>
        </is>
      </c>
      <c r="F1380" t="inlineStr">
        <is>
          <t>REP</t>
        </is>
      </c>
      <c r="G1380" t="inlineStr">
        <is>
          <t>05132022</t>
        </is>
      </c>
      <c r="H1380" t="n">
        <v>5000</v>
      </c>
      <c r="I1380" t="inlineStr">
        <is>
          <t>202206099514814255</t>
        </is>
      </c>
      <c r="J1380" t="inlineStr">
        <is>
          <t>https://docquery.fec.gov/cgi-bin/fecimg/?202206099514814255</t>
        </is>
      </c>
    </row>
    <row r="1381">
      <c r="A1381" t="inlineStr">
        <is>
          <t>2022</t>
        </is>
      </c>
      <c r="B1381" t="inlineStr">
        <is>
          <t>C00496307</t>
        </is>
      </c>
      <c r="C1381" t="inlineStr">
        <is>
          <t>Marathon Petroleum Corp Employees PAC (MPAC)</t>
        </is>
      </c>
      <c r="D1381" t="inlineStr">
        <is>
          <t>BOOZMAN FOR ARKANSAS</t>
        </is>
      </c>
      <c r="E1381" t="inlineStr">
        <is>
          <t>S0AR00150</t>
        </is>
      </c>
      <c r="F1381" t="inlineStr">
        <is>
          <t>REP</t>
        </is>
      </c>
      <c r="G1381" t="inlineStr">
        <is>
          <t>05132022</t>
        </is>
      </c>
      <c r="H1381" t="n">
        <v>5000</v>
      </c>
      <c r="I1381" t="inlineStr">
        <is>
          <t>202206099514814246</t>
        </is>
      </c>
      <c r="J1381" t="inlineStr">
        <is>
          <t>https://docquery.fec.gov/cgi-bin/fecimg/?202206099514814246</t>
        </is>
      </c>
    </row>
    <row r="1382">
      <c r="A1382" t="inlineStr">
        <is>
          <t>2022</t>
        </is>
      </c>
      <c r="B1382" t="inlineStr">
        <is>
          <t>C00496307</t>
        </is>
      </c>
      <c r="C1382" t="inlineStr">
        <is>
          <t>Marathon Petroleum Corp Employees PAC (MPAC)</t>
        </is>
      </c>
      <c r="D1382" t="inlineStr">
        <is>
          <t>CAROL FOR CONGRESS</t>
        </is>
      </c>
      <c r="E1382" t="inlineStr">
        <is>
          <t>H8WV03097</t>
        </is>
      </c>
      <c r="F1382" t="inlineStr">
        <is>
          <t>REP</t>
        </is>
      </c>
      <c r="G1382" t="inlineStr">
        <is>
          <t>05132022</t>
        </is>
      </c>
      <c r="H1382" t="n">
        <v>2500</v>
      </c>
      <c r="I1382" t="inlineStr">
        <is>
          <t>202206099514814247</t>
        </is>
      </c>
      <c r="J1382" t="inlineStr">
        <is>
          <t>https://docquery.fec.gov/cgi-bin/fecimg/?202206099514814247</t>
        </is>
      </c>
    </row>
    <row r="1383">
      <c r="A1383" t="inlineStr">
        <is>
          <t>2022</t>
        </is>
      </c>
      <c r="B1383" t="inlineStr">
        <is>
          <t>C00496307</t>
        </is>
      </c>
      <c r="C1383" t="inlineStr">
        <is>
          <t>Marathon Petroleum Corp Employees PAC (MPAC)</t>
        </is>
      </c>
      <c r="D1383" t="inlineStr">
        <is>
          <t>CATHY MCMORRIS RODGERS FOR CONGRESS</t>
        </is>
      </c>
      <c r="E1383" t="inlineStr">
        <is>
          <t>H4WA05077</t>
        </is>
      </c>
      <c r="F1383" t="inlineStr">
        <is>
          <t>REP</t>
        </is>
      </c>
      <c r="G1383" t="inlineStr">
        <is>
          <t>05282021</t>
        </is>
      </c>
      <c r="H1383" t="n">
        <v>5000</v>
      </c>
      <c r="I1383" t="inlineStr">
        <is>
          <t>202106119448937178</t>
        </is>
      </c>
      <c r="J1383" t="inlineStr">
        <is>
          <t>https://docquery.fec.gov/cgi-bin/fecimg/?202106119448937178</t>
        </is>
      </c>
    </row>
    <row r="1384">
      <c r="A1384" t="inlineStr">
        <is>
          <t>2022</t>
        </is>
      </c>
      <c r="B1384" t="inlineStr">
        <is>
          <t>C00496307</t>
        </is>
      </c>
      <c r="C1384" t="inlineStr">
        <is>
          <t>Marathon Petroleum Corp Employees PAC (MPAC)</t>
        </is>
      </c>
      <c r="D1384" t="inlineStr">
        <is>
          <t>ELIZABETH PANNILL FLETCHER FOR CONGRESS</t>
        </is>
      </c>
      <c r="E1384" t="inlineStr">
        <is>
          <t>H8TX07140</t>
        </is>
      </c>
      <c r="F1384" t="inlineStr">
        <is>
          <t>DEM</t>
        </is>
      </c>
      <c r="G1384" t="inlineStr">
        <is>
          <t>05282021</t>
        </is>
      </c>
      <c r="H1384" t="n">
        <v>2500</v>
      </c>
      <c r="I1384" t="inlineStr">
        <is>
          <t>202106119448937178</t>
        </is>
      </c>
      <c r="J1384" t="inlineStr">
        <is>
          <t>https://docquery.fec.gov/cgi-bin/fecimg/?202106119448937178</t>
        </is>
      </c>
    </row>
    <row r="1385">
      <c r="A1385" t="inlineStr">
        <is>
          <t>2022</t>
        </is>
      </c>
      <c r="B1385" t="inlineStr">
        <is>
          <t>C00496307</t>
        </is>
      </c>
      <c r="C1385" t="inlineStr">
        <is>
          <t>Marathon Petroleum Corp Employees PAC (MPAC)</t>
        </is>
      </c>
      <c r="D1385" t="inlineStr">
        <is>
          <t>JIM COSTA FOR CONGRESS</t>
        </is>
      </c>
      <c r="E1385" t="inlineStr">
        <is>
          <t>H4CA20082</t>
        </is>
      </c>
      <c r="F1385" t="inlineStr">
        <is>
          <t>DEM</t>
        </is>
      </c>
      <c r="G1385" t="inlineStr">
        <is>
          <t>05282021</t>
        </is>
      </c>
      <c r="H1385" t="n">
        <v>2500</v>
      </c>
      <c r="I1385" t="inlineStr">
        <is>
          <t>202106119448937179</t>
        </is>
      </c>
      <c r="J1385" t="inlineStr">
        <is>
          <t>https://docquery.fec.gov/cgi-bin/fecimg/?202106119448937179</t>
        </is>
      </c>
    </row>
    <row r="1386">
      <c r="A1386" t="inlineStr">
        <is>
          <t>2022</t>
        </is>
      </c>
      <c r="B1386" t="inlineStr">
        <is>
          <t>C00496307</t>
        </is>
      </c>
      <c r="C1386" t="inlineStr">
        <is>
          <t>Marathon Petroleum Corp Employees PAC (MPAC)</t>
        </is>
      </c>
      <c r="D1386" t="inlineStr">
        <is>
          <t>TIM SCOTT FOR SENATE</t>
        </is>
      </c>
      <c r="E1386" t="inlineStr">
        <is>
          <t>S4SC00240</t>
        </is>
      </c>
      <c r="F1386" t="inlineStr">
        <is>
          <t>REP</t>
        </is>
      </c>
      <c r="G1386" t="inlineStr">
        <is>
          <t>05282021</t>
        </is>
      </c>
      <c r="H1386" t="n">
        <v>2500</v>
      </c>
      <c r="I1386" t="inlineStr">
        <is>
          <t>202106119448937179</t>
        </is>
      </c>
      <c r="J1386" t="inlineStr">
        <is>
          <t>https://docquery.fec.gov/cgi-bin/fecimg/?202106119448937179</t>
        </is>
      </c>
    </row>
    <row r="1387">
      <c r="A1387" t="inlineStr">
        <is>
          <t>2022</t>
        </is>
      </c>
      <c r="B1387" t="inlineStr">
        <is>
          <t>C00496307</t>
        </is>
      </c>
      <c r="C1387" t="inlineStr">
        <is>
          <t>Marathon Petroleum Corp Employees PAC (MPAC)</t>
        </is>
      </c>
      <c r="D1387" t="inlineStr">
        <is>
          <t>RODNEY FOR CONGRESS</t>
        </is>
      </c>
      <c r="E1387" t="inlineStr">
        <is>
          <t>H2IL13120</t>
        </is>
      </c>
      <c r="F1387" t="inlineStr">
        <is>
          <t>REP</t>
        </is>
      </c>
      <c r="G1387" t="inlineStr">
        <is>
          <t>06212021</t>
        </is>
      </c>
      <c r="H1387" t="n">
        <v>2500</v>
      </c>
      <c r="I1387" t="inlineStr">
        <is>
          <t>202107209451845041</t>
        </is>
      </c>
      <c r="J1387" t="inlineStr">
        <is>
          <t>https://docquery.fec.gov/cgi-bin/fecimg/?202107209451845041</t>
        </is>
      </c>
    </row>
    <row r="1388">
      <c r="A1388" t="inlineStr">
        <is>
          <t>2022</t>
        </is>
      </c>
      <c r="B1388" t="inlineStr">
        <is>
          <t>C00496307</t>
        </is>
      </c>
      <c r="C1388" t="inlineStr">
        <is>
          <t>Marathon Petroleum Corp Employees PAC (MPAC)</t>
        </is>
      </c>
      <c r="D1388" t="inlineStr">
        <is>
          <t>TEXANS FOR HENRY CUELLAR CONGRESSIONAL CAMPAIGN</t>
        </is>
      </c>
      <c r="E1388" t="inlineStr">
        <is>
          <t>H2TX23082</t>
        </is>
      </c>
      <c r="F1388" t="inlineStr">
        <is>
          <t>DEM</t>
        </is>
      </c>
      <c r="G1388" t="inlineStr">
        <is>
          <t>06212021</t>
        </is>
      </c>
      <c r="H1388" t="n">
        <v>2500</v>
      </c>
      <c r="I1388" t="inlineStr">
        <is>
          <t>202107209451845042</t>
        </is>
      </c>
      <c r="J1388" t="inlineStr">
        <is>
          <t>https://docquery.fec.gov/cgi-bin/fecimg/?202107209451845042</t>
        </is>
      </c>
    </row>
    <row r="1389">
      <c r="A1389" t="inlineStr">
        <is>
          <t>2022</t>
        </is>
      </c>
      <c r="B1389" t="inlineStr">
        <is>
          <t>C00496307</t>
        </is>
      </c>
      <c r="C1389" t="inlineStr">
        <is>
          <t>Marathon Petroleum Corp Employees PAC (MPAC)</t>
        </is>
      </c>
      <c r="D1389" t="inlineStr">
        <is>
          <t>TONY GONZALES FOR CONGRESS</t>
        </is>
      </c>
      <c r="E1389" t="inlineStr">
        <is>
          <t>H0TX35015</t>
        </is>
      </c>
      <c r="F1389" t="inlineStr">
        <is>
          <t>REP</t>
        </is>
      </c>
      <c r="G1389" t="inlineStr">
        <is>
          <t>06212021</t>
        </is>
      </c>
      <c r="H1389" t="n">
        <v>2500</v>
      </c>
      <c r="I1389" t="inlineStr">
        <is>
          <t>202107209451845042</t>
        </is>
      </c>
      <c r="J1389" t="inlineStr">
        <is>
          <t>https://docquery.fec.gov/cgi-bin/fecimg/?202107209451845042</t>
        </is>
      </c>
    </row>
    <row r="1390">
      <c r="A1390" t="inlineStr">
        <is>
          <t>2022</t>
        </is>
      </c>
      <c r="B1390" t="inlineStr">
        <is>
          <t>C00496307</t>
        </is>
      </c>
      <c r="C1390" t="inlineStr">
        <is>
          <t>Marathon Petroleum Corp Employees PAC (MPAC)</t>
        </is>
      </c>
      <c r="D1390" t="inlineStr">
        <is>
          <t>WESTERMAN FOR CONGRESS</t>
        </is>
      </c>
      <c r="E1390" t="inlineStr">
        <is>
          <t>H4AR04048</t>
        </is>
      </c>
      <c r="F1390" t="inlineStr">
        <is>
          <t>REP</t>
        </is>
      </c>
      <c r="G1390" t="inlineStr">
        <is>
          <t>06212021</t>
        </is>
      </c>
      <c r="H1390" t="n">
        <v>2500</v>
      </c>
      <c r="I1390" t="inlineStr">
        <is>
          <t>202107209451845043</t>
        </is>
      </c>
      <c r="J1390" t="inlineStr">
        <is>
          <t>https://docquery.fec.gov/cgi-bin/fecimg/?202107209451845043</t>
        </is>
      </c>
    </row>
    <row r="1391">
      <c r="A1391" t="inlineStr">
        <is>
          <t>2022</t>
        </is>
      </c>
      <c r="B1391" t="inlineStr">
        <is>
          <t>C00496307</t>
        </is>
      </c>
      <c r="C1391" t="inlineStr">
        <is>
          <t>Marathon Petroleum Corp Employees PAC (MPAC)</t>
        </is>
      </c>
      <c r="D1391" t="inlineStr">
        <is>
          <t>PETE STAUBER FOR CONGRESS</t>
        </is>
      </c>
      <c r="E1391" t="inlineStr">
        <is>
          <t>H8MN08043</t>
        </is>
      </c>
      <c r="F1391" t="inlineStr">
        <is>
          <t>REP</t>
        </is>
      </c>
      <c r="G1391" t="inlineStr">
        <is>
          <t>06212021</t>
        </is>
      </c>
      <c r="H1391" t="n">
        <v>2500</v>
      </c>
      <c r="I1391" t="inlineStr">
        <is>
          <t>202107209451845040</t>
        </is>
      </c>
      <c r="J1391" t="inlineStr">
        <is>
          <t>https://docquery.fec.gov/cgi-bin/fecimg/?202107209451845040</t>
        </is>
      </c>
    </row>
    <row r="1392">
      <c r="A1392" t="inlineStr">
        <is>
          <t>2022</t>
        </is>
      </c>
      <c r="B1392" t="inlineStr">
        <is>
          <t>C00496307</t>
        </is>
      </c>
      <c r="C1392" t="inlineStr">
        <is>
          <t>Marathon Petroleum Corp Employees PAC (MPAC)</t>
        </is>
      </c>
      <c r="D1392" t="inlineStr">
        <is>
          <t>MIKE GALLAGHER FOR WISCONSIN</t>
        </is>
      </c>
      <c r="E1392" t="inlineStr">
        <is>
          <t>H6WI08155</t>
        </is>
      </c>
      <c r="F1392" t="inlineStr">
        <is>
          <t>REP</t>
        </is>
      </c>
      <c r="G1392" t="inlineStr">
        <is>
          <t>06212021</t>
        </is>
      </c>
      <c r="H1392" t="n">
        <v>2500</v>
      </c>
      <c r="I1392" t="inlineStr">
        <is>
          <t>202107209451845039</t>
        </is>
      </c>
      <c r="J1392" t="inlineStr">
        <is>
          <t>https://docquery.fec.gov/cgi-bin/fecimg/?202107209451845039</t>
        </is>
      </c>
    </row>
    <row r="1393">
      <c r="A1393" t="inlineStr">
        <is>
          <t>2022</t>
        </is>
      </c>
      <c r="B1393" t="inlineStr">
        <is>
          <t>C00496307</t>
        </is>
      </c>
      <c r="C1393" t="inlineStr">
        <is>
          <t>Marathon Petroleum Corp Employees PAC (MPAC)</t>
        </is>
      </c>
      <c r="D1393" t="inlineStr">
        <is>
          <t>BALDERSON FOR CONGRESS</t>
        </is>
      </c>
      <c r="E1393" t="inlineStr">
        <is>
          <t>H8OH12180</t>
        </is>
      </c>
      <c r="F1393" t="inlineStr">
        <is>
          <t>REP</t>
        </is>
      </c>
      <c r="G1393" t="inlineStr">
        <is>
          <t>06212021</t>
        </is>
      </c>
      <c r="H1393" t="n">
        <v>5000</v>
      </c>
      <c r="I1393" t="inlineStr">
        <is>
          <t>202107209451845035</t>
        </is>
      </c>
      <c r="J1393" t="inlineStr">
        <is>
          <t>https://docquery.fec.gov/cgi-bin/fecimg/?202107209451845035</t>
        </is>
      </c>
    </row>
    <row r="1394">
      <c r="A1394" t="inlineStr">
        <is>
          <t>2022</t>
        </is>
      </c>
      <c r="B1394" t="inlineStr">
        <is>
          <t>C00496307</t>
        </is>
      </c>
      <c r="C1394" t="inlineStr">
        <is>
          <t>Marathon Petroleum Corp Employees PAC (MPAC)</t>
        </is>
      </c>
      <c r="D1394" t="inlineStr">
        <is>
          <t>BILIRAKIS FOR CONGRESS</t>
        </is>
      </c>
      <c r="E1394" t="inlineStr">
        <is>
          <t>H6FL09070</t>
        </is>
      </c>
      <c r="F1394" t="inlineStr">
        <is>
          <t>REP</t>
        </is>
      </c>
      <c r="G1394" t="inlineStr">
        <is>
          <t>06212021</t>
        </is>
      </c>
      <c r="H1394" t="n">
        <v>2500</v>
      </c>
      <c r="I1394" t="inlineStr">
        <is>
          <t>202107209451845035</t>
        </is>
      </c>
      <c r="J1394" t="inlineStr">
        <is>
          <t>https://docquery.fec.gov/cgi-bin/fecimg/?202107209451845035</t>
        </is>
      </c>
    </row>
    <row r="1395">
      <c r="A1395" t="inlineStr">
        <is>
          <t>2022</t>
        </is>
      </c>
      <c r="B1395" t="inlineStr">
        <is>
          <t>C00496307</t>
        </is>
      </c>
      <c r="C1395" t="inlineStr">
        <is>
          <t>Marathon Petroleum Corp Employees PAC (MPAC)</t>
        </is>
      </c>
      <c r="D1395" t="inlineStr">
        <is>
          <t>DON BACON FOR CONGRESS</t>
        </is>
      </c>
      <c r="E1395" t="inlineStr">
        <is>
          <t>H6NE02125</t>
        </is>
      </c>
      <c r="F1395" t="inlineStr">
        <is>
          <t>REP</t>
        </is>
      </c>
      <c r="G1395" t="inlineStr">
        <is>
          <t>06212021</t>
        </is>
      </c>
      <c r="H1395" t="n">
        <v>2500</v>
      </c>
      <c r="I1395" t="inlineStr">
        <is>
          <t>202107209451845036</t>
        </is>
      </c>
      <c r="J1395" t="inlineStr">
        <is>
          <t>https://docquery.fec.gov/cgi-bin/fecimg/?202107209451845036</t>
        </is>
      </c>
    </row>
    <row r="1396">
      <c r="A1396" t="inlineStr">
        <is>
          <t>2022</t>
        </is>
      </c>
      <c r="B1396" t="inlineStr">
        <is>
          <t>C00496307</t>
        </is>
      </c>
      <c r="C1396" t="inlineStr">
        <is>
          <t>Marathon Petroleum Corp Employees PAC (MPAC)</t>
        </is>
      </c>
      <c r="D1396" t="inlineStr">
        <is>
          <t>FRIENDS OF DAVE JOYCE</t>
        </is>
      </c>
      <c r="E1396" t="inlineStr">
        <is>
          <t>H2OH14064</t>
        </is>
      </c>
      <c r="F1396" t="inlineStr">
        <is>
          <t>REP</t>
        </is>
      </c>
      <c r="G1396" t="inlineStr">
        <is>
          <t>06212021</t>
        </is>
      </c>
      <c r="H1396" t="n">
        <v>2500</v>
      </c>
      <c r="I1396" t="inlineStr">
        <is>
          <t>202107209451845036</t>
        </is>
      </c>
      <c r="J1396" t="inlineStr">
        <is>
          <t>https://docquery.fec.gov/cgi-bin/fecimg/?202107209451845036</t>
        </is>
      </c>
    </row>
    <row r="1397">
      <c r="A1397" t="inlineStr">
        <is>
          <t>2022</t>
        </is>
      </c>
      <c r="B1397" t="inlineStr">
        <is>
          <t>C00496307</t>
        </is>
      </c>
      <c r="C1397" t="inlineStr">
        <is>
          <t>Marathon Petroleum Corp Employees PAC (MPAC)</t>
        </is>
      </c>
      <c r="D1397" t="inlineStr">
        <is>
          <t>FRIENDS OF DUSTY JOHNSON</t>
        </is>
      </c>
      <c r="E1397" t="inlineStr">
        <is>
          <t>H8SD01055</t>
        </is>
      </c>
      <c r="F1397" t="inlineStr">
        <is>
          <t>REP</t>
        </is>
      </c>
      <c r="G1397" t="inlineStr">
        <is>
          <t>06212021</t>
        </is>
      </c>
      <c r="H1397" t="n">
        <v>2500</v>
      </c>
      <c r="I1397" t="inlineStr">
        <is>
          <t>202107209451845036</t>
        </is>
      </c>
      <c r="J1397" t="inlineStr">
        <is>
          <t>https://docquery.fec.gov/cgi-bin/fecimg/?202107209451845036</t>
        </is>
      </c>
    </row>
    <row r="1398">
      <c r="A1398" t="inlineStr">
        <is>
          <t>2022</t>
        </is>
      </c>
      <c r="B1398" t="inlineStr">
        <is>
          <t>C00496307</t>
        </is>
      </c>
      <c r="C1398" t="inlineStr">
        <is>
          <t>Marathon Petroleum Corp Employees PAC (MPAC)</t>
        </is>
      </c>
      <c r="D1398" t="inlineStr">
        <is>
          <t>GUTHRIE FOR CONGRESS</t>
        </is>
      </c>
      <c r="E1398" t="inlineStr">
        <is>
          <t>H8KY02031</t>
        </is>
      </c>
      <c r="F1398" t="inlineStr">
        <is>
          <t>REP</t>
        </is>
      </c>
      <c r="G1398" t="inlineStr">
        <is>
          <t>06212021</t>
        </is>
      </c>
      <c r="H1398" t="n">
        <v>2500</v>
      </c>
      <c r="I1398" t="inlineStr">
        <is>
          <t>202107209451845037</t>
        </is>
      </c>
      <c r="J1398" t="inlineStr">
        <is>
          <t>https://docquery.fec.gov/cgi-bin/fecimg/?202107209451845037</t>
        </is>
      </c>
    </row>
    <row r="1399">
      <c r="A1399" t="inlineStr">
        <is>
          <t>2022</t>
        </is>
      </c>
      <c r="B1399" t="inlineStr">
        <is>
          <t>C00496307</t>
        </is>
      </c>
      <c r="C1399" t="inlineStr">
        <is>
          <t>Marathon Petroleum Corp Employees PAC (MPAC)</t>
        </is>
      </c>
      <c r="D1399" t="inlineStr">
        <is>
          <t>KURT SCHRADER FOR CONGRESS</t>
        </is>
      </c>
      <c r="E1399" t="inlineStr">
        <is>
          <t>H8OR05107</t>
        </is>
      </c>
      <c r="F1399" t="inlineStr">
        <is>
          <t>DEM</t>
        </is>
      </c>
      <c r="G1399" t="inlineStr">
        <is>
          <t>06212021</t>
        </is>
      </c>
      <c r="H1399" t="n">
        <v>2500</v>
      </c>
      <c r="I1399" t="inlineStr">
        <is>
          <t>202107209451845037</t>
        </is>
      </c>
      <c r="J1399" t="inlineStr">
        <is>
          <t>https://docquery.fec.gov/cgi-bin/fecimg/?202107209451845037</t>
        </is>
      </c>
    </row>
    <row r="1400">
      <c r="A1400" t="inlineStr">
        <is>
          <t>2022</t>
        </is>
      </c>
      <c r="B1400" t="inlineStr">
        <is>
          <t>C00496307</t>
        </is>
      </c>
      <c r="C1400" t="inlineStr">
        <is>
          <t>Marathon Petroleum Corp Employees PAC (MPAC)</t>
        </is>
      </c>
      <c r="D1400" t="inlineStr">
        <is>
          <t>LAHOOD FOR CONGRESS</t>
        </is>
      </c>
      <c r="E1400" t="inlineStr">
        <is>
          <t>H6IL18088</t>
        </is>
      </c>
      <c r="F1400" t="inlineStr">
        <is>
          <t>REP</t>
        </is>
      </c>
      <c r="G1400" t="inlineStr">
        <is>
          <t>06212021</t>
        </is>
      </c>
      <c r="H1400" t="n">
        <v>2500</v>
      </c>
      <c r="I1400" t="inlineStr">
        <is>
          <t>202107209451845038</t>
        </is>
      </c>
      <c r="J1400" t="inlineStr">
        <is>
          <t>https://docquery.fec.gov/cgi-bin/fecimg/?202107209451845038</t>
        </is>
      </c>
    </row>
    <row r="1401">
      <c r="A1401" t="inlineStr">
        <is>
          <t>2022</t>
        </is>
      </c>
      <c r="B1401" t="inlineStr">
        <is>
          <t>C00496307</t>
        </is>
      </c>
      <c r="C1401" t="inlineStr">
        <is>
          <t>Marathon Petroleum Corp Employees PAC (MPAC)</t>
        </is>
      </c>
      <c r="D1401" t="inlineStr">
        <is>
          <t>LATTA FOR CONGRESS</t>
        </is>
      </c>
      <c r="E1401" t="inlineStr">
        <is>
          <t>H8OH05036</t>
        </is>
      </c>
      <c r="F1401" t="inlineStr">
        <is>
          <t>REP</t>
        </is>
      </c>
      <c r="G1401" t="inlineStr">
        <is>
          <t>06212021</t>
        </is>
      </c>
      <c r="H1401" t="n">
        <v>5000</v>
      </c>
      <c r="I1401" t="inlineStr">
        <is>
          <t>202107209451845038</t>
        </is>
      </c>
      <c r="J1401" t="inlineStr">
        <is>
          <t>https://docquery.fec.gov/cgi-bin/fecimg/?202107209451845038</t>
        </is>
      </c>
    </row>
    <row r="1402">
      <c r="A1402" t="inlineStr">
        <is>
          <t>2022</t>
        </is>
      </c>
      <c r="B1402" t="inlineStr">
        <is>
          <t>C00496307</t>
        </is>
      </c>
      <c r="C1402" t="inlineStr">
        <is>
          <t>Marathon Petroleum Corp Employees PAC (MPAC)</t>
        </is>
      </c>
      <c r="D1402" t="inlineStr">
        <is>
          <t>MARC VEASEY CONGRESSIONAL CAMPAIGN COMMITTEE</t>
        </is>
      </c>
      <c r="E1402" t="inlineStr">
        <is>
          <t>H2TX33073</t>
        </is>
      </c>
      <c r="F1402" t="inlineStr">
        <is>
          <t>DEM</t>
        </is>
      </c>
      <c r="G1402" t="inlineStr">
        <is>
          <t>06212021</t>
        </is>
      </c>
      <c r="H1402" t="n">
        <v>2500</v>
      </c>
      <c r="I1402" t="inlineStr">
        <is>
          <t>202107209451845038</t>
        </is>
      </c>
      <c r="J1402" t="inlineStr">
        <is>
          <t>https://docquery.fec.gov/cgi-bin/fecimg/?202107209451845038</t>
        </is>
      </c>
    </row>
    <row r="1403">
      <c r="A1403" t="inlineStr">
        <is>
          <t>2022</t>
        </is>
      </c>
      <c r="B1403" t="inlineStr">
        <is>
          <t>C00496307</t>
        </is>
      </c>
      <c r="C1403" t="inlineStr">
        <is>
          <t>Marathon Petroleum Corp Employees PAC (MPAC)</t>
        </is>
      </c>
      <c r="D1403" t="inlineStr">
        <is>
          <t>MCCAUL FOR CONGRESS</t>
        </is>
      </c>
      <c r="E1403" t="inlineStr">
        <is>
          <t>H4TX10093</t>
        </is>
      </c>
      <c r="F1403" t="inlineStr">
        <is>
          <t>REP</t>
        </is>
      </c>
      <c r="G1403" t="inlineStr">
        <is>
          <t>06212021</t>
        </is>
      </c>
      <c r="H1403" t="n">
        <v>2500</v>
      </c>
      <c r="I1403" t="inlineStr">
        <is>
          <t>202107209451845039</t>
        </is>
      </c>
      <c r="J1403" t="inlineStr">
        <is>
          <t>https://docquery.fec.gov/cgi-bin/fecimg/?202107209451845039</t>
        </is>
      </c>
    </row>
    <row r="1404">
      <c r="A1404" t="inlineStr">
        <is>
          <t>2022</t>
        </is>
      </c>
      <c r="B1404" t="inlineStr">
        <is>
          <t>C00496307</t>
        </is>
      </c>
      <c r="C1404" t="inlineStr">
        <is>
          <t>Marathon Petroleum Corp Employees PAC (MPAC)</t>
        </is>
      </c>
      <c r="D1404" t="inlineStr">
        <is>
          <t>SMUCKER FOR CONGRESS</t>
        </is>
      </c>
      <c r="E1404" t="inlineStr">
        <is>
          <t>H6PA16320</t>
        </is>
      </c>
      <c r="F1404" t="inlineStr">
        <is>
          <t>REP</t>
        </is>
      </c>
      <c r="G1404" t="inlineStr">
        <is>
          <t>06212022</t>
        </is>
      </c>
      <c r="H1404" t="n">
        <v>-2500</v>
      </c>
      <c r="I1404" t="inlineStr">
        <is>
          <t>202207209522415946</t>
        </is>
      </c>
      <c r="J1404" t="inlineStr">
        <is>
          <t>https://docquery.fec.gov/cgi-bin/fecimg/?202207209522415946</t>
        </is>
      </c>
    </row>
    <row r="1405">
      <c r="A1405" t="inlineStr">
        <is>
          <t>2022</t>
        </is>
      </c>
      <c r="B1405" t="inlineStr">
        <is>
          <t>C00496307</t>
        </is>
      </c>
      <c r="C1405" t="inlineStr">
        <is>
          <t>Marathon Petroleum Corp Employees PAC (MPAC)</t>
        </is>
      </c>
      <c r="D1405" t="inlineStr">
        <is>
          <t>SMUCKER FOR CONGRESS</t>
        </is>
      </c>
      <c r="E1405" t="inlineStr">
        <is>
          <t>H6PA16320</t>
        </is>
      </c>
      <c r="F1405" t="inlineStr">
        <is>
          <t>REP</t>
        </is>
      </c>
      <c r="G1405" t="inlineStr">
        <is>
          <t>06222022</t>
        </is>
      </c>
      <c r="H1405" t="n">
        <v>2500</v>
      </c>
      <c r="I1405" t="inlineStr">
        <is>
          <t>202207209522415946</t>
        </is>
      </c>
      <c r="J1405" t="inlineStr">
        <is>
          <t>https://docquery.fec.gov/cgi-bin/fecimg/?202207209522415946</t>
        </is>
      </c>
    </row>
    <row r="1406">
      <c r="A1406" t="inlineStr">
        <is>
          <t>2022</t>
        </is>
      </c>
      <c r="B1406" t="inlineStr">
        <is>
          <t>C00496307</t>
        </is>
      </c>
      <c r="C1406" t="inlineStr">
        <is>
          <t>Marathon Petroleum Corp Employees PAC (MPAC)</t>
        </is>
      </c>
      <c r="D1406" t="inlineStr">
        <is>
          <t>FRIENDS FOR CHRIS STEWART, INC.</t>
        </is>
      </c>
      <c r="E1406" t="inlineStr">
        <is>
          <t>H2UT02324</t>
        </is>
      </c>
      <c r="F1406" t="inlineStr">
        <is>
          <t>REP</t>
        </is>
      </c>
      <c r="G1406" t="inlineStr">
        <is>
          <t>06232022</t>
        </is>
      </c>
      <c r="H1406" t="n">
        <v>2500</v>
      </c>
      <c r="I1406" t="inlineStr">
        <is>
          <t>202207209522415942</t>
        </is>
      </c>
      <c r="J1406" t="inlineStr">
        <is>
          <t>https://docquery.fec.gov/cgi-bin/fecimg/?202207209522415942</t>
        </is>
      </c>
    </row>
    <row r="1407">
      <c r="A1407" t="inlineStr">
        <is>
          <t>2022</t>
        </is>
      </c>
      <c r="B1407" t="inlineStr">
        <is>
          <t>C00496307</t>
        </is>
      </c>
      <c r="C1407" t="inlineStr">
        <is>
          <t>Marathon Petroleum Corp Employees PAC (MPAC)</t>
        </is>
      </c>
      <c r="D1407" t="inlineStr">
        <is>
          <t>FRIENDS OF MIKE LEE, INC.</t>
        </is>
      </c>
      <c r="E1407" t="inlineStr">
        <is>
          <t>S0UT00165</t>
        </is>
      </c>
      <c r="F1407" t="inlineStr">
        <is>
          <t>REP</t>
        </is>
      </c>
      <c r="G1407" t="inlineStr">
        <is>
          <t>06232022</t>
        </is>
      </c>
      <c r="H1407" t="n">
        <v>5000</v>
      </c>
      <c r="I1407" t="inlineStr">
        <is>
          <t>202207209522415943</t>
        </is>
      </c>
      <c r="J1407" t="inlineStr">
        <is>
          <t>https://docquery.fec.gov/cgi-bin/fecimg/?202207209522415943</t>
        </is>
      </c>
    </row>
    <row r="1408">
      <c r="A1408" t="inlineStr">
        <is>
          <t>2022</t>
        </is>
      </c>
      <c r="B1408" t="inlineStr">
        <is>
          <t>C00496307</t>
        </is>
      </c>
      <c r="C1408" t="inlineStr">
        <is>
          <t>Marathon Petroleum Corp Employees PAC (MPAC)</t>
        </is>
      </c>
      <c r="D1408" t="inlineStr">
        <is>
          <t>BICE FOR CONGRESS</t>
        </is>
      </c>
      <c r="E1408" t="inlineStr">
        <is>
          <t>H0OK05205</t>
        </is>
      </c>
      <c r="F1408" t="inlineStr">
        <is>
          <t>REP</t>
        </is>
      </c>
      <c r="G1408" t="inlineStr">
        <is>
          <t>06232022</t>
        </is>
      </c>
      <c r="H1408" t="n">
        <v>1500</v>
      </c>
      <c r="I1408" t="inlineStr">
        <is>
          <t>202207209522415941</t>
        </is>
      </c>
      <c r="J1408" t="inlineStr">
        <is>
          <t>https://docquery.fec.gov/cgi-bin/fecimg/?202207209522415941</t>
        </is>
      </c>
    </row>
    <row r="1409">
      <c r="A1409" t="inlineStr">
        <is>
          <t>2022</t>
        </is>
      </c>
      <c r="B1409" t="inlineStr">
        <is>
          <t>C00496307</t>
        </is>
      </c>
      <c r="C1409" t="inlineStr">
        <is>
          <t>Marathon Petroleum Corp Employees PAC (MPAC)</t>
        </is>
      </c>
      <c r="D1409" t="inlineStr">
        <is>
          <t>BYRON DONALDS FOR CONGRESS</t>
        </is>
      </c>
      <c r="E1409" t="inlineStr">
        <is>
          <t>H0FL19205</t>
        </is>
      </c>
      <c r="G1409" t="inlineStr">
        <is>
          <t>06272022</t>
        </is>
      </c>
      <c r="H1409" t="n">
        <v>2500</v>
      </c>
      <c r="I1409" t="inlineStr">
        <is>
          <t>202207209522415942</t>
        </is>
      </c>
      <c r="J1409" t="inlineStr">
        <is>
          <t>https://docquery.fec.gov/cgi-bin/fecimg/?202207209522415942</t>
        </is>
      </c>
    </row>
    <row r="1410">
      <c r="A1410" t="inlineStr">
        <is>
          <t>2022</t>
        </is>
      </c>
      <c r="B1410" t="inlineStr">
        <is>
          <t>C00496307</t>
        </is>
      </c>
      <c r="C1410" t="inlineStr">
        <is>
          <t>Marathon Petroleum Corp Employees PAC (MPAC)</t>
        </is>
      </c>
      <c r="D1410" t="inlineStr">
        <is>
          <t>FRIENDS OF JOHN THUNE</t>
        </is>
      </c>
      <c r="E1410" t="inlineStr">
        <is>
          <t>S2SD00068</t>
        </is>
      </c>
      <c r="F1410" t="inlineStr">
        <is>
          <t>REP</t>
        </is>
      </c>
      <c r="G1410" t="inlineStr">
        <is>
          <t>06272022</t>
        </is>
      </c>
      <c r="H1410" t="n">
        <v>2500</v>
      </c>
      <c r="I1410" t="inlineStr">
        <is>
          <t>202207209522415942</t>
        </is>
      </c>
      <c r="J1410" t="inlineStr">
        <is>
          <t>https://docquery.fec.gov/cgi-bin/fecimg/?202207209522415942</t>
        </is>
      </c>
    </row>
    <row r="1411">
      <c r="A1411" t="inlineStr">
        <is>
          <t>2022</t>
        </is>
      </c>
      <c r="B1411" t="inlineStr">
        <is>
          <t>C00496307</t>
        </is>
      </c>
      <c r="C1411" t="inlineStr">
        <is>
          <t>Marathon Petroleum Corp Employees PAC (MPAC)</t>
        </is>
      </c>
      <c r="D1411" t="inlineStr">
        <is>
          <t>HUDSON FOR CONGRESS</t>
        </is>
      </c>
      <c r="E1411" t="inlineStr">
        <is>
          <t>H2NC08185</t>
        </is>
      </c>
      <c r="F1411" t="inlineStr">
        <is>
          <t>REP</t>
        </is>
      </c>
      <c r="G1411" t="inlineStr">
        <is>
          <t>06272022</t>
        </is>
      </c>
      <c r="H1411" t="n">
        <v>2500</v>
      </c>
      <c r="I1411" t="inlineStr">
        <is>
          <t>202207209522415943</t>
        </is>
      </c>
      <c r="J1411" t="inlineStr">
        <is>
          <t>https://docquery.fec.gov/cgi-bin/fecimg/?202207209522415943</t>
        </is>
      </c>
    </row>
    <row r="1412">
      <c r="A1412" t="inlineStr">
        <is>
          <t>2022</t>
        </is>
      </c>
      <c r="B1412" t="inlineStr">
        <is>
          <t>C00496307</t>
        </is>
      </c>
      <c r="C1412" t="inlineStr">
        <is>
          <t>Marathon Petroleum Corp Employees PAC (MPAC)</t>
        </is>
      </c>
      <c r="D1412" t="inlineStr">
        <is>
          <t>JIM BANKS FOR CONGRESS, INC.</t>
        </is>
      </c>
      <c r="E1412" t="inlineStr">
        <is>
          <t>H6IN03229</t>
        </is>
      </c>
      <c r="F1412" t="inlineStr">
        <is>
          <t>REP</t>
        </is>
      </c>
      <c r="G1412" t="inlineStr">
        <is>
          <t>06272022</t>
        </is>
      </c>
      <c r="H1412" t="n">
        <v>2500</v>
      </c>
      <c r="I1412" t="inlineStr">
        <is>
          <t>202207209522415944</t>
        </is>
      </c>
      <c r="J1412" t="inlineStr">
        <is>
          <t>https://docquery.fec.gov/cgi-bin/fecimg/?202207209522415944</t>
        </is>
      </c>
    </row>
    <row r="1413">
      <c r="A1413" t="inlineStr">
        <is>
          <t>2022</t>
        </is>
      </c>
      <c r="B1413" t="inlineStr">
        <is>
          <t>C00496307</t>
        </is>
      </c>
      <c r="C1413" t="inlineStr">
        <is>
          <t>Marathon Petroleum Corp Employees PAC (MPAC)</t>
        </is>
      </c>
      <c r="D1413" t="inlineStr">
        <is>
          <t>BUCSHON FOR CONGRESS</t>
        </is>
      </c>
      <c r="E1413" t="inlineStr">
        <is>
          <t>H0IN08114</t>
        </is>
      </c>
      <c r="F1413" t="inlineStr">
        <is>
          <t>REP</t>
        </is>
      </c>
      <c r="G1413" t="inlineStr">
        <is>
          <t>06272022</t>
        </is>
      </c>
      <c r="H1413" t="n">
        <v>2500</v>
      </c>
      <c r="I1413" t="inlineStr">
        <is>
          <t>202207209522415941</t>
        </is>
      </c>
      <c r="J1413" t="inlineStr">
        <is>
          <t>https://docquery.fec.gov/cgi-bin/fecimg/?202207209522415941</t>
        </is>
      </c>
    </row>
    <row r="1414">
      <c r="A1414" t="inlineStr">
        <is>
          <t>2022</t>
        </is>
      </c>
      <c r="B1414" t="inlineStr">
        <is>
          <t>C00496307</t>
        </is>
      </c>
      <c r="C1414" t="inlineStr">
        <is>
          <t>Marathon Petroleum Corp Employees PAC (MPAC)</t>
        </is>
      </c>
      <c r="D1414" t="inlineStr">
        <is>
          <t>MIKE JOHNSON FOR LOUISIANA</t>
        </is>
      </c>
      <c r="E1414" t="inlineStr">
        <is>
          <t>H6LA04138</t>
        </is>
      </c>
      <c r="F1414" t="inlineStr">
        <is>
          <t>REP</t>
        </is>
      </c>
      <c r="G1414" t="inlineStr">
        <is>
          <t>06272022</t>
        </is>
      </c>
      <c r="H1414" t="n">
        <v>2500</v>
      </c>
      <c r="I1414" t="inlineStr">
        <is>
          <t>202207209522415945</t>
        </is>
      </c>
      <c r="J1414" t="inlineStr">
        <is>
          <t>https://docquery.fec.gov/cgi-bin/fecimg/?202207209522415945</t>
        </is>
      </c>
    </row>
    <row r="1415">
      <c r="A1415" t="inlineStr">
        <is>
          <t>2022</t>
        </is>
      </c>
      <c r="B1415" t="inlineStr">
        <is>
          <t>C00496307</t>
        </is>
      </c>
      <c r="C1415" t="inlineStr">
        <is>
          <t>Marathon Petroleum Corp Employees PAC (MPAC)</t>
        </is>
      </c>
      <c r="D1415" t="inlineStr">
        <is>
          <t>RON ESTES FOR CONGRESS</t>
        </is>
      </c>
      <c r="E1415" t="inlineStr">
        <is>
          <t>H8KS04112</t>
        </is>
      </c>
      <c r="F1415" t="inlineStr">
        <is>
          <t>REP</t>
        </is>
      </c>
      <c r="G1415" t="inlineStr">
        <is>
          <t>06272022</t>
        </is>
      </c>
      <c r="H1415" t="n">
        <v>2500</v>
      </c>
      <c r="I1415" t="inlineStr">
        <is>
          <t>202207209522415945</t>
        </is>
      </c>
      <c r="J1415" t="inlineStr">
        <is>
          <t>https://docquery.fec.gov/cgi-bin/fecimg/?202207209522415945</t>
        </is>
      </c>
    </row>
    <row r="1416">
      <c r="A1416" t="inlineStr">
        <is>
          <t>2022</t>
        </is>
      </c>
      <c r="B1416" t="inlineStr">
        <is>
          <t>C00496307</t>
        </is>
      </c>
      <c r="C1416" t="inlineStr">
        <is>
          <t>Marathon Petroleum Corp Employees PAC (MPAC)</t>
        </is>
      </c>
      <c r="D1416" t="inlineStr">
        <is>
          <t>TERRI SEWELL FOR CONGRESS</t>
        </is>
      </c>
      <c r="E1416" t="inlineStr">
        <is>
          <t>H0AL07086</t>
        </is>
      </c>
      <c r="F1416" t="inlineStr">
        <is>
          <t>DEM</t>
        </is>
      </c>
      <c r="G1416" t="inlineStr">
        <is>
          <t>06272022</t>
        </is>
      </c>
      <c r="H1416" t="n">
        <v>2500</v>
      </c>
      <c r="I1416" t="inlineStr">
        <is>
          <t>202207209522415947</t>
        </is>
      </c>
      <c r="J1416" t="inlineStr">
        <is>
          <t>https://docquery.fec.gov/cgi-bin/fecimg/?202207209522415947</t>
        </is>
      </c>
    </row>
    <row r="1417">
      <c r="A1417" t="inlineStr">
        <is>
          <t>2022</t>
        </is>
      </c>
      <c r="B1417" t="inlineStr">
        <is>
          <t>C00496307</t>
        </is>
      </c>
      <c r="C1417" t="inlineStr">
        <is>
          <t>Marathon Petroleum Corp Employees PAC (MPAC)</t>
        </is>
      </c>
      <c r="D1417" t="inlineStr">
        <is>
          <t>SCALISE FOR CONGRESS</t>
        </is>
      </c>
      <c r="E1417" t="inlineStr">
        <is>
          <t>H0LA01087</t>
        </is>
      </c>
      <c r="F1417" t="inlineStr">
        <is>
          <t>REP</t>
        </is>
      </c>
      <c r="G1417" t="inlineStr">
        <is>
          <t>06282021</t>
        </is>
      </c>
      <c r="H1417" t="n">
        <v>2500</v>
      </c>
      <c r="I1417" t="inlineStr">
        <is>
          <t>202107209451845041</t>
        </is>
      </c>
      <c r="J1417" t="inlineStr">
        <is>
          <t>https://docquery.fec.gov/cgi-bin/fecimg/?202107209451845041</t>
        </is>
      </c>
    </row>
    <row r="1418">
      <c r="A1418" t="inlineStr">
        <is>
          <t>2022</t>
        </is>
      </c>
      <c r="B1418" t="inlineStr">
        <is>
          <t>C00496307</t>
        </is>
      </c>
      <c r="C1418" t="inlineStr">
        <is>
          <t>Marathon Petroleum Corp Employees PAC (MPAC)</t>
        </is>
      </c>
      <c r="D1418" t="inlineStr">
        <is>
          <t>SYLVIA GARCIA FOR CONGRESS</t>
        </is>
      </c>
      <c r="E1418" t="inlineStr">
        <is>
          <t>H8TX29052</t>
        </is>
      </c>
      <c r="F1418" t="inlineStr">
        <is>
          <t>DEM</t>
        </is>
      </c>
      <c r="G1418" t="inlineStr">
        <is>
          <t>06282021</t>
        </is>
      </c>
      <c r="H1418" t="n">
        <v>2500</v>
      </c>
      <c r="I1418" t="inlineStr">
        <is>
          <t>202107209451845042</t>
        </is>
      </c>
      <c r="J1418" t="inlineStr">
        <is>
          <t>https://docquery.fec.gov/cgi-bin/fecimg/?202107209451845042</t>
        </is>
      </c>
    </row>
    <row r="1419">
      <c r="A1419" t="inlineStr">
        <is>
          <t>2022</t>
        </is>
      </c>
      <c r="B1419" t="inlineStr">
        <is>
          <t>C00496307</t>
        </is>
      </c>
      <c r="C1419" t="inlineStr">
        <is>
          <t>Marathon Petroleum Corp Employees PAC (MPAC)</t>
        </is>
      </c>
      <c r="D1419" t="inlineStr">
        <is>
          <t>GARRET GRAVES FOR CONGRESS</t>
        </is>
      </c>
      <c r="E1419" t="inlineStr">
        <is>
          <t>H4LA06153</t>
        </is>
      </c>
      <c r="F1419" t="inlineStr">
        <is>
          <t>REP</t>
        </is>
      </c>
      <c r="G1419" t="inlineStr">
        <is>
          <t>06282021</t>
        </is>
      </c>
      <c r="H1419" t="n">
        <v>2500</v>
      </c>
      <c r="I1419" t="inlineStr">
        <is>
          <t>202107209451845037</t>
        </is>
      </c>
      <c r="J1419" t="inlineStr">
        <is>
          <t>https://docquery.fec.gov/cgi-bin/fecimg/?202107209451845037</t>
        </is>
      </c>
    </row>
    <row r="1420">
      <c r="A1420" t="inlineStr">
        <is>
          <t>2022</t>
        </is>
      </c>
      <c r="B1420" t="inlineStr">
        <is>
          <t>C00496307</t>
        </is>
      </c>
      <c r="C1420" t="inlineStr">
        <is>
          <t>Marathon Petroleum Corp Employees PAC (MPAC)</t>
        </is>
      </c>
      <c r="D1420" t="inlineStr">
        <is>
          <t>ADAM HOLLIER FOR CONGRESS</t>
        </is>
      </c>
      <c r="E1420" t="inlineStr">
        <is>
          <t>H2MI13246</t>
        </is>
      </c>
      <c r="F1420" t="inlineStr">
        <is>
          <t>DEM</t>
        </is>
      </c>
      <c r="G1420" t="inlineStr">
        <is>
          <t>06282022</t>
        </is>
      </c>
      <c r="H1420" t="n">
        <v>2500</v>
      </c>
      <c r="I1420" t="inlineStr">
        <is>
          <t>202207209522415940</t>
        </is>
      </c>
      <c r="J1420" t="inlineStr">
        <is>
          <t>https://docquery.fec.gov/cgi-bin/fecimg/?202207209522415940</t>
        </is>
      </c>
    </row>
    <row r="1421">
      <c r="A1421" t="inlineStr">
        <is>
          <t>2022</t>
        </is>
      </c>
      <c r="B1421" t="inlineStr">
        <is>
          <t>C00496307</t>
        </is>
      </c>
      <c r="C1421" t="inlineStr">
        <is>
          <t>Marathon Petroleum Corp Employees PAC (MPAC)</t>
        </is>
      </c>
      <c r="D1421" t="inlineStr">
        <is>
          <t>ASHLEY HINSON FOR CONGRESS</t>
        </is>
      </c>
      <c r="E1421" t="inlineStr">
        <is>
          <t>H0IA01174</t>
        </is>
      </c>
      <c r="F1421" t="inlineStr">
        <is>
          <t>REP</t>
        </is>
      </c>
      <c r="G1421" t="inlineStr">
        <is>
          <t>06282022</t>
        </is>
      </c>
      <c r="H1421" t="n">
        <v>1000</v>
      </c>
      <c r="I1421" t="inlineStr">
        <is>
          <t>202207209522415940</t>
        </is>
      </c>
      <c r="J1421" t="inlineStr">
        <is>
          <t>https://docquery.fec.gov/cgi-bin/fecimg/?202207209522415940</t>
        </is>
      </c>
    </row>
    <row r="1422">
      <c r="A1422" t="inlineStr">
        <is>
          <t>2022</t>
        </is>
      </c>
      <c r="B1422" t="inlineStr">
        <is>
          <t>C00496307</t>
        </is>
      </c>
      <c r="C1422" t="inlineStr">
        <is>
          <t>Marathon Petroleum Corp Employees PAC (MPAC)</t>
        </is>
      </c>
      <c r="D1422" t="inlineStr">
        <is>
          <t>HUNT FOR CONGRESS</t>
        </is>
      </c>
      <c r="E1422" t="inlineStr">
        <is>
          <t>H0TX07170</t>
        </is>
      </c>
      <c r="F1422" t="inlineStr">
        <is>
          <t>REP</t>
        </is>
      </c>
      <c r="G1422" t="inlineStr">
        <is>
          <t>06282022</t>
        </is>
      </c>
      <c r="H1422" t="n">
        <v>2500</v>
      </c>
      <c r="I1422" t="inlineStr">
        <is>
          <t>202207209522415943</t>
        </is>
      </c>
      <c r="J1422" t="inlineStr">
        <is>
          <t>https://docquery.fec.gov/cgi-bin/fecimg/?202207209522415943</t>
        </is>
      </c>
    </row>
    <row r="1423">
      <c r="A1423" t="inlineStr">
        <is>
          <t>2022</t>
        </is>
      </c>
      <c r="B1423" t="inlineStr">
        <is>
          <t>C00496307</t>
        </is>
      </c>
      <c r="C1423" t="inlineStr">
        <is>
          <t>Marathon Petroleum Corp Employees PAC (MPAC)</t>
        </is>
      </c>
      <c r="D1423" t="inlineStr">
        <is>
          <t>JAKE ELLZEY FOR CONGRESS</t>
        </is>
      </c>
      <c r="E1423" t="inlineStr">
        <is>
          <t>H8TX06266</t>
        </is>
      </c>
      <c r="F1423" t="inlineStr">
        <is>
          <t>REP</t>
        </is>
      </c>
      <c r="G1423" t="inlineStr">
        <is>
          <t>06282022</t>
        </is>
      </c>
      <c r="H1423" t="n">
        <v>2500</v>
      </c>
      <c r="I1423" t="inlineStr">
        <is>
          <t>202207209522415944</t>
        </is>
      </c>
      <c r="J1423" t="inlineStr">
        <is>
          <t>https://docquery.fec.gov/cgi-bin/fecimg/?202207209522415944</t>
        </is>
      </c>
    </row>
    <row r="1424">
      <c r="A1424" t="inlineStr">
        <is>
          <t>2022</t>
        </is>
      </c>
      <c r="B1424" t="inlineStr">
        <is>
          <t>C00496307</t>
        </is>
      </c>
      <c r="C1424" t="inlineStr">
        <is>
          <t>Marathon Petroleum Corp Employees PAC (MPAC)</t>
        </is>
      </c>
      <c r="D1424" t="inlineStr">
        <is>
          <t>JIM COSTA FOR CONGRESS</t>
        </is>
      </c>
      <c r="E1424" t="inlineStr">
        <is>
          <t>H4CA20082</t>
        </is>
      </c>
      <c r="F1424" t="inlineStr">
        <is>
          <t>DEM</t>
        </is>
      </c>
      <c r="G1424" t="inlineStr">
        <is>
          <t>06282022</t>
        </is>
      </c>
      <c r="H1424" t="n">
        <v>2500</v>
      </c>
      <c r="I1424" t="inlineStr">
        <is>
          <t>202207209522415944</t>
        </is>
      </c>
      <c r="J1424" t="inlineStr">
        <is>
          <t>https://docquery.fec.gov/cgi-bin/fecimg/?202207209522415944</t>
        </is>
      </c>
    </row>
    <row r="1425">
      <c r="A1425" t="inlineStr">
        <is>
          <t>2022</t>
        </is>
      </c>
      <c r="B1425" t="inlineStr">
        <is>
          <t>C00496307</t>
        </is>
      </c>
      <c r="C1425" t="inlineStr">
        <is>
          <t>Marathon Petroleum Corp Employees PAC (MPAC)</t>
        </is>
      </c>
      <c r="D1425" t="inlineStr">
        <is>
          <t>MICHELLE STEEL FOR CONGRESS</t>
        </is>
      </c>
      <c r="E1425" t="inlineStr">
        <is>
          <t>H0CA48198</t>
        </is>
      </c>
      <c r="F1425" t="inlineStr">
        <is>
          <t>REP</t>
        </is>
      </c>
      <c r="G1425" t="inlineStr">
        <is>
          <t>06282022</t>
        </is>
      </c>
      <c r="H1425" t="n">
        <v>2500</v>
      </c>
      <c r="I1425" t="inlineStr">
        <is>
          <t>202207209522415945</t>
        </is>
      </c>
      <c r="J1425" t="inlineStr">
        <is>
          <t>https://docquery.fec.gov/cgi-bin/fecimg/?202207209522415945</t>
        </is>
      </c>
    </row>
    <row r="1426">
      <c r="A1426" t="inlineStr">
        <is>
          <t>2022</t>
        </is>
      </c>
      <c r="B1426" t="inlineStr">
        <is>
          <t>C00496307</t>
        </is>
      </c>
      <c r="C1426" t="inlineStr">
        <is>
          <t>Marathon Petroleum Corp Employees PAC (MPAC)</t>
        </is>
      </c>
      <c r="D1426" t="inlineStr">
        <is>
          <t>BETH VAN DUYNE FOR CONGRESS</t>
        </is>
      </c>
      <c r="E1426" t="inlineStr">
        <is>
          <t>H0TX24209</t>
        </is>
      </c>
      <c r="F1426" t="inlineStr">
        <is>
          <t>REP</t>
        </is>
      </c>
      <c r="G1426" t="inlineStr">
        <is>
          <t>06282022</t>
        </is>
      </c>
      <c r="H1426" t="n">
        <v>2500</v>
      </c>
      <c r="I1426" t="inlineStr">
        <is>
          <t>202207209522415941</t>
        </is>
      </c>
      <c r="J1426" t="inlineStr">
        <is>
          <t>https://docquery.fec.gov/cgi-bin/fecimg/?202207209522415941</t>
        </is>
      </c>
    </row>
    <row r="1427">
      <c r="A1427" t="inlineStr">
        <is>
          <t>2022</t>
        </is>
      </c>
      <c r="B1427" t="inlineStr">
        <is>
          <t>C00496307</t>
        </is>
      </c>
      <c r="C1427" t="inlineStr">
        <is>
          <t>Marathon Petroleum Corp Employees PAC (MPAC)</t>
        </is>
      </c>
      <c r="D1427" t="inlineStr">
        <is>
          <t>STEIL FOR WISCONSIN, INC.</t>
        </is>
      </c>
      <c r="E1427" t="inlineStr">
        <is>
          <t>H8WI01156</t>
        </is>
      </c>
      <c r="F1427" t="inlineStr">
        <is>
          <t>REP</t>
        </is>
      </c>
      <c r="G1427" t="inlineStr">
        <is>
          <t>06282022</t>
        </is>
      </c>
      <c r="H1427" t="n">
        <v>1000</v>
      </c>
      <c r="I1427" t="inlineStr">
        <is>
          <t>202207209522415946</t>
        </is>
      </c>
      <c r="J1427" t="inlineStr">
        <is>
          <t>https://docquery.fec.gov/cgi-bin/fecimg/?202207209522415946</t>
        </is>
      </c>
    </row>
    <row r="1428">
      <c r="A1428" t="inlineStr">
        <is>
          <t>2022</t>
        </is>
      </c>
      <c r="B1428" t="inlineStr">
        <is>
          <t>C00496307</t>
        </is>
      </c>
      <c r="C1428" t="inlineStr">
        <is>
          <t>Marathon Petroleum Corp Employees PAC (MPAC)</t>
        </is>
      </c>
      <c r="D1428" t="inlineStr">
        <is>
          <t>ADAM HOLLIER FOR CONGRESS</t>
        </is>
      </c>
      <c r="E1428" t="inlineStr">
        <is>
          <t>H2MI13246</t>
        </is>
      </c>
      <c r="F1428" t="inlineStr">
        <is>
          <t>DEM</t>
        </is>
      </c>
      <c r="G1428" t="inlineStr">
        <is>
          <t>07222022</t>
        </is>
      </c>
      <c r="H1428" t="n">
        <v>-2500</v>
      </c>
      <c r="I1428" t="inlineStr">
        <is>
          <t>202208179525498684</t>
        </is>
      </c>
      <c r="J1428" t="inlineStr">
        <is>
          <t>https://docquery.fec.gov/cgi-bin/fecimg/?202208179525498684</t>
        </is>
      </c>
    </row>
    <row r="1429">
      <c r="A1429" t="inlineStr">
        <is>
          <t>2022</t>
        </is>
      </c>
      <c r="B1429" t="inlineStr">
        <is>
          <t>C00496307</t>
        </is>
      </c>
      <c r="C1429" t="inlineStr">
        <is>
          <t>Marathon Petroleum Corp Employees PAC (MPAC)</t>
        </is>
      </c>
      <c r="D1429" t="inlineStr">
        <is>
          <t>ADAM HOLLIER FOR CONGRESS</t>
        </is>
      </c>
      <c r="E1429" t="inlineStr">
        <is>
          <t>H2MI13246</t>
        </is>
      </c>
      <c r="F1429" t="inlineStr">
        <is>
          <t>DEM</t>
        </is>
      </c>
      <c r="G1429" t="inlineStr">
        <is>
          <t>07252022</t>
        </is>
      </c>
      <c r="H1429" t="n">
        <v>2500</v>
      </c>
      <c r="I1429" t="inlineStr">
        <is>
          <t>202208179525498684</t>
        </is>
      </c>
      <c r="J1429" t="inlineStr">
        <is>
          <t>https://docquery.fec.gov/cgi-bin/fecimg/?202208179525498684</t>
        </is>
      </c>
    </row>
    <row r="1430">
      <c r="A1430" t="inlineStr">
        <is>
          <t>2022</t>
        </is>
      </c>
      <c r="B1430" t="inlineStr">
        <is>
          <t>C00496307</t>
        </is>
      </c>
      <c r="C1430" t="inlineStr">
        <is>
          <t>Marathon Petroleum Corp Employees PAC (MPAC)</t>
        </is>
      </c>
      <c r="D1430" t="inlineStr">
        <is>
          <t>CITIZENS TO ELECT RICK LARSEN</t>
        </is>
      </c>
      <c r="E1430" t="inlineStr">
        <is>
          <t>H0WA02080</t>
        </is>
      </c>
      <c r="F1430" t="inlineStr">
        <is>
          <t>DEM</t>
        </is>
      </c>
      <c r="G1430" t="inlineStr">
        <is>
          <t>07272022</t>
        </is>
      </c>
      <c r="H1430" t="n">
        <v>2500</v>
      </c>
      <c r="I1430" t="inlineStr">
        <is>
          <t>202208179525498684</t>
        </is>
      </c>
      <c r="J1430" t="inlineStr">
        <is>
          <t>https://docquery.fec.gov/cgi-bin/fecimg/?202208179525498684</t>
        </is>
      </c>
    </row>
    <row r="1431">
      <c r="A1431" t="inlineStr">
        <is>
          <t>2022</t>
        </is>
      </c>
      <c r="B1431" t="inlineStr">
        <is>
          <t>C00496307</t>
        </is>
      </c>
      <c r="C1431" t="inlineStr">
        <is>
          <t>Marathon Petroleum Corp Employees PAC (MPAC)</t>
        </is>
      </c>
      <c r="D1431" t="inlineStr">
        <is>
          <t>DEBBIE LESKO FOR CONGRESS</t>
        </is>
      </c>
      <c r="E1431" t="inlineStr">
        <is>
          <t>H8AZ08158</t>
        </is>
      </c>
      <c r="F1431" t="inlineStr">
        <is>
          <t>REP</t>
        </is>
      </c>
      <c r="G1431" t="inlineStr">
        <is>
          <t>07272022</t>
        </is>
      </c>
      <c r="H1431" t="n">
        <v>5000</v>
      </c>
      <c r="I1431" t="inlineStr">
        <is>
          <t>202208179525498685</t>
        </is>
      </c>
      <c r="J1431" t="inlineStr">
        <is>
          <t>https://docquery.fec.gov/cgi-bin/fecimg/?202208179525498685</t>
        </is>
      </c>
    </row>
    <row r="1432">
      <c r="A1432" t="inlineStr">
        <is>
          <t>2022</t>
        </is>
      </c>
      <c r="B1432" t="inlineStr">
        <is>
          <t>C00496307</t>
        </is>
      </c>
      <c r="C1432" t="inlineStr">
        <is>
          <t>Marathon Petroleum Corp Employees PAC (MPAC)</t>
        </is>
      </c>
      <c r="D1432" t="inlineStr">
        <is>
          <t>SAM GRAVES FOR CONGRESS</t>
        </is>
      </c>
      <c r="E1432" t="inlineStr">
        <is>
          <t>H0MO06073</t>
        </is>
      </c>
      <c r="F1432" t="inlineStr">
        <is>
          <t>REP</t>
        </is>
      </c>
      <c r="G1432" t="inlineStr">
        <is>
          <t>07272022</t>
        </is>
      </c>
      <c r="H1432" t="n">
        <v>2500</v>
      </c>
      <c r="I1432" t="inlineStr">
        <is>
          <t>202208179525498685</t>
        </is>
      </c>
      <c r="J1432" t="inlineStr">
        <is>
          <t>https://docquery.fec.gov/cgi-bin/fecimg/?202208179525498685</t>
        </is>
      </c>
    </row>
    <row r="1433">
      <c r="A1433" t="inlineStr">
        <is>
          <t>2022</t>
        </is>
      </c>
      <c r="B1433" t="inlineStr">
        <is>
          <t>C00496307</t>
        </is>
      </c>
      <c r="C1433" t="inlineStr">
        <is>
          <t>Marathon Petroleum Corp Employees PAC (MPAC)</t>
        </is>
      </c>
      <c r="D1433" t="inlineStr">
        <is>
          <t>JOHN JAMES FOR CONGRESS, INC.</t>
        </is>
      </c>
      <c r="E1433" t="inlineStr">
        <is>
          <t>H2MI10150</t>
        </is>
      </c>
      <c r="F1433" t="inlineStr">
        <is>
          <t>REP</t>
        </is>
      </c>
      <c r="G1433" t="inlineStr">
        <is>
          <t>07292022</t>
        </is>
      </c>
      <c r="H1433" t="n">
        <v>5000</v>
      </c>
      <c r="I1433" t="inlineStr">
        <is>
          <t>202208179525498685</t>
        </is>
      </c>
      <c r="J1433" t="inlineStr">
        <is>
          <t>https://docquery.fec.gov/cgi-bin/fecimg/?202208179525498685</t>
        </is>
      </c>
    </row>
    <row r="1434">
      <c r="A1434" t="inlineStr">
        <is>
          <t>2022</t>
        </is>
      </c>
      <c r="B1434" t="inlineStr">
        <is>
          <t>C00496307</t>
        </is>
      </c>
      <c r="C1434" t="inlineStr">
        <is>
          <t>Marathon Petroleum Corp Employees PAC (MPAC)</t>
        </is>
      </c>
      <c r="D1434" t="inlineStr">
        <is>
          <t>JIM BANKS FOR CONGRESS, INC.</t>
        </is>
      </c>
      <c r="E1434" t="inlineStr">
        <is>
          <t>H6IN03229</t>
        </is>
      </c>
      <c r="F1434" t="inlineStr">
        <is>
          <t>REP</t>
        </is>
      </c>
      <c r="G1434" t="inlineStr">
        <is>
          <t>08152022</t>
        </is>
      </c>
      <c r="H1434" t="n">
        <v>-5000</v>
      </c>
      <c r="I1434" t="inlineStr">
        <is>
          <t>202211079546720198</t>
        </is>
      </c>
      <c r="J1434" t="inlineStr">
        <is>
          <t>https://docquery.fec.gov/cgi-bin/fecimg/?202211079546720198</t>
        </is>
      </c>
    </row>
    <row r="1435">
      <c r="A1435" t="inlineStr">
        <is>
          <t>2022</t>
        </is>
      </c>
      <c r="B1435" t="inlineStr">
        <is>
          <t>C00496307</t>
        </is>
      </c>
      <c r="C1435" t="inlineStr">
        <is>
          <t>Marathon Petroleum Corp Employees PAC (MPAC)</t>
        </is>
      </c>
      <c r="D1435" t="inlineStr">
        <is>
          <t>KEVIN MCCARTHY FOR CONGRESS</t>
        </is>
      </c>
      <c r="E1435" t="inlineStr">
        <is>
          <t>H6CA22125</t>
        </is>
      </c>
      <c r="F1435" t="inlineStr">
        <is>
          <t>REP</t>
        </is>
      </c>
      <c r="G1435" t="inlineStr">
        <is>
          <t>08162021</t>
        </is>
      </c>
      <c r="H1435" t="n">
        <v>5000</v>
      </c>
      <c r="I1435" t="inlineStr">
        <is>
          <t>202109209466768720</t>
        </is>
      </c>
      <c r="J1435" t="inlineStr">
        <is>
          <t>https://docquery.fec.gov/cgi-bin/fecimg/?202109209466768720</t>
        </is>
      </c>
    </row>
    <row r="1436">
      <c r="A1436" t="inlineStr">
        <is>
          <t>2022</t>
        </is>
      </c>
      <c r="B1436" t="inlineStr">
        <is>
          <t>C00496307</t>
        </is>
      </c>
      <c r="C1436" t="inlineStr">
        <is>
          <t>Marathon Petroleum Corp Employees PAC (MPAC)</t>
        </is>
      </c>
      <c r="D1436" t="inlineStr">
        <is>
          <t>MARC VEASEY CONGRESSIONAL CAMPAIGN COMMITTEE</t>
        </is>
      </c>
      <c r="E1436" t="inlineStr">
        <is>
          <t>H2TX33073</t>
        </is>
      </c>
      <c r="F1436" t="inlineStr">
        <is>
          <t>DEM</t>
        </is>
      </c>
      <c r="G1436" t="inlineStr">
        <is>
          <t>08162021</t>
        </is>
      </c>
      <c r="H1436" t="n">
        <v>2500</v>
      </c>
      <c r="I1436" t="inlineStr">
        <is>
          <t>202109209466768720</t>
        </is>
      </c>
      <c r="J1436" t="inlineStr">
        <is>
          <t>https://docquery.fec.gov/cgi-bin/fecimg/?202109209466768720</t>
        </is>
      </c>
    </row>
    <row r="1437">
      <c r="A1437" t="inlineStr">
        <is>
          <t>2022</t>
        </is>
      </c>
      <c r="B1437" t="inlineStr">
        <is>
          <t>C00496307</t>
        </is>
      </c>
      <c r="C1437" t="inlineStr">
        <is>
          <t>Marathon Petroleum Corp Employees PAC (MPAC)</t>
        </is>
      </c>
      <c r="D1437" t="inlineStr">
        <is>
          <t>MCHENRY FOR CONGRESS</t>
        </is>
      </c>
      <c r="E1437" t="inlineStr">
        <is>
          <t>H4NC10047</t>
        </is>
      </c>
      <c r="F1437" t="inlineStr">
        <is>
          <t>REP</t>
        </is>
      </c>
      <c r="G1437" t="inlineStr">
        <is>
          <t>08162021</t>
        </is>
      </c>
      <c r="H1437" t="n">
        <v>2500</v>
      </c>
      <c r="I1437" t="inlineStr">
        <is>
          <t>202109209466768721</t>
        </is>
      </c>
      <c r="J1437" t="inlineStr">
        <is>
          <t>https://docquery.fec.gov/cgi-bin/fecimg/?202109209466768721</t>
        </is>
      </c>
    </row>
    <row r="1438">
      <c r="A1438" t="inlineStr">
        <is>
          <t>2022</t>
        </is>
      </c>
      <c r="B1438" t="inlineStr">
        <is>
          <t>C00496307</t>
        </is>
      </c>
      <c r="C1438" t="inlineStr">
        <is>
          <t>Marathon Petroleum Corp Employees PAC (MPAC)</t>
        </is>
      </c>
      <c r="D1438" t="inlineStr">
        <is>
          <t>TONY GONZALES FOR CONGRESS</t>
        </is>
      </c>
      <c r="E1438" t="inlineStr">
        <is>
          <t>H0TX35015</t>
        </is>
      </c>
      <c r="F1438" t="inlineStr">
        <is>
          <t>REP</t>
        </is>
      </c>
      <c r="G1438" t="inlineStr">
        <is>
          <t>08162021</t>
        </is>
      </c>
      <c r="H1438" t="n">
        <v>2500</v>
      </c>
      <c r="I1438" t="inlineStr">
        <is>
          <t>202109209466768721</t>
        </is>
      </c>
      <c r="J1438" t="inlineStr">
        <is>
          <t>https://docquery.fec.gov/cgi-bin/fecimg/?202109209466768721</t>
        </is>
      </c>
    </row>
    <row r="1439">
      <c r="A1439" t="inlineStr">
        <is>
          <t>2022</t>
        </is>
      </c>
      <c r="B1439" t="inlineStr">
        <is>
          <t>C00496307</t>
        </is>
      </c>
      <c r="C1439" t="inlineStr">
        <is>
          <t>Marathon Petroleum Corp Employees PAC (MPAC)</t>
        </is>
      </c>
      <c r="D1439" t="inlineStr">
        <is>
          <t>VICENTE GONZALEZ FOR CONGRESS</t>
        </is>
      </c>
      <c r="E1439" t="inlineStr">
        <is>
          <t>H6TX15162</t>
        </is>
      </c>
      <c r="F1439" t="inlineStr">
        <is>
          <t>DEM</t>
        </is>
      </c>
      <c r="G1439" t="inlineStr">
        <is>
          <t>08162021</t>
        </is>
      </c>
      <c r="H1439" t="n">
        <v>2500</v>
      </c>
      <c r="I1439" t="inlineStr">
        <is>
          <t>202109209466768722</t>
        </is>
      </c>
      <c r="J1439" t="inlineStr">
        <is>
          <t>https://docquery.fec.gov/cgi-bin/fecimg/?202109209466768722</t>
        </is>
      </c>
    </row>
    <row r="1440">
      <c r="A1440" t="inlineStr">
        <is>
          <t>2022</t>
        </is>
      </c>
      <c r="B1440" t="inlineStr">
        <is>
          <t>C00496307</t>
        </is>
      </c>
      <c r="C1440" t="inlineStr">
        <is>
          <t>Marathon Petroleum Corp Employees PAC (MPAC)</t>
        </is>
      </c>
      <c r="D1440" t="inlineStr">
        <is>
          <t>ANTHONY GONZALEZ FOR CONGRESS</t>
        </is>
      </c>
      <c r="E1440" t="inlineStr">
        <is>
          <t>H8OH16124</t>
        </is>
      </c>
      <c r="F1440" t="inlineStr">
        <is>
          <t>REP</t>
        </is>
      </c>
      <c r="G1440" t="inlineStr">
        <is>
          <t>08162021</t>
        </is>
      </c>
      <c r="H1440" t="n">
        <v>5000</v>
      </c>
      <c r="I1440" t="inlineStr">
        <is>
          <t>202109209466768716</t>
        </is>
      </c>
      <c r="J1440" t="inlineStr">
        <is>
          <t>https://docquery.fec.gov/cgi-bin/fecimg/?202109209466768716</t>
        </is>
      </c>
    </row>
    <row r="1441">
      <c r="A1441" t="inlineStr">
        <is>
          <t>2022</t>
        </is>
      </c>
      <c r="B1441" t="inlineStr">
        <is>
          <t>C00496307</t>
        </is>
      </c>
      <c r="C1441" t="inlineStr">
        <is>
          <t>Marathon Petroleum Corp Employees PAC (MPAC)</t>
        </is>
      </c>
      <c r="D1441" t="inlineStr">
        <is>
          <t>ARMSTRONG FOR CONGRESS</t>
        </is>
      </c>
      <c r="E1441" t="inlineStr">
        <is>
          <t>H8ND00096</t>
        </is>
      </c>
      <c r="F1441" t="inlineStr">
        <is>
          <t>REP</t>
        </is>
      </c>
      <c r="G1441" t="inlineStr">
        <is>
          <t>08162021</t>
        </is>
      </c>
      <c r="H1441" t="n">
        <v>2500</v>
      </c>
      <c r="I1441" t="inlineStr">
        <is>
          <t>202109209466768716</t>
        </is>
      </c>
      <c r="J1441" t="inlineStr">
        <is>
          <t>https://docquery.fec.gov/cgi-bin/fecimg/?202109209466768716</t>
        </is>
      </c>
    </row>
    <row r="1442">
      <c r="A1442" t="inlineStr">
        <is>
          <t>2022</t>
        </is>
      </c>
      <c r="B1442" t="inlineStr">
        <is>
          <t>C00496307</t>
        </is>
      </c>
      <c r="C1442" t="inlineStr">
        <is>
          <t>Marathon Petroleum Corp Employees PAC (MPAC)</t>
        </is>
      </c>
      <c r="D1442" t="inlineStr">
        <is>
          <t>CURTIS FOR CONGRESS</t>
        </is>
      </c>
      <c r="E1442" t="inlineStr">
        <is>
          <t>H8UT03238</t>
        </is>
      </c>
      <c r="F1442" t="inlineStr">
        <is>
          <t>REP</t>
        </is>
      </c>
      <c r="G1442" t="inlineStr">
        <is>
          <t>08162021</t>
        </is>
      </c>
      <c r="H1442" t="n">
        <v>5000</v>
      </c>
      <c r="I1442" t="inlineStr">
        <is>
          <t>202109209466768717</t>
        </is>
      </c>
      <c r="J1442" t="inlineStr">
        <is>
          <t>https://docquery.fec.gov/cgi-bin/fecimg/?202109209466768717</t>
        </is>
      </c>
    </row>
    <row r="1443">
      <c r="A1443" t="inlineStr">
        <is>
          <t>2022</t>
        </is>
      </c>
      <c r="B1443" t="inlineStr">
        <is>
          <t>C00496307</t>
        </is>
      </c>
      <c r="C1443" t="inlineStr">
        <is>
          <t>Marathon Petroleum Corp Employees PAC (MPAC)</t>
        </is>
      </c>
      <c r="D1443" t="inlineStr">
        <is>
          <t>DAN CRENSHAW FOR CONGRESS</t>
        </is>
      </c>
      <c r="E1443" t="inlineStr">
        <is>
          <t>H8TX02166</t>
        </is>
      </c>
      <c r="F1443" t="inlineStr">
        <is>
          <t>REP</t>
        </is>
      </c>
      <c r="G1443" t="inlineStr">
        <is>
          <t>08162021</t>
        </is>
      </c>
      <c r="H1443" t="n">
        <v>2500</v>
      </c>
      <c r="I1443" t="inlineStr">
        <is>
          <t>202109209466768717</t>
        </is>
      </c>
      <c r="J1443" t="inlineStr">
        <is>
          <t>https://docquery.fec.gov/cgi-bin/fecimg/?202109209466768717</t>
        </is>
      </c>
    </row>
    <row r="1444">
      <c r="A1444" t="inlineStr">
        <is>
          <t>2022</t>
        </is>
      </c>
      <c r="B1444" t="inlineStr">
        <is>
          <t>C00496307</t>
        </is>
      </c>
      <c r="C1444" t="inlineStr">
        <is>
          <t>Marathon Petroleum Corp Employees PAC (MPAC)</t>
        </is>
      </c>
      <c r="D1444" t="inlineStr">
        <is>
          <t>ELIZABETH PANNILL FLETCHER FOR CONGRESS</t>
        </is>
      </c>
      <c r="E1444" t="inlineStr">
        <is>
          <t>H8TX07140</t>
        </is>
      </c>
      <c r="F1444" t="inlineStr">
        <is>
          <t>DEM</t>
        </is>
      </c>
      <c r="G1444" t="inlineStr">
        <is>
          <t>08162021</t>
        </is>
      </c>
      <c r="H1444" t="n">
        <v>2500</v>
      </c>
      <c r="I1444" t="inlineStr">
        <is>
          <t>202109209466768718</t>
        </is>
      </c>
      <c r="J1444" t="inlineStr">
        <is>
          <t>https://docquery.fec.gov/cgi-bin/fecimg/?202109209466768718</t>
        </is>
      </c>
    </row>
    <row r="1445">
      <c r="A1445" t="inlineStr">
        <is>
          <t>2022</t>
        </is>
      </c>
      <c r="B1445" t="inlineStr">
        <is>
          <t>C00496307</t>
        </is>
      </c>
      <c r="C1445" t="inlineStr">
        <is>
          <t>Marathon Petroleum Corp Employees PAC (MPAC)</t>
        </is>
      </c>
      <c r="D1445" t="inlineStr">
        <is>
          <t>EMMER FOR CONGRESS</t>
        </is>
      </c>
      <c r="E1445" t="inlineStr">
        <is>
          <t>H4MN06087</t>
        </is>
      </c>
      <c r="F1445" t="inlineStr">
        <is>
          <t>REP</t>
        </is>
      </c>
      <c r="G1445" t="inlineStr">
        <is>
          <t>08162021</t>
        </is>
      </c>
      <c r="H1445" t="n">
        <v>2500</v>
      </c>
      <c r="I1445" t="inlineStr">
        <is>
          <t>202109209466768718</t>
        </is>
      </c>
      <c r="J1445" t="inlineStr">
        <is>
          <t>https://docquery.fec.gov/cgi-bin/fecimg/?202109209466768718</t>
        </is>
      </c>
    </row>
    <row r="1446">
      <c r="A1446" t="inlineStr">
        <is>
          <t>2022</t>
        </is>
      </c>
      <c r="B1446" t="inlineStr">
        <is>
          <t>C00496307</t>
        </is>
      </c>
      <c r="C1446" t="inlineStr">
        <is>
          <t>Marathon Petroleum Corp Employees PAC (MPAC)</t>
        </is>
      </c>
      <c r="D1446" t="inlineStr">
        <is>
          <t>FAMILIES FOR JAMES LANKFORD</t>
        </is>
      </c>
      <c r="E1446" t="inlineStr">
        <is>
          <t>S4OK00232</t>
        </is>
      </c>
      <c r="F1446" t="inlineStr">
        <is>
          <t>REP</t>
        </is>
      </c>
      <c r="G1446" t="inlineStr">
        <is>
          <t>08162021</t>
        </is>
      </c>
      <c r="H1446" t="n">
        <v>2500</v>
      </c>
      <c r="I1446" t="inlineStr">
        <is>
          <t>202109209466768718</t>
        </is>
      </c>
      <c r="J1446" t="inlineStr">
        <is>
          <t>https://docquery.fec.gov/cgi-bin/fecimg/?202109209466768718</t>
        </is>
      </c>
    </row>
    <row r="1447">
      <c r="A1447" t="inlineStr">
        <is>
          <t>2022</t>
        </is>
      </c>
      <c r="B1447" t="inlineStr">
        <is>
          <t>C00496307</t>
        </is>
      </c>
      <c r="C1447" t="inlineStr">
        <is>
          <t>Marathon Petroleum Corp Employees PAC (MPAC)</t>
        </is>
      </c>
      <c r="D1447" t="inlineStr">
        <is>
          <t>FRIENDS OF JOHN THUNE</t>
        </is>
      </c>
      <c r="E1447" t="inlineStr">
        <is>
          <t>S2SD00068</t>
        </is>
      </c>
      <c r="F1447" t="inlineStr">
        <is>
          <t>REP</t>
        </is>
      </c>
      <c r="G1447" t="inlineStr">
        <is>
          <t>08162021</t>
        </is>
      </c>
      <c r="H1447" t="n">
        <v>5000</v>
      </c>
      <c r="I1447" t="inlineStr">
        <is>
          <t>202109209466768719</t>
        </is>
      </c>
      <c r="J1447" t="inlineStr">
        <is>
          <t>https://docquery.fec.gov/cgi-bin/fecimg/?202109209466768719</t>
        </is>
      </c>
    </row>
    <row r="1448">
      <c r="A1448" t="inlineStr">
        <is>
          <t>2022</t>
        </is>
      </c>
      <c r="B1448" t="inlineStr">
        <is>
          <t>C00496307</t>
        </is>
      </c>
      <c r="C1448" t="inlineStr">
        <is>
          <t>Marathon Petroleum Corp Employees PAC (MPAC)</t>
        </is>
      </c>
      <c r="D1448" t="inlineStr">
        <is>
          <t>KATKO FOR CONGRESS</t>
        </is>
      </c>
      <c r="E1448" t="inlineStr">
        <is>
          <t>H4NY24073</t>
        </is>
      </c>
      <c r="F1448" t="inlineStr">
        <is>
          <t>REP</t>
        </is>
      </c>
      <c r="G1448" t="inlineStr">
        <is>
          <t>08162021</t>
        </is>
      </c>
      <c r="H1448" t="n">
        <v>5000</v>
      </c>
      <c r="I1448" t="inlineStr">
        <is>
          <t>202109209466768719</t>
        </is>
      </c>
      <c r="J1448" t="inlineStr">
        <is>
          <t>https://docquery.fec.gov/cgi-bin/fecimg/?202109209466768719</t>
        </is>
      </c>
    </row>
    <row r="1449">
      <c r="A1449" t="inlineStr">
        <is>
          <t>2022</t>
        </is>
      </c>
      <c r="B1449" t="inlineStr">
        <is>
          <t>C00496307</t>
        </is>
      </c>
      <c r="C1449" t="inlineStr">
        <is>
          <t>Marathon Petroleum Corp Employees PAC (MPAC)</t>
        </is>
      </c>
      <c r="D1449" t="inlineStr">
        <is>
          <t>KEVIN MCCARTHY FOR CONGRESS</t>
        </is>
      </c>
      <c r="E1449" t="inlineStr">
        <is>
          <t>H6CA22125</t>
        </is>
      </c>
      <c r="F1449" t="inlineStr">
        <is>
          <t>REP</t>
        </is>
      </c>
      <c r="G1449" t="inlineStr">
        <is>
          <t>08162021</t>
        </is>
      </c>
      <c r="H1449" t="n">
        <v>2500</v>
      </c>
      <c r="I1449" t="inlineStr">
        <is>
          <t>202109209466768720</t>
        </is>
      </c>
      <c r="J1449" t="inlineStr">
        <is>
          <t>https://docquery.fec.gov/cgi-bin/fecimg/?202109209466768720</t>
        </is>
      </c>
    </row>
    <row r="1450">
      <c r="A1450" t="inlineStr">
        <is>
          <t>2022</t>
        </is>
      </c>
      <c r="B1450" t="inlineStr">
        <is>
          <t>C00496307</t>
        </is>
      </c>
      <c r="C1450" t="inlineStr">
        <is>
          <t>Marathon Petroleum Corp Employees PAC (MPAC)</t>
        </is>
      </c>
      <c r="D1450" t="inlineStr">
        <is>
          <t>NANCY MACE FOR CONGRESS</t>
        </is>
      </c>
      <c r="E1450" t="inlineStr">
        <is>
          <t>H0SC01394</t>
        </is>
      </c>
      <c r="F1450" t="inlineStr">
        <is>
          <t>REP</t>
        </is>
      </c>
      <c r="G1450" t="inlineStr">
        <is>
          <t>08252021</t>
        </is>
      </c>
      <c r="H1450" t="n">
        <v>1000</v>
      </c>
      <c r="I1450" t="inlineStr">
        <is>
          <t>202109209466768721</t>
        </is>
      </c>
      <c r="J1450" t="inlineStr">
        <is>
          <t>https://docquery.fec.gov/cgi-bin/fecimg/?202109209466768721</t>
        </is>
      </c>
    </row>
    <row r="1451">
      <c r="A1451" t="inlineStr">
        <is>
          <t>2022</t>
        </is>
      </c>
      <c r="B1451" t="inlineStr">
        <is>
          <t>C00496307</t>
        </is>
      </c>
      <c r="C1451" t="inlineStr">
        <is>
          <t>Marathon Petroleum Corp Employees PAC (MPAC)</t>
        </is>
      </c>
      <c r="D1451" t="inlineStr">
        <is>
          <t>FRIENDS OF JOHN THUNE</t>
        </is>
      </c>
      <c r="E1451" t="inlineStr">
        <is>
          <t>S2SD00068</t>
        </is>
      </c>
      <c r="F1451" t="inlineStr">
        <is>
          <t>REP</t>
        </is>
      </c>
      <c r="G1451" t="inlineStr">
        <is>
          <t>08252021</t>
        </is>
      </c>
      <c r="H1451" t="n">
        <v>2500</v>
      </c>
      <c r="I1451" t="inlineStr">
        <is>
          <t>202109209466768719</t>
        </is>
      </c>
      <c r="J1451" t="inlineStr">
        <is>
          <t>https://docquery.fec.gov/cgi-bin/fecimg/?202109209466768719</t>
        </is>
      </c>
    </row>
    <row r="1452">
      <c r="A1452" t="inlineStr">
        <is>
          <t>2022</t>
        </is>
      </c>
      <c r="B1452" t="inlineStr">
        <is>
          <t>C00496307</t>
        </is>
      </c>
      <c r="C1452" t="inlineStr">
        <is>
          <t>Marathon Petroleum Corp Employees PAC (MPAC)</t>
        </is>
      </c>
      <c r="D1452" t="inlineStr">
        <is>
          <t>ADRIAN SMITH FOR CONGRESS</t>
        </is>
      </c>
      <c r="E1452" t="inlineStr">
        <is>
          <t>H6NE03115</t>
        </is>
      </c>
      <c r="F1452" t="inlineStr">
        <is>
          <t>REP</t>
        </is>
      </c>
      <c r="G1452" t="inlineStr">
        <is>
          <t>09022022</t>
        </is>
      </c>
      <c r="H1452" t="n">
        <v>2500</v>
      </c>
      <c r="I1452" t="inlineStr">
        <is>
          <t>202210209537640412</t>
        </is>
      </c>
      <c r="J1452" t="inlineStr">
        <is>
          <t>https://docquery.fec.gov/cgi-bin/fecimg/?202210209537640412</t>
        </is>
      </c>
    </row>
    <row r="1453">
      <c r="A1453" t="inlineStr">
        <is>
          <t>2022</t>
        </is>
      </c>
      <c r="B1453" t="inlineStr">
        <is>
          <t>C00496307</t>
        </is>
      </c>
      <c r="C1453" t="inlineStr">
        <is>
          <t>Marathon Petroleum Corp Employees PAC (MPAC)</t>
        </is>
      </c>
      <c r="D1453" t="inlineStr">
        <is>
          <t>JOHN CARTER FOR CONGRESS</t>
        </is>
      </c>
      <c r="E1453" t="inlineStr">
        <is>
          <t>H2TX31044</t>
        </is>
      </c>
      <c r="F1453" t="inlineStr">
        <is>
          <t>REP</t>
        </is>
      </c>
      <c r="G1453" t="inlineStr">
        <is>
          <t>09022022</t>
        </is>
      </c>
      <c r="H1453" t="n">
        <v>2500</v>
      </c>
      <c r="I1453" t="inlineStr">
        <is>
          <t>202210209537640417</t>
        </is>
      </c>
      <c r="J1453" t="inlineStr">
        <is>
          <t>https://docquery.fec.gov/cgi-bin/fecimg/?202210209537640417</t>
        </is>
      </c>
    </row>
    <row r="1454">
      <c r="A1454" t="inlineStr">
        <is>
          <t>2022</t>
        </is>
      </c>
      <c r="B1454" t="inlineStr">
        <is>
          <t>C00496307</t>
        </is>
      </c>
      <c r="C1454" t="inlineStr">
        <is>
          <t>Marathon Petroleum Corp Employees PAC (MPAC)</t>
        </is>
      </c>
      <c r="D1454" t="inlineStr">
        <is>
          <t>LOUDERMILK FOR CONGRESS</t>
        </is>
      </c>
      <c r="E1454" t="inlineStr">
        <is>
          <t>H4GA11061</t>
        </is>
      </c>
      <c r="F1454" t="inlineStr">
        <is>
          <t>REP</t>
        </is>
      </c>
      <c r="G1454" t="inlineStr">
        <is>
          <t>09022022</t>
        </is>
      </c>
      <c r="H1454" t="n">
        <v>2500</v>
      </c>
      <c r="I1454" t="inlineStr">
        <is>
          <t>202210209537640418</t>
        </is>
      </c>
      <c r="J1454" t="inlineStr">
        <is>
          <t>https://docquery.fec.gov/cgi-bin/fecimg/?202210209537640418</t>
        </is>
      </c>
    </row>
    <row r="1455">
      <c r="A1455" t="inlineStr">
        <is>
          <t>2022</t>
        </is>
      </c>
      <c r="B1455" t="inlineStr">
        <is>
          <t>C00496307</t>
        </is>
      </c>
      <c r="C1455" t="inlineStr">
        <is>
          <t>Marathon Petroleum Corp Employees PAC (MPAC)</t>
        </is>
      </c>
      <c r="D1455" t="inlineStr">
        <is>
          <t>BICE FOR CONGRESS</t>
        </is>
      </c>
      <c r="E1455" t="inlineStr">
        <is>
          <t>H0OK05205</t>
        </is>
      </c>
      <c r="F1455" t="inlineStr">
        <is>
          <t>REP</t>
        </is>
      </c>
      <c r="G1455" t="inlineStr">
        <is>
          <t>09202021</t>
        </is>
      </c>
      <c r="H1455" t="n">
        <v>2500</v>
      </c>
      <c r="I1455" t="inlineStr">
        <is>
          <t>202110149467292753</t>
        </is>
      </c>
      <c r="J1455" t="inlineStr">
        <is>
          <t>https://docquery.fec.gov/cgi-bin/fecimg/?202110149467292753</t>
        </is>
      </c>
    </row>
    <row r="1456">
      <c r="A1456" t="inlineStr">
        <is>
          <t>2022</t>
        </is>
      </c>
      <c r="B1456" t="inlineStr">
        <is>
          <t>C00496307</t>
        </is>
      </c>
      <c r="C1456" t="inlineStr">
        <is>
          <t>Marathon Petroleum Corp Employees PAC (MPAC)</t>
        </is>
      </c>
      <c r="D1456" t="inlineStr">
        <is>
          <t>CAREY FOR CONGRESS</t>
        </is>
      </c>
      <c r="E1456" t="inlineStr">
        <is>
          <t>H2OH15228</t>
        </is>
      </c>
      <c r="F1456" t="inlineStr">
        <is>
          <t>REP</t>
        </is>
      </c>
      <c r="G1456" t="inlineStr">
        <is>
          <t>09202021</t>
        </is>
      </c>
      <c r="H1456" t="n">
        <v>2500</v>
      </c>
      <c r="I1456" t="inlineStr">
        <is>
          <t>202110149467292753</t>
        </is>
      </c>
      <c r="J1456" t="inlineStr">
        <is>
          <t>https://docquery.fec.gov/cgi-bin/fecimg/?202110149467292753</t>
        </is>
      </c>
    </row>
    <row r="1457">
      <c r="A1457" t="inlineStr">
        <is>
          <t>2022</t>
        </is>
      </c>
      <c r="B1457" t="inlineStr">
        <is>
          <t>C00496307</t>
        </is>
      </c>
      <c r="C1457" t="inlineStr">
        <is>
          <t>Marathon Petroleum Corp Employees PAC (MPAC)</t>
        </is>
      </c>
      <c r="D1457" t="inlineStr">
        <is>
          <t>ANDY BARR FOR CONGRESS</t>
        </is>
      </c>
      <c r="E1457" t="inlineStr">
        <is>
          <t>H0KY06104</t>
        </is>
      </c>
      <c r="F1457" t="inlineStr">
        <is>
          <t>REP</t>
        </is>
      </c>
      <c r="G1457" t="inlineStr">
        <is>
          <t>09202021</t>
        </is>
      </c>
      <c r="H1457" t="n">
        <v>2500</v>
      </c>
      <c r="I1457" t="inlineStr">
        <is>
          <t>202110149467292752</t>
        </is>
      </c>
      <c r="J1457" t="inlineStr">
        <is>
          <t>https://docquery.fec.gov/cgi-bin/fecimg/?202110149467292752</t>
        </is>
      </c>
    </row>
    <row r="1458">
      <c r="A1458" t="inlineStr">
        <is>
          <t>2022</t>
        </is>
      </c>
      <c r="B1458" t="inlineStr">
        <is>
          <t>C00496307</t>
        </is>
      </c>
      <c r="C1458" t="inlineStr">
        <is>
          <t>Marathon Petroleum Corp Employees PAC (MPAC)</t>
        </is>
      </c>
      <c r="D1458" t="inlineStr">
        <is>
          <t>ARMSTRONG FOR CONGRESS</t>
        </is>
      </c>
      <c r="E1458" t="inlineStr">
        <is>
          <t>H8ND00096</t>
        </is>
      </c>
      <c r="F1458" t="inlineStr">
        <is>
          <t>REP</t>
        </is>
      </c>
      <c r="G1458" t="inlineStr">
        <is>
          <t>09202021</t>
        </is>
      </c>
      <c r="H1458" t="n">
        <v>2500</v>
      </c>
      <c r="I1458" t="inlineStr">
        <is>
          <t>202110149467292752</t>
        </is>
      </c>
      <c r="J1458" t="inlineStr">
        <is>
          <t>https://docquery.fec.gov/cgi-bin/fecimg/?202110149467292752</t>
        </is>
      </c>
    </row>
    <row r="1459">
      <c r="A1459" t="inlineStr">
        <is>
          <t>2022</t>
        </is>
      </c>
      <c r="B1459" t="inlineStr">
        <is>
          <t>C00496307</t>
        </is>
      </c>
      <c r="C1459" t="inlineStr">
        <is>
          <t>Marathon Petroleum Corp Employees PAC (MPAC)</t>
        </is>
      </c>
      <c r="D1459" t="inlineStr">
        <is>
          <t>AUGUST PFLUGER FOR CONGRESS</t>
        </is>
      </c>
      <c r="E1459" t="inlineStr">
        <is>
          <t>H0TX11230</t>
        </is>
      </c>
      <c r="F1459" t="inlineStr">
        <is>
          <t>REP</t>
        </is>
      </c>
      <c r="G1459" t="inlineStr">
        <is>
          <t>09202021</t>
        </is>
      </c>
      <c r="H1459" t="n">
        <v>2500</v>
      </c>
      <c r="I1459" t="inlineStr">
        <is>
          <t>202110149467292752</t>
        </is>
      </c>
      <c r="J1459" t="inlineStr">
        <is>
          <t>https://docquery.fec.gov/cgi-bin/fecimg/?202110149467292752</t>
        </is>
      </c>
    </row>
    <row r="1460">
      <c r="A1460" t="inlineStr">
        <is>
          <t>2022</t>
        </is>
      </c>
      <c r="B1460" t="inlineStr">
        <is>
          <t>C00496307</t>
        </is>
      </c>
      <c r="C1460" t="inlineStr">
        <is>
          <t>Marathon Petroleum Corp Employees PAC (MPAC)</t>
        </is>
      </c>
      <c r="D1460" t="inlineStr">
        <is>
          <t>EMMER FOR CONGRESS</t>
        </is>
      </c>
      <c r="E1460" t="inlineStr">
        <is>
          <t>H4MN06087</t>
        </is>
      </c>
      <c r="F1460" t="inlineStr">
        <is>
          <t>REP</t>
        </is>
      </c>
      <c r="G1460" t="inlineStr">
        <is>
          <t>09202021</t>
        </is>
      </c>
      <c r="H1460" t="n">
        <v>2500</v>
      </c>
      <c r="I1460" t="inlineStr">
        <is>
          <t>202110149467292754</t>
        </is>
      </c>
      <c r="J1460" t="inlineStr">
        <is>
          <t>https://docquery.fec.gov/cgi-bin/fecimg/?202110149467292754</t>
        </is>
      </c>
    </row>
    <row r="1461">
      <c r="A1461" t="inlineStr">
        <is>
          <t>2022</t>
        </is>
      </c>
      <c r="B1461" t="inlineStr">
        <is>
          <t>C00496307</t>
        </is>
      </c>
      <c r="C1461" t="inlineStr">
        <is>
          <t>Marathon Petroleum Corp Employees PAC (MPAC)</t>
        </is>
      </c>
      <c r="D1461" t="inlineStr">
        <is>
          <t>FRIENDS OF DUSTY JOHNSON</t>
        </is>
      </c>
      <c r="E1461" t="inlineStr">
        <is>
          <t>H8SD01055</t>
        </is>
      </c>
      <c r="F1461" t="inlineStr">
        <is>
          <t>REP</t>
        </is>
      </c>
      <c r="G1461" t="inlineStr">
        <is>
          <t>09202021</t>
        </is>
      </c>
      <c r="H1461" t="n">
        <v>2500</v>
      </c>
      <c r="I1461" t="inlineStr">
        <is>
          <t>202110149467292754</t>
        </is>
      </c>
      <c r="J1461" t="inlineStr">
        <is>
          <t>https://docquery.fec.gov/cgi-bin/fecimg/?202110149467292754</t>
        </is>
      </c>
    </row>
    <row r="1462">
      <c r="A1462" t="inlineStr">
        <is>
          <t>2022</t>
        </is>
      </c>
      <c r="B1462" t="inlineStr">
        <is>
          <t>C00496307</t>
        </is>
      </c>
      <c r="C1462" t="inlineStr">
        <is>
          <t>Marathon Petroleum Corp Employees PAC (MPAC)</t>
        </is>
      </c>
      <c r="D1462" t="inlineStr">
        <is>
          <t>HERN FOR CONGRESS</t>
        </is>
      </c>
      <c r="E1462" t="inlineStr">
        <is>
          <t>H8OK01157</t>
        </is>
      </c>
      <c r="F1462" t="inlineStr">
        <is>
          <t>REP</t>
        </is>
      </c>
      <c r="G1462" t="inlineStr">
        <is>
          <t>09202021</t>
        </is>
      </c>
      <c r="H1462" t="n">
        <v>5000</v>
      </c>
      <c r="I1462" t="inlineStr">
        <is>
          <t>202110149467292754</t>
        </is>
      </c>
      <c r="J1462" t="inlineStr">
        <is>
          <t>https://docquery.fec.gov/cgi-bin/fecimg/?202110149467292754</t>
        </is>
      </c>
    </row>
    <row r="1463">
      <c r="A1463" t="inlineStr">
        <is>
          <t>2022</t>
        </is>
      </c>
      <c r="B1463" t="inlineStr">
        <is>
          <t>C00496307</t>
        </is>
      </c>
      <c r="C1463" t="inlineStr">
        <is>
          <t>Marathon Petroleum Corp Employees PAC (MPAC)</t>
        </is>
      </c>
      <c r="D1463" t="inlineStr">
        <is>
          <t>HOEVEN FOR SENATE</t>
        </is>
      </c>
      <c r="E1463" t="inlineStr">
        <is>
          <t>S0ND00093</t>
        </is>
      </c>
      <c r="F1463" t="inlineStr">
        <is>
          <t>REP</t>
        </is>
      </c>
      <c r="G1463" t="inlineStr">
        <is>
          <t>09202021</t>
        </is>
      </c>
      <c r="H1463" t="n">
        <v>1500</v>
      </c>
      <c r="I1463" t="inlineStr">
        <is>
          <t>202110149467292755</t>
        </is>
      </c>
      <c r="J1463" t="inlineStr">
        <is>
          <t>https://docquery.fec.gov/cgi-bin/fecimg/?202110149467292755</t>
        </is>
      </c>
    </row>
    <row r="1464">
      <c r="A1464" t="inlineStr">
        <is>
          <t>2022</t>
        </is>
      </c>
      <c r="B1464" t="inlineStr">
        <is>
          <t>C00496307</t>
        </is>
      </c>
      <c r="C1464" t="inlineStr">
        <is>
          <t>Marathon Petroleum Corp Employees PAC (MPAC)</t>
        </is>
      </c>
      <c r="D1464" t="inlineStr">
        <is>
          <t>HUDSON FOR CONGRESS</t>
        </is>
      </c>
      <c r="E1464" t="inlineStr">
        <is>
          <t>H2NC08185</t>
        </is>
      </c>
      <c r="F1464" t="inlineStr">
        <is>
          <t>REP</t>
        </is>
      </c>
      <c r="G1464" t="inlineStr">
        <is>
          <t>09202021</t>
        </is>
      </c>
      <c r="H1464" t="n">
        <v>2500</v>
      </c>
      <c r="I1464" t="inlineStr">
        <is>
          <t>202110149467292755</t>
        </is>
      </c>
      <c r="J1464" t="inlineStr">
        <is>
          <t>https://docquery.fec.gov/cgi-bin/fecimg/?202110149467292755</t>
        </is>
      </c>
    </row>
    <row r="1465">
      <c r="A1465" t="inlineStr">
        <is>
          <t>2022</t>
        </is>
      </c>
      <c r="B1465" t="inlineStr">
        <is>
          <t>C00496307</t>
        </is>
      </c>
      <c r="C1465" t="inlineStr">
        <is>
          <t>Marathon Petroleum Corp Employees PAC (MPAC)</t>
        </is>
      </c>
      <c r="D1465" t="inlineStr">
        <is>
          <t>WESTERMAN FOR CONGRESS</t>
        </is>
      </c>
      <c r="E1465" t="inlineStr">
        <is>
          <t>H4AR04048</t>
        </is>
      </c>
      <c r="F1465" t="inlineStr">
        <is>
          <t>REP</t>
        </is>
      </c>
      <c r="G1465" t="inlineStr">
        <is>
          <t>09202021</t>
        </is>
      </c>
      <c r="H1465" t="n">
        <v>2500</v>
      </c>
      <c r="I1465" t="inlineStr">
        <is>
          <t>202110149467292761</t>
        </is>
      </c>
      <c r="J1465" t="inlineStr">
        <is>
          <t>https://docquery.fec.gov/cgi-bin/fecimg/?202110149467292761</t>
        </is>
      </c>
    </row>
    <row r="1466">
      <c r="A1466" t="inlineStr">
        <is>
          <t>2022</t>
        </is>
      </c>
      <c r="B1466" t="inlineStr">
        <is>
          <t>C00496307</t>
        </is>
      </c>
      <c r="C1466" t="inlineStr">
        <is>
          <t>Marathon Petroleum Corp Employees PAC (MPAC)</t>
        </is>
      </c>
      <c r="D1466" t="inlineStr">
        <is>
          <t>KEVIN MCCARTHY FOR CONGRESS</t>
        </is>
      </c>
      <c r="E1466" t="inlineStr">
        <is>
          <t>H6CA22125</t>
        </is>
      </c>
      <c r="F1466" t="inlineStr">
        <is>
          <t>REP</t>
        </is>
      </c>
      <c r="G1466" t="inlineStr">
        <is>
          <t>09202021</t>
        </is>
      </c>
      <c r="H1466" t="n">
        <v>2500</v>
      </c>
      <c r="I1466" t="inlineStr">
        <is>
          <t>202110149467292755</t>
        </is>
      </c>
      <c r="J1466" t="inlineStr">
        <is>
          <t>https://docquery.fec.gov/cgi-bin/fecimg/?202110149467292755</t>
        </is>
      </c>
    </row>
    <row r="1467">
      <c r="A1467" t="inlineStr">
        <is>
          <t>2022</t>
        </is>
      </c>
      <c r="B1467" t="inlineStr">
        <is>
          <t>C00496307</t>
        </is>
      </c>
      <c r="C1467" t="inlineStr">
        <is>
          <t>Marathon Petroleum Corp Employees PAC (MPAC)</t>
        </is>
      </c>
      <c r="D1467" t="inlineStr">
        <is>
          <t>MIKE CRAPO FOR US SENATE</t>
        </is>
      </c>
      <c r="E1467" t="inlineStr">
        <is>
          <t>S8ID00027</t>
        </is>
      </c>
      <c r="F1467" t="inlineStr">
        <is>
          <t>REP</t>
        </is>
      </c>
      <c r="G1467" t="inlineStr">
        <is>
          <t>09202021</t>
        </is>
      </c>
      <c r="H1467" t="n">
        <v>2500</v>
      </c>
      <c r="I1467" t="inlineStr">
        <is>
          <t>202110149467292757</t>
        </is>
      </c>
      <c r="J1467" t="inlineStr">
        <is>
          <t>https://docquery.fec.gov/cgi-bin/fecimg/?202110149467292757</t>
        </is>
      </c>
    </row>
    <row r="1468">
      <c r="A1468" t="inlineStr">
        <is>
          <t>2022</t>
        </is>
      </c>
      <c r="B1468" t="inlineStr">
        <is>
          <t>C00496307</t>
        </is>
      </c>
      <c r="C1468" t="inlineStr">
        <is>
          <t>Marathon Petroleum Corp Employees PAC (MPAC)</t>
        </is>
      </c>
      <c r="D1468" t="inlineStr">
        <is>
          <t>MULLIN FOR CONGRESS</t>
        </is>
      </c>
      <c r="E1468" t="inlineStr">
        <is>
          <t>H2OK02083</t>
        </is>
      </c>
      <c r="F1468" t="inlineStr">
        <is>
          <t>REP</t>
        </is>
      </c>
      <c r="G1468" t="inlineStr">
        <is>
          <t>09202021</t>
        </is>
      </c>
      <c r="H1468" t="n">
        <v>2500</v>
      </c>
      <c r="I1468" t="inlineStr">
        <is>
          <t>202110149467292757</t>
        </is>
      </c>
      <c r="J1468" t="inlineStr">
        <is>
          <t>https://docquery.fec.gov/cgi-bin/fecimg/?202110149467292757</t>
        </is>
      </c>
    </row>
    <row r="1469">
      <c r="A1469" t="inlineStr">
        <is>
          <t>2022</t>
        </is>
      </c>
      <c r="B1469" t="inlineStr">
        <is>
          <t>C00496307</t>
        </is>
      </c>
      <c r="C1469" t="inlineStr">
        <is>
          <t>Marathon Petroleum Corp Employees PAC (MPAC)</t>
        </is>
      </c>
      <c r="D1469" t="inlineStr">
        <is>
          <t>PETE STAUBER FOR CONGRESS</t>
        </is>
      </c>
      <c r="E1469" t="inlineStr">
        <is>
          <t>H8MN08043</t>
        </is>
      </c>
      <c r="F1469" t="inlineStr">
        <is>
          <t>REP</t>
        </is>
      </c>
      <c r="G1469" t="inlineStr">
        <is>
          <t>09202021</t>
        </is>
      </c>
      <c r="H1469" t="n">
        <v>2500</v>
      </c>
      <c r="I1469" t="inlineStr">
        <is>
          <t>202110149467292757</t>
        </is>
      </c>
      <c r="J1469" t="inlineStr">
        <is>
          <t>https://docquery.fec.gov/cgi-bin/fecimg/?202110149467292757</t>
        </is>
      </c>
    </row>
    <row r="1470">
      <c r="A1470" t="inlineStr">
        <is>
          <t>2022</t>
        </is>
      </c>
      <c r="B1470" t="inlineStr">
        <is>
          <t>C00496307</t>
        </is>
      </c>
      <c r="C1470" t="inlineStr">
        <is>
          <t>Marathon Petroleum Corp Employees PAC (MPAC)</t>
        </is>
      </c>
      <c r="D1470" t="inlineStr">
        <is>
          <t>SCALISE FOR CONGRESS</t>
        </is>
      </c>
      <c r="E1470" t="inlineStr">
        <is>
          <t>H0LA01087</t>
        </is>
      </c>
      <c r="F1470" t="inlineStr">
        <is>
          <t>REP</t>
        </is>
      </c>
      <c r="G1470" t="inlineStr">
        <is>
          <t>09202021</t>
        </is>
      </c>
      <c r="H1470" t="n">
        <v>2500</v>
      </c>
      <c r="I1470" t="inlineStr">
        <is>
          <t>202110149467292758</t>
        </is>
      </c>
      <c r="J1470" t="inlineStr">
        <is>
          <t>https://docquery.fec.gov/cgi-bin/fecimg/?202110149467292758</t>
        </is>
      </c>
    </row>
    <row r="1471">
      <c r="A1471" t="inlineStr">
        <is>
          <t>2022</t>
        </is>
      </c>
      <c r="B1471" t="inlineStr">
        <is>
          <t>C00496307</t>
        </is>
      </c>
      <c r="C1471" t="inlineStr">
        <is>
          <t>Marathon Petroleum Corp Employees PAC (MPAC)</t>
        </is>
      </c>
      <c r="D1471" t="inlineStr">
        <is>
          <t>SCALISE FOR CONGRESS</t>
        </is>
      </c>
      <c r="E1471" t="inlineStr">
        <is>
          <t>H0LA01087</t>
        </is>
      </c>
      <c r="F1471" t="inlineStr">
        <is>
          <t>REP</t>
        </is>
      </c>
      <c r="G1471" t="inlineStr">
        <is>
          <t>09202021</t>
        </is>
      </c>
      <c r="H1471" t="n">
        <v>2500</v>
      </c>
      <c r="I1471" t="inlineStr">
        <is>
          <t>202110149467292758</t>
        </is>
      </c>
      <c r="J1471" t="inlineStr">
        <is>
          <t>https://docquery.fec.gov/cgi-bin/fecimg/?202110149467292758</t>
        </is>
      </c>
    </row>
    <row r="1472">
      <c r="A1472" t="inlineStr">
        <is>
          <t>2022</t>
        </is>
      </c>
      <c r="B1472" t="inlineStr">
        <is>
          <t>C00496307</t>
        </is>
      </c>
      <c r="C1472" t="inlineStr">
        <is>
          <t>Marathon Petroleum Corp Employees PAC (MPAC)</t>
        </is>
      </c>
      <c r="D1472" t="inlineStr">
        <is>
          <t>SIMPSON FOR CONGRESS</t>
        </is>
      </c>
      <c r="E1472" t="inlineStr">
        <is>
          <t>H8ID02064</t>
        </is>
      </c>
      <c r="F1472" t="inlineStr">
        <is>
          <t>REP</t>
        </is>
      </c>
      <c r="G1472" t="inlineStr">
        <is>
          <t>09202021</t>
        </is>
      </c>
      <c r="H1472" t="n">
        <v>2500</v>
      </c>
      <c r="I1472" t="inlineStr">
        <is>
          <t>202110149467292758</t>
        </is>
      </c>
      <c r="J1472" t="inlineStr">
        <is>
          <t>https://docquery.fec.gov/cgi-bin/fecimg/?202110149467292758</t>
        </is>
      </c>
    </row>
    <row r="1473">
      <c r="A1473" t="inlineStr">
        <is>
          <t>2022</t>
        </is>
      </c>
      <c r="B1473" t="inlineStr">
        <is>
          <t>C00496307</t>
        </is>
      </c>
      <c r="C1473" t="inlineStr">
        <is>
          <t>Marathon Petroleum Corp Employees PAC (MPAC)</t>
        </is>
      </c>
      <c r="D1473" t="inlineStr">
        <is>
          <t>SYLVIA GARCIA FOR CONGRESS</t>
        </is>
      </c>
      <c r="E1473" t="inlineStr">
        <is>
          <t>H8TX29052</t>
        </is>
      </c>
      <c r="F1473" t="inlineStr">
        <is>
          <t>DEM</t>
        </is>
      </c>
      <c r="G1473" t="inlineStr">
        <is>
          <t>09202021</t>
        </is>
      </c>
      <c r="H1473" t="n">
        <v>2500</v>
      </c>
      <c r="I1473" t="inlineStr">
        <is>
          <t>202110149467292759</t>
        </is>
      </c>
      <c r="J1473" t="inlineStr">
        <is>
          <t>https://docquery.fec.gov/cgi-bin/fecimg/?202110149467292759</t>
        </is>
      </c>
    </row>
    <row r="1474">
      <c r="A1474" t="inlineStr">
        <is>
          <t>2022</t>
        </is>
      </c>
      <c r="B1474" t="inlineStr">
        <is>
          <t>C00496307</t>
        </is>
      </c>
      <c r="C1474" t="inlineStr">
        <is>
          <t>Marathon Petroleum Corp Employees PAC (MPAC)</t>
        </is>
      </c>
      <c r="D1474" t="inlineStr">
        <is>
          <t>TEXANS FOR JODEY ARRINGTON</t>
        </is>
      </c>
      <c r="E1474" t="inlineStr">
        <is>
          <t>H6TX19099</t>
        </is>
      </c>
      <c r="F1474" t="inlineStr">
        <is>
          <t>REP</t>
        </is>
      </c>
      <c r="G1474" t="inlineStr">
        <is>
          <t>09202021</t>
        </is>
      </c>
      <c r="H1474" t="n">
        <v>2500</v>
      </c>
      <c r="I1474" t="inlineStr">
        <is>
          <t>202110149467292759</t>
        </is>
      </c>
      <c r="J1474" t="inlineStr">
        <is>
          <t>https://docquery.fec.gov/cgi-bin/fecimg/?202110149467292759</t>
        </is>
      </c>
    </row>
    <row r="1475">
      <c r="A1475" t="inlineStr">
        <is>
          <t>2022</t>
        </is>
      </c>
      <c r="B1475" t="inlineStr">
        <is>
          <t>C00496307</t>
        </is>
      </c>
      <c r="C1475" t="inlineStr">
        <is>
          <t>Marathon Petroleum Corp Employees PAC (MPAC)</t>
        </is>
      </c>
      <c r="D1475" t="inlineStr">
        <is>
          <t>TIM SCOTT FOR SENATE</t>
        </is>
      </c>
      <c r="E1475" t="inlineStr">
        <is>
          <t>S4SC00240</t>
        </is>
      </c>
      <c r="F1475" t="inlineStr">
        <is>
          <t>REP</t>
        </is>
      </c>
      <c r="G1475" t="inlineStr">
        <is>
          <t>09202021</t>
        </is>
      </c>
      <c r="H1475" t="n">
        <v>2500</v>
      </c>
      <c r="I1475" t="inlineStr">
        <is>
          <t>202110149467292760</t>
        </is>
      </c>
      <c r="J1475" t="inlineStr">
        <is>
          <t>https://docquery.fec.gov/cgi-bin/fecimg/?202110149467292760</t>
        </is>
      </c>
    </row>
    <row r="1476">
      <c r="A1476" t="inlineStr">
        <is>
          <t>2022</t>
        </is>
      </c>
      <c r="B1476" t="inlineStr">
        <is>
          <t>C00496307</t>
        </is>
      </c>
      <c r="C1476" t="inlineStr">
        <is>
          <t>Marathon Petroleum Corp Employees PAC (MPAC)</t>
        </is>
      </c>
      <c r="D1476" t="inlineStr">
        <is>
          <t>TIM SCOTT FOR SENATE</t>
        </is>
      </c>
      <c r="E1476" t="inlineStr">
        <is>
          <t>S4SC00240</t>
        </is>
      </c>
      <c r="F1476" t="inlineStr">
        <is>
          <t>REP</t>
        </is>
      </c>
      <c r="G1476" t="inlineStr">
        <is>
          <t>09202021</t>
        </is>
      </c>
      <c r="H1476" t="n">
        <v>2500</v>
      </c>
      <c r="I1476" t="inlineStr">
        <is>
          <t>202110149467292760</t>
        </is>
      </c>
      <c r="J1476" t="inlineStr">
        <is>
          <t>https://docquery.fec.gov/cgi-bin/fecimg/?202110149467292760</t>
        </is>
      </c>
    </row>
    <row r="1477">
      <c r="A1477" t="inlineStr">
        <is>
          <t>2022</t>
        </is>
      </c>
      <c r="B1477" t="inlineStr">
        <is>
          <t>C00496307</t>
        </is>
      </c>
      <c r="C1477" t="inlineStr">
        <is>
          <t>Marathon Petroleum Corp Employees PAC (MPAC)</t>
        </is>
      </c>
      <c r="D1477" t="inlineStr">
        <is>
          <t>WALBERG FOR CONGRESS</t>
        </is>
      </c>
      <c r="E1477" t="inlineStr">
        <is>
          <t>H4MI07103</t>
        </is>
      </c>
      <c r="F1477" t="inlineStr">
        <is>
          <t>REP</t>
        </is>
      </c>
      <c r="G1477" t="inlineStr">
        <is>
          <t>09202021</t>
        </is>
      </c>
      <c r="H1477" t="n">
        <v>2500</v>
      </c>
      <c r="I1477" t="inlineStr">
        <is>
          <t>202110149467292761</t>
        </is>
      </c>
      <c r="J1477" t="inlineStr">
        <is>
          <t>https://docquery.fec.gov/cgi-bin/fecimg/?202110149467292761</t>
        </is>
      </c>
    </row>
    <row r="1478">
      <c r="A1478" t="inlineStr">
        <is>
          <t>2022</t>
        </is>
      </c>
      <c r="B1478" t="inlineStr">
        <is>
          <t>C00496307</t>
        </is>
      </c>
      <c r="C1478" t="inlineStr">
        <is>
          <t>Marathon Petroleum Corp Employees PAC (MPAC)</t>
        </is>
      </c>
      <c r="D1478" t="inlineStr">
        <is>
          <t>DREW FERGUSON FOR CONGRESS INC.</t>
        </is>
      </c>
      <c r="E1478" t="inlineStr">
        <is>
          <t>H6GA03113</t>
        </is>
      </c>
      <c r="F1478" t="inlineStr">
        <is>
          <t>REP</t>
        </is>
      </c>
      <c r="G1478" t="inlineStr">
        <is>
          <t>09282021</t>
        </is>
      </c>
      <c r="H1478" t="n">
        <v>2500</v>
      </c>
      <c r="I1478" t="inlineStr">
        <is>
          <t>202110149467292753</t>
        </is>
      </c>
      <c r="J1478" t="inlineStr">
        <is>
          <t>https://docquery.fec.gov/cgi-bin/fecimg/?202110149467292753</t>
        </is>
      </c>
    </row>
    <row r="1479">
      <c r="A1479" t="inlineStr">
        <is>
          <t>2022</t>
        </is>
      </c>
      <c r="B1479" t="inlineStr">
        <is>
          <t>C00496307</t>
        </is>
      </c>
      <c r="C1479" t="inlineStr">
        <is>
          <t>Marathon Petroleum Corp Employees PAC (MPAC)</t>
        </is>
      </c>
      <c r="D1479" t="inlineStr">
        <is>
          <t>TEXANS FOR HENRY CUELLAR CONGRESSIONAL CAMPAIGN</t>
        </is>
      </c>
      <c r="E1479" t="inlineStr">
        <is>
          <t>H2TX23082</t>
        </is>
      </c>
      <c r="F1479" t="inlineStr">
        <is>
          <t>DEM</t>
        </is>
      </c>
      <c r="G1479" t="inlineStr">
        <is>
          <t>09282021</t>
        </is>
      </c>
      <c r="H1479" t="n">
        <v>2500</v>
      </c>
      <c r="I1479" t="inlineStr">
        <is>
          <t>202110149467292759</t>
        </is>
      </c>
      <c r="J1479" t="inlineStr">
        <is>
          <t>https://docquery.fec.gov/cgi-bin/fecimg/?202110149467292759</t>
        </is>
      </c>
    </row>
    <row r="1480">
      <c r="A1480" t="inlineStr">
        <is>
          <t>2022</t>
        </is>
      </c>
      <c r="B1480" t="inlineStr">
        <is>
          <t>C00496307</t>
        </is>
      </c>
      <c r="C1480" t="inlineStr">
        <is>
          <t>Marathon Petroleum Corp Employees PAC (MPAC)</t>
        </is>
      </c>
      <c r="D1480" t="inlineStr">
        <is>
          <t>WENSTRUP FOR CONGRESS</t>
        </is>
      </c>
      <c r="E1480" t="inlineStr">
        <is>
          <t>H2OH02085</t>
        </is>
      </c>
      <c r="F1480" t="inlineStr">
        <is>
          <t>REP</t>
        </is>
      </c>
      <c r="G1480" t="inlineStr">
        <is>
          <t>09282021</t>
        </is>
      </c>
      <c r="H1480" t="n">
        <v>2500</v>
      </c>
      <c r="I1480" t="inlineStr">
        <is>
          <t>202110149467292761</t>
        </is>
      </c>
      <c r="J1480" t="inlineStr">
        <is>
          <t>https://docquery.fec.gov/cgi-bin/fecimg/?202110149467292761</t>
        </is>
      </c>
    </row>
    <row r="1481">
      <c r="A1481" t="inlineStr">
        <is>
          <t>2022</t>
        </is>
      </c>
      <c r="B1481" t="inlineStr">
        <is>
          <t>C00496307</t>
        </is>
      </c>
      <c r="C1481" t="inlineStr">
        <is>
          <t>Marathon Petroleum Corp Employees PAC (MPAC)</t>
        </is>
      </c>
      <c r="D1481" t="inlineStr">
        <is>
          <t>MEUSER FOR CONGRESS</t>
        </is>
      </c>
      <c r="E1481" t="inlineStr">
        <is>
          <t>H8PA10147</t>
        </is>
      </c>
      <c r="F1481" t="inlineStr">
        <is>
          <t>REP</t>
        </is>
      </c>
      <c r="G1481" t="inlineStr">
        <is>
          <t>09292021</t>
        </is>
      </c>
      <c r="H1481" t="n">
        <v>5000</v>
      </c>
      <c r="I1481" t="inlineStr">
        <is>
          <t>202110149467292756</t>
        </is>
      </c>
      <c r="J1481" t="inlineStr">
        <is>
          <t>https://docquery.fec.gov/cgi-bin/fecimg/?202110149467292756</t>
        </is>
      </c>
    </row>
    <row r="1482">
      <c r="A1482" t="inlineStr">
        <is>
          <t>2022</t>
        </is>
      </c>
      <c r="B1482" t="inlineStr">
        <is>
          <t>C00496307</t>
        </is>
      </c>
      <c r="C1482" t="inlineStr">
        <is>
          <t>Marathon Petroleum Corp Employees PAC (MPAC)</t>
        </is>
      </c>
      <c r="D1482" t="inlineStr">
        <is>
          <t>COLE FOR CONGRESS</t>
        </is>
      </c>
      <c r="E1482" t="inlineStr">
        <is>
          <t>H2OK04055</t>
        </is>
      </c>
      <c r="F1482" t="inlineStr">
        <is>
          <t>REP</t>
        </is>
      </c>
      <c r="G1482" t="inlineStr">
        <is>
          <t>09292022</t>
        </is>
      </c>
      <c r="H1482" t="n">
        <v>5000</v>
      </c>
      <c r="I1482" t="inlineStr">
        <is>
          <t>202210209537640413</t>
        </is>
      </c>
      <c r="J1482" t="inlineStr">
        <is>
          <t>https://docquery.fec.gov/cgi-bin/fecimg/?202210209537640413</t>
        </is>
      </c>
    </row>
    <row r="1483">
      <c r="A1483" t="inlineStr">
        <is>
          <t>2022</t>
        </is>
      </c>
      <c r="B1483" t="inlineStr">
        <is>
          <t>C00496307</t>
        </is>
      </c>
      <c r="C1483" t="inlineStr">
        <is>
          <t>Marathon Petroleum Corp Employees PAC (MPAC)</t>
        </is>
      </c>
      <c r="D1483" t="inlineStr">
        <is>
          <t>COMER FOR CONGRESS</t>
        </is>
      </c>
      <c r="E1483" t="inlineStr">
        <is>
          <t>H6KY01110</t>
        </is>
      </c>
      <c r="F1483" t="inlineStr">
        <is>
          <t>REP</t>
        </is>
      </c>
      <c r="G1483" t="inlineStr">
        <is>
          <t>09292022</t>
        </is>
      </c>
      <c r="H1483" t="n">
        <v>5000</v>
      </c>
      <c r="I1483" t="inlineStr">
        <is>
          <t>202210209537640414</t>
        </is>
      </c>
      <c r="J1483" t="inlineStr">
        <is>
          <t>https://docquery.fec.gov/cgi-bin/fecimg/?202210209537640414</t>
        </is>
      </c>
    </row>
    <row r="1484">
      <c r="A1484" t="inlineStr">
        <is>
          <t>2022</t>
        </is>
      </c>
      <c r="B1484" t="inlineStr">
        <is>
          <t>C00496307</t>
        </is>
      </c>
      <c r="C1484" t="inlineStr">
        <is>
          <t>Marathon Petroleum Corp Employees PAC (MPAC)</t>
        </is>
      </c>
      <c r="D1484" t="inlineStr">
        <is>
          <t>DREW FERGUSON FOR CONGRESS INC.</t>
        </is>
      </c>
      <c r="E1484" t="inlineStr">
        <is>
          <t>H6GA03113</t>
        </is>
      </c>
      <c r="F1484" t="inlineStr">
        <is>
          <t>REP</t>
        </is>
      </c>
      <c r="G1484" t="inlineStr">
        <is>
          <t>09292022</t>
        </is>
      </c>
      <c r="H1484" t="n">
        <v>2500</v>
      </c>
      <c r="I1484" t="inlineStr">
        <is>
          <t>202210209537640414</t>
        </is>
      </c>
      <c r="J1484" t="inlineStr">
        <is>
          <t>https://docquery.fec.gov/cgi-bin/fecimg/?202210209537640414</t>
        </is>
      </c>
    </row>
    <row r="1485">
      <c r="A1485" t="inlineStr">
        <is>
          <t>2022</t>
        </is>
      </c>
      <c r="B1485" t="inlineStr">
        <is>
          <t>C00496307</t>
        </is>
      </c>
      <c r="C1485" t="inlineStr">
        <is>
          <t>Marathon Petroleum Corp Employees PAC (MPAC)</t>
        </is>
      </c>
      <c r="D1485" t="inlineStr">
        <is>
          <t>ELIZABETH PANNILL FLETCHER FOR CONGRESS</t>
        </is>
      </c>
      <c r="E1485" t="inlineStr">
        <is>
          <t>H8TX07140</t>
        </is>
      </c>
      <c r="F1485" t="inlineStr">
        <is>
          <t>DEM</t>
        </is>
      </c>
      <c r="G1485" t="inlineStr">
        <is>
          <t>09292022</t>
        </is>
      </c>
      <c r="H1485" t="n">
        <v>2500</v>
      </c>
      <c r="I1485" t="inlineStr">
        <is>
          <t>202210209537640414</t>
        </is>
      </c>
      <c r="J1485" t="inlineStr">
        <is>
          <t>https://docquery.fec.gov/cgi-bin/fecimg/?202210209537640414</t>
        </is>
      </c>
    </row>
    <row r="1486">
      <c r="A1486" t="inlineStr">
        <is>
          <t>2022</t>
        </is>
      </c>
      <c r="B1486" t="inlineStr">
        <is>
          <t>C00496307</t>
        </is>
      </c>
      <c r="C1486" t="inlineStr">
        <is>
          <t>Marathon Petroleum Corp Employees PAC (MPAC)</t>
        </is>
      </c>
      <c r="D1486" t="inlineStr">
        <is>
          <t>ARMSTRONG FOR CONGRESS</t>
        </is>
      </c>
      <c r="E1486" t="inlineStr">
        <is>
          <t>H8ND00096</t>
        </is>
      </c>
      <c r="F1486" t="inlineStr">
        <is>
          <t>REP</t>
        </is>
      </c>
      <c r="G1486" t="inlineStr">
        <is>
          <t>09292022</t>
        </is>
      </c>
      <c r="H1486" t="n">
        <v>2500</v>
      </c>
      <c r="I1486" t="inlineStr">
        <is>
          <t>202210209537640412</t>
        </is>
      </c>
      <c r="J1486" t="inlineStr">
        <is>
          <t>https://docquery.fec.gov/cgi-bin/fecimg/?202210209537640412</t>
        </is>
      </c>
    </row>
    <row r="1487">
      <c r="A1487" t="inlineStr">
        <is>
          <t>2022</t>
        </is>
      </c>
      <c r="B1487" t="inlineStr">
        <is>
          <t>C00496307</t>
        </is>
      </c>
      <c r="C1487" t="inlineStr">
        <is>
          <t>Marathon Petroleum Corp Employees PAC (MPAC)</t>
        </is>
      </c>
      <c r="D1487" t="inlineStr">
        <is>
          <t>BALDERSON FOR CONGRESS</t>
        </is>
      </c>
      <c r="E1487" t="inlineStr">
        <is>
          <t>H8OH12180</t>
        </is>
      </c>
      <c r="F1487" t="inlineStr">
        <is>
          <t>REP</t>
        </is>
      </c>
      <c r="G1487" t="inlineStr">
        <is>
          <t>09292022</t>
        </is>
      </c>
      <c r="H1487" t="n">
        <v>4000</v>
      </c>
      <c r="I1487" t="inlineStr">
        <is>
          <t>202210209537640412</t>
        </is>
      </c>
      <c r="J1487" t="inlineStr">
        <is>
          <t>https://docquery.fec.gov/cgi-bin/fecimg/?202210209537640412</t>
        </is>
      </c>
    </row>
    <row r="1488">
      <c r="A1488" t="inlineStr">
        <is>
          <t>2022</t>
        </is>
      </c>
      <c r="B1488" t="inlineStr">
        <is>
          <t>C00496307</t>
        </is>
      </c>
      <c r="C1488" t="inlineStr">
        <is>
          <t>Marathon Petroleum Corp Employees PAC (MPAC)</t>
        </is>
      </c>
      <c r="D1488" t="inlineStr">
        <is>
          <t>BICE FOR CONGRESS</t>
        </is>
      </c>
      <c r="E1488" t="inlineStr">
        <is>
          <t>H0OK05205</t>
        </is>
      </c>
      <c r="F1488" t="inlineStr">
        <is>
          <t>REP</t>
        </is>
      </c>
      <c r="G1488" t="inlineStr">
        <is>
          <t>09292022</t>
        </is>
      </c>
      <c r="H1488" t="n">
        <v>3500</v>
      </c>
      <c r="I1488" t="inlineStr">
        <is>
          <t>202210209537640413</t>
        </is>
      </c>
      <c r="J1488" t="inlineStr">
        <is>
          <t>https://docquery.fec.gov/cgi-bin/fecimg/?202210209537640413</t>
        </is>
      </c>
    </row>
    <row r="1489">
      <c r="A1489" t="inlineStr">
        <is>
          <t>2022</t>
        </is>
      </c>
      <c r="B1489" t="inlineStr">
        <is>
          <t>C00496307</t>
        </is>
      </c>
      <c r="C1489" t="inlineStr">
        <is>
          <t>Marathon Petroleum Corp Employees PAC (MPAC)</t>
        </is>
      </c>
      <c r="D1489" t="inlineStr">
        <is>
          <t>CITIZENS TO ELECT RICK LARSEN</t>
        </is>
      </c>
      <c r="E1489" t="inlineStr">
        <is>
          <t>H0WA02080</t>
        </is>
      </c>
      <c r="F1489" t="inlineStr">
        <is>
          <t>DEM</t>
        </is>
      </c>
      <c r="G1489" t="inlineStr">
        <is>
          <t>09292022</t>
        </is>
      </c>
      <c r="H1489" t="n">
        <v>2500</v>
      </c>
      <c r="I1489" t="inlineStr">
        <is>
          <t>202210209537640413</t>
        </is>
      </c>
      <c r="J1489" t="inlineStr">
        <is>
          <t>https://docquery.fec.gov/cgi-bin/fecimg/?202210209537640413</t>
        </is>
      </c>
    </row>
    <row r="1490">
      <c r="A1490" t="inlineStr">
        <is>
          <t>2022</t>
        </is>
      </c>
      <c r="B1490" t="inlineStr">
        <is>
          <t>C00496307</t>
        </is>
      </c>
      <c r="C1490" t="inlineStr">
        <is>
          <t>Marathon Petroleum Corp Employees PAC (MPAC)</t>
        </is>
      </c>
      <c r="D1490" t="inlineStr">
        <is>
          <t>FRIENDS OF DAVE JOYCE</t>
        </is>
      </c>
      <c r="E1490" t="inlineStr">
        <is>
          <t>H2OH14064</t>
        </is>
      </c>
      <c r="F1490" t="inlineStr">
        <is>
          <t>REP</t>
        </is>
      </c>
      <c r="G1490" t="inlineStr">
        <is>
          <t>09292022</t>
        </is>
      </c>
      <c r="H1490" t="n">
        <v>5000</v>
      </c>
      <c r="I1490" t="inlineStr">
        <is>
          <t>202210209537640415</t>
        </is>
      </c>
      <c r="J1490" t="inlineStr">
        <is>
          <t>https://docquery.fec.gov/cgi-bin/fecimg/?202210209537640415</t>
        </is>
      </c>
    </row>
    <row r="1491">
      <c r="A1491" t="inlineStr">
        <is>
          <t>2022</t>
        </is>
      </c>
      <c r="B1491" t="inlineStr">
        <is>
          <t>C00496307</t>
        </is>
      </c>
      <c r="C1491" t="inlineStr">
        <is>
          <t>Marathon Petroleum Corp Employees PAC (MPAC)</t>
        </is>
      </c>
      <c r="D1491" t="inlineStr">
        <is>
          <t>GREG PENCE FOR CONGRESS</t>
        </is>
      </c>
      <c r="E1491" t="inlineStr">
        <is>
          <t>H8IN06129</t>
        </is>
      </c>
      <c r="F1491" t="inlineStr">
        <is>
          <t>REP</t>
        </is>
      </c>
      <c r="G1491" t="inlineStr">
        <is>
          <t>09292022</t>
        </is>
      </c>
      <c r="H1491" t="n">
        <v>5000</v>
      </c>
      <c r="I1491" t="inlineStr">
        <is>
          <t>202210209537640415</t>
        </is>
      </c>
      <c r="J1491" t="inlineStr">
        <is>
          <t>https://docquery.fec.gov/cgi-bin/fecimg/?202210209537640415</t>
        </is>
      </c>
    </row>
    <row r="1492">
      <c r="A1492" t="inlineStr">
        <is>
          <t>2022</t>
        </is>
      </c>
      <c r="B1492" t="inlineStr">
        <is>
          <t>C00496307</t>
        </is>
      </c>
      <c r="C1492" t="inlineStr">
        <is>
          <t>Marathon Petroleum Corp Employees PAC (MPAC)</t>
        </is>
      </c>
      <c r="D1492" t="inlineStr">
        <is>
          <t>HERN FOR CONGRESS</t>
        </is>
      </c>
      <c r="E1492" t="inlineStr">
        <is>
          <t>H8OK01157</t>
        </is>
      </c>
      <c r="F1492" t="inlineStr">
        <is>
          <t>REP</t>
        </is>
      </c>
      <c r="G1492" t="inlineStr">
        <is>
          <t>09292022</t>
        </is>
      </c>
      <c r="H1492" t="n">
        <v>2500</v>
      </c>
      <c r="I1492" t="inlineStr">
        <is>
          <t>202210209537640416</t>
        </is>
      </c>
      <c r="J1492" t="inlineStr">
        <is>
          <t>https://docquery.fec.gov/cgi-bin/fecimg/?202210209537640416</t>
        </is>
      </c>
    </row>
    <row r="1493">
      <c r="A1493" t="inlineStr">
        <is>
          <t>2022</t>
        </is>
      </c>
      <c r="B1493" t="inlineStr">
        <is>
          <t>C00496307</t>
        </is>
      </c>
      <c r="C1493" t="inlineStr">
        <is>
          <t>Marathon Petroleum Corp Employees PAC (MPAC)</t>
        </is>
      </c>
      <c r="D1493" t="inlineStr">
        <is>
          <t>HUDSON FOR CONGRESS</t>
        </is>
      </c>
      <c r="E1493" t="inlineStr">
        <is>
          <t>H2NC08185</t>
        </is>
      </c>
      <c r="F1493" t="inlineStr">
        <is>
          <t>REP</t>
        </is>
      </c>
      <c r="G1493" t="inlineStr">
        <is>
          <t>09292022</t>
        </is>
      </c>
      <c r="H1493" t="n">
        <v>2500</v>
      </c>
      <c r="I1493" t="inlineStr">
        <is>
          <t>202210209537640416</t>
        </is>
      </c>
      <c r="J1493" t="inlineStr">
        <is>
          <t>https://docquery.fec.gov/cgi-bin/fecimg/?202210209537640416</t>
        </is>
      </c>
    </row>
    <row r="1494">
      <c r="A1494" t="inlineStr">
        <is>
          <t>2022</t>
        </is>
      </c>
      <c r="B1494" t="inlineStr">
        <is>
          <t>C00496307</t>
        </is>
      </c>
      <c r="C1494" t="inlineStr">
        <is>
          <t>Marathon Petroleum Corp Employees PAC (MPAC)</t>
        </is>
      </c>
      <c r="D1494" t="inlineStr">
        <is>
          <t>JEFF DUNCAN FOR CONGRESS</t>
        </is>
      </c>
      <c r="E1494" t="inlineStr">
        <is>
          <t>H0SC03077</t>
        </is>
      </c>
      <c r="F1494" t="inlineStr">
        <is>
          <t>REP</t>
        </is>
      </c>
      <c r="G1494" t="inlineStr">
        <is>
          <t>09292022</t>
        </is>
      </c>
      <c r="H1494" t="n">
        <v>2500</v>
      </c>
      <c r="I1494" t="inlineStr">
        <is>
          <t>202210209537640416</t>
        </is>
      </c>
      <c r="J1494" t="inlineStr">
        <is>
          <t>https://docquery.fec.gov/cgi-bin/fecimg/?202210209537640416</t>
        </is>
      </c>
    </row>
    <row r="1495">
      <c r="A1495" t="inlineStr">
        <is>
          <t>2022</t>
        </is>
      </c>
      <c r="B1495" t="inlineStr">
        <is>
          <t>C00496307</t>
        </is>
      </c>
      <c r="C1495" t="inlineStr">
        <is>
          <t>Marathon Petroleum Corp Employees PAC (MPAC)</t>
        </is>
      </c>
      <c r="D1495" t="inlineStr">
        <is>
          <t>KEN CALVERT FOR CONGRESS COMMITTEE</t>
        </is>
      </c>
      <c r="E1495" t="inlineStr">
        <is>
          <t>H2CA37023</t>
        </is>
      </c>
      <c r="F1495" t="inlineStr">
        <is>
          <t>REP</t>
        </is>
      </c>
      <c r="G1495" t="inlineStr">
        <is>
          <t>09292022</t>
        </is>
      </c>
      <c r="H1495" t="n">
        <v>5000</v>
      </c>
      <c r="I1495" t="inlineStr">
        <is>
          <t>202210209537640417</t>
        </is>
      </c>
      <c r="J1495" t="inlineStr">
        <is>
          <t>https://docquery.fec.gov/cgi-bin/fecimg/?202210209537640417</t>
        </is>
      </c>
    </row>
    <row r="1496">
      <c r="A1496" t="inlineStr">
        <is>
          <t>2022</t>
        </is>
      </c>
      <c r="B1496" t="inlineStr">
        <is>
          <t>C00496307</t>
        </is>
      </c>
      <c r="C1496" t="inlineStr">
        <is>
          <t>Marathon Petroleum Corp Employees PAC (MPAC)</t>
        </is>
      </c>
      <c r="D1496" t="inlineStr">
        <is>
          <t>LOU CORREA FOR CONGRESS</t>
        </is>
      </c>
      <c r="E1496" t="inlineStr">
        <is>
          <t>H6CA46116</t>
        </is>
      </c>
      <c r="F1496" t="inlineStr">
        <is>
          <t>DEM</t>
        </is>
      </c>
      <c r="G1496" t="inlineStr">
        <is>
          <t>09292022</t>
        </is>
      </c>
      <c r="H1496" t="n">
        <v>2500</v>
      </c>
      <c r="I1496" t="inlineStr">
        <is>
          <t>202210209537640417</t>
        </is>
      </c>
      <c r="J1496" t="inlineStr">
        <is>
          <t>https://docquery.fec.gov/cgi-bin/fecimg/?202210209537640417</t>
        </is>
      </c>
    </row>
    <row r="1497">
      <c r="A1497" t="inlineStr">
        <is>
          <t>2022</t>
        </is>
      </c>
      <c r="B1497" t="inlineStr">
        <is>
          <t>C00496307</t>
        </is>
      </c>
      <c r="C1497" t="inlineStr">
        <is>
          <t>Marathon Petroleum Corp Employees PAC (MPAC)</t>
        </is>
      </c>
      <c r="D1497" t="inlineStr">
        <is>
          <t>MIKE JOHNSON FOR LOUISIANA</t>
        </is>
      </c>
      <c r="E1497" t="inlineStr">
        <is>
          <t>H6LA04138</t>
        </is>
      </c>
      <c r="F1497" t="inlineStr">
        <is>
          <t>REP</t>
        </is>
      </c>
      <c r="G1497" t="inlineStr">
        <is>
          <t>09292022</t>
        </is>
      </c>
      <c r="H1497" t="n">
        <v>2500</v>
      </c>
      <c r="I1497" t="inlineStr">
        <is>
          <t>202210209537640418</t>
        </is>
      </c>
      <c r="J1497" t="inlineStr">
        <is>
          <t>https://docquery.fec.gov/cgi-bin/fecimg/?202210209537640418</t>
        </is>
      </c>
    </row>
    <row r="1498">
      <c r="A1498" t="inlineStr">
        <is>
          <t>2022</t>
        </is>
      </c>
      <c r="B1498" t="inlineStr">
        <is>
          <t>C00496307</t>
        </is>
      </c>
      <c r="C1498" t="inlineStr">
        <is>
          <t>Marathon Petroleum Corp Employees PAC (MPAC)</t>
        </is>
      </c>
      <c r="D1498" t="inlineStr">
        <is>
          <t>RON ESTES FOR CONGRESS</t>
        </is>
      </c>
      <c r="E1498" t="inlineStr">
        <is>
          <t>H8KS04112</t>
        </is>
      </c>
      <c r="F1498" t="inlineStr">
        <is>
          <t>REP</t>
        </is>
      </c>
      <c r="G1498" t="inlineStr">
        <is>
          <t>09292022</t>
        </is>
      </c>
      <c r="H1498" t="n">
        <v>2500</v>
      </c>
      <c r="I1498" t="inlineStr">
        <is>
          <t>202210209537640418</t>
        </is>
      </c>
      <c r="J1498" t="inlineStr">
        <is>
          <t>https://docquery.fec.gov/cgi-bin/fecimg/?202210209537640418</t>
        </is>
      </c>
    </row>
    <row r="1499">
      <c r="A1499" t="inlineStr">
        <is>
          <t>2022</t>
        </is>
      </c>
      <c r="B1499" t="inlineStr">
        <is>
          <t>C00496307</t>
        </is>
      </c>
      <c r="C1499" t="inlineStr">
        <is>
          <t>Marathon Petroleum Corp Employees PAC (MPAC)</t>
        </is>
      </c>
      <c r="D1499" t="inlineStr">
        <is>
          <t>SAM GRAVES FOR CONGRESS</t>
        </is>
      </c>
      <c r="E1499" t="inlineStr">
        <is>
          <t>H0MO06073</t>
        </is>
      </c>
      <c r="F1499" t="inlineStr">
        <is>
          <t>REP</t>
        </is>
      </c>
      <c r="G1499" t="inlineStr">
        <is>
          <t>09292022</t>
        </is>
      </c>
      <c r="H1499" t="n">
        <v>5000</v>
      </c>
      <c r="I1499" t="inlineStr">
        <is>
          <t>202210209537640419</t>
        </is>
      </c>
      <c r="J1499" t="inlineStr">
        <is>
          <t>https://docquery.fec.gov/cgi-bin/fecimg/?202210209537640419</t>
        </is>
      </c>
    </row>
    <row r="1500">
      <c r="A1500" t="inlineStr">
        <is>
          <t>2022</t>
        </is>
      </c>
      <c r="B1500" t="inlineStr">
        <is>
          <t>C00496307</t>
        </is>
      </c>
      <c r="C1500" t="inlineStr">
        <is>
          <t>Marathon Petroleum Corp Employees PAC (MPAC)</t>
        </is>
      </c>
      <c r="D1500" t="inlineStr">
        <is>
          <t>SCALISE FOR CONGRESS</t>
        </is>
      </c>
      <c r="E1500" t="inlineStr">
        <is>
          <t>H0LA01087</t>
        </is>
      </c>
      <c r="F1500" t="inlineStr">
        <is>
          <t>REP</t>
        </is>
      </c>
      <c r="G1500" t="inlineStr">
        <is>
          <t>09292022</t>
        </is>
      </c>
      <c r="H1500" t="n">
        <v>2500</v>
      </c>
      <c r="I1500" t="inlineStr">
        <is>
          <t>202210209537640419</t>
        </is>
      </c>
      <c r="J1500" t="inlineStr">
        <is>
          <t>https://docquery.fec.gov/cgi-bin/fecimg/?202210209537640419</t>
        </is>
      </c>
    </row>
    <row r="1501">
      <c r="A1501" t="inlineStr">
        <is>
          <t>2022</t>
        </is>
      </c>
      <c r="B1501" t="inlineStr">
        <is>
          <t>C00496307</t>
        </is>
      </c>
      <c r="C1501" t="inlineStr">
        <is>
          <t>Marathon Petroleum Corp Employees PAC (MPAC)</t>
        </is>
      </c>
      <c r="D1501" t="inlineStr">
        <is>
          <t>TEXANS FOR JODEY ARRINGTON</t>
        </is>
      </c>
      <c r="E1501" t="inlineStr">
        <is>
          <t>H6TX19099</t>
        </is>
      </c>
      <c r="F1501" t="inlineStr">
        <is>
          <t>REP</t>
        </is>
      </c>
      <c r="G1501" t="inlineStr">
        <is>
          <t>09292022</t>
        </is>
      </c>
      <c r="H1501" t="n">
        <v>2500</v>
      </c>
      <c r="I1501" t="inlineStr">
        <is>
          <t>202210209537640419</t>
        </is>
      </c>
      <c r="J1501" t="inlineStr">
        <is>
          <t>https://docquery.fec.gov/cgi-bin/fecimg/?202210209537640419</t>
        </is>
      </c>
    </row>
    <row r="1502">
      <c r="A1502" t="inlineStr">
        <is>
          <t>2022</t>
        </is>
      </c>
      <c r="B1502" t="inlineStr">
        <is>
          <t>C00496307</t>
        </is>
      </c>
      <c r="C1502" t="inlineStr">
        <is>
          <t>Marathon Petroleum Corp Employees PAC (MPAC)</t>
        </is>
      </c>
      <c r="D1502" t="inlineStr">
        <is>
          <t>WEBER FOR CONGRESS</t>
        </is>
      </c>
      <c r="E1502" t="inlineStr">
        <is>
          <t>H2TX14149</t>
        </is>
      </c>
      <c r="F1502" t="inlineStr">
        <is>
          <t>REP</t>
        </is>
      </c>
      <c r="G1502" t="inlineStr">
        <is>
          <t>09292022</t>
        </is>
      </c>
      <c r="H1502" t="n">
        <v>2500</v>
      </c>
      <c r="I1502" t="inlineStr">
        <is>
          <t>202210209537640420</t>
        </is>
      </c>
      <c r="J1502" t="inlineStr">
        <is>
          <t>https://docquery.fec.gov/cgi-bin/fecimg/?202210209537640420</t>
        </is>
      </c>
    </row>
    <row r="1503">
      <c r="A1503" t="inlineStr">
        <is>
          <t>2022</t>
        </is>
      </c>
      <c r="B1503" t="inlineStr">
        <is>
          <t>C00496307</t>
        </is>
      </c>
      <c r="C1503" t="inlineStr">
        <is>
          <t>Marathon Petroleum Corp Employees PAC (MPAC)</t>
        </is>
      </c>
      <c r="D1503" t="inlineStr">
        <is>
          <t>MONICA FOR CONGRESS</t>
        </is>
      </c>
      <c r="E1503" t="inlineStr">
        <is>
          <t>H0TX15124</t>
        </is>
      </c>
      <c r="F1503" t="inlineStr">
        <is>
          <t>REP</t>
        </is>
      </c>
      <c r="G1503" t="inlineStr">
        <is>
          <t>10042022</t>
        </is>
      </c>
      <c r="H1503" t="n">
        <v>2500</v>
      </c>
      <c r="I1503" t="inlineStr">
        <is>
          <t>202210219541492971</t>
        </is>
      </c>
      <c r="J1503" t="inlineStr">
        <is>
          <t>https://docquery.fec.gov/cgi-bin/fecimg/?202210219541492971</t>
        </is>
      </c>
    </row>
    <row r="1504">
      <c r="A1504" t="inlineStr">
        <is>
          <t>2022</t>
        </is>
      </c>
      <c r="B1504" t="inlineStr">
        <is>
          <t>C00496307</t>
        </is>
      </c>
      <c r="C1504" t="inlineStr">
        <is>
          <t>Marathon Petroleum Corp Employees PAC (MPAC)</t>
        </is>
      </c>
      <c r="D1504" t="inlineStr">
        <is>
          <t>TEXANS FOR MORGAN LUTTRELL</t>
        </is>
      </c>
      <c r="E1504" t="inlineStr">
        <is>
          <t>H2TX08182</t>
        </is>
      </c>
      <c r="F1504" t="inlineStr">
        <is>
          <t>REP</t>
        </is>
      </c>
      <c r="G1504" t="inlineStr">
        <is>
          <t>10042022</t>
        </is>
      </c>
      <c r="H1504" t="n">
        <v>2500</v>
      </c>
      <c r="I1504" t="inlineStr">
        <is>
          <t>202210219541492972</t>
        </is>
      </c>
      <c r="J1504" t="inlineStr">
        <is>
          <t>https://docquery.fec.gov/cgi-bin/fecimg/?202210219541492972</t>
        </is>
      </c>
    </row>
    <row r="1505">
      <c r="A1505" t="inlineStr">
        <is>
          <t>2022</t>
        </is>
      </c>
      <c r="B1505" t="inlineStr">
        <is>
          <t>C00496307</t>
        </is>
      </c>
      <c r="C1505" t="inlineStr">
        <is>
          <t>Marathon Petroleum Corp Employees PAC (MPAC)</t>
        </is>
      </c>
      <c r="D1505" t="inlineStr">
        <is>
          <t>VALADAO FOR CONGRESS</t>
        </is>
      </c>
      <c r="E1505" t="inlineStr">
        <is>
          <t>H2CA20094</t>
        </is>
      </c>
      <c r="F1505" t="inlineStr">
        <is>
          <t>REP</t>
        </is>
      </c>
      <c r="G1505" t="inlineStr">
        <is>
          <t>10042022</t>
        </is>
      </c>
      <c r="H1505" t="n">
        <v>5000</v>
      </c>
      <c r="I1505" t="inlineStr">
        <is>
          <t>202210219541492972</t>
        </is>
      </c>
      <c r="J1505" t="inlineStr">
        <is>
          <t>https://docquery.fec.gov/cgi-bin/fecimg/?202210219541492972</t>
        </is>
      </c>
    </row>
    <row r="1506">
      <c r="A1506" t="inlineStr">
        <is>
          <t>2022</t>
        </is>
      </c>
      <c r="B1506" t="inlineStr">
        <is>
          <t>C00496307</t>
        </is>
      </c>
      <c r="C1506" t="inlineStr">
        <is>
          <t>Marathon Petroleum Corp Employees PAC (MPAC)</t>
        </is>
      </c>
      <c r="D1506" t="inlineStr">
        <is>
          <t>FRIENDS OF GLENN THOMPSON</t>
        </is>
      </c>
      <c r="E1506" t="inlineStr">
        <is>
          <t>H8PA05071</t>
        </is>
      </c>
      <c r="F1506" t="inlineStr">
        <is>
          <t>REP</t>
        </is>
      </c>
      <c r="G1506" t="inlineStr">
        <is>
          <t>10042022</t>
        </is>
      </c>
      <c r="H1506" t="n">
        <v>2500</v>
      </c>
      <c r="I1506" t="inlineStr">
        <is>
          <t>202210219541492970</t>
        </is>
      </c>
      <c r="J1506" t="inlineStr">
        <is>
          <t>https://docquery.fec.gov/cgi-bin/fecimg/?202210219541492970</t>
        </is>
      </c>
    </row>
    <row r="1507">
      <c r="A1507" t="inlineStr">
        <is>
          <t>2022</t>
        </is>
      </c>
      <c r="B1507" t="inlineStr">
        <is>
          <t>C00496307</t>
        </is>
      </c>
      <c r="C1507" t="inlineStr">
        <is>
          <t>Marathon Petroleum Corp Employees PAC (MPAC)</t>
        </is>
      </c>
      <c r="D1507" t="inlineStr">
        <is>
          <t>ANTHONY GONZALEZ FOR CONGRESS</t>
        </is>
      </c>
      <c r="E1507" t="inlineStr">
        <is>
          <t>H8OH16124</t>
        </is>
      </c>
      <c r="F1507" t="inlineStr">
        <is>
          <t>REP</t>
        </is>
      </c>
      <c r="G1507" t="inlineStr">
        <is>
          <t>10112021</t>
        </is>
      </c>
      <c r="H1507" t="n">
        <v>-5000</v>
      </c>
      <c r="I1507" t="inlineStr">
        <is>
          <t>202111189468575383</t>
        </is>
      </c>
      <c r="J1507" t="inlineStr">
        <is>
          <t>https://docquery.fec.gov/cgi-bin/fecimg/?202111189468575383</t>
        </is>
      </c>
    </row>
    <row r="1508">
      <c r="A1508" t="inlineStr">
        <is>
          <t>2022</t>
        </is>
      </c>
      <c r="B1508" t="inlineStr">
        <is>
          <t>C00496307</t>
        </is>
      </c>
      <c r="C1508" t="inlineStr">
        <is>
          <t>Marathon Petroleum Corp Employees PAC (MPAC)</t>
        </is>
      </c>
      <c r="D1508" t="inlineStr">
        <is>
          <t>MILLER-MEEKS FOR CONGRESS</t>
        </is>
      </c>
      <c r="E1508" t="inlineStr">
        <is>
          <t>H8IA02043</t>
        </is>
      </c>
      <c r="F1508" t="inlineStr">
        <is>
          <t>REP</t>
        </is>
      </c>
      <c r="G1508" t="inlineStr">
        <is>
          <t>10192022</t>
        </is>
      </c>
      <c r="H1508" t="n">
        <v>5000</v>
      </c>
      <c r="I1508" t="inlineStr">
        <is>
          <t>202210219541492971</t>
        </is>
      </c>
      <c r="J1508" t="inlineStr">
        <is>
          <t>https://docquery.fec.gov/cgi-bin/fecimg/?202210219541492971</t>
        </is>
      </c>
    </row>
    <row r="1509">
      <c r="A1509" t="inlineStr">
        <is>
          <t>2022</t>
        </is>
      </c>
      <c r="B1509" t="inlineStr">
        <is>
          <t>C00496307</t>
        </is>
      </c>
      <c r="C1509" t="inlineStr">
        <is>
          <t>Marathon Petroleum Corp Employees PAC (MPAC)</t>
        </is>
      </c>
      <c r="D1509" t="inlineStr">
        <is>
          <t>GUY FOR CONGRESS</t>
        </is>
      </c>
      <c r="E1509" t="inlineStr">
        <is>
          <t>H8PA18199</t>
        </is>
      </c>
      <c r="F1509" t="inlineStr">
        <is>
          <t>REP</t>
        </is>
      </c>
      <c r="G1509" t="inlineStr">
        <is>
          <t>10192022</t>
        </is>
      </c>
      <c r="H1509" t="n">
        <v>2500</v>
      </c>
      <c r="I1509" t="inlineStr">
        <is>
          <t>202210219541492970</t>
        </is>
      </c>
      <c r="J1509" t="inlineStr">
        <is>
          <t>https://docquery.fec.gov/cgi-bin/fecimg/?202210219541492970</t>
        </is>
      </c>
    </row>
    <row r="1510">
      <c r="A1510" t="inlineStr">
        <is>
          <t>2022</t>
        </is>
      </c>
      <c r="B1510" t="inlineStr">
        <is>
          <t>C00496307</t>
        </is>
      </c>
      <c r="C1510" t="inlineStr">
        <is>
          <t>Marathon Petroleum Corp Employees PAC (MPAC)</t>
        </is>
      </c>
      <c r="D1510" t="inlineStr">
        <is>
          <t>ANDY BARR FOR CONGRESS</t>
        </is>
      </c>
      <c r="E1510" t="inlineStr">
        <is>
          <t>H0KY06104</t>
        </is>
      </c>
      <c r="F1510" t="inlineStr">
        <is>
          <t>REP</t>
        </is>
      </c>
      <c r="G1510" t="inlineStr">
        <is>
          <t>10212021</t>
        </is>
      </c>
      <c r="H1510" t="n">
        <v>5000</v>
      </c>
      <c r="I1510" t="inlineStr">
        <is>
          <t>202111189468575383</t>
        </is>
      </c>
      <c r="J1510" t="inlineStr">
        <is>
          <t>https://docquery.fec.gov/cgi-bin/fecimg/?202111189468575383</t>
        </is>
      </c>
    </row>
    <row r="1511">
      <c r="A1511" t="inlineStr">
        <is>
          <t>2022</t>
        </is>
      </c>
      <c r="B1511" t="inlineStr">
        <is>
          <t>C00496307</t>
        </is>
      </c>
      <c r="C1511" t="inlineStr">
        <is>
          <t>Marathon Petroleum Corp Employees PAC (MPAC)</t>
        </is>
      </c>
      <c r="D1511" t="inlineStr">
        <is>
          <t>ARMSTRONG FOR CONGRESS</t>
        </is>
      </c>
      <c r="E1511" t="inlineStr">
        <is>
          <t>H8ND00096</t>
        </is>
      </c>
      <c r="F1511" t="inlineStr">
        <is>
          <t>REP</t>
        </is>
      </c>
      <c r="G1511" t="inlineStr">
        <is>
          <t>10212021</t>
        </is>
      </c>
      <c r="H1511" t="n">
        <v>2500</v>
      </c>
      <c r="I1511" t="inlineStr">
        <is>
          <t>202111189468575383</t>
        </is>
      </c>
      <c r="J1511" t="inlineStr">
        <is>
          <t>https://docquery.fec.gov/cgi-bin/fecimg/?202111189468575383</t>
        </is>
      </c>
    </row>
    <row r="1512">
      <c r="A1512" t="inlineStr">
        <is>
          <t>2022</t>
        </is>
      </c>
      <c r="B1512" t="inlineStr">
        <is>
          <t>C00496307</t>
        </is>
      </c>
      <c r="C1512" t="inlineStr">
        <is>
          <t>Marathon Petroleum Corp Employees PAC (MPAC)</t>
        </is>
      </c>
      <c r="D1512" t="inlineStr">
        <is>
          <t>AUGUST PFLUGER FOR CONGRESS</t>
        </is>
      </c>
      <c r="E1512" t="inlineStr">
        <is>
          <t>H0TX11230</t>
        </is>
      </c>
      <c r="F1512" t="inlineStr">
        <is>
          <t>REP</t>
        </is>
      </c>
      <c r="G1512" t="inlineStr">
        <is>
          <t>10212021</t>
        </is>
      </c>
      <c r="H1512" t="n">
        <v>2500</v>
      </c>
      <c r="I1512" t="inlineStr">
        <is>
          <t>202111189468575384</t>
        </is>
      </c>
      <c r="J1512" t="inlineStr">
        <is>
          <t>https://docquery.fec.gov/cgi-bin/fecimg/?202111189468575384</t>
        </is>
      </c>
    </row>
    <row r="1513">
      <c r="A1513" t="inlineStr">
        <is>
          <t>2022</t>
        </is>
      </c>
      <c r="B1513" t="inlineStr">
        <is>
          <t>C00496307</t>
        </is>
      </c>
      <c r="C1513" t="inlineStr">
        <is>
          <t>Marathon Petroleum Corp Employees PAC (MPAC)</t>
        </is>
      </c>
      <c r="D1513" t="inlineStr">
        <is>
          <t>CARLOS GIMNEZ FOR CONGRESS</t>
        </is>
      </c>
      <c r="E1513" t="inlineStr">
        <is>
          <t>H0FL26036</t>
        </is>
      </c>
      <c r="F1513" t="inlineStr">
        <is>
          <t>REP</t>
        </is>
      </c>
      <c r="G1513" t="inlineStr">
        <is>
          <t>10212021</t>
        </is>
      </c>
      <c r="H1513" t="n">
        <v>5000</v>
      </c>
      <c r="I1513" t="inlineStr">
        <is>
          <t>202111189468575384</t>
        </is>
      </c>
      <c r="J1513" t="inlineStr">
        <is>
          <t>https://docquery.fec.gov/cgi-bin/fecimg/?202111189468575384</t>
        </is>
      </c>
    </row>
    <row r="1514">
      <c r="A1514" t="inlineStr">
        <is>
          <t>2022</t>
        </is>
      </c>
      <c r="B1514" t="inlineStr">
        <is>
          <t>C00496307</t>
        </is>
      </c>
      <c r="C1514" t="inlineStr">
        <is>
          <t>Marathon Petroleum Corp Employees PAC (MPAC)</t>
        </is>
      </c>
      <c r="D1514" t="inlineStr">
        <is>
          <t>EMMER FOR CONGRESS</t>
        </is>
      </c>
      <c r="E1514" t="inlineStr">
        <is>
          <t>H4MN06087</t>
        </is>
      </c>
      <c r="F1514" t="inlineStr">
        <is>
          <t>REP</t>
        </is>
      </c>
      <c r="G1514" t="inlineStr">
        <is>
          <t>10212021</t>
        </is>
      </c>
      <c r="H1514" t="n">
        <v>5000</v>
      </c>
      <c r="I1514" t="inlineStr">
        <is>
          <t>202111189468575385</t>
        </is>
      </c>
      <c r="J1514" t="inlineStr">
        <is>
          <t>https://docquery.fec.gov/cgi-bin/fecimg/?202111189468575385</t>
        </is>
      </c>
    </row>
    <row r="1515">
      <c r="A1515" t="inlineStr">
        <is>
          <t>2022</t>
        </is>
      </c>
      <c r="B1515" t="inlineStr">
        <is>
          <t>C00496307</t>
        </is>
      </c>
      <c r="C1515" t="inlineStr">
        <is>
          <t>Marathon Petroleum Corp Employees PAC (MPAC)</t>
        </is>
      </c>
      <c r="D1515" t="inlineStr">
        <is>
          <t>GUTHRIE FOR CONGRESS</t>
        </is>
      </c>
      <c r="E1515" t="inlineStr">
        <is>
          <t>H8KY02031</t>
        </is>
      </c>
      <c r="F1515" t="inlineStr">
        <is>
          <t>REP</t>
        </is>
      </c>
      <c r="G1515" t="inlineStr">
        <is>
          <t>10212021</t>
        </is>
      </c>
      <c r="H1515" t="n">
        <v>2500</v>
      </c>
      <c r="I1515" t="inlineStr">
        <is>
          <t>202111189468575385</t>
        </is>
      </c>
      <c r="J1515" t="inlineStr">
        <is>
          <t>https://docquery.fec.gov/cgi-bin/fecimg/?202111189468575385</t>
        </is>
      </c>
    </row>
    <row r="1516">
      <c r="A1516" t="inlineStr">
        <is>
          <t>2022</t>
        </is>
      </c>
      <c r="B1516" t="inlineStr">
        <is>
          <t>C00496307</t>
        </is>
      </c>
      <c r="C1516" t="inlineStr">
        <is>
          <t>Marathon Petroleum Corp Employees PAC (MPAC)</t>
        </is>
      </c>
      <c r="D1516" t="inlineStr">
        <is>
          <t>GUY FOR CONGRESS</t>
        </is>
      </c>
      <c r="E1516" t="inlineStr">
        <is>
          <t>H8PA18199</t>
        </is>
      </c>
      <c r="F1516" t="inlineStr">
        <is>
          <t>REP</t>
        </is>
      </c>
      <c r="G1516" t="inlineStr">
        <is>
          <t>10212021</t>
        </is>
      </c>
      <c r="H1516" t="n">
        <v>5000</v>
      </c>
      <c r="I1516" t="inlineStr">
        <is>
          <t>202111189468575386</t>
        </is>
      </c>
      <c r="J1516" t="inlineStr">
        <is>
          <t>https://docquery.fec.gov/cgi-bin/fecimg/?202111189468575386</t>
        </is>
      </c>
    </row>
    <row r="1517">
      <c r="A1517" t="inlineStr">
        <is>
          <t>2022</t>
        </is>
      </c>
      <c r="B1517" t="inlineStr">
        <is>
          <t>C00496307</t>
        </is>
      </c>
      <c r="C1517" t="inlineStr">
        <is>
          <t>Marathon Petroleum Corp Employees PAC (MPAC)</t>
        </is>
      </c>
      <c r="D1517" t="inlineStr">
        <is>
          <t>HOEVEN FOR SENATE</t>
        </is>
      </c>
      <c r="E1517" t="inlineStr">
        <is>
          <t>S0ND00093</t>
        </is>
      </c>
      <c r="F1517" t="inlineStr">
        <is>
          <t>REP</t>
        </is>
      </c>
      <c r="G1517" t="inlineStr">
        <is>
          <t>10212021</t>
        </is>
      </c>
      <c r="H1517" t="n">
        <v>2500</v>
      </c>
      <c r="I1517" t="inlineStr">
        <is>
          <t>202111189468575386</t>
        </is>
      </c>
      <c r="J1517" t="inlineStr">
        <is>
          <t>https://docquery.fec.gov/cgi-bin/fecimg/?202111189468575386</t>
        </is>
      </c>
    </row>
    <row r="1518">
      <c r="A1518" t="inlineStr">
        <is>
          <t>2022</t>
        </is>
      </c>
      <c r="B1518" t="inlineStr">
        <is>
          <t>C00496307</t>
        </is>
      </c>
      <c r="C1518" t="inlineStr">
        <is>
          <t>Marathon Petroleum Corp Employees PAC (MPAC)</t>
        </is>
      </c>
      <c r="D1518" t="inlineStr">
        <is>
          <t>HUDSON FOR CONGRESS</t>
        </is>
      </c>
      <c r="E1518" t="inlineStr">
        <is>
          <t>H2NC08185</t>
        </is>
      </c>
      <c r="F1518" t="inlineStr">
        <is>
          <t>REP</t>
        </is>
      </c>
      <c r="G1518" t="inlineStr">
        <is>
          <t>10212021</t>
        </is>
      </c>
      <c r="H1518" t="n">
        <v>2500</v>
      </c>
      <c r="I1518" t="inlineStr">
        <is>
          <t>202111189468575386</t>
        </is>
      </c>
      <c r="J1518" t="inlineStr">
        <is>
          <t>https://docquery.fec.gov/cgi-bin/fecimg/?202111189468575386</t>
        </is>
      </c>
    </row>
    <row r="1519">
      <c r="A1519" t="inlineStr">
        <is>
          <t>2022</t>
        </is>
      </c>
      <c r="B1519" t="inlineStr">
        <is>
          <t>C00496307</t>
        </is>
      </c>
      <c r="C1519" t="inlineStr">
        <is>
          <t>Marathon Petroleum Corp Employees PAC (MPAC)</t>
        </is>
      </c>
      <c r="D1519" t="inlineStr">
        <is>
          <t>HUNT FOR CONGRESS</t>
        </is>
      </c>
      <c r="E1519" t="inlineStr">
        <is>
          <t>H0TX07170</t>
        </is>
      </c>
      <c r="F1519" t="inlineStr">
        <is>
          <t>REP</t>
        </is>
      </c>
      <c r="G1519" t="inlineStr">
        <is>
          <t>10212021</t>
        </is>
      </c>
      <c r="H1519" t="n">
        <v>5000</v>
      </c>
      <c r="I1519" t="inlineStr">
        <is>
          <t>202111189468575387</t>
        </is>
      </c>
      <c r="J1519" t="inlineStr">
        <is>
          <t>https://docquery.fec.gov/cgi-bin/fecimg/?202111189468575387</t>
        </is>
      </c>
    </row>
    <row r="1520">
      <c r="A1520" t="inlineStr">
        <is>
          <t>2022</t>
        </is>
      </c>
      <c r="B1520" t="inlineStr">
        <is>
          <t>C00496307</t>
        </is>
      </c>
      <c r="C1520" t="inlineStr">
        <is>
          <t>Marathon Petroleum Corp Employees PAC (MPAC)</t>
        </is>
      </c>
      <c r="D1520" t="inlineStr">
        <is>
          <t>JASON SMITH FOR CONGRESS</t>
        </is>
      </c>
      <c r="E1520" t="inlineStr">
        <is>
          <t>H4MO08162</t>
        </is>
      </c>
      <c r="F1520" t="inlineStr">
        <is>
          <t>REP</t>
        </is>
      </c>
      <c r="G1520" t="inlineStr">
        <is>
          <t>10212021</t>
        </is>
      </c>
      <c r="H1520" t="n">
        <v>5000</v>
      </c>
      <c r="I1520" t="inlineStr">
        <is>
          <t>202111189468575387</t>
        </is>
      </c>
      <c r="J1520" t="inlineStr">
        <is>
          <t>https://docquery.fec.gov/cgi-bin/fecimg/?202111189468575387</t>
        </is>
      </c>
    </row>
    <row r="1521">
      <c r="A1521" t="inlineStr">
        <is>
          <t>2022</t>
        </is>
      </c>
      <c r="B1521" t="inlineStr">
        <is>
          <t>C00496307</t>
        </is>
      </c>
      <c r="C1521" t="inlineStr">
        <is>
          <t>Marathon Petroleum Corp Employees PAC (MPAC)</t>
        </is>
      </c>
      <c r="D1521" t="inlineStr">
        <is>
          <t>JIM BANKS FOR CONGRESS, INC.</t>
        </is>
      </c>
      <c r="E1521" t="inlineStr">
        <is>
          <t>H6IN03229</t>
        </is>
      </c>
      <c r="F1521" t="inlineStr">
        <is>
          <t>REP</t>
        </is>
      </c>
      <c r="G1521" t="inlineStr">
        <is>
          <t>10212021</t>
        </is>
      </c>
      <c r="H1521" t="n">
        <v>5000</v>
      </c>
      <c r="I1521" t="inlineStr">
        <is>
          <t>202111189468575387</t>
        </is>
      </c>
      <c r="J1521" t="inlineStr">
        <is>
          <t>https://docquery.fec.gov/cgi-bin/fecimg/?202111189468575387</t>
        </is>
      </c>
    </row>
    <row r="1522">
      <c r="A1522" t="inlineStr">
        <is>
          <t>2022</t>
        </is>
      </c>
      <c r="B1522" t="inlineStr">
        <is>
          <t>C00496307</t>
        </is>
      </c>
      <c r="C1522" t="inlineStr">
        <is>
          <t>Marathon Petroleum Corp Employees PAC (MPAC)</t>
        </is>
      </c>
      <c r="D1522" t="inlineStr">
        <is>
          <t>JOHNSON FOR CONGRESS</t>
        </is>
      </c>
      <c r="E1522" t="inlineStr">
        <is>
          <t>H0OH06189</t>
        </is>
      </c>
      <c r="F1522" t="inlineStr">
        <is>
          <t>REP</t>
        </is>
      </c>
      <c r="G1522" t="inlineStr">
        <is>
          <t>10212021</t>
        </is>
      </c>
      <c r="H1522" t="n">
        <v>2500</v>
      </c>
      <c r="I1522" t="inlineStr">
        <is>
          <t>202111189468575388</t>
        </is>
      </c>
      <c r="J1522" t="inlineStr">
        <is>
          <t>https://docquery.fec.gov/cgi-bin/fecimg/?202111189468575388</t>
        </is>
      </c>
    </row>
    <row r="1523">
      <c r="A1523" t="inlineStr">
        <is>
          <t>2022</t>
        </is>
      </c>
      <c r="B1523" t="inlineStr">
        <is>
          <t>C00496307</t>
        </is>
      </c>
      <c r="C1523" t="inlineStr">
        <is>
          <t>Marathon Petroleum Corp Employees PAC (MPAC)</t>
        </is>
      </c>
      <c r="D1523" t="inlineStr">
        <is>
          <t>KATKO FOR CONGRESS</t>
        </is>
      </c>
      <c r="E1523" t="inlineStr">
        <is>
          <t>H4NY24073</t>
        </is>
      </c>
      <c r="F1523" t="inlineStr">
        <is>
          <t>REP</t>
        </is>
      </c>
      <c r="G1523" t="inlineStr">
        <is>
          <t>10212021</t>
        </is>
      </c>
      <c r="H1523" t="n">
        <v>2500</v>
      </c>
      <c r="I1523" t="inlineStr">
        <is>
          <t>202111189468575388</t>
        </is>
      </c>
      <c r="J1523" t="inlineStr">
        <is>
          <t>https://docquery.fec.gov/cgi-bin/fecimg/?202111189468575388</t>
        </is>
      </c>
    </row>
    <row r="1524">
      <c r="A1524" t="inlineStr">
        <is>
          <t>2022</t>
        </is>
      </c>
      <c r="B1524" t="inlineStr">
        <is>
          <t>C00496307</t>
        </is>
      </c>
      <c r="C1524" t="inlineStr">
        <is>
          <t>Marathon Petroleum Corp Employees PAC (MPAC)</t>
        </is>
      </c>
      <c r="D1524" t="inlineStr">
        <is>
          <t>MIKE KELLY FOR CONGRESS</t>
        </is>
      </c>
      <c r="E1524" t="inlineStr">
        <is>
          <t>H0PA03271</t>
        </is>
      </c>
      <c r="F1524" t="inlineStr">
        <is>
          <t>REP</t>
        </is>
      </c>
      <c r="G1524" t="inlineStr">
        <is>
          <t>10212021</t>
        </is>
      </c>
      <c r="H1524" t="n">
        <v>2000</v>
      </c>
      <c r="I1524" t="inlineStr">
        <is>
          <t>202111189468575388</t>
        </is>
      </c>
      <c r="J1524" t="inlineStr">
        <is>
          <t>https://docquery.fec.gov/cgi-bin/fecimg/?202111189468575388</t>
        </is>
      </c>
    </row>
    <row r="1525">
      <c r="A1525" t="inlineStr">
        <is>
          <t>2022</t>
        </is>
      </c>
      <c r="B1525" t="inlineStr">
        <is>
          <t>C00496307</t>
        </is>
      </c>
      <c r="C1525" t="inlineStr">
        <is>
          <t>Marathon Petroleum Corp Employees PAC (MPAC)</t>
        </is>
      </c>
      <c r="D1525" t="inlineStr">
        <is>
          <t>MIKE KELLY FOR CONGRESS</t>
        </is>
      </c>
      <c r="E1525" t="inlineStr">
        <is>
          <t>H0PA03271</t>
        </is>
      </c>
      <c r="F1525" t="inlineStr">
        <is>
          <t>REP</t>
        </is>
      </c>
      <c r="G1525" t="inlineStr">
        <is>
          <t>10212021</t>
        </is>
      </c>
      <c r="H1525" t="n">
        <v>1000</v>
      </c>
      <c r="I1525" t="inlineStr">
        <is>
          <t>202111189468575389</t>
        </is>
      </c>
      <c r="J1525" t="inlineStr">
        <is>
          <t>https://docquery.fec.gov/cgi-bin/fecimg/?202111189468575389</t>
        </is>
      </c>
    </row>
    <row r="1526">
      <c r="A1526" t="inlineStr">
        <is>
          <t>2022</t>
        </is>
      </c>
      <c r="B1526" t="inlineStr">
        <is>
          <t>C00496307</t>
        </is>
      </c>
      <c r="C1526" t="inlineStr">
        <is>
          <t>Marathon Petroleum Corp Employees PAC (MPAC)</t>
        </is>
      </c>
      <c r="D1526" t="inlineStr">
        <is>
          <t>MULLIN FOR CONGRESS</t>
        </is>
      </c>
      <c r="E1526" t="inlineStr">
        <is>
          <t>H2OK02083</t>
        </is>
      </c>
      <c r="F1526" t="inlineStr">
        <is>
          <t>REP</t>
        </is>
      </c>
      <c r="G1526" t="inlineStr">
        <is>
          <t>10212021</t>
        </is>
      </c>
      <c r="H1526" t="n">
        <v>2500</v>
      </c>
      <c r="I1526" t="inlineStr">
        <is>
          <t>202111189468575389</t>
        </is>
      </c>
      <c r="J1526" t="inlineStr">
        <is>
          <t>https://docquery.fec.gov/cgi-bin/fecimg/?202111189468575389</t>
        </is>
      </c>
    </row>
    <row r="1527">
      <c r="A1527" t="inlineStr">
        <is>
          <t>2022</t>
        </is>
      </c>
      <c r="B1527" t="inlineStr">
        <is>
          <t>C00496307</t>
        </is>
      </c>
      <c r="C1527" t="inlineStr">
        <is>
          <t>Marathon Petroleum Corp Employees PAC (MPAC)</t>
        </is>
      </c>
      <c r="D1527" t="inlineStr">
        <is>
          <t>CAREY FOR CONGRESS</t>
        </is>
      </c>
      <c r="E1527" t="inlineStr">
        <is>
          <t>H2OH15228</t>
        </is>
      </c>
      <c r="F1527" t="inlineStr">
        <is>
          <t>REP</t>
        </is>
      </c>
      <c r="G1527" t="inlineStr">
        <is>
          <t>10312022</t>
        </is>
      </c>
      <c r="H1527" t="n">
        <v>2500</v>
      </c>
      <c r="I1527" t="inlineStr">
        <is>
          <t>202212069547177771</t>
        </is>
      </c>
      <c r="J1527" t="inlineStr">
        <is>
          <t>https://docquery.fec.gov/cgi-bin/fecimg/?202212069547177771</t>
        </is>
      </c>
    </row>
    <row r="1528">
      <c r="A1528" t="inlineStr">
        <is>
          <t>2022</t>
        </is>
      </c>
      <c r="B1528" t="inlineStr">
        <is>
          <t>C00496307</t>
        </is>
      </c>
      <c r="C1528" t="inlineStr">
        <is>
          <t>Marathon Petroleum Corp Employees PAC (MPAC)</t>
        </is>
      </c>
      <c r="D1528" t="inlineStr">
        <is>
          <t>CLOUD FOR CONGRESS</t>
        </is>
      </c>
      <c r="E1528" t="inlineStr">
        <is>
          <t>H8TX27049</t>
        </is>
      </c>
      <c r="F1528" t="inlineStr">
        <is>
          <t>REP</t>
        </is>
      </c>
      <c r="G1528" t="inlineStr">
        <is>
          <t>10312022</t>
        </is>
      </c>
      <c r="H1528" t="n">
        <v>2500</v>
      </c>
      <c r="I1528" t="inlineStr">
        <is>
          <t>202212069547177771</t>
        </is>
      </c>
      <c r="J1528" t="inlineStr">
        <is>
          <t>https://docquery.fec.gov/cgi-bin/fecimg/?202212069547177771</t>
        </is>
      </c>
    </row>
    <row r="1529">
      <c r="A1529" t="inlineStr">
        <is>
          <t>2022</t>
        </is>
      </c>
      <c r="B1529" t="inlineStr">
        <is>
          <t>C00496307</t>
        </is>
      </c>
      <c r="C1529" t="inlineStr">
        <is>
          <t>Marathon Petroleum Corp Employees PAC (MPAC)</t>
        </is>
      </c>
      <c r="D1529" t="inlineStr">
        <is>
          <t>DOCTOR OZ FOR SENATE</t>
        </is>
      </c>
      <c r="E1529" t="inlineStr">
        <is>
          <t>S2PA00638</t>
        </is>
      </c>
      <c r="F1529" t="inlineStr">
        <is>
          <t>REP</t>
        </is>
      </c>
      <c r="G1529" t="inlineStr">
        <is>
          <t>10312022</t>
        </is>
      </c>
      <c r="H1529" t="n">
        <v>5000</v>
      </c>
      <c r="I1529" t="inlineStr">
        <is>
          <t>202212069547177772</t>
        </is>
      </c>
      <c r="J1529" t="inlineStr">
        <is>
          <t>https://docquery.fec.gov/cgi-bin/fecimg/?202212069547177772</t>
        </is>
      </c>
    </row>
    <row r="1530">
      <c r="A1530" t="inlineStr">
        <is>
          <t>2022</t>
        </is>
      </c>
      <c r="B1530" t="inlineStr">
        <is>
          <t>C00496307</t>
        </is>
      </c>
      <c r="C1530" t="inlineStr">
        <is>
          <t>Marathon Petroleum Corp Employees PAC (MPAC)</t>
        </is>
      </c>
      <c r="D1530" t="inlineStr">
        <is>
          <t>FRIENDS OF JEREMY SHAFFER</t>
        </is>
      </c>
      <c r="E1530" t="inlineStr">
        <is>
          <t>H2PA17160</t>
        </is>
      </c>
      <c r="F1530" t="inlineStr">
        <is>
          <t>REP</t>
        </is>
      </c>
      <c r="G1530" t="inlineStr">
        <is>
          <t>10312022</t>
        </is>
      </c>
      <c r="H1530" t="n">
        <v>5000</v>
      </c>
      <c r="I1530" t="inlineStr">
        <is>
          <t>202212069547177773</t>
        </is>
      </c>
      <c r="J1530" t="inlineStr">
        <is>
          <t>https://docquery.fec.gov/cgi-bin/fecimg/?202212069547177773</t>
        </is>
      </c>
    </row>
    <row r="1531">
      <c r="A1531" t="inlineStr">
        <is>
          <t>2022</t>
        </is>
      </c>
      <c r="B1531" t="inlineStr">
        <is>
          <t>C00496307</t>
        </is>
      </c>
      <c r="C1531" t="inlineStr">
        <is>
          <t>Marathon Petroleum Corp Employees PAC (MPAC)</t>
        </is>
      </c>
      <c r="D1531" t="inlineStr">
        <is>
          <t>GARRET GRAVES FOR CONGRESS</t>
        </is>
      </c>
      <c r="E1531" t="inlineStr">
        <is>
          <t>H4LA06153</t>
        </is>
      </c>
      <c r="F1531" t="inlineStr">
        <is>
          <t>REP</t>
        </is>
      </c>
      <c r="G1531" t="inlineStr">
        <is>
          <t>10312022</t>
        </is>
      </c>
      <c r="H1531" t="n">
        <v>2500</v>
      </c>
      <c r="I1531" t="inlineStr">
        <is>
          <t>202212069547177773</t>
        </is>
      </c>
      <c r="J1531" t="inlineStr">
        <is>
          <t>https://docquery.fec.gov/cgi-bin/fecimg/?202212069547177773</t>
        </is>
      </c>
    </row>
    <row r="1532">
      <c r="A1532" t="inlineStr">
        <is>
          <t>2022</t>
        </is>
      </c>
      <c r="B1532" t="inlineStr">
        <is>
          <t>C00496307</t>
        </is>
      </c>
      <c r="C1532" t="inlineStr">
        <is>
          <t>Marathon Petroleum Corp Employees PAC (MPAC)</t>
        </is>
      </c>
      <c r="D1532" t="inlineStr">
        <is>
          <t>HUNT FOR CONGRESS</t>
        </is>
      </c>
      <c r="E1532" t="inlineStr">
        <is>
          <t>H0TX07170</t>
        </is>
      </c>
      <c r="F1532" t="inlineStr">
        <is>
          <t>REP</t>
        </is>
      </c>
      <c r="G1532" t="inlineStr">
        <is>
          <t>10312022</t>
        </is>
      </c>
      <c r="H1532" t="n">
        <v>2500</v>
      </c>
      <c r="I1532" t="inlineStr">
        <is>
          <t>202212069547177774</t>
        </is>
      </c>
      <c r="J1532" t="inlineStr">
        <is>
          <t>https://docquery.fec.gov/cgi-bin/fecimg/?202212069547177774</t>
        </is>
      </c>
    </row>
    <row r="1533">
      <c r="A1533" t="inlineStr">
        <is>
          <t>2022</t>
        </is>
      </c>
      <c r="B1533" t="inlineStr">
        <is>
          <t>C00496307</t>
        </is>
      </c>
      <c r="C1533" t="inlineStr">
        <is>
          <t>Marathon Petroleum Corp Employees PAC (MPAC)</t>
        </is>
      </c>
      <c r="D1533" t="inlineStr">
        <is>
          <t>JOHN CARTER FOR CONGRESS</t>
        </is>
      </c>
      <c r="E1533" t="inlineStr">
        <is>
          <t>H2TX31044</t>
        </is>
      </c>
      <c r="F1533" t="inlineStr">
        <is>
          <t>REP</t>
        </is>
      </c>
      <c r="G1533" t="inlineStr">
        <is>
          <t>10312022</t>
        </is>
      </c>
      <c r="H1533" t="n">
        <v>2500</v>
      </c>
      <c r="I1533" t="inlineStr">
        <is>
          <t>202212069547177774</t>
        </is>
      </c>
      <c r="J1533" t="inlineStr">
        <is>
          <t>https://docquery.fec.gov/cgi-bin/fecimg/?202212069547177774</t>
        </is>
      </c>
    </row>
    <row r="1534">
      <c r="A1534" t="inlineStr">
        <is>
          <t>2022</t>
        </is>
      </c>
      <c r="B1534" t="inlineStr">
        <is>
          <t>C00496307</t>
        </is>
      </c>
      <c r="C1534" t="inlineStr">
        <is>
          <t>Marathon Petroleum Corp Employees PAC (MPAC)</t>
        </is>
      </c>
      <c r="D1534" t="inlineStr">
        <is>
          <t>MEUSER FOR CONGRESS</t>
        </is>
      </c>
      <c r="E1534" t="inlineStr">
        <is>
          <t>H8PA10147</t>
        </is>
      </c>
      <c r="F1534" t="inlineStr">
        <is>
          <t>REP</t>
        </is>
      </c>
      <c r="G1534" t="inlineStr">
        <is>
          <t>10312022</t>
        </is>
      </c>
      <c r="H1534" t="n">
        <v>2500</v>
      </c>
      <c r="I1534" t="inlineStr">
        <is>
          <t>202212069547177776</t>
        </is>
      </c>
      <c r="J1534" t="inlineStr">
        <is>
          <t>https://docquery.fec.gov/cgi-bin/fecimg/?202212069547177776</t>
        </is>
      </c>
    </row>
    <row r="1535">
      <c r="A1535" t="inlineStr">
        <is>
          <t>2022</t>
        </is>
      </c>
      <c r="B1535" t="inlineStr">
        <is>
          <t>C00496307</t>
        </is>
      </c>
      <c r="C1535" t="inlineStr">
        <is>
          <t>Marathon Petroleum Corp Employees PAC (MPAC)</t>
        </is>
      </c>
      <c r="D1535" t="inlineStr">
        <is>
          <t>AUGUST PFLUGER FOR CONGRESS</t>
        </is>
      </c>
      <c r="E1535" t="inlineStr">
        <is>
          <t>H0TX11230</t>
        </is>
      </c>
      <c r="F1535" t="inlineStr">
        <is>
          <t>REP</t>
        </is>
      </c>
      <c r="G1535" t="inlineStr">
        <is>
          <t>11022022</t>
        </is>
      </c>
      <c r="H1535" t="n">
        <v>2500</v>
      </c>
      <c r="I1535" t="inlineStr">
        <is>
          <t>202212069547177771</t>
        </is>
      </c>
      <c r="J1535" t="inlineStr">
        <is>
          <t>https://docquery.fec.gov/cgi-bin/fecimg/?202212069547177771</t>
        </is>
      </c>
    </row>
    <row r="1536">
      <c r="A1536" t="inlineStr">
        <is>
          <t>2022</t>
        </is>
      </c>
      <c r="B1536" t="inlineStr">
        <is>
          <t>C00496307</t>
        </is>
      </c>
      <c r="C1536" t="inlineStr">
        <is>
          <t>Marathon Petroleum Corp Employees PAC (MPAC)</t>
        </is>
      </c>
      <c r="D1536" t="inlineStr">
        <is>
          <t>CURTIS FOR CONGRESS</t>
        </is>
      </c>
      <c r="E1536" t="inlineStr">
        <is>
          <t>H8UT03238</t>
        </is>
      </c>
      <c r="F1536" t="inlineStr">
        <is>
          <t>REP</t>
        </is>
      </c>
      <c r="G1536" t="inlineStr">
        <is>
          <t>11022022</t>
        </is>
      </c>
      <c r="H1536" t="n">
        <v>2500</v>
      </c>
      <c r="I1536" t="inlineStr">
        <is>
          <t>202212069547177772</t>
        </is>
      </c>
      <c r="J1536" t="inlineStr">
        <is>
          <t>https://docquery.fec.gov/cgi-bin/fecimg/?202212069547177772</t>
        </is>
      </c>
    </row>
    <row r="1537">
      <c r="A1537" t="inlineStr">
        <is>
          <t>2022</t>
        </is>
      </c>
      <c r="B1537" t="inlineStr">
        <is>
          <t>C00496307</t>
        </is>
      </c>
      <c r="C1537" t="inlineStr">
        <is>
          <t>Marathon Petroleum Corp Employees PAC (MPAC)</t>
        </is>
      </c>
      <c r="D1537" t="inlineStr">
        <is>
          <t>JASON SMITH FOR CONGRESS</t>
        </is>
      </c>
      <c r="E1537" t="inlineStr">
        <is>
          <t>H4MO08162</t>
        </is>
      </c>
      <c r="F1537" t="inlineStr">
        <is>
          <t>REP</t>
        </is>
      </c>
      <c r="G1537" t="inlineStr">
        <is>
          <t>11022022</t>
        </is>
      </c>
      <c r="H1537" t="n">
        <v>5000</v>
      </c>
      <c r="I1537" t="inlineStr">
        <is>
          <t>202212069547177774</t>
        </is>
      </c>
      <c r="J1537" t="inlineStr">
        <is>
          <t>https://docquery.fec.gov/cgi-bin/fecimg/?202212069547177774</t>
        </is>
      </c>
    </row>
    <row r="1538">
      <c r="A1538" t="inlineStr">
        <is>
          <t>2022</t>
        </is>
      </c>
      <c r="B1538" t="inlineStr">
        <is>
          <t>C00496307</t>
        </is>
      </c>
      <c r="C1538" t="inlineStr">
        <is>
          <t>Marathon Petroleum Corp Employees PAC (MPAC)</t>
        </is>
      </c>
      <c r="D1538" t="inlineStr">
        <is>
          <t>KUSTOFF FOR CONGRESS</t>
        </is>
      </c>
      <c r="E1538" t="inlineStr">
        <is>
          <t>H2TN07103</t>
        </is>
      </c>
      <c r="F1538" t="inlineStr">
        <is>
          <t>REP</t>
        </is>
      </c>
      <c r="G1538" t="inlineStr">
        <is>
          <t>11022022</t>
        </is>
      </c>
      <c r="H1538" t="n">
        <v>5000</v>
      </c>
      <c r="I1538" t="inlineStr">
        <is>
          <t>202212069547177775</t>
        </is>
      </c>
      <c r="J1538" t="inlineStr">
        <is>
          <t>https://docquery.fec.gov/cgi-bin/fecimg/?202212069547177775</t>
        </is>
      </c>
    </row>
    <row r="1539">
      <c r="A1539" t="inlineStr">
        <is>
          <t>2022</t>
        </is>
      </c>
      <c r="B1539" t="inlineStr">
        <is>
          <t>C00496307</t>
        </is>
      </c>
      <c r="C1539" t="inlineStr">
        <is>
          <t>Marathon Petroleum Corp Employees PAC (MPAC)</t>
        </is>
      </c>
      <c r="D1539" t="inlineStr">
        <is>
          <t>LANCE GOODEN FOR CONGRESS</t>
        </is>
      </c>
      <c r="E1539" t="inlineStr">
        <is>
          <t>H8TX05144</t>
        </is>
      </c>
      <c r="F1539" t="inlineStr">
        <is>
          <t>REP</t>
        </is>
      </c>
      <c r="G1539" t="inlineStr">
        <is>
          <t>11022022</t>
        </is>
      </c>
      <c r="H1539" t="n">
        <v>5000</v>
      </c>
      <c r="I1539" t="inlineStr">
        <is>
          <t>202212069547177775</t>
        </is>
      </c>
      <c r="J1539" t="inlineStr">
        <is>
          <t>https://docquery.fec.gov/cgi-bin/fecimg/?202212069547177775</t>
        </is>
      </c>
    </row>
    <row r="1540">
      <c r="A1540" t="inlineStr">
        <is>
          <t>2022</t>
        </is>
      </c>
      <c r="B1540" t="inlineStr">
        <is>
          <t>C00496307</t>
        </is>
      </c>
      <c r="C1540" t="inlineStr">
        <is>
          <t>Marathon Petroleum Corp Employees PAC (MPAC)</t>
        </is>
      </c>
      <c r="D1540" t="inlineStr">
        <is>
          <t>VERN BUCHANAN FOR CONGRESS</t>
        </is>
      </c>
      <c r="E1540" t="inlineStr">
        <is>
          <t>H6FL13148</t>
        </is>
      </c>
      <c r="F1540" t="inlineStr">
        <is>
          <t>REP</t>
        </is>
      </c>
      <c r="G1540" t="inlineStr">
        <is>
          <t>11022022</t>
        </is>
      </c>
      <c r="H1540" t="n">
        <v>2500</v>
      </c>
      <c r="I1540" t="inlineStr">
        <is>
          <t>202212069547177776</t>
        </is>
      </c>
      <c r="J1540" t="inlineStr">
        <is>
          <t>https://docquery.fec.gov/cgi-bin/fecimg/?202212069547177776</t>
        </is>
      </c>
    </row>
    <row r="1541">
      <c r="A1541" t="inlineStr">
        <is>
          <t>2022</t>
        </is>
      </c>
      <c r="B1541" t="inlineStr">
        <is>
          <t>C00496307</t>
        </is>
      </c>
      <c r="C1541" t="inlineStr">
        <is>
          <t>Marathon Petroleum Corp Employees PAC (MPAC)</t>
        </is>
      </c>
      <c r="D1541" t="inlineStr">
        <is>
          <t>KATKO FOR CONGRESS</t>
        </is>
      </c>
      <c r="E1541" t="inlineStr">
        <is>
          <t>H4NY24073</t>
        </is>
      </c>
      <c r="F1541" t="inlineStr">
        <is>
          <t>REP</t>
        </is>
      </c>
      <c r="G1541" t="inlineStr">
        <is>
          <t>11232021</t>
        </is>
      </c>
      <c r="H1541" t="n">
        <v>2500</v>
      </c>
      <c r="I1541" t="inlineStr">
        <is>
          <t>202112169469871364</t>
        </is>
      </c>
      <c r="J1541" t="inlineStr">
        <is>
          <t>https://docquery.fec.gov/cgi-bin/fecimg/?202112169469871364</t>
        </is>
      </c>
    </row>
    <row r="1542">
      <c r="A1542" t="inlineStr">
        <is>
          <t>2022</t>
        </is>
      </c>
      <c r="B1542" t="inlineStr">
        <is>
          <t>C00496307</t>
        </is>
      </c>
      <c r="C1542" t="inlineStr">
        <is>
          <t>Marathon Petroleum Corp Employees PAC (MPAC)</t>
        </is>
      </c>
      <c r="D1542" t="inlineStr">
        <is>
          <t>MIKE GARCIA FOR CONGRESS</t>
        </is>
      </c>
      <c r="E1542" t="inlineStr">
        <is>
          <t>H0CA25105</t>
        </is>
      </c>
      <c r="F1542" t="inlineStr">
        <is>
          <t>REP</t>
        </is>
      </c>
      <c r="G1542" t="inlineStr">
        <is>
          <t>11232021</t>
        </is>
      </c>
      <c r="H1542" t="n">
        <v>2500</v>
      </c>
      <c r="I1542" t="inlineStr">
        <is>
          <t>202112169469871364</t>
        </is>
      </c>
      <c r="J1542" t="inlineStr">
        <is>
          <t>https://docquery.fec.gov/cgi-bin/fecimg/?202112169469871364</t>
        </is>
      </c>
    </row>
    <row r="1543">
      <c r="A1543" t="inlineStr">
        <is>
          <t>2022</t>
        </is>
      </c>
      <c r="B1543" t="inlineStr">
        <is>
          <t>C00496307</t>
        </is>
      </c>
      <c r="C1543" t="inlineStr">
        <is>
          <t>Marathon Petroleum Corp Employees PAC (MPAC)</t>
        </is>
      </c>
      <c r="D1543" t="inlineStr">
        <is>
          <t>MIKE KELLY FOR CONGRESS</t>
        </is>
      </c>
      <c r="E1543" t="inlineStr">
        <is>
          <t>H0PA03271</t>
        </is>
      </c>
      <c r="F1543" t="inlineStr">
        <is>
          <t>REP</t>
        </is>
      </c>
      <c r="G1543" t="inlineStr">
        <is>
          <t>11232021</t>
        </is>
      </c>
      <c r="H1543" t="n">
        <v>3000</v>
      </c>
      <c r="I1543" t="inlineStr">
        <is>
          <t>202112169469871365</t>
        </is>
      </c>
      <c r="J1543" t="inlineStr">
        <is>
          <t>https://docquery.fec.gov/cgi-bin/fecimg/?202112169469871365</t>
        </is>
      </c>
    </row>
    <row r="1544">
      <c r="A1544" t="inlineStr">
        <is>
          <t>2022</t>
        </is>
      </c>
      <c r="B1544" t="inlineStr">
        <is>
          <t>C00496307</t>
        </is>
      </c>
      <c r="C1544" t="inlineStr">
        <is>
          <t>Marathon Petroleum Corp Employees PAC (MPAC)</t>
        </is>
      </c>
      <c r="D1544" t="inlineStr">
        <is>
          <t>NANCY MACE FOR CONGRESS</t>
        </is>
      </c>
      <c r="E1544" t="inlineStr">
        <is>
          <t>H0SC01394</t>
        </is>
      </c>
      <c r="F1544" t="inlineStr">
        <is>
          <t>REP</t>
        </is>
      </c>
      <c r="G1544" t="inlineStr">
        <is>
          <t>11232021</t>
        </is>
      </c>
      <c r="H1544" t="n">
        <v>2500</v>
      </c>
      <c r="I1544" t="inlineStr">
        <is>
          <t>202112169469871365</t>
        </is>
      </c>
      <c r="J1544" t="inlineStr">
        <is>
          <t>https://docquery.fec.gov/cgi-bin/fecimg/?202112169469871365</t>
        </is>
      </c>
    </row>
    <row r="1545">
      <c r="A1545" t="inlineStr">
        <is>
          <t>2022</t>
        </is>
      </c>
      <c r="B1545" t="inlineStr">
        <is>
          <t>C00496307</t>
        </is>
      </c>
      <c r="C1545" t="inlineStr">
        <is>
          <t>Marathon Petroleum Corp Employees PAC (MPAC)</t>
        </is>
      </c>
      <c r="D1545" t="inlineStr">
        <is>
          <t>RON ESTES FOR CONGRESS</t>
        </is>
      </c>
      <c r="E1545" t="inlineStr">
        <is>
          <t>H8KS04112</t>
        </is>
      </c>
      <c r="F1545" t="inlineStr">
        <is>
          <t>REP</t>
        </is>
      </c>
      <c r="G1545" t="inlineStr">
        <is>
          <t>11232021</t>
        </is>
      </c>
      <c r="H1545" t="n">
        <v>2500</v>
      </c>
      <c r="I1545" t="inlineStr">
        <is>
          <t>202112169469871365</t>
        </is>
      </c>
      <c r="J1545" t="inlineStr">
        <is>
          <t>https://docquery.fec.gov/cgi-bin/fecimg/?202112169469871365</t>
        </is>
      </c>
    </row>
    <row r="1546">
      <c r="A1546" t="inlineStr">
        <is>
          <t>2022</t>
        </is>
      </c>
      <c r="B1546" t="inlineStr">
        <is>
          <t>C00496307</t>
        </is>
      </c>
      <c r="C1546" t="inlineStr">
        <is>
          <t>Marathon Petroleum Corp Employees PAC (MPAC)</t>
        </is>
      </c>
      <c r="D1546" t="inlineStr">
        <is>
          <t>STEIL FOR WISCONSIN, INC.</t>
        </is>
      </c>
      <c r="E1546" t="inlineStr">
        <is>
          <t>H8WI01156</t>
        </is>
      </c>
      <c r="F1546" t="inlineStr">
        <is>
          <t>REP</t>
        </is>
      </c>
      <c r="G1546" t="inlineStr">
        <is>
          <t>11232021</t>
        </is>
      </c>
      <c r="H1546" t="n">
        <v>2500</v>
      </c>
      <c r="I1546" t="inlineStr">
        <is>
          <t>202112169469871366</t>
        </is>
      </c>
      <c r="J1546" t="inlineStr">
        <is>
          <t>https://docquery.fec.gov/cgi-bin/fecimg/?202112169469871366</t>
        </is>
      </c>
    </row>
    <row r="1547">
      <c r="A1547" t="inlineStr">
        <is>
          <t>2022</t>
        </is>
      </c>
      <c r="B1547" t="inlineStr">
        <is>
          <t>C00496307</t>
        </is>
      </c>
      <c r="C1547" t="inlineStr">
        <is>
          <t>Marathon Petroleum Corp Employees PAC (MPAC)</t>
        </is>
      </c>
      <c r="D1547" t="inlineStr">
        <is>
          <t>ASHLEY HINSON FOR CONGRESS</t>
        </is>
      </c>
      <c r="E1547" t="inlineStr">
        <is>
          <t>H0IA01174</t>
        </is>
      </c>
      <c r="F1547" t="inlineStr">
        <is>
          <t>REP</t>
        </is>
      </c>
      <c r="G1547" t="inlineStr">
        <is>
          <t>11232021</t>
        </is>
      </c>
      <c r="H1547" t="n">
        <v>2500</v>
      </c>
      <c r="I1547" t="inlineStr">
        <is>
          <t>202112169469871360</t>
        </is>
      </c>
      <c r="J1547" t="inlineStr">
        <is>
          <t>https://docquery.fec.gov/cgi-bin/fecimg/?202112169469871360</t>
        </is>
      </c>
    </row>
    <row r="1548">
      <c r="A1548" t="inlineStr">
        <is>
          <t>2022</t>
        </is>
      </c>
      <c r="B1548" t="inlineStr">
        <is>
          <t>C00496307</t>
        </is>
      </c>
      <c r="C1548" t="inlineStr">
        <is>
          <t>Marathon Petroleum Corp Employees PAC (MPAC)</t>
        </is>
      </c>
      <c r="D1548" t="inlineStr">
        <is>
          <t>BETH VAN DUYNE FOR CONGRESS</t>
        </is>
      </c>
      <c r="E1548" t="inlineStr">
        <is>
          <t>H0TX24209</t>
        </is>
      </c>
      <c r="F1548" t="inlineStr">
        <is>
          <t>REP</t>
        </is>
      </c>
      <c r="G1548" t="inlineStr">
        <is>
          <t>11232021</t>
        </is>
      </c>
      <c r="H1548" t="n">
        <v>2500</v>
      </c>
      <c r="I1548" t="inlineStr">
        <is>
          <t>202112169469871360</t>
        </is>
      </c>
      <c r="J1548" t="inlineStr">
        <is>
          <t>https://docquery.fec.gov/cgi-bin/fecimg/?202112169469871360</t>
        </is>
      </c>
    </row>
    <row r="1549">
      <c r="A1549" t="inlineStr">
        <is>
          <t>2022</t>
        </is>
      </c>
      <c r="B1549" t="inlineStr">
        <is>
          <t>C00496307</t>
        </is>
      </c>
      <c r="C1549" t="inlineStr">
        <is>
          <t>Marathon Petroleum Corp Employees PAC (MPAC)</t>
        </is>
      </c>
      <c r="D1549" t="inlineStr">
        <is>
          <t>BYRON DONALDS FOR CONGRESS</t>
        </is>
      </c>
      <c r="E1549" t="inlineStr">
        <is>
          <t>H0FL19205</t>
        </is>
      </c>
      <c r="G1549" t="inlineStr">
        <is>
          <t>11232021</t>
        </is>
      </c>
      <c r="H1549" t="n">
        <v>5000</v>
      </c>
      <c r="I1549" t="inlineStr">
        <is>
          <t>202112169469871360</t>
        </is>
      </c>
      <c r="J1549" t="inlineStr">
        <is>
          <t>https://docquery.fec.gov/cgi-bin/fecimg/?202112169469871360</t>
        </is>
      </c>
    </row>
    <row r="1550">
      <c r="A1550" t="inlineStr">
        <is>
          <t>2022</t>
        </is>
      </c>
      <c r="B1550" t="inlineStr">
        <is>
          <t>C00496307</t>
        </is>
      </c>
      <c r="C1550" t="inlineStr">
        <is>
          <t>Marathon Petroleum Corp Employees PAC (MPAC)</t>
        </is>
      </c>
      <c r="D1550" t="inlineStr">
        <is>
          <t>CATHY MCMORRIS RODGERS FOR CONGRESS</t>
        </is>
      </c>
      <c r="E1550" t="inlineStr">
        <is>
          <t>H4WA05077</t>
        </is>
      </c>
      <c r="F1550" t="inlineStr">
        <is>
          <t>REP</t>
        </is>
      </c>
      <c r="G1550" t="inlineStr">
        <is>
          <t>11232021</t>
        </is>
      </c>
      <c r="H1550" t="n">
        <v>2500</v>
      </c>
      <c r="I1550" t="inlineStr">
        <is>
          <t>202112169469871361</t>
        </is>
      </c>
      <c r="J1550" t="inlineStr">
        <is>
          <t>https://docquery.fec.gov/cgi-bin/fecimg/?202112169469871361</t>
        </is>
      </c>
    </row>
    <row r="1551">
      <c r="A1551" t="inlineStr">
        <is>
          <t>2022</t>
        </is>
      </c>
      <c r="B1551" t="inlineStr">
        <is>
          <t>C00496307</t>
        </is>
      </c>
      <c r="C1551" t="inlineStr">
        <is>
          <t>Marathon Petroleum Corp Employees PAC (MPAC)</t>
        </is>
      </c>
      <c r="D1551" t="inlineStr">
        <is>
          <t>FISCHBACH FOR CONGRESS</t>
        </is>
      </c>
      <c r="E1551" t="inlineStr">
        <is>
          <t>H0MN07091</t>
        </is>
      </c>
      <c r="F1551" t="inlineStr">
        <is>
          <t>REP</t>
        </is>
      </c>
      <c r="G1551" t="inlineStr">
        <is>
          <t>11232021</t>
        </is>
      </c>
      <c r="H1551" t="n">
        <v>2500</v>
      </c>
      <c r="I1551" t="inlineStr">
        <is>
          <t>202112169469871361</t>
        </is>
      </c>
      <c r="J1551" t="inlineStr">
        <is>
          <t>https://docquery.fec.gov/cgi-bin/fecimg/?202112169469871361</t>
        </is>
      </c>
    </row>
    <row r="1552">
      <c r="A1552" t="inlineStr">
        <is>
          <t>2022</t>
        </is>
      </c>
      <c r="B1552" t="inlineStr">
        <is>
          <t>C00496307</t>
        </is>
      </c>
      <c r="C1552" t="inlineStr">
        <is>
          <t>Marathon Petroleum Corp Employees PAC (MPAC)</t>
        </is>
      </c>
      <c r="D1552" t="inlineStr">
        <is>
          <t>FRIENDS FOR CHRIS STEWART, INC.</t>
        </is>
      </c>
      <c r="E1552" t="inlineStr">
        <is>
          <t>H2UT02324</t>
        </is>
      </c>
      <c r="F1552" t="inlineStr">
        <is>
          <t>REP</t>
        </is>
      </c>
      <c r="G1552" t="inlineStr">
        <is>
          <t>11232021</t>
        </is>
      </c>
      <c r="H1552" t="n">
        <v>2500</v>
      </c>
      <c r="I1552" t="inlineStr">
        <is>
          <t>202112169469871361</t>
        </is>
      </c>
      <c r="J1552" t="inlineStr">
        <is>
          <t>https://docquery.fec.gov/cgi-bin/fecimg/?202112169469871361</t>
        </is>
      </c>
    </row>
    <row r="1553">
      <c r="A1553" t="inlineStr">
        <is>
          <t>2022</t>
        </is>
      </c>
      <c r="B1553" t="inlineStr">
        <is>
          <t>C00496307</t>
        </is>
      </c>
      <c r="C1553" t="inlineStr">
        <is>
          <t>Marathon Petroleum Corp Employees PAC (MPAC)</t>
        </is>
      </c>
      <c r="D1553" t="inlineStr">
        <is>
          <t>GREG PENCE FOR CONGRESS</t>
        </is>
      </c>
      <c r="E1553" t="inlineStr">
        <is>
          <t>H8IN06129</t>
        </is>
      </c>
      <c r="F1553" t="inlineStr">
        <is>
          <t>REP</t>
        </is>
      </c>
      <c r="G1553" t="inlineStr">
        <is>
          <t>11232021</t>
        </is>
      </c>
      <c r="H1553" t="n">
        <v>2500</v>
      </c>
      <c r="I1553" t="inlineStr">
        <is>
          <t>202112169469871363</t>
        </is>
      </c>
      <c r="J1553" t="inlineStr">
        <is>
          <t>https://docquery.fec.gov/cgi-bin/fecimg/?202112169469871363</t>
        </is>
      </c>
    </row>
    <row r="1554">
      <c r="A1554" t="inlineStr">
        <is>
          <t>2022</t>
        </is>
      </c>
      <c r="B1554" t="inlineStr">
        <is>
          <t>C00496307</t>
        </is>
      </c>
      <c r="C1554" t="inlineStr">
        <is>
          <t>Marathon Petroleum Corp Employees PAC (MPAC)</t>
        </is>
      </c>
      <c r="D1554" t="inlineStr">
        <is>
          <t>GARBARINO FOR CONGRESS</t>
        </is>
      </c>
      <c r="E1554" t="inlineStr">
        <is>
          <t>H0NY02234</t>
        </is>
      </c>
      <c r="F1554" t="inlineStr">
        <is>
          <t>REP</t>
        </is>
      </c>
      <c r="G1554" t="inlineStr">
        <is>
          <t>11232021</t>
        </is>
      </c>
      <c r="H1554" t="n">
        <v>2500</v>
      </c>
      <c r="I1554" t="inlineStr">
        <is>
          <t>202112169469871362</t>
        </is>
      </c>
      <c r="J1554" t="inlineStr">
        <is>
          <t>https://docquery.fec.gov/cgi-bin/fecimg/?202112169469871362</t>
        </is>
      </c>
    </row>
    <row r="1555">
      <c r="A1555" t="inlineStr">
        <is>
          <t>2022</t>
        </is>
      </c>
      <c r="B1555" t="inlineStr">
        <is>
          <t>C00496307</t>
        </is>
      </c>
      <c r="C1555" t="inlineStr">
        <is>
          <t>Marathon Petroleum Corp Employees PAC (MPAC)</t>
        </is>
      </c>
      <c r="D1555" t="inlineStr">
        <is>
          <t>GREG PENCE FOR CONGRESS</t>
        </is>
      </c>
      <c r="E1555" t="inlineStr">
        <is>
          <t>H8IN06129</t>
        </is>
      </c>
      <c r="F1555" t="inlineStr">
        <is>
          <t>REP</t>
        </is>
      </c>
      <c r="G1555" t="inlineStr">
        <is>
          <t>11232021</t>
        </is>
      </c>
      <c r="H1555" t="n">
        <v>2500</v>
      </c>
      <c r="I1555" t="inlineStr">
        <is>
          <t>202112169469871362</t>
        </is>
      </c>
      <c r="J1555" t="inlineStr">
        <is>
          <t>https://docquery.fec.gov/cgi-bin/fecimg/?202112169469871362</t>
        </is>
      </c>
    </row>
    <row r="1556">
      <c r="A1556" t="inlineStr">
        <is>
          <t>2022</t>
        </is>
      </c>
      <c r="B1556" t="inlineStr">
        <is>
          <t>C00496307</t>
        </is>
      </c>
      <c r="C1556" t="inlineStr">
        <is>
          <t>Marathon Petroleum Corp Employees PAC (MPAC)</t>
        </is>
      </c>
      <c r="D1556" t="inlineStr">
        <is>
          <t>GUY FOR CONGRESS</t>
        </is>
      </c>
      <c r="E1556" t="inlineStr">
        <is>
          <t>H8PA18199</t>
        </is>
      </c>
      <c r="F1556" t="inlineStr">
        <is>
          <t>REP</t>
        </is>
      </c>
      <c r="G1556" t="inlineStr">
        <is>
          <t>11232021</t>
        </is>
      </c>
      <c r="H1556" t="n">
        <v>2500</v>
      </c>
      <c r="I1556" t="inlineStr">
        <is>
          <t>202112169469871363</t>
        </is>
      </c>
      <c r="J1556" t="inlineStr">
        <is>
          <t>https://docquery.fec.gov/cgi-bin/fecimg/?202112169469871363</t>
        </is>
      </c>
    </row>
    <row r="1557">
      <c r="A1557" t="inlineStr">
        <is>
          <t>2022</t>
        </is>
      </c>
      <c r="B1557" t="inlineStr">
        <is>
          <t>C00496307</t>
        </is>
      </c>
      <c r="C1557" t="inlineStr">
        <is>
          <t>Marathon Petroleum Corp Employees PAC (MPAC)</t>
        </is>
      </c>
      <c r="D1557" t="inlineStr">
        <is>
          <t>JOHN KENNEDY FOR US</t>
        </is>
      </c>
      <c r="E1557" t="inlineStr">
        <is>
          <t>S4LA00065</t>
        </is>
      </c>
      <c r="F1557" t="inlineStr">
        <is>
          <t>REP</t>
        </is>
      </c>
      <c r="G1557" t="inlineStr">
        <is>
          <t>11232021</t>
        </is>
      </c>
      <c r="H1557" t="n">
        <v>5000</v>
      </c>
      <c r="I1557" t="inlineStr">
        <is>
          <t>202112169469871363</t>
        </is>
      </c>
      <c r="J1557" t="inlineStr">
        <is>
          <t>https://docquery.fec.gov/cgi-bin/fecimg/?202112169469871363</t>
        </is>
      </c>
    </row>
    <row r="1558">
      <c r="A1558" t="inlineStr">
        <is>
          <t>2022</t>
        </is>
      </c>
      <c r="B1558" t="inlineStr">
        <is>
          <t>C00496307</t>
        </is>
      </c>
      <c r="C1558" t="inlineStr">
        <is>
          <t>Marathon Petroleum Corp Employees PAC (MPAC)</t>
        </is>
      </c>
      <c r="D1558" t="inlineStr">
        <is>
          <t>JOHNSON FOR CONGRESS</t>
        </is>
      </c>
      <c r="E1558" t="inlineStr">
        <is>
          <t>H0OH06189</t>
        </is>
      </c>
      <c r="F1558" t="inlineStr">
        <is>
          <t>REP</t>
        </is>
      </c>
      <c r="G1558" t="inlineStr">
        <is>
          <t>11232021</t>
        </is>
      </c>
      <c r="H1558" t="n">
        <v>2500</v>
      </c>
      <c r="I1558" t="inlineStr">
        <is>
          <t>202112169469871364</t>
        </is>
      </c>
      <c r="J1558" t="inlineStr">
        <is>
          <t>https://docquery.fec.gov/cgi-bin/fecimg/?202112169469871364</t>
        </is>
      </c>
    </row>
    <row r="1559">
      <c r="A1559" t="inlineStr">
        <is>
          <t>2022</t>
        </is>
      </c>
      <c r="B1559" t="inlineStr">
        <is>
          <t>C00496307</t>
        </is>
      </c>
      <c r="C1559" t="inlineStr">
        <is>
          <t>Marathon Petroleum Corp Employees PAC (MPAC)</t>
        </is>
      </c>
      <c r="D1559" t="inlineStr">
        <is>
          <t>TERRI SEWELL FOR CONGRESS</t>
        </is>
      </c>
      <c r="E1559" t="inlineStr">
        <is>
          <t>H0AL07086</t>
        </is>
      </c>
      <c r="F1559" t="inlineStr">
        <is>
          <t>DEM</t>
        </is>
      </c>
      <c r="G1559" t="inlineStr">
        <is>
          <t>11232021</t>
        </is>
      </c>
      <c r="H1559" t="n">
        <v>2500</v>
      </c>
      <c r="I1559" t="inlineStr">
        <is>
          <t>202112169469871366</t>
        </is>
      </c>
      <c r="J1559" t="inlineStr">
        <is>
          <t>https://docquery.fec.gov/cgi-bin/fecimg/?202112169469871366</t>
        </is>
      </c>
    </row>
    <row r="1560">
      <c r="A1560" t="inlineStr">
        <is>
          <t>2022</t>
        </is>
      </c>
      <c r="B1560" t="inlineStr">
        <is>
          <t>C00496307</t>
        </is>
      </c>
      <c r="C1560" t="inlineStr">
        <is>
          <t>Marathon Petroleum Corp Employees PAC (MPAC)</t>
        </is>
      </c>
      <c r="D1560" t="inlineStr">
        <is>
          <t>TEXANS FOR HENRY CUELLAR CONGRESSIONAL CAMPAIGN</t>
        </is>
      </c>
      <c r="E1560" t="inlineStr">
        <is>
          <t>H2TX23082</t>
        </is>
      </c>
      <c r="F1560" t="inlineStr">
        <is>
          <t>DEM</t>
        </is>
      </c>
      <c r="G1560" t="inlineStr">
        <is>
          <t>11232021</t>
        </is>
      </c>
      <c r="H1560" t="n">
        <v>2500</v>
      </c>
      <c r="I1560" t="inlineStr">
        <is>
          <t>202112169469871366</t>
        </is>
      </c>
      <c r="J1560" t="inlineStr">
        <is>
          <t>https://docquery.fec.gov/cgi-bin/fecimg/?202112169469871366</t>
        </is>
      </c>
    </row>
    <row r="1561">
      <c r="A1561" t="inlineStr">
        <is>
          <t>2022</t>
        </is>
      </c>
      <c r="B1561" t="inlineStr">
        <is>
          <t>C00496307</t>
        </is>
      </c>
      <c r="C1561" t="inlineStr">
        <is>
          <t>Marathon Petroleum Corp Employees PAC (MPAC)</t>
        </is>
      </c>
      <c r="D1561" t="inlineStr">
        <is>
          <t>TEXANS FOR JODEY ARRINGTON</t>
        </is>
      </c>
      <c r="E1561" t="inlineStr">
        <is>
          <t>H6TX19099</t>
        </is>
      </c>
      <c r="F1561" t="inlineStr">
        <is>
          <t>REP</t>
        </is>
      </c>
      <c r="G1561" t="inlineStr">
        <is>
          <t>11232021</t>
        </is>
      </c>
      <c r="H1561" t="n">
        <v>2500</v>
      </c>
      <c r="I1561" t="inlineStr">
        <is>
          <t>202112169469871367</t>
        </is>
      </c>
      <c r="J1561" t="inlineStr">
        <is>
          <t>https://docquery.fec.gov/cgi-bin/fecimg/?202112169469871367</t>
        </is>
      </c>
    </row>
    <row r="1562">
      <c r="A1562" t="inlineStr">
        <is>
          <t>2022</t>
        </is>
      </c>
      <c r="B1562" t="inlineStr">
        <is>
          <t>C00496307</t>
        </is>
      </c>
      <c r="C1562" t="inlineStr">
        <is>
          <t>Marathon Petroleum Corp Employees PAC (MPAC)</t>
        </is>
      </c>
      <c r="D1562" t="inlineStr">
        <is>
          <t>TEXANS FOR JODEY ARRINGTON</t>
        </is>
      </c>
      <c r="E1562" t="inlineStr">
        <is>
          <t>H6TX19099</t>
        </is>
      </c>
      <c r="F1562" t="inlineStr">
        <is>
          <t>REP</t>
        </is>
      </c>
      <c r="G1562" t="inlineStr">
        <is>
          <t>11232021</t>
        </is>
      </c>
      <c r="H1562" t="n">
        <v>2500</v>
      </c>
      <c r="I1562" t="inlineStr">
        <is>
          <t>202112169469871367</t>
        </is>
      </c>
      <c r="J1562" t="inlineStr">
        <is>
          <t>https://docquery.fec.gov/cgi-bin/fecimg/?202112169469871367</t>
        </is>
      </c>
    </row>
    <row r="1563">
      <c r="A1563" t="inlineStr">
        <is>
          <t>2022</t>
        </is>
      </c>
      <c r="B1563" t="inlineStr">
        <is>
          <t>C00496307</t>
        </is>
      </c>
      <c r="C1563" t="inlineStr">
        <is>
          <t>Marathon Petroleum Corp Employees PAC (MPAC)</t>
        </is>
      </c>
      <c r="D1563" t="inlineStr">
        <is>
          <t>TONY GONZALES FOR CONGRESS</t>
        </is>
      </c>
      <c r="E1563" t="inlineStr">
        <is>
          <t>H0TX35015</t>
        </is>
      </c>
      <c r="F1563" t="inlineStr">
        <is>
          <t>REP</t>
        </is>
      </c>
      <c r="G1563" t="inlineStr">
        <is>
          <t>11232021</t>
        </is>
      </c>
      <c r="H1563" t="n">
        <v>2500</v>
      </c>
      <c r="I1563" t="inlineStr">
        <is>
          <t>202112169469871367</t>
        </is>
      </c>
      <c r="J1563" t="inlineStr">
        <is>
          <t>https://docquery.fec.gov/cgi-bin/fecimg/?202112169469871367</t>
        </is>
      </c>
    </row>
    <row r="1564">
      <c r="A1564" t="inlineStr">
        <is>
          <t>2022</t>
        </is>
      </c>
      <c r="B1564" t="inlineStr">
        <is>
          <t>C00496307</t>
        </is>
      </c>
      <c r="C1564" t="inlineStr">
        <is>
          <t>Marathon Petroleum Corp Employees PAC (MPAC)</t>
        </is>
      </c>
      <c r="D1564" t="inlineStr">
        <is>
          <t>VAN DREW FOR CONGRESS</t>
        </is>
      </c>
      <c r="E1564" t="inlineStr">
        <is>
          <t>H8NJ02166</t>
        </is>
      </c>
      <c r="F1564" t="inlineStr">
        <is>
          <t>REP</t>
        </is>
      </c>
      <c r="G1564" t="inlineStr">
        <is>
          <t>11232021</t>
        </is>
      </c>
      <c r="H1564" t="n">
        <v>2500</v>
      </c>
      <c r="I1564" t="inlineStr">
        <is>
          <t>202112169469871368</t>
        </is>
      </c>
      <c r="J1564" t="inlineStr">
        <is>
          <t>https://docquery.fec.gov/cgi-bin/fecimg/?202112169469871368</t>
        </is>
      </c>
    </row>
    <row r="1565">
      <c r="A1565" t="inlineStr">
        <is>
          <t>2022</t>
        </is>
      </c>
      <c r="B1565" t="inlineStr">
        <is>
          <t>C00496307</t>
        </is>
      </c>
      <c r="C1565" t="inlineStr">
        <is>
          <t>Marathon Petroleum Corp Employees PAC (MPAC)</t>
        </is>
      </c>
      <c r="D1565" t="inlineStr">
        <is>
          <t>YOUNG KIM FOR CONGRESS</t>
        </is>
      </c>
      <c r="E1565" t="inlineStr">
        <is>
          <t>H8CA39240</t>
        </is>
      </c>
      <c r="F1565" t="inlineStr">
        <is>
          <t>REP</t>
        </is>
      </c>
      <c r="G1565" t="inlineStr">
        <is>
          <t>11232021</t>
        </is>
      </c>
      <c r="H1565" t="n">
        <v>2500</v>
      </c>
      <c r="I1565" t="inlineStr">
        <is>
          <t>202112169469871368</t>
        </is>
      </c>
      <c r="J1565" t="inlineStr">
        <is>
          <t>https://docquery.fec.gov/cgi-bin/fecimg/?202112169469871368</t>
        </is>
      </c>
    </row>
    <row r="1566">
      <c r="A1566" t="inlineStr">
        <is>
          <t>2022</t>
        </is>
      </c>
      <c r="B1566" t="inlineStr">
        <is>
          <t>C00496307</t>
        </is>
      </c>
      <c r="C1566" t="inlineStr">
        <is>
          <t>Marathon Petroleum Corp Employees PAC (MPAC)</t>
        </is>
      </c>
      <c r="D1566" t="inlineStr">
        <is>
          <t>YVETTE4CONGRESS</t>
        </is>
      </c>
      <c r="E1566" t="inlineStr">
        <is>
          <t>H8NM02156</t>
        </is>
      </c>
      <c r="F1566" t="inlineStr">
        <is>
          <t>REP</t>
        </is>
      </c>
      <c r="G1566" t="inlineStr">
        <is>
          <t>11232021</t>
        </is>
      </c>
      <c r="H1566" t="n">
        <v>2500</v>
      </c>
      <c r="I1566" t="inlineStr">
        <is>
          <t>202112169469871368</t>
        </is>
      </c>
      <c r="J1566" t="inlineStr">
        <is>
          <t>https://docquery.fec.gov/cgi-bin/fecimg/?202112169469871368</t>
        </is>
      </c>
    </row>
    <row r="1567">
      <c r="A1567" t="inlineStr">
        <is>
          <t>2022</t>
        </is>
      </c>
      <c r="B1567" t="inlineStr">
        <is>
          <t>C00496307</t>
        </is>
      </c>
      <c r="C1567" t="inlineStr">
        <is>
          <t>Marathon Petroleum Corp Employees PAC (MPAC)</t>
        </is>
      </c>
      <c r="D1567" t="inlineStr">
        <is>
          <t>FRIENDS FOR CHRIS STEWART, INC.</t>
        </is>
      </c>
      <c r="E1567" t="inlineStr">
        <is>
          <t>H2UT02324</t>
        </is>
      </c>
      <c r="F1567" t="inlineStr">
        <is>
          <t>REP</t>
        </is>
      </c>
      <c r="G1567" t="inlineStr">
        <is>
          <t>11232021</t>
        </is>
      </c>
      <c r="H1567" t="n">
        <v>2500</v>
      </c>
      <c r="I1567" t="inlineStr">
        <is>
          <t>202201289475262246</t>
        </is>
      </c>
      <c r="J1567" t="inlineStr">
        <is>
          <t>https://docquery.fec.gov/cgi-bin/fecimg/?202201289475262246</t>
        </is>
      </c>
    </row>
    <row r="1568">
      <c r="A1568" t="inlineStr">
        <is>
          <t>2022</t>
        </is>
      </c>
      <c r="B1568" t="inlineStr">
        <is>
          <t>C00496307</t>
        </is>
      </c>
      <c r="C1568" t="inlineStr">
        <is>
          <t>Marathon Petroleum Corp Employees PAC (MPAC)</t>
        </is>
      </c>
      <c r="D1568" t="inlineStr">
        <is>
          <t>LOUDERMILK FOR CONGRESS</t>
        </is>
      </c>
      <c r="E1568" t="inlineStr">
        <is>
          <t>H4GA11061</t>
        </is>
      </c>
      <c r="F1568" t="inlineStr">
        <is>
          <t>REP</t>
        </is>
      </c>
      <c r="G1568" t="inlineStr">
        <is>
          <t>12092022</t>
        </is>
      </c>
      <c r="H1568" t="n">
        <v>-2500</v>
      </c>
      <c r="I1568" t="inlineStr">
        <is>
          <t>202301209574863354</t>
        </is>
      </c>
      <c r="J1568" t="inlineStr">
        <is>
          <t>https://docquery.fec.gov/cgi-bin/fecimg/?202301209574863354</t>
        </is>
      </c>
    </row>
    <row r="1569">
      <c r="A1569" t="inlineStr">
        <is>
          <t>2022</t>
        </is>
      </c>
      <c r="B1569" t="inlineStr">
        <is>
          <t>C00496307</t>
        </is>
      </c>
      <c r="C1569" t="inlineStr">
        <is>
          <t>Marathon Petroleum Corp Employees PAC (MPAC)</t>
        </is>
      </c>
      <c r="D1569" t="inlineStr">
        <is>
          <t>TEXANS FOR JODEY ARRINGTON</t>
        </is>
      </c>
      <c r="E1569" t="inlineStr">
        <is>
          <t>H6TX19099</t>
        </is>
      </c>
      <c r="F1569" t="inlineStr">
        <is>
          <t>REP</t>
        </is>
      </c>
      <c r="G1569" t="inlineStr">
        <is>
          <t>12102021</t>
        </is>
      </c>
      <c r="H1569" t="n">
        <v>-2500</v>
      </c>
      <c r="I1569" t="inlineStr">
        <is>
          <t>202201289475262249</t>
        </is>
      </c>
      <c r="J1569" t="inlineStr">
        <is>
          <t>https://docquery.fec.gov/cgi-bin/fecimg/?202201289475262249</t>
        </is>
      </c>
    </row>
    <row r="1570">
      <c r="A1570" t="inlineStr">
        <is>
          <t>2022</t>
        </is>
      </c>
      <c r="B1570" t="inlineStr">
        <is>
          <t>C00496307</t>
        </is>
      </c>
      <c r="C1570" t="inlineStr">
        <is>
          <t>Marathon Petroleum Corp Employees PAC (MPAC)</t>
        </is>
      </c>
      <c r="D1570" t="inlineStr">
        <is>
          <t>CAROL FOR CONGRESS</t>
        </is>
      </c>
      <c r="E1570" t="inlineStr">
        <is>
          <t>H8WV03097</t>
        </is>
      </c>
      <c r="F1570" t="inlineStr">
        <is>
          <t>REP</t>
        </is>
      </c>
      <c r="G1570" t="inlineStr">
        <is>
          <t>12142021</t>
        </is>
      </c>
      <c r="H1570" t="n">
        <v>2500</v>
      </c>
      <c r="I1570" t="inlineStr">
        <is>
          <t>202201289475262245</t>
        </is>
      </c>
      <c r="J1570" t="inlineStr">
        <is>
          <t>https://docquery.fec.gov/cgi-bin/fecimg/?202201289475262245</t>
        </is>
      </c>
    </row>
    <row r="1571">
      <c r="A1571" t="inlineStr">
        <is>
          <t>2022</t>
        </is>
      </c>
      <c r="B1571" t="inlineStr">
        <is>
          <t>C00496307</t>
        </is>
      </c>
      <c r="C1571" t="inlineStr">
        <is>
          <t>Marathon Petroleum Corp Employees PAC (MPAC)</t>
        </is>
      </c>
      <c r="D1571" t="inlineStr">
        <is>
          <t>CURTIS FOR CONGRESS</t>
        </is>
      </c>
      <c r="E1571" t="inlineStr">
        <is>
          <t>H8UT03238</t>
        </is>
      </c>
      <c r="F1571" t="inlineStr">
        <is>
          <t>REP</t>
        </is>
      </c>
      <c r="G1571" t="inlineStr">
        <is>
          <t>12142021</t>
        </is>
      </c>
      <c r="H1571" t="n">
        <v>2500</v>
      </c>
      <c r="I1571" t="inlineStr">
        <is>
          <t>202201289475262246</t>
        </is>
      </c>
      <c r="J1571" t="inlineStr">
        <is>
          <t>https://docquery.fec.gov/cgi-bin/fecimg/?202201289475262246</t>
        </is>
      </c>
    </row>
    <row r="1572">
      <c r="A1572" t="inlineStr">
        <is>
          <t>2022</t>
        </is>
      </c>
      <c r="B1572" t="inlineStr">
        <is>
          <t>C00496307</t>
        </is>
      </c>
      <c r="C1572" t="inlineStr">
        <is>
          <t>Marathon Petroleum Corp Employees PAC (MPAC)</t>
        </is>
      </c>
      <c r="D1572" t="inlineStr">
        <is>
          <t>DR. JOHN JOYCE FOR CONGRESS</t>
        </is>
      </c>
      <c r="E1572" t="inlineStr">
        <is>
          <t>H8PA13125</t>
        </is>
      </c>
      <c r="F1572" t="inlineStr">
        <is>
          <t>REP</t>
        </is>
      </c>
      <c r="G1572" t="inlineStr">
        <is>
          <t>12142021</t>
        </is>
      </c>
      <c r="H1572" t="n">
        <v>2500</v>
      </c>
      <c r="I1572" t="inlineStr">
        <is>
          <t>202201289475262246</t>
        </is>
      </c>
      <c r="J1572" t="inlineStr">
        <is>
          <t>https://docquery.fec.gov/cgi-bin/fecimg/?202201289475262246</t>
        </is>
      </c>
    </row>
    <row r="1573">
      <c r="A1573" t="inlineStr">
        <is>
          <t>2022</t>
        </is>
      </c>
      <c r="B1573" t="inlineStr">
        <is>
          <t>C00496307</t>
        </is>
      </c>
      <c r="C1573" t="inlineStr">
        <is>
          <t>Marathon Petroleum Corp Employees PAC (MPAC)</t>
        </is>
      </c>
      <c r="D1573" t="inlineStr">
        <is>
          <t>GIBBS FOR CONGRESS</t>
        </is>
      </c>
      <c r="E1573" t="inlineStr">
        <is>
          <t>H0OH18077</t>
        </is>
      </c>
      <c r="F1573" t="inlineStr">
        <is>
          <t>REP</t>
        </is>
      </c>
      <c r="G1573" t="inlineStr">
        <is>
          <t>12142021</t>
        </is>
      </c>
      <c r="H1573" t="n">
        <v>5000</v>
      </c>
      <c r="I1573" t="inlineStr">
        <is>
          <t>202201289475262247</t>
        </is>
      </c>
      <c r="J1573" t="inlineStr">
        <is>
          <t>https://docquery.fec.gov/cgi-bin/fecimg/?202201289475262247</t>
        </is>
      </c>
    </row>
    <row r="1574">
      <c r="A1574" t="inlineStr">
        <is>
          <t>2022</t>
        </is>
      </c>
      <c r="B1574" t="inlineStr">
        <is>
          <t>C00496307</t>
        </is>
      </c>
      <c r="C1574" t="inlineStr">
        <is>
          <t>Marathon Petroleum Corp Employees PAC (MPAC)</t>
        </is>
      </c>
      <c r="D1574" t="inlineStr">
        <is>
          <t>JEFF DUNCAN FOR CONGRESS</t>
        </is>
      </c>
      <c r="E1574" t="inlineStr">
        <is>
          <t>H0SC03077</t>
        </is>
      </c>
      <c r="F1574" t="inlineStr">
        <is>
          <t>REP</t>
        </is>
      </c>
      <c r="G1574" t="inlineStr">
        <is>
          <t>12142021</t>
        </is>
      </c>
      <c r="H1574" t="n">
        <v>2500</v>
      </c>
      <c r="I1574" t="inlineStr">
        <is>
          <t>202201289475262248</t>
        </is>
      </c>
      <c r="J1574" t="inlineStr">
        <is>
          <t>https://docquery.fec.gov/cgi-bin/fecimg/?202201289475262248</t>
        </is>
      </c>
    </row>
    <row r="1575">
      <c r="A1575" t="inlineStr">
        <is>
          <t>2022</t>
        </is>
      </c>
      <c r="B1575" t="inlineStr">
        <is>
          <t>C00496307</t>
        </is>
      </c>
      <c r="C1575" t="inlineStr">
        <is>
          <t>Marathon Petroleum Corp Employees PAC (MPAC)</t>
        </is>
      </c>
      <c r="D1575" t="inlineStr">
        <is>
          <t>LANCE GOODEN FOR CONGRESS</t>
        </is>
      </c>
      <c r="E1575" t="inlineStr">
        <is>
          <t>H8TX05144</t>
        </is>
      </c>
      <c r="F1575" t="inlineStr">
        <is>
          <t>REP</t>
        </is>
      </c>
      <c r="G1575" t="inlineStr">
        <is>
          <t>12142021</t>
        </is>
      </c>
      <c r="H1575" t="n">
        <v>2500</v>
      </c>
      <c r="I1575" t="inlineStr">
        <is>
          <t>202201289475262248</t>
        </is>
      </c>
      <c r="J1575" t="inlineStr">
        <is>
          <t>https://docquery.fec.gov/cgi-bin/fecimg/?202201289475262248</t>
        </is>
      </c>
    </row>
    <row r="1576">
      <c r="A1576" t="inlineStr">
        <is>
          <t>2022</t>
        </is>
      </c>
      <c r="B1576" t="inlineStr">
        <is>
          <t>C00496307</t>
        </is>
      </c>
      <c r="C1576" t="inlineStr">
        <is>
          <t>Marathon Petroleum Corp Employees PAC (MPAC)</t>
        </is>
      </c>
      <c r="D1576" t="inlineStr">
        <is>
          <t>VAN TAYLOR CAMPAIGN</t>
        </is>
      </c>
      <c r="E1576" t="inlineStr">
        <is>
          <t>H8TX03123</t>
        </is>
      </c>
      <c r="F1576" t="inlineStr">
        <is>
          <t>REP</t>
        </is>
      </c>
      <c r="G1576" t="inlineStr">
        <is>
          <t>12142021</t>
        </is>
      </c>
      <c r="H1576" t="n">
        <v>2500</v>
      </c>
      <c r="I1576" t="inlineStr">
        <is>
          <t>202201289475262249</t>
        </is>
      </c>
      <c r="J1576" t="inlineStr">
        <is>
          <t>https://docquery.fec.gov/cgi-bin/fecimg/?202201289475262249</t>
        </is>
      </c>
    </row>
    <row r="1577">
      <c r="A1577" t="inlineStr">
        <is>
          <t>2022</t>
        </is>
      </c>
      <c r="B1577" t="inlineStr">
        <is>
          <t>C00496307</t>
        </is>
      </c>
      <c r="C1577" t="inlineStr">
        <is>
          <t>Marathon Petroleum Corp Employees PAC (MPAC)</t>
        </is>
      </c>
      <c r="D1577" t="inlineStr">
        <is>
          <t>VICTORIA SPARTZ FOR CONGRESS, INC.</t>
        </is>
      </c>
      <c r="E1577" t="inlineStr">
        <is>
          <t>H0IN05326</t>
        </is>
      </c>
      <c r="F1577" t="inlineStr">
        <is>
          <t>REP</t>
        </is>
      </c>
      <c r="G1577" t="inlineStr">
        <is>
          <t>12142021</t>
        </is>
      </c>
      <c r="H1577" t="n">
        <v>1000</v>
      </c>
      <c r="I1577" t="inlineStr">
        <is>
          <t>202201289475262250</t>
        </is>
      </c>
      <c r="J1577" t="inlineStr">
        <is>
          <t>https://docquery.fec.gov/cgi-bin/fecimg/?202201289475262250</t>
        </is>
      </c>
    </row>
    <row r="1578">
      <c r="A1578" t="inlineStr">
        <is>
          <t>2022</t>
        </is>
      </c>
      <c r="B1578" t="inlineStr">
        <is>
          <t>C00496307</t>
        </is>
      </c>
      <c r="C1578" t="inlineStr">
        <is>
          <t>Marathon Petroleum Corp Employees PAC (MPAC)</t>
        </is>
      </c>
      <c r="D1578" t="inlineStr">
        <is>
          <t>ZINKE FOR CONGRESS</t>
        </is>
      </c>
      <c r="E1578" t="inlineStr">
        <is>
          <t>H2MT02050</t>
        </is>
      </c>
      <c r="G1578" t="inlineStr">
        <is>
          <t>12142021</t>
        </is>
      </c>
      <c r="H1578" t="n">
        <v>2500</v>
      </c>
      <c r="I1578" t="inlineStr">
        <is>
          <t>202201289475262251</t>
        </is>
      </c>
      <c r="J1578" t="inlineStr">
        <is>
          <t>https://docquery.fec.gov/cgi-bin/fecimg/?202201289475262251</t>
        </is>
      </c>
    </row>
    <row r="1579">
      <c r="A1579" t="inlineStr">
        <is>
          <t>2022</t>
        </is>
      </c>
      <c r="B1579" t="inlineStr">
        <is>
          <t>C00496307</t>
        </is>
      </c>
      <c r="C1579" t="inlineStr">
        <is>
          <t>Marathon Petroleum Corp Employees PAC (MPAC)</t>
        </is>
      </c>
      <c r="D1579" t="inlineStr">
        <is>
          <t>FRIENDS FOR CHRIS STEWART, INC.</t>
        </is>
      </c>
      <c r="E1579" t="inlineStr">
        <is>
          <t>H2UT02324</t>
        </is>
      </c>
      <c r="F1579" t="inlineStr">
        <is>
          <t>REP</t>
        </is>
      </c>
      <c r="G1579" t="inlineStr">
        <is>
          <t>12202021</t>
        </is>
      </c>
      <c r="H1579" t="n">
        <v>2500</v>
      </c>
      <c r="I1579" t="inlineStr">
        <is>
          <t>202201289475262247</t>
        </is>
      </c>
      <c r="J1579" t="inlineStr">
        <is>
          <t>https://docquery.fec.gov/cgi-bin/fecimg/?202201289475262247</t>
        </is>
      </c>
    </row>
    <row r="1580">
      <c r="A1580" t="inlineStr">
        <is>
          <t>2022</t>
        </is>
      </c>
      <c r="B1580" t="inlineStr">
        <is>
          <t>C00513549</t>
        </is>
      </c>
      <c r="C1580" t="inlineStr">
        <is>
          <t>Phillips 66 PAC</t>
        </is>
      </c>
      <c r="D1580" t="inlineStr">
        <is>
          <t>CORY BOOKER FOR SENATE</t>
        </is>
      </c>
      <c r="E1580" t="inlineStr">
        <is>
          <t>S4NJ00185</t>
        </is>
      </c>
      <c r="F1580" t="inlineStr">
        <is>
          <t>DEM</t>
        </is>
      </c>
      <c r="G1580" t="inlineStr">
        <is>
          <t>01152021</t>
        </is>
      </c>
      <c r="H1580" t="n">
        <v>-2500</v>
      </c>
      <c r="I1580" t="inlineStr">
        <is>
          <t>202102199428657816</t>
        </is>
      </c>
      <c r="J1580" t="inlineStr">
        <is>
          <t>https://docquery.fec.gov/cgi-bin/fecimg/?202102199428657816</t>
        </is>
      </c>
    </row>
    <row r="1581">
      <c r="A1581" t="inlineStr">
        <is>
          <t>2022</t>
        </is>
      </c>
      <c r="B1581" t="inlineStr">
        <is>
          <t>C00513549</t>
        </is>
      </c>
      <c r="C1581" t="inlineStr">
        <is>
          <t>Phillips 66 PAC</t>
        </is>
      </c>
      <c r="D1581" t="inlineStr">
        <is>
          <t>MARC VEASEY FOR CONGRESS</t>
        </is>
      </c>
      <c r="E1581" t="inlineStr">
        <is>
          <t>H2TX33073</t>
        </is>
      </c>
      <c r="F1581" t="inlineStr">
        <is>
          <t>DEM</t>
        </is>
      </c>
      <c r="G1581" t="inlineStr">
        <is>
          <t>01202021</t>
        </is>
      </c>
      <c r="H1581" t="n">
        <v>-4000</v>
      </c>
      <c r="I1581" t="inlineStr">
        <is>
          <t>202102199428657816</t>
        </is>
      </c>
      <c r="J1581" t="inlineStr">
        <is>
          <t>https://docquery.fec.gov/cgi-bin/fecimg/?202102199428657816</t>
        </is>
      </c>
    </row>
    <row r="1582">
      <c r="A1582" t="inlineStr">
        <is>
          <t>2022</t>
        </is>
      </c>
      <c r="B1582" t="inlineStr">
        <is>
          <t>C00513549</t>
        </is>
      </c>
      <c r="C1582" t="inlineStr">
        <is>
          <t>Phillips 66 PAC</t>
        </is>
      </c>
      <c r="D1582" t="inlineStr">
        <is>
          <t>SYLVIA GARCIA FOR CONGRESS</t>
        </is>
      </c>
      <c r="E1582" t="inlineStr">
        <is>
          <t>H8TX29052</t>
        </is>
      </c>
      <c r="F1582" t="inlineStr">
        <is>
          <t>DEM</t>
        </is>
      </c>
      <c r="G1582" t="inlineStr">
        <is>
          <t>01202021</t>
        </is>
      </c>
      <c r="H1582" t="n">
        <v>-2500</v>
      </c>
      <c r="I1582" t="inlineStr">
        <is>
          <t>202102199428657817</t>
        </is>
      </c>
      <c r="J1582" t="inlineStr">
        <is>
          <t>https://docquery.fec.gov/cgi-bin/fecimg/?202102199428657817</t>
        </is>
      </c>
    </row>
    <row r="1583">
      <c r="A1583" t="inlineStr">
        <is>
          <t>2022</t>
        </is>
      </c>
      <c r="B1583" t="inlineStr">
        <is>
          <t>C00513549</t>
        </is>
      </c>
      <c r="C1583" t="inlineStr">
        <is>
          <t>Phillips 66 PAC</t>
        </is>
      </c>
      <c r="D1583" t="inlineStr">
        <is>
          <t>JIM COSTA FOR CONGRESS</t>
        </is>
      </c>
      <c r="E1583" t="inlineStr">
        <is>
          <t>H4CA20082</t>
        </is>
      </c>
      <c r="F1583" t="inlineStr">
        <is>
          <t>DEM</t>
        </is>
      </c>
      <c r="G1583" t="inlineStr">
        <is>
          <t>01202022</t>
        </is>
      </c>
      <c r="H1583" t="n">
        <v>2500</v>
      </c>
      <c r="I1583" t="inlineStr">
        <is>
          <t>202202189491786894</t>
        </is>
      </c>
      <c r="J1583" t="inlineStr">
        <is>
          <t>https://docquery.fec.gov/cgi-bin/fecimg/?202202189491786894</t>
        </is>
      </c>
    </row>
    <row r="1584">
      <c r="A1584" t="inlineStr">
        <is>
          <t>2022</t>
        </is>
      </c>
      <c r="B1584" t="inlineStr">
        <is>
          <t>C00513549</t>
        </is>
      </c>
      <c r="C1584" t="inlineStr">
        <is>
          <t>Phillips 66 PAC</t>
        </is>
      </c>
      <c r="D1584" t="inlineStr">
        <is>
          <t>TONY GONZALES FOR CONGRESS</t>
        </is>
      </c>
      <c r="E1584" t="inlineStr">
        <is>
          <t>H0TX35015</t>
        </is>
      </c>
      <c r="F1584" t="inlineStr">
        <is>
          <t>REP</t>
        </is>
      </c>
      <c r="G1584" t="inlineStr">
        <is>
          <t>01202022</t>
        </is>
      </c>
      <c r="H1584" t="n">
        <v>2500</v>
      </c>
      <c r="I1584" t="inlineStr">
        <is>
          <t>202202189491786894</t>
        </is>
      </c>
      <c r="J1584" t="inlineStr">
        <is>
          <t>https://docquery.fec.gov/cgi-bin/fecimg/?202202189491786894</t>
        </is>
      </c>
    </row>
    <row r="1585">
      <c r="A1585" t="inlineStr">
        <is>
          <t>2022</t>
        </is>
      </c>
      <c r="B1585" t="inlineStr">
        <is>
          <t>C00513549</t>
        </is>
      </c>
      <c r="C1585" t="inlineStr">
        <is>
          <t>Phillips 66 PAC</t>
        </is>
      </c>
      <c r="D1585" t="inlineStr">
        <is>
          <t>SYLVIA GARCIA FOR CONGRESS</t>
        </is>
      </c>
      <c r="E1585" t="inlineStr">
        <is>
          <t>H8TX29052</t>
        </is>
      </c>
      <c r="F1585" t="inlineStr">
        <is>
          <t>DEM</t>
        </is>
      </c>
      <c r="G1585" t="inlineStr">
        <is>
          <t>02022022</t>
        </is>
      </c>
      <c r="H1585" t="n">
        <v>2500</v>
      </c>
      <c r="I1585" t="inlineStr">
        <is>
          <t>202203189494015866</t>
        </is>
      </c>
      <c r="J1585" t="inlineStr">
        <is>
          <t>https://docquery.fec.gov/cgi-bin/fecimg/?202203189494015866</t>
        </is>
      </c>
    </row>
    <row r="1586">
      <c r="A1586" t="inlineStr">
        <is>
          <t>2022</t>
        </is>
      </c>
      <c r="B1586" t="inlineStr">
        <is>
          <t>C00513549</t>
        </is>
      </c>
      <c r="C1586" t="inlineStr">
        <is>
          <t>Phillips 66 PAC</t>
        </is>
      </c>
      <c r="D1586" t="inlineStr">
        <is>
          <t>TIM SCOTT FOR SENATE</t>
        </is>
      </c>
      <c r="E1586" t="inlineStr">
        <is>
          <t>S4SC00240</t>
        </is>
      </c>
      <c r="F1586" t="inlineStr">
        <is>
          <t>REP</t>
        </is>
      </c>
      <c r="G1586" t="inlineStr">
        <is>
          <t>02022022</t>
        </is>
      </c>
      <c r="H1586" t="n">
        <v>2500</v>
      </c>
      <c r="I1586" t="inlineStr">
        <is>
          <t>202203189494015866</t>
        </is>
      </c>
      <c r="J1586" t="inlineStr">
        <is>
          <t>https://docquery.fec.gov/cgi-bin/fecimg/?202203189494015866</t>
        </is>
      </c>
    </row>
    <row r="1587">
      <c r="A1587" t="inlineStr">
        <is>
          <t>2022</t>
        </is>
      </c>
      <c r="B1587" t="inlineStr">
        <is>
          <t>C00513549</t>
        </is>
      </c>
      <c r="C1587" t="inlineStr">
        <is>
          <t>Phillips 66 PAC</t>
        </is>
      </c>
      <c r="D1587" t="inlineStr">
        <is>
          <t>HOEVEN FOR SENATE</t>
        </is>
      </c>
      <c r="E1587" t="inlineStr">
        <is>
          <t>S0ND00093</t>
        </is>
      </c>
      <c r="F1587" t="inlineStr">
        <is>
          <t>REP</t>
        </is>
      </c>
      <c r="G1587" t="inlineStr">
        <is>
          <t>02022022</t>
        </is>
      </c>
      <c r="H1587" t="n">
        <v>2500</v>
      </c>
      <c r="I1587" t="inlineStr">
        <is>
          <t>202203189494015864</t>
        </is>
      </c>
      <c r="J1587" t="inlineStr">
        <is>
          <t>https://docquery.fec.gov/cgi-bin/fecimg/?202203189494015864</t>
        </is>
      </c>
    </row>
    <row r="1588">
      <c r="A1588" t="inlineStr">
        <is>
          <t>2022</t>
        </is>
      </c>
      <c r="B1588" t="inlineStr">
        <is>
          <t>C00513549</t>
        </is>
      </c>
      <c r="C1588" t="inlineStr">
        <is>
          <t>Phillips 66 PAC</t>
        </is>
      </c>
      <c r="D1588" t="inlineStr">
        <is>
          <t>LISA MURKOWSKI FOR US SENATE</t>
        </is>
      </c>
      <c r="E1588" t="inlineStr">
        <is>
          <t>S4AK00099</t>
        </is>
      </c>
      <c r="F1588" t="inlineStr">
        <is>
          <t>REP</t>
        </is>
      </c>
      <c r="G1588" t="inlineStr">
        <is>
          <t>02022022</t>
        </is>
      </c>
      <c r="H1588" t="n">
        <v>1500</v>
      </c>
      <c r="I1588" t="inlineStr">
        <is>
          <t>202203189494015864</t>
        </is>
      </c>
      <c r="J1588" t="inlineStr">
        <is>
          <t>https://docquery.fec.gov/cgi-bin/fecimg/?202203189494015864</t>
        </is>
      </c>
    </row>
    <row r="1589">
      <c r="A1589" t="inlineStr">
        <is>
          <t>2022</t>
        </is>
      </c>
      <c r="B1589" t="inlineStr">
        <is>
          <t>C00513549</t>
        </is>
      </c>
      <c r="C1589" t="inlineStr">
        <is>
          <t>Phillips 66 PAC</t>
        </is>
      </c>
      <c r="D1589" t="inlineStr">
        <is>
          <t>MARCO RUBIO FOR SENATE</t>
        </is>
      </c>
      <c r="E1589" t="inlineStr">
        <is>
          <t>S0FL00338</t>
        </is>
      </c>
      <c r="F1589" t="inlineStr">
        <is>
          <t>REP</t>
        </is>
      </c>
      <c r="G1589" t="inlineStr">
        <is>
          <t>02022022</t>
        </is>
      </c>
      <c r="H1589" t="n">
        <v>2500</v>
      </c>
      <c r="I1589" t="inlineStr">
        <is>
          <t>202203189494015865</t>
        </is>
      </c>
      <c r="J1589" t="inlineStr">
        <is>
          <t>https://docquery.fec.gov/cgi-bin/fecimg/?202203189494015865</t>
        </is>
      </c>
    </row>
    <row r="1590">
      <c r="A1590" t="inlineStr">
        <is>
          <t>2022</t>
        </is>
      </c>
      <c r="B1590" t="inlineStr">
        <is>
          <t>C00513549</t>
        </is>
      </c>
      <c r="C1590" t="inlineStr">
        <is>
          <t>Phillips 66 PAC</t>
        </is>
      </c>
      <c r="D1590" t="inlineStr">
        <is>
          <t>MCCAUL FOR CONGRESS INC.</t>
        </is>
      </c>
      <c r="E1590" t="inlineStr">
        <is>
          <t>H4TX10093</t>
        </is>
      </c>
      <c r="F1590" t="inlineStr">
        <is>
          <t>REP</t>
        </is>
      </c>
      <c r="G1590" t="inlineStr">
        <is>
          <t>02022022</t>
        </is>
      </c>
      <c r="H1590" t="n">
        <v>2500</v>
      </c>
      <c r="I1590" t="inlineStr">
        <is>
          <t>202203189494015865</t>
        </is>
      </c>
      <c r="J1590" t="inlineStr">
        <is>
          <t>https://docquery.fec.gov/cgi-bin/fecimg/?202203189494015865</t>
        </is>
      </c>
    </row>
    <row r="1591">
      <c r="A1591" t="inlineStr">
        <is>
          <t>2022</t>
        </is>
      </c>
      <c r="B1591" t="inlineStr">
        <is>
          <t>C00513549</t>
        </is>
      </c>
      <c r="C1591" t="inlineStr">
        <is>
          <t>Phillips 66 PAC</t>
        </is>
      </c>
      <c r="D1591" t="inlineStr">
        <is>
          <t>MORAN FOR KANSAS</t>
        </is>
      </c>
      <c r="E1591" t="inlineStr">
        <is>
          <t>S0KS00091</t>
        </is>
      </c>
      <c r="F1591" t="inlineStr">
        <is>
          <t>REP</t>
        </is>
      </c>
      <c r="G1591" t="inlineStr">
        <is>
          <t>02022022</t>
        </is>
      </c>
      <c r="H1591" t="n">
        <v>2500</v>
      </c>
      <c r="I1591" t="inlineStr">
        <is>
          <t>202203189494015865</t>
        </is>
      </c>
      <c r="J1591" t="inlineStr">
        <is>
          <t>https://docquery.fec.gov/cgi-bin/fecimg/?202203189494015865</t>
        </is>
      </c>
    </row>
    <row r="1592">
      <c r="A1592" t="inlineStr">
        <is>
          <t>2022</t>
        </is>
      </c>
      <c r="B1592" t="inlineStr">
        <is>
          <t>C00513549</t>
        </is>
      </c>
      <c r="C1592" t="inlineStr">
        <is>
          <t>Phillips 66 PAC</t>
        </is>
      </c>
      <c r="D1592" t="inlineStr">
        <is>
          <t>RODNEY FOR CONGRESS</t>
        </is>
      </c>
      <c r="E1592" t="inlineStr">
        <is>
          <t>H2IL13120</t>
        </is>
      </c>
      <c r="F1592" t="inlineStr">
        <is>
          <t>REP</t>
        </is>
      </c>
      <c r="G1592" t="inlineStr">
        <is>
          <t>02022022</t>
        </is>
      </c>
      <c r="H1592" t="n">
        <v>2500</v>
      </c>
      <c r="I1592" t="inlineStr">
        <is>
          <t>202203189494015866</t>
        </is>
      </c>
      <c r="J1592" t="inlineStr">
        <is>
          <t>https://docquery.fec.gov/cgi-bin/fecimg/?202203189494015866</t>
        </is>
      </c>
    </row>
    <row r="1593">
      <c r="A1593" t="inlineStr">
        <is>
          <t>2022</t>
        </is>
      </c>
      <c r="B1593" t="inlineStr">
        <is>
          <t>C00513549</t>
        </is>
      </c>
      <c r="C1593" t="inlineStr">
        <is>
          <t>Phillips 66 PAC</t>
        </is>
      </c>
      <c r="D1593" t="inlineStr">
        <is>
          <t>FILEMON VELA FOR CONGRESS</t>
        </is>
      </c>
      <c r="E1593" t="inlineStr">
        <is>
          <t>H2TX27190</t>
        </is>
      </c>
      <c r="F1593" t="inlineStr">
        <is>
          <t>DEM</t>
        </is>
      </c>
      <c r="G1593" t="inlineStr">
        <is>
          <t>02242021</t>
        </is>
      </c>
      <c r="H1593" t="n">
        <v>2500</v>
      </c>
      <c r="I1593" t="inlineStr">
        <is>
          <t>202103199441626692</t>
        </is>
      </c>
      <c r="J1593" t="inlineStr">
        <is>
          <t>https://docquery.fec.gov/cgi-bin/fecimg/?202103199441626692</t>
        </is>
      </c>
    </row>
    <row r="1594">
      <c r="A1594" t="inlineStr">
        <is>
          <t>2022</t>
        </is>
      </c>
      <c r="B1594" t="inlineStr">
        <is>
          <t>C00513549</t>
        </is>
      </c>
      <c r="C1594" t="inlineStr">
        <is>
          <t>Phillips 66 PAC</t>
        </is>
      </c>
      <c r="D1594" t="inlineStr">
        <is>
          <t>MARC VEASEY FOR CONGRESS</t>
        </is>
      </c>
      <c r="E1594" t="inlineStr">
        <is>
          <t>H2TX33073</t>
        </is>
      </c>
      <c r="F1594" t="inlineStr">
        <is>
          <t>DEM</t>
        </is>
      </c>
      <c r="G1594" t="inlineStr">
        <is>
          <t>02242021</t>
        </is>
      </c>
      <c r="H1594" t="n">
        <v>2500</v>
      </c>
      <c r="I1594" t="inlineStr">
        <is>
          <t>202103199441626692</t>
        </is>
      </c>
      <c r="J1594" t="inlineStr">
        <is>
          <t>https://docquery.fec.gov/cgi-bin/fecimg/?202103199441626692</t>
        </is>
      </c>
    </row>
    <row r="1595">
      <c r="A1595" t="inlineStr">
        <is>
          <t>2022</t>
        </is>
      </c>
      <c r="B1595" t="inlineStr">
        <is>
          <t>C00513549</t>
        </is>
      </c>
      <c r="C1595" t="inlineStr">
        <is>
          <t>Phillips 66 PAC</t>
        </is>
      </c>
      <c r="D1595" t="inlineStr">
        <is>
          <t>MIKE THOMPSON FOR CONGRESS</t>
        </is>
      </c>
      <c r="E1595" t="inlineStr">
        <is>
          <t>H8CA01109</t>
        </is>
      </c>
      <c r="F1595" t="inlineStr">
        <is>
          <t>DEM</t>
        </is>
      </c>
      <c r="G1595" t="inlineStr">
        <is>
          <t>02242021</t>
        </is>
      </c>
      <c r="H1595" t="n">
        <v>1500</v>
      </c>
      <c r="I1595" t="inlineStr">
        <is>
          <t>202103199441626693</t>
        </is>
      </c>
      <c r="J1595" t="inlineStr">
        <is>
          <t>https://docquery.fec.gov/cgi-bin/fecimg/?202103199441626693</t>
        </is>
      </c>
    </row>
    <row r="1596">
      <c r="A1596" t="inlineStr">
        <is>
          <t>2022</t>
        </is>
      </c>
      <c r="B1596" t="inlineStr">
        <is>
          <t>C00513549</t>
        </is>
      </c>
      <c r="C1596" t="inlineStr">
        <is>
          <t>Phillips 66 PAC</t>
        </is>
      </c>
      <c r="D1596" t="inlineStr">
        <is>
          <t>TEXANS FOR HENRY CUELLAR CONGRESSIONAL CAMPAIGN</t>
        </is>
      </c>
      <c r="E1596" t="inlineStr">
        <is>
          <t>H2TX23082</t>
        </is>
      </c>
      <c r="F1596" t="inlineStr">
        <is>
          <t>DEM</t>
        </is>
      </c>
      <c r="G1596" t="inlineStr">
        <is>
          <t>02242021</t>
        </is>
      </c>
      <c r="H1596" t="n">
        <v>2500</v>
      </c>
      <c r="I1596" t="inlineStr">
        <is>
          <t>202103199441626693</t>
        </is>
      </c>
      <c r="J1596" t="inlineStr">
        <is>
          <t>https://docquery.fec.gov/cgi-bin/fecimg/?202103199441626693</t>
        </is>
      </c>
    </row>
    <row r="1597">
      <c r="A1597" t="inlineStr">
        <is>
          <t>2022</t>
        </is>
      </c>
      <c r="B1597" t="inlineStr">
        <is>
          <t>C00513549</t>
        </is>
      </c>
      <c r="C1597" t="inlineStr">
        <is>
          <t>Phillips 66 PAC</t>
        </is>
      </c>
      <c r="D1597" t="inlineStr">
        <is>
          <t>VICENTE GONZALEZ FOR CONGRESS</t>
        </is>
      </c>
      <c r="E1597" t="inlineStr">
        <is>
          <t>H6TX15162</t>
        </is>
      </c>
      <c r="F1597" t="inlineStr">
        <is>
          <t>DEM</t>
        </is>
      </c>
      <c r="G1597" t="inlineStr">
        <is>
          <t>02242021</t>
        </is>
      </c>
      <c r="H1597" t="n">
        <v>2500</v>
      </c>
      <c r="I1597" t="inlineStr">
        <is>
          <t>202103199441626693</t>
        </is>
      </c>
      <c r="J1597" t="inlineStr">
        <is>
          <t>https://docquery.fec.gov/cgi-bin/fecimg/?202103199441626693</t>
        </is>
      </c>
    </row>
    <row r="1598">
      <c r="A1598" t="inlineStr">
        <is>
          <t>2022</t>
        </is>
      </c>
      <c r="B1598" t="inlineStr">
        <is>
          <t>C00513549</t>
        </is>
      </c>
      <c r="C1598" t="inlineStr">
        <is>
          <t>Phillips 66 PAC</t>
        </is>
      </c>
      <c r="D1598" t="inlineStr">
        <is>
          <t>FAMILIES FOR JAMES LANKFORD</t>
        </is>
      </c>
      <c r="E1598" t="inlineStr">
        <is>
          <t>S4OK00232</t>
        </is>
      </c>
      <c r="F1598" t="inlineStr">
        <is>
          <t>REP</t>
        </is>
      </c>
      <c r="G1598" t="inlineStr">
        <is>
          <t>03142022</t>
        </is>
      </c>
      <c r="H1598" t="n">
        <v>5000</v>
      </c>
      <c r="I1598" t="inlineStr">
        <is>
          <t>202204209500060703</t>
        </is>
      </c>
      <c r="J1598" t="inlineStr">
        <is>
          <t>https://docquery.fec.gov/cgi-bin/fecimg/?202204209500060703</t>
        </is>
      </c>
    </row>
    <row r="1599">
      <c r="A1599" t="inlineStr">
        <is>
          <t>2022</t>
        </is>
      </c>
      <c r="B1599" t="inlineStr">
        <is>
          <t>C00513549</t>
        </is>
      </c>
      <c r="C1599" t="inlineStr">
        <is>
          <t>Phillips 66 PAC</t>
        </is>
      </c>
      <c r="D1599" t="inlineStr">
        <is>
          <t>JAIME FOR CONGRESS</t>
        </is>
      </c>
      <c r="E1599" t="inlineStr">
        <is>
          <t>H0WA03187</t>
        </is>
      </c>
      <c r="F1599" t="inlineStr">
        <is>
          <t>REP</t>
        </is>
      </c>
      <c r="G1599" t="inlineStr">
        <is>
          <t>03142022</t>
        </is>
      </c>
      <c r="H1599" t="n">
        <v>2500</v>
      </c>
      <c r="I1599" t="inlineStr">
        <is>
          <t>202204209500060704</t>
        </is>
      </c>
      <c r="J1599" t="inlineStr">
        <is>
          <t>https://docquery.fec.gov/cgi-bin/fecimg/?202204209500060704</t>
        </is>
      </c>
    </row>
    <row r="1600">
      <c r="A1600" t="inlineStr">
        <is>
          <t>2022</t>
        </is>
      </c>
      <c r="B1600" t="inlineStr">
        <is>
          <t>C00513549</t>
        </is>
      </c>
      <c r="C1600" t="inlineStr">
        <is>
          <t>Phillips 66 PAC</t>
        </is>
      </c>
      <c r="D1600" t="inlineStr">
        <is>
          <t>JOSH GOTTHEIMER FOR CONGRESS</t>
        </is>
      </c>
      <c r="E1600" t="inlineStr">
        <is>
          <t>H6NJ05171</t>
        </is>
      </c>
      <c r="F1600" t="inlineStr">
        <is>
          <t>DEM</t>
        </is>
      </c>
      <c r="G1600" t="inlineStr">
        <is>
          <t>03142022</t>
        </is>
      </c>
      <c r="H1600" t="n">
        <v>1500</v>
      </c>
      <c r="I1600" t="inlineStr">
        <is>
          <t>202204209500060704</t>
        </is>
      </c>
      <c r="J1600" t="inlineStr">
        <is>
          <t>https://docquery.fec.gov/cgi-bin/fecimg/?202204209500060704</t>
        </is>
      </c>
    </row>
    <row r="1601">
      <c r="A1601" t="inlineStr">
        <is>
          <t>2022</t>
        </is>
      </c>
      <c r="B1601" t="inlineStr">
        <is>
          <t>C00513549</t>
        </is>
      </c>
      <c r="C1601" t="inlineStr">
        <is>
          <t>Phillips 66 PAC</t>
        </is>
      </c>
      <c r="D1601" t="inlineStr">
        <is>
          <t>KURT SCHRADER FOR CONGRESS</t>
        </is>
      </c>
      <c r="E1601" t="inlineStr">
        <is>
          <t>H8OR05107</t>
        </is>
      </c>
      <c r="F1601" t="inlineStr">
        <is>
          <t>DEM</t>
        </is>
      </c>
      <c r="G1601" t="inlineStr">
        <is>
          <t>03142022</t>
        </is>
      </c>
      <c r="H1601" t="n">
        <v>5000</v>
      </c>
      <c r="I1601" t="inlineStr">
        <is>
          <t>202204209500060704</t>
        </is>
      </c>
      <c r="J1601" t="inlineStr">
        <is>
          <t>https://docquery.fec.gov/cgi-bin/fecimg/?202204209500060704</t>
        </is>
      </c>
    </row>
    <row r="1602">
      <c r="A1602" t="inlineStr">
        <is>
          <t>2022</t>
        </is>
      </c>
      <c r="B1602" t="inlineStr">
        <is>
          <t>C00513549</t>
        </is>
      </c>
      <c r="C1602" t="inlineStr">
        <is>
          <t>Phillips 66 PAC</t>
        </is>
      </c>
      <c r="D1602" t="inlineStr">
        <is>
          <t>NANCY MACE FOR CONGRESS</t>
        </is>
      </c>
      <c r="E1602" t="inlineStr">
        <is>
          <t>H0SC01394</t>
        </is>
      </c>
      <c r="F1602" t="inlineStr">
        <is>
          <t>REP</t>
        </is>
      </c>
      <c r="G1602" t="inlineStr">
        <is>
          <t>03142022</t>
        </is>
      </c>
      <c r="H1602" t="n">
        <v>2500</v>
      </c>
      <c r="I1602" t="inlineStr">
        <is>
          <t>202204209500060705</t>
        </is>
      </c>
      <c r="J1602" t="inlineStr">
        <is>
          <t>https://docquery.fec.gov/cgi-bin/fecimg/?202204209500060705</t>
        </is>
      </c>
    </row>
    <row r="1603">
      <c r="A1603" t="inlineStr">
        <is>
          <t>2022</t>
        </is>
      </c>
      <c r="B1603" t="inlineStr">
        <is>
          <t>C00513549</t>
        </is>
      </c>
      <c r="C1603" t="inlineStr">
        <is>
          <t>Phillips 66 PAC</t>
        </is>
      </c>
      <c r="D1603" t="inlineStr">
        <is>
          <t>RON JOHNSON FOR SENATE</t>
        </is>
      </c>
      <c r="E1603" t="inlineStr">
        <is>
          <t>S0WI00197</t>
        </is>
      </c>
      <c r="F1603" t="inlineStr">
        <is>
          <t>REP</t>
        </is>
      </c>
      <c r="G1603" t="inlineStr">
        <is>
          <t>03142022</t>
        </is>
      </c>
      <c r="H1603" t="n">
        <v>5000</v>
      </c>
      <c r="I1603" t="inlineStr">
        <is>
          <t>202204209500060705</t>
        </is>
      </c>
      <c r="J1603" t="inlineStr">
        <is>
          <t>https://docquery.fec.gov/cgi-bin/fecimg/?202204209500060705</t>
        </is>
      </c>
    </row>
    <row r="1604">
      <c r="A1604" t="inlineStr">
        <is>
          <t>2022</t>
        </is>
      </c>
      <c r="B1604" t="inlineStr">
        <is>
          <t>C00513549</t>
        </is>
      </c>
      <c r="C1604" t="inlineStr">
        <is>
          <t>Phillips 66 PAC</t>
        </is>
      </c>
      <c r="D1604" t="inlineStr">
        <is>
          <t>SINEMA FOR SENATE</t>
        </is>
      </c>
      <c r="E1604" t="inlineStr">
        <is>
          <t>S8AZ00197</t>
        </is>
      </c>
      <c r="F1604" t="inlineStr">
        <is>
          <t>IND</t>
        </is>
      </c>
      <c r="G1604" t="inlineStr">
        <is>
          <t>03142022</t>
        </is>
      </c>
      <c r="H1604" t="n">
        <v>5000</v>
      </c>
      <c r="I1604" t="inlineStr">
        <is>
          <t>202204209500060706</t>
        </is>
      </c>
      <c r="J1604" t="inlineStr">
        <is>
          <t>https://docquery.fec.gov/cgi-bin/fecimg/?202204209500060706</t>
        </is>
      </c>
    </row>
    <row r="1605">
      <c r="A1605" t="inlineStr">
        <is>
          <t>2022</t>
        </is>
      </c>
      <c r="B1605" t="inlineStr">
        <is>
          <t>C00513549</t>
        </is>
      </c>
      <c r="C1605" t="inlineStr">
        <is>
          <t>Phillips 66 PAC</t>
        </is>
      </c>
      <c r="D1605" t="inlineStr">
        <is>
          <t>WESTERMAN FOR CONGRESS</t>
        </is>
      </c>
      <c r="E1605" t="inlineStr">
        <is>
          <t>H4AR04048</t>
        </is>
      </c>
      <c r="F1605" t="inlineStr">
        <is>
          <t>REP</t>
        </is>
      </c>
      <c r="G1605" t="inlineStr">
        <is>
          <t>03142022</t>
        </is>
      </c>
      <c r="H1605" t="n">
        <v>2500</v>
      </c>
      <c r="I1605" t="inlineStr">
        <is>
          <t>202204209500060707</t>
        </is>
      </c>
      <c r="J1605" t="inlineStr">
        <is>
          <t>https://docquery.fec.gov/cgi-bin/fecimg/?202204209500060707</t>
        </is>
      </c>
    </row>
    <row r="1606">
      <c r="A1606" t="inlineStr">
        <is>
          <t>2022</t>
        </is>
      </c>
      <c r="B1606" t="inlineStr">
        <is>
          <t>C00513549</t>
        </is>
      </c>
      <c r="C1606" t="inlineStr">
        <is>
          <t>Phillips 66 PAC</t>
        </is>
      </c>
      <c r="D1606" t="inlineStr">
        <is>
          <t>DAN CRENSHAW FOR CONGRESS</t>
        </is>
      </c>
      <c r="E1606" t="inlineStr">
        <is>
          <t>H8TX02166</t>
        </is>
      </c>
      <c r="F1606" t="inlineStr">
        <is>
          <t>REP</t>
        </is>
      </c>
      <c r="G1606" t="inlineStr">
        <is>
          <t>03152021</t>
        </is>
      </c>
      <c r="H1606" t="n">
        <v>2500</v>
      </c>
      <c r="I1606" t="inlineStr">
        <is>
          <t>202104209443861825</t>
        </is>
      </c>
      <c r="J1606" t="inlineStr">
        <is>
          <t>https://docquery.fec.gov/cgi-bin/fecimg/?202104209443861825</t>
        </is>
      </c>
    </row>
    <row r="1607">
      <c r="A1607" t="inlineStr">
        <is>
          <t>2022</t>
        </is>
      </c>
      <c r="B1607" t="inlineStr">
        <is>
          <t>C00513549</t>
        </is>
      </c>
      <c r="C1607" t="inlineStr">
        <is>
          <t>Phillips 66 PAC</t>
        </is>
      </c>
      <c r="D1607" t="inlineStr">
        <is>
          <t>DONALD M PAYNE JR FOR CONGRESS</t>
        </is>
      </c>
      <c r="E1607" t="inlineStr">
        <is>
          <t>H2NJ10154</t>
        </is>
      </c>
      <c r="F1607" t="inlineStr">
        <is>
          <t>DEM</t>
        </is>
      </c>
      <c r="G1607" t="inlineStr">
        <is>
          <t>03152021</t>
        </is>
      </c>
      <c r="H1607" t="n">
        <v>5000</v>
      </c>
      <c r="I1607" t="inlineStr">
        <is>
          <t>202104209443861825</t>
        </is>
      </c>
      <c r="J1607" t="inlineStr">
        <is>
          <t>https://docquery.fec.gov/cgi-bin/fecimg/?202104209443861825</t>
        </is>
      </c>
    </row>
    <row r="1608">
      <c r="A1608" t="inlineStr">
        <is>
          <t>2022</t>
        </is>
      </c>
      <c r="B1608" t="inlineStr">
        <is>
          <t>C00513549</t>
        </is>
      </c>
      <c r="C1608" t="inlineStr">
        <is>
          <t>Phillips 66 PAC</t>
        </is>
      </c>
      <c r="D1608" t="inlineStr">
        <is>
          <t>JAIME FOR CONGRESS</t>
        </is>
      </c>
      <c r="E1608" t="inlineStr">
        <is>
          <t>H0WA03187</t>
        </is>
      </c>
      <c r="F1608" t="inlineStr">
        <is>
          <t>REP</t>
        </is>
      </c>
      <c r="G1608" t="inlineStr">
        <is>
          <t>03152021</t>
        </is>
      </c>
      <c r="H1608" t="n">
        <v>2500</v>
      </c>
      <c r="I1608" t="inlineStr">
        <is>
          <t>202104209443861826</t>
        </is>
      </c>
      <c r="J1608" t="inlineStr">
        <is>
          <t>https://docquery.fec.gov/cgi-bin/fecimg/?202104209443861826</t>
        </is>
      </c>
    </row>
    <row r="1609">
      <c r="A1609" t="inlineStr">
        <is>
          <t>2022</t>
        </is>
      </c>
      <c r="B1609" t="inlineStr">
        <is>
          <t>C00513549</t>
        </is>
      </c>
      <c r="C1609" t="inlineStr">
        <is>
          <t>Phillips 66 PAC</t>
        </is>
      </c>
      <c r="D1609" t="inlineStr">
        <is>
          <t>MICHELLE STEEL FOR CONGRESS</t>
        </is>
      </c>
      <c r="E1609" t="inlineStr">
        <is>
          <t>H0CA48198</t>
        </is>
      </c>
      <c r="F1609" t="inlineStr">
        <is>
          <t>REP</t>
        </is>
      </c>
      <c r="G1609" t="inlineStr">
        <is>
          <t>03152021</t>
        </is>
      </c>
      <c r="H1609" t="n">
        <v>1000</v>
      </c>
      <c r="I1609" t="inlineStr">
        <is>
          <t>202104209443861827</t>
        </is>
      </c>
      <c r="J1609" t="inlineStr">
        <is>
          <t>https://docquery.fec.gov/cgi-bin/fecimg/?202104209443861827</t>
        </is>
      </c>
    </row>
    <row r="1610">
      <c r="A1610" t="inlineStr">
        <is>
          <t>2022</t>
        </is>
      </c>
      <c r="B1610" t="inlineStr">
        <is>
          <t>C00513549</t>
        </is>
      </c>
      <c r="C1610" t="inlineStr">
        <is>
          <t>Phillips 66 PAC</t>
        </is>
      </c>
      <c r="D1610" t="inlineStr">
        <is>
          <t>NANCY MACE FOR CONGRESS</t>
        </is>
      </c>
      <c r="E1610" t="inlineStr">
        <is>
          <t>H0SC01394</t>
        </is>
      </c>
      <c r="F1610" t="inlineStr">
        <is>
          <t>REP</t>
        </is>
      </c>
      <c r="G1610" t="inlineStr">
        <is>
          <t>03152021</t>
        </is>
      </c>
      <c r="H1610" t="n">
        <v>1000</v>
      </c>
      <c r="I1610" t="inlineStr">
        <is>
          <t>202104209443861827</t>
        </is>
      </c>
      <c r="J1610" t="inlineStr">
        <is>
          <t>https://docquery.fec.gov/cgi-bin/fecimg/?202104209443861827</t>
        </is>
      </c>
    </row>
    <row r="1611">
      <c r="A1611" t="inlineStr">
        <is>
          <t>2022</t>
        </is>
      </c>
      <c r="B1611" t="inlineStr">
        <is>
          <t>C00513549</t>
        </is>
      </c>
      <c r="C1611" t="inlineStr">
        <is>
          <t>Phillips 66 PAC</t>
        </is>
      </c>
      <c r="D1611" t="inlineStr">
        <is>
          <t>VAN TAYLOR CAMPAIGN</t>
        </is>
      </c>
      <c r="E1611" t="inlineStr">
        <is>
          <t>H8TX03123</t>
        </is>
      </c>
      <c r="F1611" t="inlineStr">
        <is>
          <t>REP</t>
        </is>
      </c>
      <c r="G1611" t="inlineStr">
        <is>
          <t>03152021</t>
        </is>
      </c>
      <c r="H1611" t="n">
        <v>1000</v>
      </c>
      <c r="I1611" t="inlineStr">
        <is>
          <t>202104209443861828</t>
        </is>
      </c>
      <c r="J1611" t="inlineStr">
        <is>
          <t>https://docquery.fec.gov/cgi-bin/fecimg/?202104209443861828</t>
        </is>
      </c>
    </row>
    <row r="1612">
      <c r="A1612" t="inlineStr">
        <is>
          <t>2022</t>
        </is>
      </c>
      <c r="B1612" t="inlineStr">
        <is>
          <t>C00513549</t>
        </is>
      </c>
      <c r="C1612" t="inlineStr">
        <is>
          <t>Phillips 66 PAC</t>
        </is>
      </c>
      <c r="D1612" t="inlineStr">
        <is>
          <t>YOUNG KIM FOR CONGRESS</t>
        </is>
      </c>
      <c r="E1612" t="inlineStr">
        <is>
          <t>H8CA39240</t>
        </is>
      </c>
      <c r="F1612" t="inlineStr">
        <is>
          <t>REP</t>
        </is>
      </c>
      <c r="G1612" t="inlineStr">
        <is>
          <t>03152021</t>
        </is>
      </c>
      <c r="H1612" t="n">
        <v>1000</v>
      </c>
      <c r="I1612" t="inlineStr">
        <is>
          <t>202104209443861828</t>
        </is>
      </c>
      <c r="J1612" t="inlineStr">
        <is>
          <t>https://docquery.fec.gov/cgi-bin/fecimg/?202104209443861828</t>
        </is>
      </c>
    </row>
    <row r="1613">
      <c r="A1613" t="inlineStr">
        <is>
          <t>2022</t>
        </is>
      </c>
      <c r="B1613" t="inlineStr">
        <is>
          <t>C00513549</t>
        </is>
      </c>
      <c r="C1613" t="inlineStr">
        <is>
          <t>Phillips 66 PAC</t>
        </is>
      </c>
      <c r="D1613" t="inlineStr">
        <is>
          <t>DR. BRIAN BABIN FOR CONGRESS</t>
        </is>
      </c>
      <c r="E1613" t="inlineStr">
        <is>
          <t>H6TX02079</t>
        </is>
      </c>
      <c r="F1613" t="inlineStr">
        <is>
          <t>REP</t>
        </is>
      </c>
      <c r="G1613" t="inlineStr">
        <is>
          <t>03172022</t>
        </is>
      </c>
      <c r="H1613" t="n">
        <v>2500</v>
      </c>
      <c r="I1613" t="inlineStr">
        <is>
          <t>202204209500060702</t>
        </is>
      </c>
      <c r="J1613" t="inlineStr">
        <is>
          <t>https://docquery.fec.gov/cgi-bin/fecimg/?202204209500060702</t>
        </is>
      </c>
    </row>
    <row r="1614">
      <c r="A1614" t="inlineStr">
        <is>
          <t>2022</t>
        </is>
      </c>
      <c r="B1614" t="inlineStr">
        <is>
          <t>C00513549</t>
        </is>
      </c>
      <c r="C1614" t="inlineStr">
        <is>
          <t>Phillips 66 PAC</t>
        </is>
      </c>
      <c r="D1614" t="inlineStr">
        <is>
          <t>ELIZABETH PANNILL FLETCHER FOR CONGRESS</t>
        </is>
      </c>
      <c r="E1614" t="inlineStr">
        <is>
          <t>H8TX07140</t>
        </is>
      </c>
      <c r="F1614" t="inlineStr">
        <is>
          <t>DEM</t>
        </is>
      </c>
      <c r="G1614" t="inlineStr">
        <is>
          <t>03172022</t>
        </is>
      </c>
      <c r="H1614" t="n">
        <v>2500</v>
      </c>
      <c r="I1614" t="inlineStr">
        <is>
          <t>202204209500060702</t>
        </is>
      </c>
      <c r="J1614" t="inlineStr">
        <is>
          <t>https://docquery.fec.gov/cgi-bin/fecimg/?202204209500060702</t>
        </is>
      </c>
    </row>
    <row r="1615">
      <c r="A1615" t="inlineStr">
        <is>
          <t>2022</t>
        </is>
      </c>
      <c r="B1615" t="inlineStr">
        <is>
          <t>C00513549</t>
        </is>
      </c>
      <c r="C1615" t="inlineStr">
        <is>
          <t>Phillips 66 PAC</t>
        </is>
      </c>
      <c r="D1615" t="inlineStr">
        <is>
          <t>FRIENDS OF TODD YOUNG, INC.</t>
        </is>
      </c>
      <c r="E1615" t="inlineStr">
        <is>
          <t>S6IN00191</t>
        </is>
      </c>
      <c r="F1615" t="inlineStr">
        <is>
          <t>REP</t>
        </is>
      </c>
      <c r="G1615" t="inlineStr">
        <is>
          <t>03172022</t>
        </is>
      </c>
      <c r="H1615" t="n">
        <v>5000</v>
      </c>
      <c r="I1615" t="inlineStr">
        <is>
          <t>202204209500060703</t>
        </is>
      </c>
      <c r="J1615" t="inlineStr">
        <is>
          <t>https://docquery.fec.gov/cgi-bin/fecimg/?202204209500060703</t>
        </is>
      </c>
    </row>
    <row r="1616">
      <c r="A1616" t="inlineStr">
        <is>
          <t>2022</t>
        </is>
      </c>
      <c r="B1616" t="inlineStr">
        <is>
          <t>C00513549</t>
        </is>
      </c>
      <c r="C1616" t="inlineStr">
        <is>
          <t>Phillips 66 PAC</t>
        </is>
      </c>
      <c r="D1616" t="inlineStr">
        <is>
          <t>HUNT FOR CONGRESS</t>
        </is>
      </c>
      <c r="E1616" t="inlineStr">
        <is>
          <t>H0TX07170</t>
        </is>
      </c>
      <c r="F1616" t="inlineStr">
        <is>
          <t>REP</t>
        </is>
      </c>
      <c r="G1616" t="inlineStr">
        <is>
          <t>03172022</t>
        </is>
      </c>
      <c r="H1616" t="n">
        <v>5000</v>
      </c>
      <c r="I1616" t="inlineStr">
        <is>
          <t>202204209500060703</t>
        </is>
      </c>
      <c r="J1616" t="inlineStr">
        <is>
          <t>https://docquery.fec.gov/cgi-bin/fecimg/?202204209500060703</t>
        </is>
      </c>
    </row>
    <row r="1617">
      <c r="A1617" t="inlineStr">
        <is>
          <t>2022</t>
        </is>
      </c>
      <c r="B1617" t="inlineStr">
        <is>
          <t>C00513549</t>
        </is>
      </c>
      <c r="C1617" t="inlineStr">
        <is>
          <t>Phillips 66 PAC</t>
        </is>
      </c>
      <c r="D1617" t="inlineStr">
        <is>
          <t>MANCHIN FOR WEST VIRGINIA</t>
        </is>
      </c>
      <c r="E1617" t="inlineStr">
        <is>
          <t>S0WV00090</t>
        </is>
      </c>
      <c r="F1617" t="inlineStr">
        <is>
          <t>DEM</t>
        </is>
      </c>
      <c r="G1617" t="inlineStr">
        <is>
          <t>03172022</t>
        </is>
      </c>
      <c r="H1617" t="n">
        <v>5000</v>
      </c>
      <c r="I1617" t="inlineStr">
        <is>
          <t>202204209500060705</t>
        </is>
      </c>
      <c r="J1617" t="inlineStr">
        <is>
          <t>https://docquery.fec.gov/cgi-bin/fecimg/?202204209500060705</t>
        </is>
      </c>
    </row>
    <row r="1618">
      <c r="A1618" t="inlineStr">
        <is>
          <t>2022</t>
        </is>
      </c>
      <c r="B1618" t="inlineStr">
        <is>
          <t>C00513549</t>
        </is>
      </c>
      <c r="C1618" t="inlineStr">
        <is>
          <t>Phillips 66 PAC</t>
        </is>
      </c>
      <c r="D1618" t="inlineStr">
        <is>
          <t>TEXANS FOR JODEY ARRINGTON</t>
        </is>
      </c>
      <c r="E1618" t="inlineStr">
        <is>
          <t>H6TX19099</t>
        </is>
      </c>
      <c r="F1618" t="inlineStr">
        <is>
          <t>REP</t>
        </is>
      </c>
      <c r="G1618" t="inlineStr">
        <is>
          <t>03172022</t>
        </is>
      </c>
      <c r="H1618" t="n">
        <v>2500</v>
      </c>
      <c r="I1618" t="inlineStr">
        <is>
          <t>202204209500060706</t>
        </is>
      </c>
      <c r="J1618" t="inlineStr">
        <is>
          <t>https://docquery.fec.gov/cgi-bin/fecimg/?202204209500060706</t>
        </is>
      </c>
    </row>
    <row r="1619">
      <c r="A1619" t="inlineStr">
        <is>
          <t>2022</t>
        </is>
      </c>
      <c r="B1619" t="inlineStr">
        <is>
          <t>C00513549</t>
        </is>
      </c>
      <c r="C1619" t="inlineStr">
        <is>
          <t>Phillips 66 PAC</t>
        </is>
      </c>
      <c r="D1619" t="inlineStr">
        <is>
          <t>TONY GONZALES FOR CONGRESS</t>
        </is>
      </c>
      <c r="E1619" t="inlineStr">
        <is>
          <t>H0TX35015</t>
        </is>
      </c>
      <c r="F1619" t="inlineStr">
        <is>
          <t>REP</t>
        </is>
      </c>
      <c r="G1619" t="inlineStr">
        <is>
          <t>03172022</t>
        </is>
      </c>
      <c r="H1619" t="n">
        <v>2500</v>
      </c>
      <c r="I1619" t="inlineStr">
        <is>
          <t>202204209500060706</t>
        </is>
      </c>
      <c r="J1619" t="inlineStr">
        <is>
          <t>https://docquery.fec.gov/cgi-bin/fecimg/?202204209500060706</t>
        </is>
      </c>
    </row>
    <row r="1620">
      <c r="A1620" t="inlineStr">
        <is>
          <t>2022</t>
        </is>
      </c>
      <c r="B1620" t="inlineStr">
        <is>
          <t>C00513549</t>
        </is>
      </c>
      <c r="C1620" t="inlineStr">
        <is>
          <t>Phillips 66 PAC</t>
        </is>
      </c>
      <c r="D1620" t="inlineStr">
        <is>
          <t>CATHY MCMORRIS RODGERS FOR CONGRESS</t>
        </is>
      </c>
      <c r="E1620" t="inlineStr">
        <is>
          <t>H4WA05077</t>
        </is>
      </c>
      <c r="F1620" t="inlineStr">
        <is>
          <t>REP</t>
        </is>
      </c>
      <c r="G1620" t="inlineStr">
        <is>
          <t>03242021</t>
        </is>
      </c>
      <c r="H1620" t="n">
        <v>1000</v>
      </c>
      <c r="I1620" t="inlineStr">
        <is>
          <t>202104209443861825</t>
        </is>
      </c>
      <c r="J1620" t="inlineStr">
        <is>
          <t>https://docquery.fec.gov/cgi-bin/fecimg/?202104209443861825</t>
        </is>
      </c>
    </row>
    <row r="1621">
      <c r="A1621" t="inlineStr">
        <is>
          <t>2022</t>
        </is>
      </c>
      <c r="B1621" t="inlineStr">
        <is>
          <t>C00513549</t>
        </is>
      </c>
      <c r="C1621" t="inlineStr">
        <is>
          <t>Phillips 66 PAC</t>
        </is>
      </c>
      <c r="D1621" t="inlineStr">
        <is>
          <t>JIM COSTA FOR CONGRESS</t>
        </is>
      </c>
      <c r="E1621" t="inlineStr">
        <is>
          <t>H4CA20082</t>
        </is>
      </c>
      <c r="F1621" t="inlineStr">
        <is>
          <t>DEM</t>
        </is>
      </c>
      <c r="G1621" t="inlineStr">
        <is>
          <t>03242021</t>
        </is>
      </c>
      <c r="H1621" t="n">
        <v>1500</v>
      </c>
      <c r="I1621" t="inlineStr">
        <is>
          <t>202104209443861826</t>
        </is>
      </c>
      <c r="J1621" t="inlineStr">
        <is>
          <t>https://docquery.fec.gov/cgi-bin/fecimg/?202104209443861826</t>
        </is>
      </c>
    </row>
    <row r="1622">
      <c r="A1622" t="inlineStr">
        <is>
          <t>2022</t>
        </is>
      </c>
      <c r="B1622" t="inlineStr">
        <is>
          <t>C00513549</t>
        </is>
      </c>
      <c r="C1622" t="inlineStr">
        <is>
          <t>Phillips 66 PAC</t>
        </is>
      </c>
      <c r="D1622" t="inlineStr">
        <is>
          <t>MIKE THOMPSON FOR CONGRESS</t>
        </is>
      </c>
      <c r="E1622" t="inlineStr">
        <is>
          <t>H8CA01109</t>
        </is>
      </c>
      <c r="F1622" t="inlineStr">
        <is>
          <t>DEM</t>
        </is>
      </c>
      <c r="G1622" t="inlineStr">
        <is>
          <t>03242021</t>
        </is>
      </c>
      <c r="H1622" t="n">
        <v>2000</v>
      </c>
      <c r="I1622" t="inlineStr">
        <is>
          <t>202104209443861827</t>
        </is>
      </c>
      <c r="J1622" t="inlineStr">
        <is>
          <t>https://docquery.fec.gov/cgi-bin/fecimg/?202104209443861827</t>
        </is>
      </c>
    </row>
    <row r="1623">
      <c r="A1623" t="inlineStr">
        <is>
          <t>2022</t>
        </is>
      </c>
      <c r="B1623" t="inlineStr">
        <is>
          <t>C00513549</t>
        </is>
      </c>
      <c r="C1623" t="inlineStr">
        <is>
          <t>Phillips 66 PAC</t>
        </is>
      </c>
      <c r="D1623" t="inlineStr">
        <is>
          <t>RODNEY FOR CONGRESS</t>
        </is>
      </c>
      <c r="E1623" t="inlineStr">
        <is>
          <t>H2IL13120</t>
        </is>
      </c>
      <c r="F1623" t="inlineStr">
        <is>
          <t>REP</t>
        </is>
      </c>
      <c r="G1623" t="inlineStr">
        <is>
          <t>03242021</t>
        </is>
      </c>
      <c r="H1623" t="n">
        <v>1000</v>
      </c>
      <c r="I1623" t="inlineStr">
        <is>
          <t>202104209443861828</t>
        </is>
      </c>
      <c r="J1623" t="inlineStr">
        <is>
          <t>https://docquery.fec.gov/cgi-bin/fecimg/?202104209443861828</t>
        </is>
      </c>
    </row>
    <row r="1624">
      <c r="A1624" t="inlineStr">
        <is>
          <t>2022</t>
        </is>
      </c>
      <c r="B1624" t="inlineStr">
        <is>
          <t>C00513549</t>
        </is>
      </c>
      <c r="C1624" t="inlineStr">
        <is>
          <t>Phillips 66 PAC</t>
        </is>
      </c>
      <c r="D1624" t="inlineStr">
        <is>
          <t>DAN CRENSHAW FOR CONGRESS</t>
        </is>
      </c>
      <c r="E1624" t="inlineStr">
        <is>
          <t>H8TX02166</t>
        </is>
      </c>
      <c r="F1624" t="inlineStr">
        <is>
          <t>REP</t>
        </is>
      </c>
      <c r="G1624" t="inlineStr">
        <is>
          <t>03252022</t>
        </is>
      </c>
      <c r="H1624" t="n">
        <v>2500</v>
      </c>
      <c r="I1624" t="inlineStr">
        <is>
          <t>202204209500060702</t>
        </is>
      </c>
      <c r="J1624" t="inlineStr">
        <is>
          <t>https://docquery.fec.gov/cgi-bin/fecimg/?202204209500060702</t>
        </is>
      </c>
    </row>
    <row r="1625">
      <c r="A1625" t="inlineStr">
        <is>
          <t>2022</t>
        </is>
      </c>
      <c r="B1625" t="inlineStr">
        <is>
          <t>C00513549</t>
        </is>
      </c>
      <c r="C1625" t="inlineStr">
        <is>
          <t>Phillips 66 PAC</t>
        </is>
      </c>
      <c r="D1625" t="inlineStr">
        <is>
          <t>YOUNG KIM FOR CONGRESS</t>
        </is>
      </c>
      <c r="E1625" t="inlineStr">
        <is>
          <t>H8CA39240</t>
        </is>
      </c>
      <c r="F1625" t="inlineStr">
        <is>
          <t>REP</t>
        </is>
      </c>
      <c r="G1625" t="inlineStr">
        <is>
          <t>03252022</t>
        </is>
      </c>
      <c r="H1625" t="n">
        <v>3000</v>
      </c>
      <c r="I1625" t="inlineStr">
        <is>
          <t>202204209500060707</t>
        </is>
      </c>
      <c r="J1625" t="inlineStr">
        <is>
          <t>https://docquery.fec.gov/cgi-bin/fecimg/?202204209500060707</t>
        </is>
      </c>
    </row>
    <row r="1626">
      <c r="A1626" t="inlineStr">
        <is>
          <t>2022</t>
        </is>
      </c>
      <c r="B1626" t="inlineStr">
        <is>
          <t>C00513549</t>
        </is>
      </c>
      <c r="C1626" t="inlineStr">
        <is>
          <t>Phillips 66 PAC</t>
        </is>
      </c>
      <c r="D1626" t="inlineStr">
        <is>
          <t>FAMILIES FOR JAMES LANKFORD</t>
        </is>
      </c>
      <c r="E1626" t="inlineStr">
        <is>
          <t>S4OK00232</t>
        </is>
      </c>
      <c r="F1626" t="inlineStr">
        <is>
          <t>REP</t>
        </is>
      </c>
      <c r="G1626" t="inlineStr">
        <is>
          <t>03292021</t>
        </is>
      </c>
      <c r="H1626" t="n">
        <v>2500</v>
      </c>
      <c r="I1626" t="inlineStr">
        <is>
          <t>202104209443861826</t>
        </is>
      </c>
      <c r="J1626" t="inlineStr">
        <is>
          <t>https://docquery.fec.gov/cgi-bin/fecimg/?202104209443861826</t>
        </is>
      </c>
    </row>
    <row r="1627">
      <c r="A1627" t="inlineStr">
        <is>
          <t>2022</t>
        </is>
      </c>
      <c r="B1627" t="inlineStr">
        <is>
          <t>C00513549</t>
        </is>
      </c>
      <c r="C1627" t="inlineStr">
        <is>
          <t>Phillips 66 PAC</t>
        </is>
      </c>
      <c r="D1627" t="inlineStr">
        <is>
          <t>JOSH GOTTHEIMER FOR CONGRESS</t>
        </is>
      </c>
      <c r="E1627" t="inlineStr">
        <is>
          <t>H6NJ05171</t>
        </is>
      </c>
      <c r="F1627" t="inlineStr">
        <is>
          <t>DEM</t>
        </is>
      </c>
      <c r="G1627" t="inlineStr">
        <is>
          <t>04192022</t>
        </is>
      </c>
      <c r="H1627" t="n">
        <v>2500</v>
      </c>
      <c r="I1627" t="inlineStr">
        <is>
          <t>202205199512398587</t>
        </is>
      </c>
      <c r="J1627" t="inlineStr">
        <is>
          <t>https://docquery.fec.gov/cgi-bin/fecimg/?202205199512398587</t>
        </is>
      </c>
    </row>
    <row r="1628">
      <c r="A1628" t="inlineStr">
        <is>
          <t>2022</t>
        </is>
      </c>
      <c r="B1628" t="inlineStr">
        <is>
          <t>C00513549</t>
        </is>
      </c>
      <c r="C1628" t="inlineStr">
        <is>
          <t>Phillips 66 PAC</t>
        </is>
      </c>
      <c r="D1628" t="inlineStr">
        <is>
          <t>LATTA FOR CONGRESS</t>
        </is>
      </c>
      <c r="E1628" t="inlineStr">
        <is>
          <t>H8OH05036</t>
        </is>
      </c>
      <c r="F1628" t="inlineStr">
        <is>
          <t>REP</t>
        </is>
      </c>
      <c r="G1628" t="inlineStr">
        <is>
          <t>04192022</t>
        </is>
      </c>
      <c r="H1628" t="n">
        <v>2500</v>
      </c>
      <c r="I1628" t="inlineStr">
        <is>
          <t>202205199512398587</t>
        </is>
      </c>
      <c r="J1628" t="inlineStr">
        <is>
          <t>https://docquery.fec.gov/cgi-bin/fecimg/?202205199512398587</t>
        </is>
      </c>
    </row>
    <row r="1629">
      <c r="A1629" t="inlineStr">
        <is>
          <t>2022</t>
        </is>
      </c>
      <c r="B1629" t="inlineStr">
        <is>
          <t>C00513549</t>
        </is>
      </c>
      <c r="C1629" t="inlineStr">
        <is>
          <t>Phillips 66 PAC</t>
        </is>
      </c>
      <c r="D1629" t="inlineStr">
        <is>
          <t>MCKINLEY FOR CONGRESS</t>
        </is>
      </c>
      <c r="E1629" t="inlineStr">
        <is>
          <t>H0WV01072</t>
        </is>
      </c>
      <c r="F1629" t="inlineStr">
        <is>
          <t>REP</t>
        </is>
      </c>
      <c r="G1629" t="inlineStr">
        <is>
          <t>04192022</t>
        </is>
      </c>
      <c r="H1629" t="n">
        <v>2500</v>
      </c>
      <c r="I1629" t="inlineStr">
        <is>
          <t>202205199512398588</t>
        </is>
      </c>
      <c r="J1629" t="inlineStr">
        <is>
          <t>https://docquery.fec.gov/cgi-bin/fecimg/?202205199512398588</t>
        </is>
      </c>
    </row>
    <row r="1630">
      <c r="A1630" t="inlineStr">
        <is>
          <t>2022</t>
        </is>
      </c>
      <c r="B1630" t="inlineStr">
        <is>
          <t>C00513549</t>
        </is>
      </c>
      <c r="C1630" t="inlineStr">
        <is>
          <t>Phillips 66 PAC</t>
        </is>
      </c>
      <c r="D1630" t="inlineStr">
        <is>
          <t>MIKE CRAPO FOR US SENATE</t>
        </is>
      </c>
      <c r="E1630" t="inlineStr">
        <is>
          <t>S8ID00027</t>
        </is>
      </c>
      <c r="F1630" t="inlineStr">
        <is>
          <t>REP</t>
        </is>
      </c>
      <c r="G1630" t="inlineStr">
        <is>
          <t>04192022</t>
        </is>
      </c>
      <c r="H1630" t="n">
        <v>2500</v>
      </c>
      <c r="I1630" t="inlineStr">
        <is>
          <t>202205199512398588</t>
        </is>
      </c>
      <c r="J1630" t="inlineStr">
        <is>
          <t>https://docquery.fec.gov/cgi-bin/fecimg/?202205199512398588</t>
        </is>
      </c>
    </row>
    <row r="1631">
      <c r="A1631" t="inlineStr">
        <is>
          <t>2022</t>
        </is>
      </c>
      <c r="B1631" t="inlineStr">
        <is>
          <t>C00513549</t>
        </is>
      </c>
      <c r="C1631" t="inlineStr">
        <is>
          <t>Phillips 66 PAC</t>
        </is>
      </c>
      <c r="D1631" t="inlineStr">
        <is>
          <t>MIKE THOMPSON FOR CONGRESS</t>
        </is>
      </c>
      <c r="E1631" t="inlineStr">
        <is>
          <t>H8CA01109</t>
        </is>
      </c>
      <c r="F1631" t="inlineStr">
        <is>
          <t>DEM</t>
        </is>
      </c>
      <c r="G1631" t="inlineStr">
        <is>
          <t>04192022</t>
        </is>
      </c>
      <c r="H1631" t="n">
        <v>2500</v>
      </c>
      <c r="I1631" t="inlineStr">
        <is>
          <t>202205199512398588</t>
        </is>
      </c>
      <c r="J1631" t="inlineStr">
        <is>
          <t>https://docquery.fec.gov/cgi-bin/fecimg/?202205199512398588</t>
        </is>
      </c>
    </row>
    <row r="1632">
      <c r="A1632" t="inlineStr">
        <is>
          <t>2022</t>
        </is>
      </c>
      <c r="B1632" t="inlineStr">
        <is>
          <t>C00513549</t>
        </is>
      </c>
      <c r="C1632" t="inlineStr">
        <is>
          <t>Phillips 66 PAC</t>
        </is>
      </c>
      <c r="D1632" t="inlineStr">
        <is>
          <t>MORAN FOR KANSAS</t>
        </is>
      </c>
      <c r="E1632" t="inlineStr">
        <is>
          <t>S0KS00091</t>
        </is>
      </c>
      <c r="F1632" t="inlineStr">
        <is>
          <t>REP</t>
        </is>
      </c>
      <c r="G1632" t="inlineStr">
        <is>
          <t>04192022</t>
        </is>
      </c>
      <c r="H1632" t="n">
        <v>2500</v>
      </c>
      <c r="I1632" t="inlineStr">
        <is>
          <t>202205199512398589</t>
        </is>
      </c>
      <c r="J1632" t="inlineStr">
        <is>
          <t>https://docquery.fec.gov/cgi-bin/fecimg/?202205199512398589</t>
        </is>
      </c>
    </row>
    <row r="1633">
      <c r="A1633" t="inlineStr">
        <is>
          <t>2022</t>
        </is>
      </c>
      <c r="B1633" t="inlineStr">
        <is>
          <t>C00513549</t>
        </is>
      </c>
      <c r="C1633" t="inlineStr">
        <is>
          <t>Phillips 66 PAC</t>
        </is>
      </c>
      <c r="D1633" t="inlineStr">
        <is>
          <t>NEHLS FOR CONGRESS</t>
        </is>
      </c>
      <c r="E1633" t="inlineStr">
        <is>
          <t>H0TX22302</t>
        </is>
      </c>
      <c r="F1633" t="inlineStr">
        <is>
          <t>REP</t>
        </is>
      </c>
      <c r="G1633" t="inlineStr">
        <is>
          <t>04192022</t>
        </is>
      </c>
      <c r="H1633" t="n">
        <v>2500</v>
      </c>
      <c r="I1633" t="inlineStr">
        <is>
          <t>202205199512398589</t>
        </is>
      </c>
      <c r="J1633" t="inlineStr">
        <is>
          <t>https://docquery.fec.gov/cgi-bin/fecimg/?202205199512398589</t>
        </is>
      </c>
    </row>
    <row r="1634">
      <c r="A1634" t="inlineStr">
        <is>
          <t>2022</t>
        </is>
      </c>
      <c r="B1634" t="inlineStr">
        <is>
          <t>C00513549</t>
        </is>
      </c>
      <c r="C1634" t="inlineStr">
        <is>
          <t>Phillips 66 PAC</t>
        </is>
      </c>
      <c r="D1634" t="inlineStr">
        <is>
          <t>DONALD M PAYNE JR FOR CONGRESS</t>
        </is>
      </c>
      <c r="E1634" t="inlineStr">
        <is>
          <t>H2NJ10154</t>
        </is>
      </c>
      <c r="F1634" t="inlineStr">
        <is>
          <t>DEM</t>
        </is>
      </c>
      <c r="G1634" t="inlineStr">
        <is>
          <t>04192022</t>
        </is>
      </c>
      <c r="H1634" t="n">
        <v>5000</v>
      </c>
      <c r="I1634" t="inlineStr">
        <is>
          <t>202205199512398585</t>
        </is>
      </c>
      <c r="J1634" t="inlineStr">
        <is>
          <t>https://docquery.fec.gov/cgi-bin/fecimg/?202205199512398585</t>
        </is>
      </c>
    </row>
    <row r="1635">
      <c r="A1635" t="inlineStr">
        <is>
          <t>2022</t>
        </is>
      </c>
      <c r="B1635" t="inlineStr">
        <is>
          <t>C00513549</t>
        </is>
      </c>
      <c r="C1635" t="inlineStr">
        <is>
          <t>Phillips 66 PAC</t>
        </is>
      </c>
      <c r="D1635" t="inlineStr">
        <is>
          <t>AUGUST PFLUGER FOR CONGRESS</t>
        </is>
      </c>
      <c r="E1635" t="inlineStr">
        <is>
          <t>H0TX11230</t>
        </is>
      </c>
      <c r="F1635" t="inlineStr">
        <is>
          <t>REP</t>
        </is>
      </c>
      <c r="G1635" t="inlineStr">
        <is>
          <t>04192022</t>
        </is>
      </c>
      <c r="H1635" t="n">
        <v>2500</v>
      </c>
      <c r="I1635" t="inlineStr">
        <is>
          <t>202205199512398584</t>
        </is>
      </c>
      <c r="J1635" t="inlineStr">
        <is>
          <t>https://docquery.fec.gov/cgi-bin/fecimg/?202205199512398584</t>
        </is>
      </c>
    </row>
    <row r="1636">
      <c r="A1636" t="inlineStr">
        <is>
          <t>2022</t>
        </is>
      </c>
      <c r="B1636" t="inlineStr">
        <is>
          <t>C00513549</t>
        </is>
      </c>
      <c r="C1636" t="inlineStr">
        <is>
          <t>Phillips 66 PAC</t>
        </is>
      </c>
      <c r="D1636" t="inlineStr">
        <is>
          <t>BOOZMAN FOR ARKANSAS</t>
        </is>
      </c>
      <c r="E1636" t="inlineStr">
        <is>
          <t>S0AR00150</t>
        </is>
      </c>
      <c r="F1636" t="inlineStr">
        <is>
          <t>REP</t>
        </is>
      </c>
      <c r="G1636" t="inlineStr">
        <is>
          <t>04192022</t>
        </is>
      </c>
      <c r="H1636" t="n">
        <v>2500</v>
      </c>
      <c r="I1636" t="inlineStr">
        <is>
          <t>202205199512398584</t>
        </is>
      </c>
      <c r="J1636" t="inlineStr">
        <is>
          <t>https://docquery.fec.gov/cgi-bin/fecimg/?202205199512398584</t>
        </is>
      </c>
    </row>
    <row r="1637">
      <c r="A1637" t="inlineStr">
        <is>
          <t>2022</t>
        </is>
      </c>
      <c r="B1637" t="inlineStr">
        <is>
          <t>C00513549</t>
        </is>
      </c>
      <c r="C1637" t="inlineStr">
        <is>
          <t>Phillips 66 PAC</t>
        </is>
      </c>
      <c r="D1637" t="inlineStr">
        <is>
          <t>CATHY MCMORRIS RODGERS FOR CONGRESS</t>
        </is>
      </c>
      <c r="E1637" t="inlineStr">
        <is>
          <t>H4WA05077</t>
        </is>
      </c>
      <c r="F1637" t="inlineStr">
        <is>
          <t>REP</t>
        </is>
      </c>
      <c r="G1637" t="inlineStr">
        <is>
          <t>04192022</t>
        </is>
      </c>
      <c r="H1637" t="n">
        <v>2500</v>
      </c>
      <c r="I1637" t="inlineStr">
        <is>
          <t>202205199512398584</t>
        </is>
      </c>
      <c r="J1637" t="inlineStr">
        <is>
          <t>https://docquery.fec.gov/cgi-bin/fecimg/?202205199512398584</t>
        </is>
      </c>
    </row>
    <row r="1638">
      <c r="A1638" t="inlineStr">
        <is>
          <t>2022</t>
        </is>
      </c>
      <c r="B1638" t="inlineStr">
        <is>
          <t>C00513549</t>
        </is>
      </c>
      <c r="C1638" t="inlineStr">
        <is>
          <t>Phillips 66 PAC</t>
        </is>
      </c>
      <c r="D1638" t="inlineStr">
        <is>
          <t>CURTIS FOR CONGRESS</t>
        </is>
      </c>
      <c r="E1638" t="inlineStr">
        <is>
          <t>H8UT03238</t>
        </is>
      </c>
      <c r="F1638" t="inlineStr">
        <is>
          <t>REP</t>
        </is>
      </c>
      <c r="G1638" t="inlineStr">
        <is>
          <t>04192022</t>
        </is>
      </c>
      <c r="H1638" t="n">
        <v>2500</v>
      </c>
      <c r="I1638" t="inlineStr">
        <is>
          <t>202205199512398585</t>
        </is>
      </c>
      <c r="J1638" t="inlineStr">
        <is>
          <t>https://docquery.fec.gov/cgi-bin/fecimg/?202205199512398585</t>
        </is>
      </c>
    </row>
    <row r="1639">
      <c r="A1639" t="inlineStr">
        <is>
          <t>2022</t>
        </is>
      </c>
      <c r="B1639" t="inlineStr">
        <is>
          <t>C00513549</t>
        </is>
      </c>
      <c r="C1639" t="inlineStr">
        <is>
          <t>Phillips 66 PAC</t>
        </is>
      </c>
      <c r="D1639" t="inlineStr">
        <is>
          <t>EMMER FOR CONGRESS</t>
        </is>
      </c>
      <c r="E1639" t="inlineStr">
        <is>
          <t>H4MN06087</t>
        </is>
      </c>
      <c r="F1639" t="inlineStr">
        <is>
          <t>REP</t>
        </is>
      </c>
      <c r="G1639" t="inlineStr">
        <is>
          <t>04192022</t>
        </is>
      </c>
      <c r="H1639" t="n">
        <v>2500</v>
      </c>
      <c r="I1639" t="inlineStr">
        <is>
          <t>202205199512398585</t>
        </is>
      </c>
      <c r="J1639" t="inlineStr">
        <is>
          <t>https://docquery.fec.gov/cgi-bin/fecimg/?202205199512398585</t>
        </is>
      </c>
    </row>
    <row r="1640">
      <c r="A1640" t="inlineStr">
        <is>
          <t>2022</t>
        </is>
      </c>
      <c r="B1640" t="inlineStr">
        <is>
          <t>C00513549</t>
        </is>
      </c>
      <c r="C1640" t="inlineStr">
        <is>
          <t>Phillips 66 PAC</t>
        </is>
      </c>
      <c r="D1640" t="inlineStr">
        <is>
          <t>FRIENDS OF JOHN THUNE</t>
        </is>
      </c>
      <c r="E1640" t="inlineStr">
        <is>
          <t>S2SD00068</t>
        </is>
      </c>
      <c r="F1640" t="inlineStr">
        <is>
          <t>REP</t>
        </is>
      </c>
      <c r="G1640" t="inlineStr">
        <is>
          <t>04192022</t>
        </is>
      </c>
      <c r="H1640" t="n">
        <v>2500</v>
      </c>
      <c r="I1640" t="inlineStr">
        <is>
          <t>202205199512398586</t>
        </is>
      </c>
      <c r="J1640" t="inlineStr">
        <is>
          <t>https://docquery.fec.gov/cgi-bin/fecimg/?202205199512398586</t>
        </is>
      </c>
    </row>
    <row r="1641">
      <c r="A1641" t="inlineStr">
        <is>
          <t>2022</t>
        </is>
      </c>
      <c r="B1641" t="inlineStr">
        <is>
          <t>C00513549</t>
        </is>
      </c>
      <c r="C1641" t="inlineStr">
        <is>
          <t>Phillips 66 PAC</t>
        </is>
      </c>
      <c r="D1641" t="inlineStr">
        <is>
          <t>FRIENDS OF MIKE LEE INC</t>
        </is>
      </c>
      <c r="E1641" t="inlineStr">
        <is>
          <t>S0UT00165</t>
        </is>
      </c>
      <c r="F1641" t="inlineStr">
        <is>
          <t>REP</t>
        </is>
      </c>
      <c r="G1641" t="inlineStr">
        <is>
          <t>04192022</t>
        </is>
      </c>
      <c r="H1641" t="n">
        <v>5000</v>
      </c>
      <c r="I1641" t="inlineStr">
        <is>
          <t>202205199512398586</t>
        </is>
      </c>
      <c r="J1641" t="inlineStr">
        <is>
          <t>https://docquery.fec.gov/cgi-bin/fecimg/?202205199512398586</t>
        </is>
      </c>
    </row>
    <row r="1642">
      <c r="A1642" t="inlineStr">
        <is>
          <t>2022</t>
        </is>
      </c>
      <c r="B1642" t="inlineStr">
        <is>
          <t>C00513549</t>
        </is>
      </c>
      <c r="C1642" t="inlineStr">
        <is>
          <t>Phillips 66 PAC</t>
        </is>
      </c>
      <c r="D1642" t="inlineStr">
        <is>
          <t>GRASSLEY COMMITTEE INC</t>
        </is>
      </c>
      <c r="E1642" t="inlineStr">
        <is>
          <t>S0IA00028</t>
        </is>
      </c>
      <c r="F1642" t="inlineStr">
        <is>
          <t>REP</t>
        </is>
      </c>
      <c r="G1642" t="inlineStr">
        <is>
          <t>04192022</t>
        </is>
      </c>
      <c r="H1642" t="n">
        <v>2500</v>
      </c>
      <c r="I1642" t="inlineStr">
        <is>
          <t>202205199512398586</t>
        </is>
      </c>
      <c r="J1642" t="inlineStr">
        <is>
          <t>https://docquery.fec.gov/cgi-bin/fecimg/?202205199512398586</t>
        </is>
      </c>
    </row>
    <row r="1643">
      <c r="A1643" t="inlineStr">
        <is>
          <t>2022</t>
        </is>
      </c>
      <c r="B1643" t="inlineStr">
        <is>
          <t>C00513549</t>
        </is>
      </c>
      <c r="C1643" t="inlineStr">
        <is>
          <t>Phillips 66 PAC</t>
        </is>
      </c>
      <c r="D1643" t="inlineStr">
        <is>
          <t>HOEVEN FOR SENATE</t>
        </is>
      </c>
      <c r="E1643" t="inlineStr">
        <is>
          <t>S0ND00093</t>
        </is>
      </c>
      <c r="F1643" t="inlineStr">
        <is>
          <t>REP</t>
        </is>
      </c>
      <c r="G1643" t="inlineStr">
        <is>
          <t>04192022</t>
        </is>
      </c>
      <c r="H1643" t="n">
        <v>2500</v>
      </c>
      <c r="I1643" t="inlineStr">
        <is>
          <t>202205199512398587</t>
        </is>
      </c>
      <c r="J1643" t="inlineStr">
        <is>
          <t>https://docquery.fec.gov/cgi-bin/fecimg/?202205199512398587</t>
        </is>
      </c>
    </row>
    <row r="1644">
      <c r="A1644" t="inlineStr">
        <is>
          <t>2022</t>
        </is>
      </c>
      <c r="B1644" t="inlineStr">
        <is>
          <t>C00513549</t>
        </is>
      </c>
      <c r="C1644" t="inlineStr">
        <is>
          <t>Phillips 66 PAC</t>
        </is>
      </c>
      <c r="D1644" t="inlineStr">
        <is>
          <t>TIM SCOTT FOR SENATE</t>
        </is>
      </c>
      <c r="E1644" t="inlineStr">
        <is>
          <t>S4SC00240</t>
        </is>
      </c>
      <c r="F1644" t="inlineStr">
        <is>
          <t>REP</t>
        </is>
      </c>
      <c r="G1644" t="inlineStr">
        <is>
          <t>04192022</t>
        </is>
      </c>
      <c r="H1644" t="n">
        <v>2500</v>
      </c>
      <c r="I1644" t="inlineStr">
        <is>
          <t>202205199512398591</t>
        </is>
      </c>
      <c r="J1644" t="inlineStr">
        <is>
          <t>https://docquery.fec.gov/cgi-bin/fecimg/?202205199512398591</t>
        </is>
      </c>
    </row>
    <row r="1645">
      <c r="A1645" t="inlineStr">
        <is>
          <t>2022</t>
        </is>
      </c>
      <c r="B1645" t="inlineStr">
        <is>
          <t>C00513549</t>
        </is>
      </c>
      <c r="C1645" t="inlineStr">
        <is>
          <t>Phillips 66 PAC</t>
        </is>
      </c>
      <c r="D1645" t="inlineStr">
        <is>
          <t>VICENTE GONZALEZ FOR CONGRESS</t>
        </is>
      </c>
      <c r="E1645" t="inlineStr">
        <is>
          <t>H6TX15162</t>
        </is>
      </c>
      <c r="F1645" t="inlineStr">
        <is>
          <t>DEM</t>
        </is>
      </c>
      <c r="G1645" t="inlineStr">
        <is>
          <t>04192022</t>
        </is>
      </c>
      <c r="H1645" t="n">
        <v>2500</v>
      </c>
      <c r="I1645" t="inlineStr">
        <is>
          <t>202205199512398591</t>
        </is>
      </c>
      <c r="J1645" t="inlineStr">
        <is>
          <t>https://docquery.fec.gov/cgi-bin/fecimg/?202205199512398591</t>
        </is>
      </c>
    </row>
    <row r="1646">
      <c r="A1646" t="inlineStr">
        <is>
          <t>2022</t>
        </is>
      </c>
      <c r="B1646" t="inlineStr">
        <is>
          <t>C00513549</t>
        </is>
      </c>
      <c r="C1646" t="inlineStr">
        <is>
          <t>Phillips 66 PAC</t>
        </is>
      </c>
      <c r="D1646" t="inlineStr">
        <is>
          <t>TEXANS FOR RONNY JACKSON</t>
        </is>
      </c>
      <c r="E1646" t="inlineStr">
        <is>
          <t>H0TX13228</t>
        </is>
      </c>
      <c r="F1646" t="inlineStr">
        <is>
          <t>REP</t>
        </is>
      </c>
      <c r="G1646" t="inlineStr">
        <is>
          <t>04192022</t>
        </is>
      </c>
      <c r="H1646" t="n">
        <v>2500</v>
      </c>
      <c r="I1646" t="inlineStr">
        <is>
          <t>202205199512398590</t>
        </is>
      </c>
      <c r="J1646" t="inlineStr">
        <is>
          <t>https://docquery.fec.gov/cgi-bin/fecimg/?202205199512398590</t>
        </is>
      </c>
    </row>
    <row r="1647">
      <c r="A1647" t="inlineStr">
        <is>
          <t>2022</t>
        </is>
      </c>
      <c r="B1647" t="inlineStr">
        <is>
          <t>C00513549</t>
        </is>
      </c>
      <c r="C1647" t="inlineStr">
        <is>
          <t>Phillips 66 PAC</t>
        </is>
      </c>
      <c r="D1647" t="inlineStr">
        <is>
          <t>RICHARD E NEAL FOR CONGRESS COMMITTEE</t>
        </is>
      </c>
      <c r="E1647" t="inlineStr">
        <is>
          <t>H8MA02041</t>
        </is>
      </c>
      <c r="F1647" t="inlineStr">
        <is>
          <t>DEM</t>
        </is>
      </c>
      <c r="G1647" t="inlineStr">
        <is>
          <t>04192022</t>
        </is>
      </c>
      <c r="H1647" t="n">
        <v>2500</v>
      </c>
      <c r="I1647" t="inlineStr">
        <is>
          <t>202205199512398589</t>
        </is>
      </c>
      <c r="J1647" t="inlineStr">
        <is>
          <t>https://docquery.fec.gov/cgi-bin/fecimg/?202205199512398589</t>
        </is>
      </c>
    </row>
    <row r="1648">
      <c r="A1648" t="inlineStr">
        <is>
          <t>2022</t>
        </is>
      </c>
      <c r="B1648" t="inlineStr">
        <is>
          <t>C00513549</t>
        </is>
      </c>
      <c r="C1648" t="inlineStr">
        <is>
          <t>Phillips 66 PAC</t>
        </is>
      </c>
      <c r="D1648" t="inlineStr">
        <is>
          <t>RODNEY FOR CONGRESS</t>
        </is>
      </c>
      <c r="E1648" t="inlineStr">
        <is>
          <t>H2IL13120</t>
        </is>
      </c>
      <c r="F1648" t="inlineStr">
        <is>
          <t>REP</t>
        </is>
      </c>
      <c r="G1648" t="inlineStr">
        <is>
          <t>04192022</t>
        </is>
      </c>
      <c r="H1648" t="n">
        <v>5000</v>
      </c>
      <c r="I1648" t="inlineStr">
        <is>
          <t>202205199512398590</t>
        </is>
      </c>
      <c r="J1648" t="inlineStr">
        <is>
          <t>https://docquery.fec.gov/cgi-bin/fecimg/?202205199512398590</t>
        </is>
      </c>
    </row>
    <row r="1649">
      <c r="A1649" t="inlineStr">
        <is>
          <t>2022</t>
        </is>
      </c>
      <c r="B1649" t="inlineStr">
        <is>
          <t>C00513549</t>
        </is>
      </c>
      <c r="C1649" t="inlineStr">
        <is>
          <t>Phillips 66 PAC</t>
        </is>
      </c>
      <c r="D1649" t="inlineStr">
        <is>
          <t>RON JOHNSON FOR SENATE</t>
        </is>
      </c>
      <c r="E1649" t="inlineStr">
        <is>
          <t>S0WI00197</t>
        </is>
      </c>
      <c r="F1649" t="inlineStr">
        <is>
          <t>REP</t>
        </is>
      </c>
      <c r="G1649" t="inlineStr">
        <is>
          <t>04192022</t>
        </is>
      </c>
      <c r="H1649" t="n">
        <v>2500</v>
      </c>
      <c r="I1649" t="inlineStr">
        <is>
          <t>202205199512398590</t>
        </is>
      </c>
      <c r="J1649" t="inlineStr">
        <is>
          <t>https://docquery.fec.gov/cgi-bin/fecimg/?202205199512398590</t>
        </is>
      </c>
    </row>
    <row r="1650">
      <c r="A1650" t="inlineStr">
        <is>
          <t>2022</t>
        </is>
      </c>
      <c r="B1650" t="inlineStr">
        <is>
          <t>C00513549</t>
        </is>
      </c>
      <c r="C1650" t="inlineStr">
        <is>
          <t>Phillips 66 PAC</t>
        </is>
      </c>
      <c r="D1650" t="inlineStr">
        <is>
          <t>BOOZMAN FOR ARKANSAS</t>
        </is>
      </c>
      <c r="E1650" t="inlineStr">
        <is>
          <t>S0AR00150</t>
        </is>
      </c>
      <c r="F1650" t="inlineStr">
        <is>
          <t>REP</t>
        </is>
      </c>
      <c r="G1650" t="inlineStr">
        <is>
          <t>04262021</t>
        </is>
      </c>
      <c r="H1650" t="n">
        <v>1000</v>
      </c>
      <c r="I1650" t="inlineStr">
        <is>
          <t>202105209447002491</t>
        </is>
      </c>
      <c r="J1650" t="inlineStr">
        <is>
          <t>https://docquery.fec.gov/cgi-bin/fecimg/?202105209447002491</t>
        </is>
      </c>
    </row>
    <row r="1651">
      <c r="A1651" t="inlineStr">
        <is>
          <t>2022</t>
        </is>
      </c>
      <c r="B1651" t="inlineStr">
        <is>
          <t>C00513549</t>
        </is>
      </c>
      <c r="C1651" t="inlineStr">
        <is>
          <t>Phillips 66 PAC</t>
        </is>
      </c>
      <c r="D1651" t="inlineStr">
        <is>
          <t>CITIZENS TO ELECT RICK LARSEN</t>
        </is>
      </c>
      <c r="E1651" t="inlineStr">
        <is>
          <t>H0WA02080</t>
        </is>
      </c>
      <c r="F1651" t="inlineStr">
        <is>
          <t>DEM</t>
        </is>
      </c>
      <c r="G1651" t="inlineStr">
        <is>
          <t>04262021</t>
        </is>
      </c>
      <c r="H1651" t="n">
        <v>2500</v>
      </c>
      <c r="I1651" t="inlineStr">
        <is>
          <t>202105209447002491</t>
        </is>
      </c>
      <c r="J1651" t="inlineStr">
        <is>
          <t>https://docquery.fec.gov/cgi-bin/fecimg/?202105209447002491</t>
        </is>
      </c>
    </row>
    <row r="1652">
      <c r="A1652" t="inlineStr">
        <is>
          <t>2022</t>
        </is>
      </c>
      <c r="B1652" t="inlineStr">
        <is>
          <t>C00513549</t>
        </is>
      </c>
      <c r="C1652" t="inlineStr">
        <is>
          <t>Phillips 66 PAC</t>
        </is>
      </c>
      <c r="D1652" t="inlineStr">
        <is>
          <t>ELIZABETH PANNILL FLETCHER FOR CONGRESS</t>
        </is>
      </c>
      <c r="E1652" t="inlineStr">
        <is>
          <t>H8TX07140</t>
        </is>
      </c>
      <c r="F1652" t="inlineStr">
        <is>
          <t>DEM</t>
        </is>
      </c>
      <c r="G1652" t="inlineStr">
        <is>
          <t>04262021</t>
        </is>
      </c>
      <c r="H1652" t="n">
        <v>2500</v>
      </c>
      <c r="I1652" t="inlineStr">
        <is>
          <t>202105209447002491</t>
        </is>
      </c>
      <c r="J1652" t="inlineStr">
        <is>
          <t>https://docquery.fec.gov/cgi-bin/fecimg/?202105209447002491</t>
        </is>
      </c>
    </row>
    <row r="1653">
      <c r="A1653" t="inlineStr">
        <is>
          <t>2022</t>
        </is>
      </c>
      <c r="B1653" t="inlineStr">
        <is>
          <t>C00513549</t>
        </is>
      </c>
      <c r="C1653" t="inlineStr">
        <is>
          <t>Phillips 66 PAC</t>
        </is>
      </c>
      <c r="D1653" t="inlineStr">
        <is>
          <t>FRIENDS OF JOHN THUNE</t>
        </is>
      </c>
      <c r="E1653" t="inlineStr">
        <is>
          <t>S2SD00068</t>
        </is>
      </c>
      <c r="F1653" t="inlineStr">
        <is>
          <t>REP</t>
        </is>
      </c>
      <c r="G1653" t="inlineStr">
        <is>
          <t>04262021</t>
        </is>
      </c>
      <c r="H1653" t="n">
        <v>2000</v>
      </c>
      <c r="I1653" t="inlineStr">
        <is>
          <t>202105209447002492</t>
        </is>
      </c>
      <c r="J1653" t="inlineStr">
        <is>
          <t>https://docquery.fec.gov/cgi-bin/fecimg/?202105209447002492</t>
        </is>
      </c>
    </row>
    <row r="1654">
      <c r="A1654" t="inlineStr">
        <is>
          <t>2022</t>
        </is>
      </c>
      <c r="B1654" t="inlineStr">
        <is>
          <t>C00513549</t>
        </is>
      </c>
      <c r="C1654" t="inlineStr">
        <is>
          <t>Phillips 66 PAC</t>
        </is>
      </c>
      <c r="D1654" t="inlineStr">
        <is>
          <t>FRIENDS OF TODD YOUNG, INC.</t>
        </is>
      </c>
      <c r="E1654" t="inlineStr">
        <is>
          <t>S6IN00191</t>
        </is>
      </c>
      <c r="F1654" t="inlineStr">
        <is>
          <t>REP</t>
        </is>
      </c>
      <c r="G1654" t="inlineStr">
        <is>
          <t>04262021</t>
        </is>
      </c>
      <c r="H1654" t="n">
        <v>1000</v>
      </c>
      <c r="I1654" t="inlineStr">
        <is>
          <t>202105209447002492</t>
        </is>
      </c>
      <c r="J1654" t="inlineStr">
        <is>
          <t>https://docquery.fec.gov/cgi-bin/fecimg/?202105209447002492</t>
        </is>
      </c>
    </row>
    <row r="1655">
      <c r="A1655" t="inlineStr">
        <is>
          <t>2022</t>
        </is>
      </c>
      <c r="B1655" t="inlineStr">
        <is>
          <t>C00513549</t>
        </is>
      </c>
      <c r="C1655" t="inlineStr">
        <is>
          <t>Phillips 66 PAC</t>
        </is>
      </c>
      <c r="D1655" t="inlineStr">
        <is>
          <t>HOEVEN FOR SENATE</t>
        </is>
      </c>
      <c r="E1655" t="inlineStr">
        <is>
          <t>S0ND00093</t>
        </is>
      </c>
      <c r="F1655" t="inlineStr">
        <is>
          <t>REP</t>
        </is>
      </c>
      <c r="G1655" t="inlineStr">
        <is>
          <t>04262021</t>
        </is>
      </c>
      <c r="H1655" t="n">
        <v>1500</v>
      </c>
      <c r="I1655" t="inlineStr">
        <is>
          <t>202105209447002492</t>
        </is>
      </c>
      <c r="J1655" t="inlineStr">
        <is>
          <t>https://docquery.fec.gov/cgi-bin/fecimg/?202105209447002492</t>
        </is>
      </c>
    </row>
    <row r="1656">
      <c r="A1656" t="inlineStr">
        <is>
          <t>2022</t>
        </is>
      </c>
      <c r="B1656" t="inlineStr">
        <is>
          <t>C00513549</t>
        </is>
      </c>
      <c r="C1656" t="inlineStr">
        <is>
          <t>Phillips 66 PAC</t>
        </is>
      </c>
      <c r="D1656" t="inlineStr">
        <is>
          <t>MIKE CRAPO FOR US SENATE</t>
        </is>
      </c>
      <c r="E1656" t="inlineStr">
        <is>
          <t>S8ID00027</t>
        </is>
      </c>
      <c r="F1656" t="inlineStr">
        <is>
          <t>REP</t>
        </is>
      </c>
      <c r="G1656" t="inlineStr">
        <is>
          <t>04262021</t>
        </is>
      </c>
      <c r="H1656" t="n">
        <v>1500</v>
      </c>
      <c r="I1656" t="inlineStr">
        <is>
          <t>202105209447002493</t>
        </is>
      </c>
      <c r="J1656" t="inlineStr">
        <is>
          <t>https://docquery.fec.gov/cgi-bin/fecimg/?202105209447002493</t>
        </is>
      </c>
    </row>
    <row r="1657">
      <c r="A1657" t="inlineStr">
        <is>
          <t>2022</t>
        </is>
      </c>
      <c r="B1657" t="inlineStr">
        <is>
          <t>C00513549</t>
        </is>
      </c>
      <c r="C1657" t="inlineStr">
        <is>
          <t>Phillips 66 PAC</t>
        </is>
      </c>
      <c r="D1657" t="inlineStr">
        <is>
          <t>MORAN FOR KANSAS</t>
        </is>
      </c>
      <c r="E1657" t="inlineStr">
        <is>
          <t>S0KS00091</t>
        </is>
      </c>
      <c r="F1657" t="inlineStr">
        <is>
          <t>REP</t>
        </is>
      </c>
      <c r="G1657" t="inlineStr">
        <is>
          <t>04262021</t>
        </is>
      </c>
      <c r="H1657" t="n">
        <v>1500</v>
      </c>
      <c r="I1657" t="inlineStr">
        <is>
          <t>202105209447002493</t>
        </is>
      </c>
      <c r="J1657" t="inlineStr">
        <is>
          <t>https://docquery.fec.gov/cgi-bin/fecimg/?202105209447002493</t>
        </is>
      </c>
    </row>
    <row r="1658">
      <c r="A1658" t="inlineStr">
        <is>
          <t>2022</t>
        </is>
      </c>
      <c r="B1658" t="inlineStr">
        <is>
          <t>C00513549</t>
        </is>
      </c>
      <c r="C1658" t="inlineStr">
        <is>
          <t>Phillips 66 PAC</t>
        </is>
      </c>
      <c r="D1658" t="inlineStr">
        <is>
          <t>TEXANS FOR HENRY CUELLAR CONGRESSIONAL CAMPAIGN</t>
        </is>
      </c>
      <c r="E1658" t="inlineStr">
        <is>
          <t>H2TX23082</t>
        </is>
      </c>
      <c r="F1658" t="inlineStr">
        <is>
          <t>DEM</t>
        </is>
      </c>
      <c r="G1658" t="inlineStr">
        <is>
          <t>05042022</t>
        </is>
      </c>
      <c r="H1658" t="n">
        <v>5000</v>
      </c>
      <c r="I1658" t="inlineStr">
        <is>
          <t>202206169514981999</t>
        </is>
      </c>
      <c r="J1658" t="inlineStr">
        <is>
          <t>https://docquery.fec.gov/cgi-bin/fecimg/?202206169514981999</t>
        </is>
      </c>
    </row>
    <row r="1659">
      <c r="A1659" t="inlineStr">
        <is>
          <t>2022</t>
        </is>
      </c>
      <c r="B1659" t="inlineStr">
        <is>
          <t>C00513549</t>
        </is>
      </c>
      <c r="C1659" t="inlineStr">
        <is>
          <t>Phillips 66 PAC</t>
        </is>
      </c>
      <c r="D1659" t="inlineStr">
        <is>
          <t>JIM COSTA FOR CONGRESS</t>
        </is>
      </c>
      <c r="E1659" t="inlineStr">
        <is>
          <t>H4CA20082</t>
        </is>
      </c>
      <c r="F1659" t="inlineStr">
        <is>
          <t>DEM</t>
        </is>
      </c>
      <c r="G1659" t="inlineStr">
        <is>
          <t>05122021</t>
        </is>
      </c>
      <c r="H1659" t="n">
        <v>3500</v>
      </c>
      <c r="I1659" t="inlineStr">
        <is>
          <t>202106179449391660</t>
        </is>
      </c>
      <c r="J1659" t="inlineStr">
        <is>
          <t>https://docquery.fec.gov/cgi-bin/fecimg/?202106179449391660</t>
        </is>
      </c>
    </row>
    <row r="1660">
      <c r="A1660" t="inlineStr">
        <is>
          <t>2022</t>
        </is>
      </c>
      <c r="B1660" t="inlineStr">
        <is>
          <t>C00513549</t>
        </is>
      </c>
      <c r="C1660" t="inlineStr">
        <is>
          <t>Phillips 66 PAC</t>
        </is>
      </c>
      <c r="D1660" t="inlineStr">
        <is>
          <t>SIMPSON FOR CONGRESS</t>
        </is>
      </c>
      <c r="E1660" t="inlineStr">
        <is>
          <t>H8ID02064</t>
        </is>
      </c>
      <c r="F1660" t="inlineStr">
        <is>
          <t>REP</t>
        </is>
      </c>
      <c r="G1660" t="inlineStr">
        <is>
          <t>05122021</t>
        </is>
      </c>
      <c r="H1660" t="n">
        <v>1000</v>
      </c>
      <c r="I1660" t="inlineStr">
        <is>
          <t>202106179449391660</t>
        </is>
      </c>
      <c r="J1660" t="inlineStr">
        <is>
          <t>https://docquery.fec.gov/cgi-bin/fecimg/?202106179449391660</t>
        </is>
      </c>
    </row>
    <row r="1661">
      <c r="A1661" t="inlineStr">
        <is>
          <t>2022</t>
        </is>
      </c>
      <c r="B1661" t="inlineStr">
        <is>
          <t>C00513549</t>
        </is>
      </c>
      <c r="C1661" t="inlineStr">
        <is>
          <t>Phillips 66 PAC</t>
        </is>
      </c>
      <c r="D1661" t="inlineStr">
        <is>
          <t>VICENTE GONZALEZ FOR CONGRESS</t>
        </is>
      </c>
      <c r="E1661" t="inlineStr">
        <is>
          <t>H6TX15162</t>
        </is>
      </c>
      <c r="F1661" t="inlineStr">
        <is>
          <t>DEM</t>
        </is>
      </c>
      <c r="G1661" t="inlineStr">
        <is>
          <t>05122021</t>
        </is>
      </c>
      <c r="H1661" t="n">
        <v>1500</v>
      </c>
      <c r="I1661" t="inlineStr">
        <is>
          <t>202106179449391661</t>
        </is>
      </c>
      <c r="J1661" t="inlineStr">
        <is>
          <t>https://docquery.fec.gov/cgi-bin/fecimg/?202106179449391661</t>
        </is>
      </c>
    </row>
    <row r="1662">
      <c r="A1662" t="inlineStr">
        <is>
          <t>2022</t>
        </is>
      </c>
      <c r="B1662" t="inlineStr">
        <is>
          <t>C00513549</t>
        </is>
      </c>
      <c r="C1662" t="inlineStr">
        <is>
          <t>Phillips 66 PAC</t>
        </is>
      </c>
      <c r="D1662" t="inlineStr">
        <is>
          <t>TEXANS FOR RONNY JACKSON</t>
        </is>
      </c>
      <c r="E1662" t="inlineStr">
        <is>
          <t>H0TX13228</t>
        </is>
      </c>
      <c r="F1662" t="inlineStr">
        <is>
          <t>REP</t>
        </is>
      </c>
      <c r="G1662" t="inlineStr">
        <is>
          <t>05202022</t>
        </is>
      </c>
      <c r="H1662" t="n">
        <v>2500</v>
      </c>
      <c r="I1662" t="inlineStr">
        <is>
          <t>202206169514982000</t>
        </is>
      </c>
      <c r="J1662" t="inlineStr">
        <is>
          <t>https://docquery.fec.gov/cgi-bin/fecimg/?202206169514982000</t>
        </is>
      </c>
    </row>
    <row r="1663">
      <c r="A1663" t="inlineStr">
        <is>
          <t>2022</t>
        </is>
      </c>
      <c r="B1663" t="inlineStr">
        <is>
          <t>C00513549</t>
        </is>
      </c>
      <c r="C1663" t="inlineStr">
        <is>
          <t>Phillips 66 PAC</t>
        </is>
      </c>
      <c r="D1663" t="inlineStr">
        <is>
          <t>HOYER FOR CONGRESS</t>
        </is>
      </c>
      <c r="E1663" t="inlineStr">
        <is>
          <t>H2MD05155</t>
        </is>
      </c>
      <c r="F1663" t="inlineStr">
        <is>
          <t>DEM</t>
        </is>
      </c>
      <c r="G1663" t="inlineStr">
        <is>
          <t>05202022</t>
        </is>
      </c>
      <c r="H1663" t="n">
        <v>2500</v>
      </c>
      <c r="I1663" t="inlineStr">
        <is>
          <t>202206169514981998</t>
        </is>
      </c>
      <c r="J1663" t="inlineStr">
        <is>
          <t>https://docquery.fec.gov/cgi-bin/fecimg/?202206169514981998</t>
        </is>
      </c>
    </row>
    <row r="1664">
      <c r="A1664" t="inlineStr">
        <is>
          <t>2022</t>
        </is>
      </c>
      <c r="B1664" t="inlineStr">
        <is>
          <t>C00513549</t>
        </is>
      </c>
      <c r="C1664" t="inlineStr">
        <is>
          <t>Phillips 66 PAC</t>
        </is>
      </c>
      <c r="D1664" t="inlineStr">
        <is>
          <t>J.D. VANCE FOR SENATE, INC.</t>
        </is>
      </c>
      <c r="E1664" t="inlineStr">
        <is>
          <t>S2OH00436</t>
        </is>
      </c>
      <c r="F1664" t="inlineStr">
        <is>
          <t>REP</t>
        </is>
      </c>
      <c r="G1664" t="inlineStr">
        <is>
          <t>05202022</t>
        </is>
      </c>
      <c r="H1664" t="n">
        <v>5000</v>
      </c>
      <c r="I1664" t="inlineStr">
        <is>
          <t>202206169514981998</t>
        </is>
      </c>
      <c r="J1664" t="inlineStr">
        <is>
          <t>https://docquery.fec.gov/cgi-bin/fecimg/?202206169514981998</t>
        </is>
      </c>
    </row>
    <row r="1665">
      <c r="A1665" t="inlineStr">
        <is>
          <t>2022</t>
        </is>
      </c>
      <c r="B1665" t="inlineStr">
        <is>
          <t>C00513549</t>
        </is>
      </c>
      <c r="C1665" t="inlineStr">
        <is>
          <t>Phillips 66 PAC</t>
        </is>
      </c>
      <c r="D1665" t="inlineStr">
        <is>
          <t>MCHENRY FOR CONGRESS</t>
        </is>
      </c>
      <c r="E1665" t="inlineStr">
        <is>
          <t>H4NC10047</t>
        </is>
      </c>
      <c r="F1665" t="inlineStr">
        <is>
          <t>REP</t>
        </is>
      </c>
      <c r="G1665" t="inlineStr">
        <is>
          <t>05202022</t>
        </is>
      </c>
      <c r="H1665" t="n">
        <v>2500</v>
      </c>
      <c r="I1665" t="inlineStr">
        <is>
          <t>202206169514981998</t>
        </is>
      </c>
      <c r="J1665" t="inlineStr">
        <is>
          <t>https://docquery.fec.gov/cgi-bin/fecimg/?202206169514981998</t>
        </is>
      </c>
    </row>
    <row r="1666">
      <c r="A1666" t="inlineStr">
        <is>
          <t>2022</t>
        </is>
      </c>
      <c r="B1666" t="inlineStr">
        <is>
          <t>C00513549</t>
        </is>
      </c>
      <c r="C1666" t="inlineStr">
        <is>
          <t>Phillips 66 PAC</t>
        </is>
      </c>
      <c r="D1666" t="inlineStr">
        <is>
          <t>SIMPSON FOR CONGRESS</t>
        </is>
      </c>
      <c r="E1666" t="inlineStr">
        <is>
          <t>H8ID02064</t>
        </is>
      </c>
      <c r="F1666" t="inlineStr">
        <is>
          <t>REP</t>
        </is>
      </c>
      <c r="G1666" t="inlineStr">
        <is>
          <t>05202022</t>
        </is>
      </c>
      <c r="H1666" t="n">
        <v>1500</v>
      </c>
      <c r="I1666" t="inlineStr">
        <is>
          <t>202206169514981999</t>
        </is>
      </c>
      <c r="J1666" t="inlineStr">
        <is>
          <t>https://docquery.fec.gov/cgi-bin/fecimg/?202206169514981999</t>
        </is>
      </c>
    </row>
    <row r="1667">
      <c r="A1667" t="inlineStr">
        <is>
          <t>2022</t>
        </is>
      </c>
      <c r="B1667" t="inlineStr">
        <is>
          <t>C00513549</t>
        </is>
      </c>
      <c r="C1667" t="inlineStr">
        <is>
          <t>Phillips 66 PAC</t>
        </is>
      </c>
      <c r="D1667" t="inlineStr">
        <is>
          <t>TERRI SEWELL FOR CONGRESS</t>
        </is>
      </c>
      <c r="E1667" t="inlineStr">
        <is>
          <t>H0AL07086</t>
        </is>
      </c>
      <c r="F1667" t="inlineStr">
        <is>
          <t>DEM</t>
        </is>
      </c>
      <c r="G1667" t="inlineStr">
        <is>
          <t>05202022</t>
        </is>
      </c>
      <c r="H1667" t="n">
        <v>1500</v>
      </c>
      <c r="I1667" t="inlineStr">
        <is>
          <t>202206169514981999</t>
        </is>
      </c>
      <c r="J1667" t="inlineStr">
        <is>
          <t>https://docquery.fec.gov/cgi-bin/fecimg/?202206169514981999</t>
        </is>
      </c>
    </row>
    <row r="1668">
      <c r="A1668" t="inlineStr">
        <is>
          <t>2022</t>
        </is>
      </c>
      <c r="B1668" t="inlineStr">
        <is>
          <t>C00513549</t>
        </is>
      </c>
      <c r="C1668" t="inlineStr">
        <is>
          <t>Phillips 66 PAC</t>
        </is>
      </c>
      <c r="D1668" t="inlineStr">
        <is>
          <t>BILLY LONG FOR CONGRESS</t>
        </is>
      </c>
      <c r="E1668" t="inlineStr">
        <is>
          <t>H0MO07113</t>
        </is>
      </c>
      <c r="F1668" t="inlineStr">
        <is>
          <t>REP</t>
        </is>
      </c>
      <c r="G1668" t="inlineStr">
        <is>
          <t>05262021</t>
        </is>
      </c>
      <c r="H1668" t="n">
        <v>-2000</v>
      </c>
      <c r="I1668" t="inlineStr">
        <is>
          <t>202106179449391660</t>
        </is>
      </c>
      <c r="J1668" t="inlineStr">
        <is>
          <t>https://docquery.fec.gov/cgi-bin/fecimg/?202106179449391660</t>
        </is>
      </c>
    </row>
    <row r="1669">
      <c r="A1669" t="inlineStr">
        <is>
          <t>2022</t>
        </is>
      </c>
      <c r="B1669" t="inlineStr">
        <is>
          <t>C00513549</t>
        </is>
      </c>
      <c r="C1669" t="inlineStr">
        <is>
          <t>Phillips 66 PAC</t>
        </is>
      </c>
      <c r="D1669" t="inlineStr">
        <is>
          <t>NANCY MACE FOR CONGRESS</t>
        </is>
      </c>
      <c r="E1669" t="inlineStr">
        <is>
          <t>H0SC01394</t>
        </is>
      </c>
      <c r="F1669" t="inlineStr">
        <is>
          <t>REP</t>
        </is>
      </c>
      <c r="G1669" t="inlineStr">
        <is>
          <t>06072021</t>
        </is>
      </c>
      <c r="H1669" t="n">
        <v>1500</v>
      </c>
      <c r="I1669" t="inlineStr">
        <is>
          <t>202107209451775351</t>
        </is>
      </c>
      <c r="J1669" t="inlineStr">
        <is>
          <t>https://docquery.fec.gov/cgi-bin/fecimg/?202107209451775351</t>
        </is>
      </c>
    </row>
    <row r="1670">
      <c r="A1670" t="inlineStr">
        <is>
          <t>2022</t>
        </is>
      </c>
      <c r="B1670" t="inlineStr">
        <is>
          <t>C00513549</t>
        </is>
      </c>
      <c r="C1670" t="inlineStr">
        <is>
          <t>Phillips 66 PAC</t>
        </is>
      </c>
      <c r="D1670" t="inlineStr">
        <is>
          <t>SYLVIA GARCIA FOR CONGRESS</t>
        </is>
      </c>
      <c r="E1670" t="inlineStr">
        <is>
          <t>H8TX29052</t>
        </is>
      </c>
      <c r="F1670" t="inlineStr">
        <is>
          <t>DEM</t>
        </is>
      </c>
      <c r="G1670" t="inlineStr">
        <is>
          <t>06072021</t>
        </is>
      </c>
      <c r="H1670" t="n">
        <v>1000</v>
      </c>
      <c r="I1670" t="inlineStr">
        <is>
          <t>202107209451775352</t>
        </is>
      </c>
      <c r="J1670" t="inlineStr">
        <is>
          <t>https://docquery.fec.gov/cgi-bin/fecimg/?202107209451775352</t>
        </is>
      </c>
    </row>
    <row r="1671">
      <c r="A1671" t="inlineStr">
        <is>
          <t>2022</t>
        </is>
      </c>
      <c r="B1671" t="inlineStr">
        <is>
          <t>C00513549</t>
        </is>
      </c>
      <c r="C1671" t="inlineStr">
        <is>
          <t>Phillips 66 PAC</t>
        </is>
      </c>
      <c r="D1671" t="inlineStr">
        <is>
          <t>TEXANS FOR HENRY CUELLAR CONGRESSIONAL CAMPAIGN</t>
        </is>
      </c>
      <c r="E1671" t="inlineStr">
        <is>
          <t>H2TX23082</t>
        </is>
      </c>
      <c r="F1671" t="inlineStr">
        <is>
          <t>DEM</t>
        </is>
      </c>
      <c r="G1671" t="inlineStr">
        <is>
          <t>06072021</t>
        </is>
      </c>
      <c r="H1671" t="n">
        <v>2500</v>
      </c>
      <c r="I1671" t="inlineStr">
        <is>
          <t>202107209451775352</t>
        </is>
      </c>
      <c r="J1671" t="inlineStr">
        <is>
          <t>https://docquery.fec.gov/cgi-bin/fecimg/?202107209451775352</t>
        </is>
      </c>
    </row>
    <row r="1672">
      <c r="A1672" t="inlineStr">
        <is>
          <t>2022</t>
        </is>
      </c>
      <c r="B1672" t="inlineStr">
        <is>
          <t>C00513549</t>
        </is>
      </c>
      <c r="C1672" t="inlineStr">
        <is>
          <t>Phillips 66 PAC</t>
        </is>
      </c>
      <c r="D1672" t="inlineStr">
        <is>
          <t>TIM SCOTT FOR SENATE</t>
        </is>
      </c>
      <c r="E1672" t="inlineStr">
        <is>
          <t>S4SC00240</t>
        </is>
      </c>
      <c r="F1672" t="inlineStr">
        <is>
          <t>REP</t>
        </is>
      </c>
      <c r="G1672" t="inlineStr">
        <is>
          <t>06072021</t>
        </is>
      </c>
      <c r="H1672" t="n">
        <v>2500</v>
      </c>
      <c r="I1672" t="inlineStr">
        <is>
          <t>202107209451775353</t>
        </is>
      </c>
      <c r="J1672" t="inlineStr">
        <is>
          <t>https://docquery.fec.gov/cgi-bin/fecimg/?202107209451775353</t>
        </is>
      </c>
    </row>
    <row r="1673">
      <c r="A1673" t="inlineStr">
        <is>
          <t>2022</t>
        </is>
      </c>
      <c r="B1673" t="inlineStr">
        <is>
          <t>C00513549</t>
        </is>
      </c>
      <c r="C1673" t="inlineStr">
        <is>
          <t>Phillips 66 PAC</t>
        </is>
      </c>
      <c r="D1673" t="inlineStr">
        <is>
          <t>TONY GONZALES FOR CONGRESS</t>
        </is>
      </c>
      <c r="E1673" t="inlineStr">
        <is>
          <t>H0TX35015</t>
        </is>
      </c>
      <c r="F1673" t="inlineStr">
        <is>
          <t>REP</t>
        </is>
      </c>
      <c r="G1673" t="inlineStr">
        <is>
          <t>06072021</t>
        </is>
      </c>
      <c r="H1673" t="n">
        <v>1000</v>
      </c>
      <c r="I1673" t="inlineStr">
        <is>
          <t>202107209451775353</t>
        </is>
      </c>
      <c r="J1673" t="inlineStr">
        <is>
          <t>https://docquery.fec.gov/cgi-bin/fecimg/?202107209451775353</t>
        </is>
      </c>
    </row>
    <row r="1674">
      <c r="A1674" t="inlineStr">
        <is>
          <t>2022</t>
        </is>
      </c>
      <c r="B1674" t="inlineStr">
        <is>
          <t>C00513549</t>
        </is>
      </c>
      <c r="C1674" t="inlineStr">
        <is>
          <t>Phillips 66 PAC</t>
        </is>
      </c>
      <c r="D1674" t="inlineStr">
        <is>
          <t>KURT SCHRADER FOR CONGRESS</t>
        </is>
      </c>
      <c r="E1674" t="inlineStr">
        <is>
          <t>H8OR05107</t>
        </is>
      </c>
      <c r="F1674" t="inlineStr">
        <is>
          <t>DEM</t>
        </is>
      </c>
      <c r="G1674" t="inlineStr">
        <is>
          <t>06072021</t>
        </is>
      </c>
      <c r="H1674" t="n">
        <v>2500</v>
      </c>
      <c r="I1674" t="inlineStr">
        <is>
          <t>202107209451775347</t>
        </is>
      </c>
      <c r="J1674" t="inlineStr">
        <is>
          <t>https://docquery.fec.gov/cgi-bin/fecimg/?202107209451775347</t>
        </is>
      </c>
    </row>
    <row r="1675">
      <c r="A1675" t="inlineStr">
        <is>
          <t>2022</t>
        </is>
      </c>
      <c r="B1675" t="inlineStr">
        <is>
          <t>C00513549</t>
        </is>
      </c>
      <c r="C1675" t="inlineStr">
        <is>
          <t>Phillips 66 PAC</t>
        </is>
      </c>
      <c r="D1675" t="inlineStr">
        <is>
          <t>LOU CORREA FOR CONGRESS</t>
        </is>
      </c>
      <c r="E1675" t="inlineStr">
        <is>
          <t>H6CA46116</t>
        </is>
      </c>
      <c r="F1675" t="inlineStr">
        <is>
          <t>DEM</t>
        </is>
      </c>
      <c r="G1675" t="inlineStr">
        <is>
          <t>06072021</t>
        </is>
      </c>
      <c r="H1675" t="n">
        <v>2000</v>
      </c>
      <c r="I1675" t="inlineStr">
        <is>
          <t>202107209451775348</t>
        </is>
      </c>
      <c r="J1675" t="inlineStr">
        <is>
          <t>https://docquery.fec.gov/cgi-bin/fecimg/?202107209451775348</t>
        </is>
      </c>
    </row>
    <row r="1676">
      <c r="A1676" t="inlineStr">
        <is>
          <t>2022</t>
        </is>
      </c>
      <c r="B1676" t="inlineStr">
        <is>
          <t>C00513549</t>
        </is>
      </c>
      <c r="C1676" t="inlineStr">
        <is>
          <t>Phillips 66 PAC</t>
        </is>
      </c>
      <c r="D1676" t="inlineStr">
        <is>
          <t>MARC VEASEY FOR CONGRESS</t>
        </is>
      </c>
      <c r="E1676" t="inlineStr">
        <is>
          <t>H2TX33073</t>
        </is>
      </c>
      <c r="F1676" t="inlineStr">
        <is>
          <t>DEM</t>
        </is>
      </c>
      <c r="G1676" t="inlineStr">
        <is>
          <t>06072021</t>
        </is>
      </c>
      <c r="H1676" t="n">
        <v>2500</v>
      </c>
      <c r="I1676" t="inlineStr">
        <is>
          <t>202107209451775348</t>
        </is>
      </c>
      <c r="J1676" t="inlineStr">
        <is>
          <t>https://docquery.fec.gov/cgi-bin/fecimg/?202107209451775348</t>
        </is>
      </c>
    </row>
    <row r="1677">
      <c r="A1677" t="inlineStr">
        <is>
          <t>2022</t>
        </is>
      </c>
      <c r="B1677" t="inlineStr">
        <is>
          <t>C00513549</t>
        </is>
      </c>
      <c r="C1677" t="inlineStr">
        <is>
          <t>Phillips 66 PAC</t>
        </is>
      </c>
      <c r="D1677" t="inlineStr">
        <is>
          <t>MCHENRY FOR CONGRESS</t>
        </is>
      </c>
      <c r="E1677" t="inlineStr">
        <is>
          <t>H4NC10047</t>
        </is>
      </c>
      <c r="F1677" t="inlineStr">
        <is>
          <t>REP</t>
        </is>
      </c>
      <c r="G1677" t="inlineStr">
        <is>
          <t>06072021</t>
        </is>
      </c>
      <c r="H1677" t="n">
        <v>2500</v>
      </c>
      <c r="I1677" t="inlineStr">
        <is>
          <t>202107209451775349</t>
        </is>
      </c>
      <c r="J1677" t="inlineStr">
        <is>
          <t>https://docquery.fec.gov/cgi-bin/fecimg/?202107209451775349</t>
        </is>
      </c>
    </row>
    <row r="1678">
      <c r="A1678" t="inlineStr">
        <is>
          <t>2022</t>
        </is>
      </c>
      <c r="B1678" t="inlineStr">
        <is>
          <t>C00513549</t>
        </is>
      </c>
      <c r="C1678" t="inlineStr">
        <is>
          <t>Phillips 66 PAC</t>
        </is>
      </c>
      <c r="D1678" t="inlineStr">
        <is>
          <t>CATHY MCMORRIS RODGERS FOR CONGRESS</t>
        </is>
      </c>
      <c r="E1678" t="inlineStr">
        <is>
          <t>H4WA05077</t>
        </is>
      </c>
      <c r="F1678" t="inlineStr">
        <is>
          <t>REP</t>
        </is>
      </c>
      <c r="G1678" t="inlineStr">
        <is>
          <t>06072021</t>
        </is>
      </c>
      <c r="H1678" t="n">
        <v>2500</v>
      </c>
      <c r="I1678" t="inlineStr">
        <is>
          <t>202107209451775345</t>
        </is>
      </c>
      <c r="J1678" t="inlineStr">
        <is>
          <t>https://docquery.fec.gov/cgi-bin/fecimg/?202107209451775345</t>
        </is>
      </c>
    </row>
    <row r="1679">
      <c r="A1679" t="inlineStr">
        <is>
          <t>2022</t>
        </is>
      </c>
      <c r="B1679" t="inlineStr">
        <is>
          <t>C00513549</t>
        </is>
      </c>
      <c r="C1679" t="inlineStr">
        <is>
          <t>Phillips 66 PAC</t>
        </is>
      </c>
      <c r="D1679" t="inlineStr">
        <is>
          <t>BALDERSON FOR CONGRESS</t>
        </is>
      </c>
      <c r="E1679" t="inlineStr">
        <is>
          <t>H8OH12180</t>
        </is>
      </c>
      <c r="F1679" t="inlineStr">
        <is>
          <t>REP</t>
        </is>
      </c>
      <c r="G1679" t="inlineStr">
        <is>
          <t>06142022</t>
        </is>
      </c>
      <c r="H1679" t="n">
        <v>2500</v>
      </c>
      <c r="I1679" t="inlineStr">
        <is>
          <t>202207209522239785</t>
        </is>
      </c>
      <c r="J1679" t="inlineStr">
        <is>
          <t>https://docquery.fec.gov/cgi-bin/fecimg/?202207209522239785</t>
        </is>
      </c>
    </row>
    <row r="1680">
      <c r="A1680" t="inlineStr">
        <is>
          <t>2022</t>
        </is>
      </c>
      <c r="B1680" t="inlineStr">
        <is>
          <t>C00513549</t>
        </is>
      </c>
      <c r="C1680" t="inlineStr">
        <is>
          <t>Phillips 66 PAC</t>
        </is>
      </c>
      <c r="D1680" t="inlineStr">
        <is>
          <t>BOOZMAN FOR ARKANSAS</t>
        </is>
      </c>
      <c r="E1680" t="inlineStr">
        <is>
          <t>S0AR00150</t>
        </is>
      </c>
      <c r="F1680" t="inlineStr">
        <is>
          <t>REP</t>
        </is>
      </c>
      <c r="G1680" t="inlineStr">
        <is>
          <t>06142022</t>
        </is>
      </c>
      <c r="H1680" t="n">
        <v>2500</v>
      </c>
      <c r="I1680" t="inlineStr">
        <is>
          <t>202207209522239785</t>
        </is>
      </c>
      <c r="J1680" t="inlineStr">
        <is>
          <t>https://docquery.fec.gov/cgi-bin/fecimg/?202207209522239785</t>
        </is>
      </c>
    </row>
    <row r="1681">
      <c r="A1681" t="inlineStr">
        <is>
          <t>2022</t>
        </is>
      </c>
      <c r="B1681" t="inlineStr">
        <is>
          <t>C00513549</t>
        </is>
      </c>
      <c r="C1681" t="inlineStr">
        <is>
          <t>Phillips 66 PAC</t>
        </is>
      </c>
      <c r="D1681" t="inlineStr">
        <is>
          <t>FRIENDS OF JOHN THUNE</t>
        </is>
      </c>
      <c r="E1681" t="inlineStr">
        <is>
          <t>S2SD00068</t>
        </is>
      </c>
      <c r="F1681" t="inlineStr">
        <is>
          <t>REP</t>
        </is>
      </c>
      <c r="G1681" t="inlineStr">
        <is>
          <t>06142022</t>
        </is>
      </c>
      <c r="H1681" t="n">
        <v>2500</v>
      </c>
      <c r="I1681" t="inlineStr">
        <is>
          <t>202207209522239785</t>
        </is>
      </c>
      <c r="J1681" t="inlineStr">
        <is>
          <t>https://docquery.fec.gov/cgi-bin/fecimg/?202207209522239785</t>
        </is>
      </c>
    </row>
    <row r="1682">
      <c r="A1682" t="inlineStr">
        <is>
          <t>2022</t>
        </is>
      </c>
      <c r="B1682" t="inlineStr">
        <is>
          <t>C00513549</t>
        </is>
      </c>
      <c r="C1682" t="inlineStr">
        <is>
          <t>Phillips 66 PAC</t>
        </is>
      </c>
      <c r="D1682" t="inlineStr">
        <is>
          <t>JIM COSTA FOR CONGRESS</t>
        </is>
      </c>
      <c r="E1682" t="inlineStr">
        <is>
          <t>H4CA20082</t>
        </is>
      </c>
      <c r="F1682" t="inlineStr">
        <is>
          <t>DEM</t>
        </is>
      </c>
      <c r="G1682" t="inlineStr">
        <is>
          <t>06142022</t>
        </is>
      </c>
      <c r="H1682" t="n">
        <v>2500</v>
      </c>
      <c r="I1682" t="inlineStr">
        <is>
          <t>202207209522239786</t>
        </is>
      </c>
      <c r="J1682" t="inlineStr">
        <is>
          <t>https://docquery.fec.gov/cgi-bin/fecimg/?202207209522239786</t>
        </is>
      </c>
    </row>
    <row r="1683">
      <c r="A1683" t="inlineStr">
        <is>
          <t>2022</t>
        </is>
      </c>
      <c r="B1683" t="inlineStr">
        <is>
          <t>C00513549</t>
        </is>
      </c>
      <c r="C1683" t="inlineStr">
        <is>
          <t>Phillips 66 PAC</t>
        </is>
      </c>
      <c r="D1683" t="inlineStr">
        <is>
          <t>LATTA FOR CONGRESS</t>
        </is>
      </c>
      <c r="E1683" t="inlineStr">
        <is>
          <t>H8OH05036</t>
        </is>
      </c>
      <c r="F1683" t="inlineStr">
        <is>
          <t>REP</t>
        </is>
      </c>
      <c r="G1683" t="inlineStr">
        <is>
          <t>06142022</t>
        </is>
      </c>
      <c r="H1683" t="n">
        <v>2500</v>
      </c>
      <c r="I1683" t="inlineStr">
        <is>
          <t>202207209522239786</t>
        </is>
      </c>
      <c r="J1683" t="inlineStr">
        <is>
          <t>https://docquery.fec.gov/cgi-bin/fecimg/?202207209522239786</t>
        </is>
      </c>
    </row>
    <row r="1684">
      <c r="A1684" t="inlineStr">
        <is>
          <t>2022</t>
        </is>
      </c>
      <c r="B1684" t="inlineStr">
        <is>
          <t>C00513549</t>
        </is>
      </c>
      <c r="C1684" t="inlineStr">
        <is>
          <t>Phillips 66 PAC</t>
        </is>
      </c>
      <c r="D1684" t="inlineStr">
        <is>
          <t>LOU CORREA FOR CONGRESS</t>
        </is>
      </c>
      <c r="E1684" t="inlineStr">
        <is>
          <t>H6CA46116</t>
        </is>
      </c>
      <c r="F1684" t="inlineStr">
        <is>
          <t>DEM</t>
        </is>
      </c>
      <c r="G1684" t="inlineStr">
        <is>
          <t>06142022</t>
        </is>
      </c>
      <c r="H1684" t="n">
        <v>2500</v>
      </c>
      <c r="I1684" t="inlineStr">
        <is>
          <t>202207209522239786</t>
        </is>
      </c>
      <c r="J1684" t="inlineStr">
        <is>
          <t>https://docquery.fec.gov/cgi-bin/fecimg/?202207209522239786</t>
        </is>
      </c>
    </row>
    <row r="1685">
      <c r="A1685" t="inlineStr">
        <is>
          <t>2022</t>
        </is>
      </c>
      <c r="B1685" t="inlineStr">
        <is>
          <t>C00513549</t>
        </is>
      </c>
      <c r="C1685" t="inlineStr">
        <is>
          <t>Phillips 66 PAC</t>
        </is>
      </c>
      <c r="D1685" t="inlineStr">
        <is>
          <t>MICHELLE STEEL FOR CONGRESS</t>
        </is>
      </c>
      <c r="E1685" t="inlineStr">
        <is>
          <t>H0CA48198</t>
        </is>
      </c>
      <c r="F1685" t="inlineStr">
        <is>
          <t>REP</t>
        </is>
      </c>
      <c r="G1685" t="inlineStr">
        <is>
          <t>06142022</t>
        </is>
      </c>
      <c r="H1685" t="n">
        <v>2500</v>
      </c>
      <c r="I1685" t="inlineStr">
        <is>
          <t>202207209522239787</t>
        </is>
      </c>
      <c r="J1685" t="inlineStr">
        <is>
          <t>https://docquery.fec.gov/cgi-bin/fecimg/?202207209522239787</t>
        </is>
      </c>
    </row>
    <row r="1686">
      <c r="A1686" t="inlineStr">
        <is>
          <t>2022</t>
        </is>
      </c>
      <c r="B1686" t="inlineStr">
        <is>
          <t>C00513549</t>
        </is>
      </c>
      <c r="C1686" t="inlineStr">
        <is>
          <t>Phillips 66 PAC</t>
        </is>
      </c>
      <c r="D1686" t="inlineStr">
        <is>
          <t>MIKE CRAPO FOR US SENATE</t>
        </is>
      </c>
      <c r="E1686" t="inlineStr">
        <is>
          <t>S8ID00027</t>
        </is>
      </c>
      <c r="F1686" t="inlineStr">
        <is>
          <t>REP</t>
        </is>
      </c>
      <c r="G1686" t="inlineStr">
        <is>
          <t>06142022</t>
        </is>
      </c>
      <c r="H1686" t="n">
        <v>2500</v>
      </c>
      <c r="I1686" t="inlineStr">
        <is>
          <t>202207209522239787</t>
        </is>
      </c>
      <c r="J1686" t="inlineStr">
        <is>
          <t>https://docquery.fec.gov/cgi-bin/fecimg/?202207209522239787</t>
        </is>
      </c>
    </row>
    <row r="1687">
      <c r="A1687" t="inlineStr">
        <is>
          <t>2022</t>
        </is>
      </c>
      <c r="B1687" t="inlineStr">
        <is>
          <t>C00513549</t>
        </is>
      </c>
      <c r="C1687" t="inlineStr">
        <is>
          <t>Phillips 66 PAC</t>
        </is>
      </c>
      <c r="D1687" t="inlineStr">
        <is>
          <t>SYLVIA GARCIA FOR CONGRESS</t>
        </is>
      </c>
      <c r="E1687" t="inlineStr">
        <is>
          <t>H8TX29052</t>
        </is>
      </c>
      <c r="F1687" t="inlineStr">
        <is>
          <t>DEM</t>
        </is>
      </c>
      <c r="G1687" t="inlineStr">
        <is>
          <t>06142022</t>
        </is>
      </c>
      <c r="H1687" t="n">
        <v>2500</v>
      </c>
      <c r="I1687" t="inlineStr">
        <is>
          <t>202207209522239787</t>
        </is>
      </c>
      <c r="J1687" t="inlineStr">
        <is>
          <t>https://docquery.fec.gov/cgi-bin/fecimg/?202207209522239787</t>
        </is>
      </c>
    </row>
    <row r="1688">
      <c r="A1688" t="inlineStr">
        <is>
          <t>2022</t>
        </is>
      </c>
      <c r="B1688" t="inlineStr">
        <is>
          <t>C00513549</t>
        </is>
      </c>
      <c r="C1688" t="inlineStr">
        <is>
          <t>Phillips 66 PAC</t>
        </is>
      </c>
      <c r="D1688" t="inlineStr">
        <is>
          <t>VICENTE GONZALEZ FOR CONGRESS</t>
        </is>
      </c>
      <c r="E1688" t="inlineStr">
        <is>
          <t>H6TX15162</t>
        </is>
      </c>
      <c r="F1688" t="inlineStr">
        <is>
          <t>DEM</t>
        </is>
      </c>
      <c r="G1688" t="inlineStr">
        <is>
          <t>06142022</t>
        </is>
      </c>
      <c r="H1688" t="n">
        <v>2500</v>
      </c>
      <c r="I1688" t="inlineStr">
        <is>
          <t>202207209522239788</t>
        </is>
      </c>
      <c r="J1688" t="inlineStr">
        <is>
          <t>https://docquery.fec.gov/cgi-bin/fecimg/?202207209522239788</t>
        </is>
      </c>
    </row>
    <row r="1689">
      <c r="A1689" t="inlineStr">
        <is>
          <t>2022</t>
        </is>
      </c>
      <c r="B1689" t="inlineStr">
        <is>
          <t>C00513549</t>
        </is>
      </c>
      <c r="C1689" t="inlineStr">
        <is>
          <t>Phillips 66 PAC</t>
        </is>
      </c>
      <c r="D1689" t="inlineStr">
        <is>
          <t>WEBER FOR CONGRESS</t>
        </is>
      </c>
      <c r="E1689" t="inlineStr">
        <is>
          <t>H2TX14149</t>
        </is>
      </c>
      <c r="F1689" t="inlineStr">
        <is>
          <t>REP</t>
        </is>
      </c>
      <c r="G1689" t="inlineStr">
        <is>
          <t>06142022</t>
        </is>
      </c>
      <c r="H1689" t="n">
        <v>5000</v>
      </c>
      <c r="I1689" t="inlineStr">
        <is>
          <t>202207209522239788</t>
        </is>
      </c>
      <c r="J1689" t="inlineStr">
        <is>
          <t>https://docquery.fec.gov/cgi-bin/fecimg/?202207209522239788</t>
        </is>
      </c>
    </row>
    <row r="1690">
      <c r="A1690" t="inlineStr">
        <is>
          <t>2022</t>
        </is>
      </c>
      <c r="B1690" t="inlineStr">
        <is>
          <t>C00513549</t>
        </is>
      </c>
      <c r="C1690" t="inlineStr">
        <is>
          <t>Phillips 66 PAC</t>
        </is>
      </c>
      <c r="D1690" t="inlineStr">
        <is>
          <t>YOUNG KIM FOR CONGRESS</t>
        </is>
      </c>
      <c r="E1690" t="inlineStr">
        <is>
          <t>H8CA39240</t>
        </is>
      </c>
      <c r="F1690" t="inlineStr">
        <is>
          <t>REP</t>
        </is>
      </c>
      <c r="G1690" t="inlineStr">
        <is>
          <t>06162021</t>
        </is>
      </c>
      <c r="H1690" t="n">
        <v>1000</v>
      </c>
      <c r="I1690" t="inlineStr">
        <is>
          <t>202107209451775353</t>
        </is>
      </c>
      <c r="J1690" t="inlineStr">
        <is>
          <t>https://docquery.fec.gov/cgi-bin/fecimg/?202107209451775353</t>
        </is>
      </c>
    </row>
    <row r="1691">
      <c r="A1691" t="inlineStr">
        <is>
          <t>2022</t>
        </is>
      </c>
      <c r="B1691" t="inlineStr">
        <is>
          <t>C00513549</t>
        </is>
      </c>
      <c r="C1691" t="inlineStr">
        <is>
          <t>Phillips 66 PAC</t>
        </is>
      </c>
      <c r="D1691" t="inlineStr">
        <is>
          <t>MIKE THOMPSON FOR CONGRESS</t>
        </is>
      </c>
      <c r="E1691" t="inlineStr">
        <is>
          <t>H8CA01109</t>
        </is>
      </c>
      <c r="F1691" t="inlineStr">
        <is>
          <t>DEM</t>
        </is>
      </c>
      <c r="G1691" t="inlineStr">
        <is>
          <t>06162021</t>
        </is>
      </c>
      <c r="H1691" t="n">
        <v>1500</v>
      </c>
      <c r="I1691" t="inlineStr">
        <is>
          <t>202107209451775350</t>
        </is>
      </c>
      <c r="J1691" t="inlineStr">
        <is>
          <t>https://docquery.fec.gov/cgi-bin/fecimg/?202107209451775350</t>
        </is>
      </c>
    </row>
    <row r="1692">
      <c r="A1692" t="inlineStr">
        <is>
          <t>2022</t>
        </is>
      </c>
      <c r="B1692" t="inlineStr">
        <is>
          <t>C00513549</t>
        </is>
      </c>
      <c r="C1692" t="inlineStr">
        <is>
          <t>Phillips 66 PAC</t>
        </is>
      </c>
      <c r="D1692" t="inlineStr">
        <is>
          <t>RICHARD E NEAL FOR CONGRESS COMMITTEE</t>
        </is>
      </c>
      <c r="E1692" t="inlineStr">
        <is>
          <t>H8MA02041</t>
        </is>
      </c>
      <c r="F1692" t="inlineStr">
        <is>
          <t>DEM</t>
        </is>
      </c>
      <c r="G1692" t="inlineStr">
        <is>
          <t>06162021</t>
        </is>
      </c>
      <c r="H1692" t="n">
        <v>2500</v>
      </c>
      <c r="I1692" t="inlineStr">
        <is>
          <t>202107209451775351</t>
        </is>
      </c>
      <c r="J1692" t="inlineStr">
        <is>
          <t>https://docquery.fec.gov/cgi-bin/fecimg/?202107209451775351</t>
        </is>
      </c>
    </row>
    <row r="1693">
      <c r="A1693" t="inlineStr">
        <is>
          <t>2022</t>
        </is>
      </c>
      <c r="B1693" t="inlineStr">
        <is>
          <t>C00513549</t>
        </is>
      </c>
      <c r="C1693" t="inlineStr">
        <is>
          <t>Phillips 66 PAC</t>
        </is>
      </c>
      <c r="D1693" t="inlineStr">
        <is>
          <t>SCHNEIDER FOR CONGRESS</t>
        </is>
      </c>
      <c r="E1693" t="inlineStr">
        <is>
          <t>H2IL10068</t>
        </is>
      </c>
      <c r="F1693" t="inlineStr">
        <is>
          <t>DEM</t>
        </is>
      </c>
      <c r="G1693" t="inlineStr">
        <is>
          <t>06162021</t>
        </is>
      </c>
      <c r="H1693" t="n">
        <v>1000</v>
      </c>
      <c r="I1693" t="inlineStr">
        <is>
          <t>202107209451775351</t>
        </is>
      </c>
      <c r="J1693" t="inlineStr">
        <is>
          <t>https://docquery.fec.gov/cgi-bin/fecimg/?202107209451775351</t>
        </is>
      </c>
    </row>
    <row r="1694">
      <c r="A1694" t="inlineStr">
        <is>
          <t>2022</t>
        </is>
      </c>
      <c r="B1694" t="inlineStr">
        <is>
          <t>C00513549</t>
        </is>
      </c>
      <c r="C1694" t="inlineStr">
        <is>
          <t>Phillips 66 PAC</t>
        </is>
      </c>
      <c r="D1694" t="inlineStr">
        <is>
          <t>TERRI SEWELL FOR CONGRESS</t>
        </is>
      </c>
      <c r="E1694" t="inlineStr">
        <is>
          <t>H0AL07086</t>
        </is>
      </c>
      <c r="F1694" t="inlineStr">
        <is>
          <t>DEM</t>
        </is>
      </c>
      <c r="G1694" t="inlineStr">
        <is>
          <t>06162021</t>
        </is>
      </c>
      <c r="H1694" t="n">
        <v>1000</v>
      </c>
      <c r="I1694" t="inlineStr">
        <is>
          <t>202107209451775352</t>
        </is>
      </c>
      <c r="J1694" t="inlineStr">
        <is>
          <t>https://docquery.fec.gov/cgi-bin/fecimg/?202107209451775352</t>
        </is>
      </c>
    </row>
    <row r="1695">
      <c r="A1695" t="inlineStr">
        <is>
          <t>2022</t>
        </is>
      </c>
      <c r="B1695" t="inlineStr">
        <is>
          <t>C00513549</t>
        </is>
      </c>
      <c r="C1695" t="inlineStr">
        <is>
          <t>Phillips 66 PAC</t>
        </is>
      </c>
      <c r="D1695" t="inlineStr">
        <is>
          <t>MCCAUL FOR CONGRESS INC.</t>
        </is>
      </c>
      <c r="E1695" t="inlineStr">
        <is>
          <t>H4TX10093</t>
        </is>
      </c>
      <c r="F1695" t="inlineStr">
        <is>
          <t>REP</t>
        </is>
      </c>
      <c r="G1695" t="inlineStr">
        <is>
          <t>06162021</t>
        </is>
      </c>
      <c r="H1695" t="n">
        <v>1000</v>
      </c>
      <c r="I1695" t="inlineStr">
        <is>
          <t>202107209451775349</t>
        </is>
      </c>
      <c r="J1695" t="inlineStr">
        <is>
          <t>https://docquery.fec.gov/cgi-bin/fecimg/?202107209451775349</t>
        </is>
      </c>
    </row>
    <row r="1696">
      <c r="A1696" t="inlineStr">
        <is>
          <t>2022</t>
        </is>
      </c>
      <c r="B1696" t="inlineStr">
        <is>
          <t>C00513549</t>
        </is>
      </c>
      <c r="C1696" t="inlineStr">
        <is>
          <t>Phillips 66 PAC</t>
        </is>
      </c>
      <c r="D1696" t="inlineStr">
        <is>
          <t>ARMSTRONG FOR CONGRESS</t>
        </is>
      </c>
      <c r="E1696" t="inlineStr">
        <is>
          <t>H8ND00096</t>
        </is>
      </c>
      <c r="F1696" t="inlineStr">
        <is>
          <t>REP</t>
        </is>
      </c>
      <c r="G1696" t="inlineStr">
        <is>
          <t>06162021</t>
        </is>
      </c>
      <c r="H1696" t="n">
        <v>1000</v>
      </c>
      <c r="I1696" t="inlineStr">
        <is>
          <t>202107209451775345</t>
        </is>
      </c>
      <c r="J1696" t="inlineStr">
        <is>
          <t>https://docquery.fec.gov/cgi-bin/fecimg/?202107209451775345</t>
        </is>
      </c>
    </row>
    <row r="1697">
      <c r="A1697" t="inlineStr">
        <is>
          <t>2022</t>
        </is>
      </c>
      <c r="B1697" t="inlineStr">
        <is>
          <t>C00513549</t>
        </is>
      </c>
      <c r="C1697" t="inlineStr">
        <is>
          <t>Phillips 66 PAC</t>
        </is>
      </c>
      <c r="D1697" t="inlineStr">
        <is>
          <t>DAN CRENSHAW FOR CONGRESS</t>
        </is>
      </c>
      <c r="E1697" t="inlineStr">
        <is>
          <t>H8TX02166</t>
        </is>
      </c>
      <c r="F1697" t="inlineStr">
        <is>
          <t>REP</t>
        </is>
      </c>
      <c r="G1697" t="inlineStr">
        <is>
          <t>06162021</t>
        </is>
      </c>
      <c r="H1697" t="n">
        <v>2500</v>
      </c>
      <c r="I1697" t="inlineStr">
        <is>
          <t>202107209451775346</t>
        </is>
      </c>
      <c r="J1697" t="inlineStr">
        <is>
          <t>https://docquery.fec.gov/cgi-bin/fecimg/?202107209451775346</t>
        </is>
      </c>
    </row>
    <row r="1698">
      <c r="A1698" t="inlineStr">
        <is>
          <t>2022</t>
        </is>
      </c>
      <c r="B1698" t="inlineStr">
        <is>
          <t>C00513549</t>
        </is>
      </c>
      <c r="C1698" t="inlineStr">
        <is>
          <t>Phillips 66 PAC</t>
        </is>
      </c>
      <c r="D1698" t="inlineStr">
        <is>
          <t>TOM OHALLERAN FOR CONGRESS</t>
        </is>
      </c>
      <c r="E1698" t="inlineStr">
        <is>
          <t>H6AZ01199</t>
        </is>
      </c>
      <c r="F1698" t="inlineStr">
        <is>
          <t>DEM</t>
        </is>
      </c>
      <c r="G1698" t="inlineStr">
        <is>
          <t>06242021</t>
        </is>
      </c>
      <c r="H1698" t="n">
        <v>-2500</v>
      </c>
      <c r="I1698" t="inlineStr">
        <is>
          <t>202107209451775344</t>
        </is>
      </c>
      <c r="J1698" t="inlineStr">
        <is>
          <t>https://docquery.fec.gov/cgi-bin/fecimg/?202107209451775344</t>
        </is>
      </c>
    </row>
    <row r="1699">
      <c r="A1699" t="inlineStr">
        <is>
          <t>2022</t>
        </is>
      </c>
      <c r="B1699" t="inlineStr">
        <is>
          <t>C00513549</t>
        </is>
      </c>
      <c r="C1699" t="inlineStr">
        <is>
          <t>Phillips 66 PAC</t>
        </is>
      </c>
      <c r="D1699" t="inlineStr">
        <is>
          <t>MIKE CRAPO FOR US SENATE</t>
        </is>
      </c>
      <c r="E1699" t="inlineStr">
        <is>
          <t>S8ID00027</t>
        </is>
      </c>
      <c r="F1699" t="inlineStr">
        <is>
          <t>REP</t>
        </is>
      </c>
      <c r="G1699" t="inlineStr">
        <is>
          <t>06292021</t>
        </is>
      </c>
      <c r="H1699" t="n">
        <v>1000</v>
      </c>
      <c r="I1699" t="inlineStr">
        <is>
          <t>202107209451775350</t>
        </is>
      </c>
      <c r="J1699" t="inlineStr">
        <is>
          <t>https://docquery.fec.gov/cgi-bin/fecimg/?202107209451775350</t>
        </is>
      </c>
    </row>
    <row r="1700">
      <c r="A1700" t="inlineStr">
        <is>
          <t>2022</t>
        </is>
      </c>
      <c r="B1700" t="inlineStr">
        <is>
          <t>C00513549</t>
        </is>
      </c>
      <c r="C1700" t="inlineStr">
        <is>
          <t>Phillips 66 PAC</t>
        </is>
      </c>
      <c r="D1700" t="inlineStr">
        <is>
          <t>MORAN FOR KANSAS</t>
        </is>
      </c>
      <c r="E1700" t="inlineStr">
        <is>
          <t>S0KS00091</t>
        </is>
      </c>
      <c r="F1700" t="inlineStr">
        <is>
          <t>REP</t>
        </is>
      </c>
      <c r="G1700" t="inlineStr">
        <is>
          <t>06292021</t>
        </is>
      </c>
      <c r="H1700" t="n">
        <v>1000</v>
      </c>
      <c r="I1700" t="inlineStr">
        <is>
          <t>202107209451775350</t>
        </is>
      </c>
      <c r="J1700" t="inlineStr">
        <is>
          <t>https://docquery.fec.gov/cgi-bin/fecimg/?202107209451775350</t>
        </is>
      </c>
    </row>
    <row r="1701">
      <c r="A1701" t="inlineStr">
        <is>
          <t>2022</t>
        </is>
      </c>
      <c r="B1701" t="inlineStr">
        <is>
          <t>C00513549</t>
        </is>
      </c>
      <c r="C1701" t="inlineStr">
        <is>
          <t>Phillips 66 PAC</t>
        </is>
      </c>
      <c r="D1701" t="inlineStr">
        <is>
          <t>FRIENDS OF JOHN THUNE</t>
        </is>
      </c>
      <c r="E1701" t="inlineStr">
        <is>
          <t>S2SD00068</t>
        </is>
      </c>
      <c r="F1701" t="inlineStr">
        <is>
          <t>REP</t>
        </is>
      </c>
      <c r="G1701" t="inlineStr">
        <is>
          <t>06292021</t>
        </is>
      </c>
      <c r="H1701" t="n">
        <v>3000</v>
      </c>
      <c r="I1701" t="inlineStr">
        <is>
          <t>202107209451775346</t>
        </is>
      </c>
      <c r="J1701" t="inlineStr">
        <is>
          <t>https://docquery.fec.gov/cgi-bin/fecimg/?202107209451775346</t>
        </is>
      </c>
    </row>
    <row r="1702">
      <c r="A1702" t="inlineStr">
        <is>
          <t>2022</t>
        </is>
      </c>
      <c r="B1702" t="inlineStr">
        <is>
          <t>C00513549</t>
        </is>
      </c>
      <c r="C1702" t="inlineStr">
        <is>
          <t>Phillips 66 PAC</t>
        </is>
      </c>
      <c r="D1702" t="inlineStr">
        <is>
          <t>FRIENDS OF TODD YOUNG, INC.</t>
        </is>
      </c>
      <c r="E1702" t="inlineStr">
        <is>
          <t>S6IN00191</t>
        </is>
      </c>
      <c r="F1702" t="inlineStr">
        <is>
          <t>REP</t>
        </is>
      </c>
      <c r="G1702" t="inlineStr">
        <is>
          <t>06292021</t>
        </is>
      </c>
      <c r="H1702" t="n">
        <v>1500</v>
      </c>
      <c r="I1702" t="inlineStr">
        <is>
          <t>202107209451775347</t>
        </is>
      </c>
      <c r="J1702" t="inlineStr">
        <is>
          <t>https://docquery.fec.gov/cgi-bin/fecimg/?202107209451775347</t>
        </is>
      </c>
    </row>
    <row r="1703">
      <c r="A1703" t="inlineStr">
        <is>
          <t>2022</t>
        </is>
      </c>
      <c r="B1703" t="inlineStr">
        <is>
          <t>C00513549</t>
        </is>
      </c>
      <c r="C1703" t="inlineStr">
        <is>
          <t>Phillips 66 PAC</t>
        </is>
      </c>
      <c r="D1703" t="inlineStr">
        <is>
          <t>HOEVEN FOR SENATE</t>
        </is>
      </c>
      <c r="E1703" t="inlineStr">
        <is>
          <t>S0ND00093</t>
        </is>
      </c>
      <c r="F1703" t="inlineStr">
        <is>
          <t>REP</t>
        </is>
      </c>
      <c r="G1703" t="inlineStr">
        <is>
          <t>06292021</t>
        </is>
      </c>
      <c r="H1703" t="n">
        <v>1000</v>
      </c>
      <c r="I1703" t="inlineStr">
        <is>
          <t>202107209451775347</t>
        </is>
      </c>
      <c r="J1703" t="inlineStr">
        <is>
          <t>https://docquery.fec.gov/cgi-bin/fecimg/?202107209451775347</t>
        </is>
      </c>
    </row>
    <row r="1704">
      <c r="A1704" t="inlineStr">
        <is>
          <t>2022</t>
        </is>
      </c>
      <c r="B1704" t="inlineStr">
        <is>
          <t>C00513549</t>
        </is>
      </c>
      <c r="C1704" t="inlineStr">
        <is>
          <t>Phillips 66 PAC</t>
        </is>
      </c>
      <c r="D1704" t="inlineStr">
        <is>
          <t>LISA MURKOWSKI FOR US SENATE</t>
        </is>
      </c>
      <c r="E1704" t="inlineStr">
        <is>
          <t>S4AK00099</t>
        </is>
      </c>
      <c r="F1704" t="inlineStr">
        <is>
          <t>REP</t>
        </is>
      </c>
      <c r="G1704" t="inlineStr">
        <is>
          <t>06292021</t>
        </is>
      </c>
      <c r="H1704" t="n">
        <v>2500</v>
      </c>
      <c r="I1704" t="inlineStr">
        <is>
          <t>202107209451775348</t>
        </is>
      </c>
      <c r="J1704" t="inlineStr">
        <is>
          <t>https://docquery.fec.gov/cgi-bin/fecimg/?202107209451775348</t>
        </is>
      </c>
    </row>
    <row r="1705">
      <c r="A1705" t="inlineStr">
        <is>
          <t>2022</t>
        </is>
      </c>
      <c r="B1705" t="inlineStr">
        <is>
          <t>C00513549</t>
        </is>
      </c>
      <c r="C1705" t="inlineStr">
        <is>
          <t>Phillips 66 PAC</t>
        </is>
      </c>
      <c r="D1705" t="inlineStr">
        <is>
          <t>MARCO RUBIO FOR SENATE</t>
        </is>
      </c>
      <c r="E1705" t="inlineStr">
        <is>
          <t>S0FL00338</t>
        </is>
      </c>
      <c r="F1705" t="inlineStr">
        <is>
          <t>REP</t>
        </is>
      </c>
      <c r="G1705" t="inlineStr">
        <is>
          <t>06292021</t>
        </is>
      </c>
      <c r="H1705" t="n">
        <v>2500</v>
      </c>
      <c r="I1705" t="inlineStr">
        <is>
          <t>202107209451775349</t>
        </is>
      </c>
      <c r="J1705" t="inlineStr">
        <is>
          <t>https://docquery.fec.gov/cgi-bin/fecimg/?202107209451775349</t>
        </is>
      </c>
    </row>
    <row r="1706">
      <c r="A1706" t="inlineStr">
        <is>
          <t>2022</t>
        </is>
      </c>
      <c r="B1706" t="inlineStr">
        <is>
          <t>C00513549</t>
        </is>
      </c>
      <c r="C1706" t="inlineStr">
        <is>
          <t>Phillips 66 PAC</t>
        </is>
      </c>
      <c r="D1706" t="inlineStr">
        <is>
          <t>BOOZMAN FOR ARKANSAS</t>
        </is>
      </c>
      <c r="E1706" t="inlineStr">
        <is>
          <t>S0AR00150</t>
        </is>
      </c>
      <c r="F1706" t="inlineStr">
        <is>
          <t>REP</t>
        </is>
      </c>
      <c r="G1706" t="inlineStr">
        <is>
          <t>06292021</t>
        </is>
      </c>
      <c r="H1706" t="n">
        <v>1500</v>
      </c>
      <c r="I1706" t="inlineStr">
        <is>
          <t>202107209451775345</t>
        </is>
      </c>
      <c r="J1706" t="inlineStr">
        <is>
          <t>https://docquery.fec.gov/cgi-bin/fecimg/?202107209451775345</t>
        </is>
      </c>
    </row>
    <row r="1707">
      <c r="A1707" t="inlineStr">
        <is>
          <t>2022</t>
        </is>
      </c>
      <c r="B1707" t="inlineStr">
        <is>
          <t>C00513549</t>
        </is>
      </c>
      <c r="C1707" t="inlineStr">
        <is>
          <t>Phillips 66 PAC</t>
        </is>
      </c>
      <c r="D1707" t="inlineStr">
        <is>
          <t>FAMILIES FOR JAMES LANKFORD</t>
        </is>
      </c>
      <c r="E1707" t="inlineStr">
        <is>
          <t>S4OK00232</t>
        </is>
      </c>
      <c r="F1707" t="inlineStr">
        <is>
          <t>REP</t>
        </is>
      </c>
      <c r="G1707" t="inlineStr">
        <is>
          <t>06292021</t>
        </is>
      </c>
      <c r="H1707" t="n">
        <v>2500</v>
      </c>
      <c r="I1707" t="inlineStr">
        <is>
          <t>202107209451775346</t>
        </is>
      </c>
      <c r="J1707" t="inlineStr">
        <is>
          <t>https://docquery.fec.gov/cgi-bin/fecimg/?202107209451775346</t>
        </is>
      </c>
    </row>
    <row r="1708">
      <c r="A1708" t="inlineStr">
        <is>
          <t>2022</t>
        </is>
      </c>
      <c r="B1708" t="inlineStr">
        <is>
          <t>C00513549</t>
        </is>
      </c>
      <c r="C1708" t="inlineStr">
        <is>
          <t>Phillips 66 PAC</t>
        </is>
      </c>
      <c r="D1708" t="inlineStr">
        <is>
          <t>MCCAUL FOR CONGRESS INC.</t>
        </is>
      </c>
      <c r="E1708" t="inlineStr">
        <is>
          <t>H4TX10093</t>
        </is>
      </c>
      <c r="F1708" t="inlineStr">
        <is>
          <t>REP</t>
        </is>
      </c>
      <c r="G1708" t="inlineStr">
        <is>
          <t>07112022</t>
        </is>
      </c>
      <c r="H1708" t="n">
        <v>2500</v>
      </c>
      <c r="I1708" t="inlineStr">
        <is>
          <t>202208199525577359</t>
        </is>
      </c>
      <c r="J1708" t="inlineStr">
        <is>
          <t>https://docquery.fec.gov/cgi-bin/fecimg/?202208199525577359</t>
        </is>
      </c>
    </row>
    <row r="1709">
      <c r="A1709" t="inlineStr">
        <is>
          <t>2022</t>
        </is>
      </c>
      <c r="B1709" t="inlineStr">
        <is>
          <t>C00513549</t>
        </is>
      </c>
      <c r="C1709" t="inlineStr">
        <is>
          <t>Phillips 66 PAC</t>
        </is>
      </c>
      <c r="D1709" t="inlineStr">
        <is>
          <t>MONICA FOR CONGRESS</t>
        </is>
      </c>
      <c r="E1709" t="inlineStr">
        <is>
          <t>H0TX15124</t>
        </is>
      </c>
      <c r="F1709" t="inlineStr">
        <is>
          <t>REP</t>
        </is>
      </c>
      <c r="G1709" t="inlineStr">
        <is>
          <t>07112022</t>
        </is>
      </c>
      <c r="H1709" t="n">
        <v>5000</v>
      </c>
      <c r="I1709" t="inlineStr">
        <is>
          <t>202208199525577359</t>
        </is>
      </c>
      <c r="J1709" t="inlineStr">
        <is>
          <t>https://docquery.fec.gov/cgi-bin/fecimg/?202208199525577359</t>
        </is>
      </c>
    </row>
    <row r="1710">
      <c r="A1710" t="inlineStr">
        <is>
          <t>2022</t>
        </is>
      </c>
      <c r="B1710" t="inlineStr">
        <is>
          <t>C00513549</t>
        </is>
      </c>
      <c r="C1710" t="inlineStr">
        <is>
          <t>Phillips 66 PAC</t>
        </is>
      </c>
      <c r="D1710" t="inlineStr">
        <is>
          <t>TEXANS FOR MORGAN LUTTRELL</t>
        </is>
      </c>
      <c r="E1710" t="inlineStr">
        <is>
          <t>H2TX08182</t>
        </is>
      </c>
      <c r="F1710" t="inlineStr">
        <is>
          <t>REP</t>
        </is>
      </c>
      <c r="G1710" t="inlineStr">
        <is>
          <t>07112022</t>
        </is>
      </c>
      <c r="H1710" t="n">
        <v>2500</v>
      </c>
      <c r="I1710" t="inlineStr">
        <is>
          <t>202208199525577360</t>
        </is>
      </c>
      <c r="J1710" t="inlineStr">
        <is>
          <t>https://docquery.fec.gov/cgi-bin/fecimg/?202208199525577360</t>
        </is>
      </c>
    </row>
    <row r="1711">
      <c r="A1711" t="inlineStr">
        <is>
          <t>2022</t>
        </is>
      </c>
      <c r="B1711" t="inlineStr">
        <is>
          <t>C00513549</t>
        </is>
      </c>
      <c r="C1711" t="inlineStr">
        <is>
          <t>Phillips 66 PAC</t>
        </is>
      </c>
      <c r="D1711" t="inlineStr">
        <is>
          <t>VERN BUCHANAN FOR CONGRESS</t>
        </is>
      </c>
      <c r="E1711" t="inlineStr">
        <is>
          <t>H6FL13148</t>
        </is>
      </c>
      <c r="F1711" t="inlineStr">
        <is>
          <t>REP</t>
        </is>
      </c>
      <c r="G1711" t="inlineStr">
        <is>
          <t>07112022</t>
        </is>
      </c>
      <c r="H1711" t="n">
        <v>5000</v>
      </c>
      <c r="I1711" t="inlineStr">
        <is>
          <t>202208199525577360</t>
        </is>
      </c>
      <c r="J1711" t="inlineStr">
        <is>
          <t>https://docquery.fec.gov/cgi-bin/fecimg/?202208199525577360</t>
        </is>
      </c>
    </row>
    <row r="1712">
      <c r="A1712" t="inlineStr">
        <is>
          <t>2022</t>
        </is>
      </c>
      <c r="B1712" t="inlineStr">
        <is>
          <t>C00513549</t>
        </is>
      </c>
      <c r="C1712" t="inlineStr">
        <is>
          <t>Phillips 66 PAC</t>
        </is>
      </c>
      <c r="D1712" t="inlineStr">
        <is>
          <t>ELIZABETH PANNILL FLETCHER FOR CONGRESS</t>
        </is>
      </c>
      <c r="E1712" t="inlineStr">
        <is>
          <t>H8TX07140</t>
        </is>
      </c>
      <c r="F1712" t="inlineStr">
        <is>
          <t>DEM</t>
        </is>
      </c>
      <c r="G1712" t="inlineStr">
        <is>
          <t>07112022</t>
        </is>
      </c>
      <c r="H1712" t="n">
        <v>2500</v>
      </c>
      <c r="I1712" t="inlineStr">
        <is>
          <t>202208199525577357</t>
        </is>
      </c>
      <c r="J1712" t="inlineStr">
        <is>
          <t>https://docquery.fec.gov/cgi-bin/fecimg/?202208199525577357</t>
        </is>
      </c>
    </row>
    <row r="1713">
      <c r="A1713" t="inlineStr">
        <is>
          <t>2022</t>
        </is>
      </c>
      <c r="B1713" t="inlineStr">
        <is>
          <t>C00513549</t>
        </is>
      </c>
      <c r="C1713" t="inlineStr">
        <is>
          <t>Phillips 66 PAC</t>
        </is>
      </c>
      <c r="D1713" t="inlineStr">
        <is>
          <t>JOHN JAMES FOR CONGRESS, INC.</t>
        </is>
      </c>
      <c r="E1713" t="inlineStr">
        <is>
          <t>H2MI10150</t>
        </is>
      </c>
      <c r="F1713" t="inlineStr">
        <is>
          <t>REP</t>
        </is>
      </c>
      <c r="G1713" t="inlineStr">
        <is>
          <t>07112022</t>
        </is>
      </c>
      <c r="H1713" t="n">
        <v>5000</v>
      </c>
      <c r="I1713" t="inlineStr">
        <is>
          <t>202208199525577358</t>
        </is>
      </c>
      <c r="J1713" t="inlineStr">
        <is>
          <t>https://docquery.fec.gov/cgi-bin/fecimg/?202208199525577358</t>
        </is>
      </c>
    </row>
    <row r="1714">
      <c r="A1714" t="inlineStr">
        <is>
          <t>2022</t>
        </is>
      </c>
      <c r="B1714" t="inlineStr">
        <is>
          <t>C00513549</t>
        </is>
      </c>
      <c r="C1714" t="inlineStr">
        <is>
          <t>Phillips 66 PAC</t>
        </is>
      </c>
      <c r="D1714" t="inlineStr">
        <is>
          <t>MARC VEASEY FOR CONGRESS</t>
        </is>
      </c>
      <c r="E1714" t="inlineStr">
        <is>
          <t>H2TX33073</t>
        </is>
      </c>
      <c r="F1714" t="inlineStr">
        <is>
          <t>DEM</t>
        </is>
      </c>
      <c r="G1714" t="inlineStr">
        <is>
          <t>07112022</t>
        </is>
      </c>
      <c r="H1714" t="n">
        <v>2500</v>
      </c>
      <c r="I1714" t="inlineStr">
        <is>
          <t>202208199525577359</t>
        </is>
      </c>
      <c r="J1714" t="inlineStr">
        <is>
          <t>https://docquery.fec.gov/cgi-bin/fecimg/?202208199525577359</t>
        </is>
      </c>
    </row>
    <row r="1715">
      <c r="A1715" t="inlineStr">
        <is>
          <t>2022</t>
        </is>
      </c>
      <c r="B1715" t="inlineStr">
        <is>
          <t>C00513549</t>
        </is>
      </c>
      <c r="C1715" t="inlineStr">
        <is>
          <t>Phillips 66 PAC</t>
        </is>
      </c>
      <c r="D1715" t="inlineStr">
        <is>
          <t>KURT SCHRADER FOR CONGRESS</t>
        </is>
      </c>
      <c r="E1715" t="inlineStr">
        <is>
          <t>H8OR05107</t>
        </is>
      </c>
      <c r="F1715" t="inlineStr">
        <is>
          <t>DEM</t>
        </is>
      </c>
      <c r="G1715" t="inlineStr">
        <is>
          <t>07152022</t>
        </is>
      </c>
      <c r="H1715" t="n">
        <v>-5000</v>
      </c>
      <c r="I1715" t="inlineStr">
        <is>
          <t>202208199525577355</t>
        </is>
      </c>
      <c r="J1715" t="inlineStr">
        <is>
          <t>https://docquery.fec.gov/cgi-bin/fecimg/?202208199525577355</t>
        </is>
      </c>
    </row>
    <row r="1716">
      <c r="A1716" t="inlineStr">
        <is>
          <t>2022</t>
        </is>
      </c>
      <c r="B1716" t="inlineStr">
        <is>
          <t>C00513549</t>
        </is>
      </c>
      <c r="C1716" t="inlineStr">
        <is>
          <t>Phillips 66 PAC</t>
        </is>
      </c>
      <c r="D1716" t="inlineStr">
        <is>
          <t>KATKO FOR CONGRESS</t>
        </is>
      </c>
      <c r="E1716" t="inlineStr">
        <is>
          <t>H4NY24073</t>
        </is>
      </c>
      <c r="F1716" t="inlineStr">
        <is>
          <t>REP</t>
        </is>
      </c>
      <c r="G1716" t="inlineStr">
        <is>
          <t>07202021</t>
        </is>
      </c>
      <c r="H1716" t="n">
        <v>2500</v>
      </c>
      <c r="I1716" t="inlineStr">
        <is>
          <t>202108209466400779</t>
        </is>
      </c>
      <c r="J1716" t="inlineStr">
        <is>
          <t>https://docquery.fec.gov/cgi-bin/fecimg/?202108209466400779</t>
        </is>
      </c>
    </row>
    <row r="1717">
      <c r="A1717" t="inlineStr">
        <is>
          <t>2022</t>
        </is>
      </c>
      <c r="B1717" t="inlineStr">
        <is>
          <t>C00513549</t>
        </is>
      </c>
      <c r="C1717" t="inlineStr">
        <is>
          <t>Phillips 66 PAC</t>
        </is>
      </c>
      <c r="D1717" t="inlineStr">
        <is>
          <t>KURT SCHRADER FOR CONGRESS</t>
        </is>
      </c>
      <c r="E1717" t="inlineStr">
        <is>
          <t>H8OR05107</t>
        </is>
      </c>
      <c r="F1717" t="inlineStr">
        <is>
          <t>DEM</t>
        </is>
      </c>
      <c r="G1717" t="inlineStr">
        <is>
          <t>07202021</t>
        </is>
      </c>
      <c r="H1717" t="n">
        <v>2500</v>
      </c>
      <c r="I1717" t="inlineStr">
        <is>
          <t>202108209466400779</t>
        </is>
      </c>
      <c r="J1717" t="inlineStr">
        <is>
          <t>https://docquery.fec.gov/cgi-bin/fecimg/?202108209466400779</t>
        </is>
      </c>
    </row>
    <row r="1718">
      <c r="A1718" t="inlineStr">
        <is>
          <t>2022</t>
        </is>
      </c>
      <c r="B1718" t="inlineStr">
        <is>
          <t>C00513549</t>
        </is>
      </c>
      <c r="C1718" t="inlineStr">
        <is>
          <t>Phillips 66 PAC</t>
        </is>
      </c>
      <c r="D1718" t="inlineStr">
        <is>
          <t>LOU CORREA FOR CONGRESS</t>
        </is>
      </c>
      <c r="E1718" t="inlineStr">
        <is>
          <t>H6CA46116</t>
        </is>
      </c>
      <c r="F1718" t="inlineStr">
        <is>
          <t>DEM</t>
        </is>
      </c>
      <c r="G1718" t="inlineStr">
        <is>
          <t>07202021</t>
        </is>
      </c>
      <c r="H1718" t="n">
        <v>3000</v>
      </c>
      <c r="I1718" t="inlineStr">
        <is>
          <t>202108209466400779</t>
        </is>
      </c>
      <c r="J1718" t="inlineStr">
        <is>
          <t>https://docquery.fec.gov/cgi-bin/fecimg/?202108209466400779</t>
        </is>
      </c>
    </row>
    <row r="1719">
      <c r="A1719" t="inlineStr">
        <is>
          <t>2022</t>
        </is>
      </c>
      <c r="B1719" t="inlineStr">
        <is>
          <t>C00513549</t>
        </is>
      </c>
      <c r="C1719" t="inlineStr">
        <is>
          <t>Phillips 66 PAC</t>
        </is>
      </c>
      <c r="D1719" t="inlineStr">
        <is>
          <t>MICHELLE STEEL FOR CONGRESS</t>
        </is>
      </c>
      <c r="E1719" t="inlineStr">
        <is>
          <t>H0CA48198</t>
        </is>
      </c>
      <c r="F1719" t="inlineStr">
        <is>
          <t>REP</t>
        </is>
      </c>
      <c r="G1719" t="inlineStr">
        <is>
          <t>07202021</t>
        </is>
      </c>
      <c r="H1719" t="n">
        <v>1500</v>
      </c>
      <c r="I1719" t="inlineStr">
        <is>
          <t>202108209466400780</t>
        </is>
      </c>
      <c r="J1719" t="inlineStr">
        <is>
          <t>https://docquery.fec.gov/cgi-bin/fecimg/?202108209466400780</t>
        </is>
      </c>
    </row>
    <row r="1720">
      <c r="A1720" t="inlineStr">
        <is>
          <t>2022</t>
        </is>
      </c>
      <c r="B1720" t="inlineStr">
        <is>
          <t>C00513549</t>
        </is>
      </c>
      <c r="C1720" t="inlineStr">
        <is>
          <t>Phillips 66 PAC</t>
        </is>
      </c>
      <c r="D1720" t="inlineStr">
        <is>
          <t>SYLVIA GARCIA FOR CONGRESS</t>
        </is>
      </c>
      <c r="E1720" t="inlineStr">
        <is>
          <t>H8TX29052</t>
        </is>
      </c>
      <c r="F1720" t="inlineStr">
        <is>
          <t>DEM</t>
        </is>
      </c>
      <c r="G1720" t="inlineStr">
        <is>
          <t>07202021</t>
        </is>
      </c>
      <c r="H1720" t="n">
        <v>1500</v>
      </c>
      <c r="I1720" t="inlineStr">
        <is>
          <t>202108209466400781</t>
        </is>
      </c>
      <c r="J1720" t="inlineStr">
        <is>
          <t>https://docquery.fec.gov/cgi-bin/fecimg/?202108209466400781</t>
        </is>
      </c>
    </row>
    <row r="1721">
      <c r="A1721" t="inlineStr">
        <is>
          <t>2022</t>
        </is>
      </c>
      <c r="B1721" t="inlineStr">
        <is>
          <t>C00513549</t>
        </is>
      </c>
      <c r="C1721" t="inlineStr">
        <is>
          <t>Phillips 66 PAC</t>
        </is>
      </c>
      <c r="D1721" t="inlineStr">
        <is>
          <t>PALLONE FOR CONGRESS</t>
        </is>
      </c>
      <c r="E1721" t="inlineStr">
        <is>
          <t>H8NJ03073</t>
        </is>
      </c>
      <c r="F1721" t="inlineStr">
        <is>
          <t>DEM</t>
        </is>
      </c>
      <c r="G1721" t="inlineStr">
        <is>
          <t>07202021</t>
        </is>
      </c>
      <c r="H1721" t="n">
        <v>2500</v>
      </c>
      <c r="I1721" t="inlineStr">
        <is>
          <t>202108209466400780</t>
        </is>
      </c>
      <c r="J1721" t="inlineStr">
        <is>
          <t>https://docquery.fec.gov/cgi-bin/fecimg/?202108209466400780</t>
        </is>
      </c>
    </row>
    <row r="1722">
      <c r="A1722" t="inlineStr">
        <is>
          <t>2022</t>
        </is>
      </c>
      <c r="B1722" t="inlineStr">
        <is>
          <t>C00513549</t>
        </is>
      </c>
      <c r="C1722" t="inlineStr">
        <is>
          <t>Phillips 66 PAC</t>
        </is>
      </c>
      <c r="D1722" t="inlineStr">
        <is>
          <t>RODNEY FOR CONGRESS</t>
        </is>
      </c>
      <c r="E1722" t="inlineStr">
        <is>
          <t>H2IL13120</t>
        </is>
      </c>
      <c r="F1722" t="inlineStr">
        <is>
          <t>REP</t>
        </is>
      </c>
      <c r="G1722" t="inlineStr">
        <is>
          <t>07202021</t>
        </is>
      </c>
      <c r="H1722" t="n">
        <v>1500</v>
      </c>
      <c r="I1722" t="inlineStr">
        <is>
          <t>202108209466400780</t>
        </is>
      </c>
      <c r="J1722" t="inlineStr">
        <is>
          <t>https://docquery.fec.gov/cgi-bin/fecimg/?202108209466400780</t>
        </is>
      </c>
    </row>
    <row r="1723">
      <c r="A1723" t="inlineStr">
        <is>
          <t>2022</t>
        </is>
      </c>
      <c r="B1723" t="inlineStr">
        <is>
          <t>C00513549</t>
        </is>
      </c>
      <c r="C1723" t="inlineStr">
        <is>
          <t>Phillips 66 PAC</t>
        </is>
      </c>
      <c r="D1723" t="inlineStr">
        <is>
          <t>SCHNEIDER FOR CONGRESS</t>
        </is>
      </c>
      <c r="E1723" t="inlineStr">
        <is>
          <t>H2IL10068</t>
        </is>
      </c>
      <c r="F1723" t="inlineStr">
        <is>
          <t>DEM</t>
        </is>
      </c>
      <c r="G1723" t="inlineStr">
        <is>
          <t>07202021</t>
        </is>
      </c>
      <c r="H1723" t="n">
        <v>1500</v>
      </c>
      <c r="I1723" t="inlineStr">
        <is>
          <t>202108209466400781</t>
        </is>
      </c>
      <c r="J1723" t="inlineStr">
        <is>
          <t>https://docquery.fec.gov/cgi-bin/fecimg/?202108209466400781</t>
        </is>
      </c>
    </row>
    <row r="1724">
      <c r="A1724" t="inlineStr">
        <is>
          <t>2022</t>
        </is>
      </c>
      <c r="B1724" t="inlineStr">
        <is>
          <t>C00513549</t>
        </is>
      </c>
      <c r="C1724" t="inlineStr">
        <is>
          <t>Phillips 66 PAC</t>
        </is>
      </c>
      <c r="D1724" t="inlineStr">
        <is>
          <t>TONY GONZALES FOR CONGRESS</t>
        </is>
      </c>
      <c r="E1724" t="inlineStr">
        <is>
          <t>H0TX35015</t>
        </is>
      </c>
      <c r="F1724" t="inlineStr">
        <is>
          <t>REP</t>
        </is>
      </c>
      <c r="G1724" t="inlineStr">
        <is>
          <t>07202021</t>
        </is>
      </c>
      <c r="H1724" t="n">
        <v>1500</v>
      </c>
      <c r="I1724" t="inlineStr">
        <is>
          <t>202108209466400781</t>
        </is>
      </c>
      <c r="J1724" t="inlineStr">
        <is>
          <t>https://docquery.fec.gov/cgi-bin/fecimg/?202108209466400781</t>
        </is>
      </c>
    </row>
    <row r="1725">
      <c r="A1725" t="inlineStr">
        <is>
          <t>2022</t>
        </is>
      </c>
      <c r="B1725" t="inlineStr">
        <is>
          <t>C00513549</t>
        </is>
      </c>
      <c r="C1725" t="inlineStr">
        <is>
          <t>Phillips 66 PAC</t>
        </is>
      </c>
      <c r="D1725" t="inlineStr">
        <is>
          <t>UPTON FOR ALL OF US</t>
        </is>
      </c>
      <c r="E1725" t="inlineStr">
        <is>
          <t>H6MI04113</t>
        </is>
      </c>
      <c r="F1725" t="inlineStr">
        <is>
          <t>REP</t>
        </is>
      </c>
      <c r="G1725" t="inlineStr">
        <is>
          <t>07202021</t>
        </is>
      </c>
      <c r="H1725" t="n">
        <v>2500</v>
      </c>
      <c r="I1725" t="inlineStr">
        <is>
          <t>202108209466400782</t>
        </is>
      </c>
      <c r="J1725" t="inlineStr">
        <is>
          <t>https://docquery.fec.gov/cgi-bin/fecimg/?202108209466400782</t>
        </is>
      </c>
    </row>
    <row r="1726">
      <c r="A1726" t="inlineStr">
        <is>
          <t>2022</t>
        </is>
      </c>
      <c r="B1726" t="inlineStr">
        <is>
          <t>C00513549</t>
        </is>
      </c>
      <c r="C1726" t="inlineStr">
        <is>
          <t>Phillips 66 PAC</t>
        </is>
      </c>
      <c r="D1726" t="inlineStr">
        <is>
          <t>ARMSTRONG FOR CONGRESS</t>
        </is>
      </c>
      <c r="E1726" t="inlineStr">
        <is>
          <t>H8ND00096</t>
        </is>
      </c>
      <c r="F1726" t="inlineStr">
        <is>
          <t>REP</t>
        </is>
      </c>
      <c r="G1726" t="inlineStr">
        <is>
          <t>07202022</t>
        </is>
      </c>
      <c r="H1726" t="n">
        <v>2500</v>
      </c>
      <c r="I1726" t="inlineStr">
        <is>
          <t>202208199525577357</t>
        </is>
      </c>
      <c r="J1726" t="inlineStr">
        <is>
          <t>https://docquery.fec.gov/cgi-bin/fecimg/?202208199525577357</t>
        </is>
      </c>
    </row>
    <row r="1727">
      <c r="A1727" t="inlineStr">
        <is>
          <t>2022</t>
        </is>
      </c>
      <c r="B1727" t="inlineStr">
        <is>
          <t>C00513549</t>
        </is>
      </c>
      <c r="C1727" t="inlineStr">
        <is>
          <t>Phillips 66 PAC</t>
        </is>
      </c>
      <c r="D1727" t="inlineStr">
        <is>
          <t>CLOUD FOR CONGRESS</t>
        </is>
      </c>
      <c r="E1727" t="inlineStr">
        <is>
          <t>H8TX27049</t>
        </is>
      </c>
      <c r="F1727" t="inlineStr">
        <is>
          <t>REP</t>
        </is>
      </c>
      <c r="G1727" t="inlineStr">
        <is>
          <t>07202022</t>
        </is>
      </c>
      <c r="H1727" t="n">
        <v>2500</v>
      </c>
      <c r="I1727" t="inlineStr">
        <is>
          <t>202208199525577357</t>
        </is>
      </c>
      <c r="J1727" t="inlineStr">
        <is>
          <t>https://docquery.fec.gov/cgi-bin/fecimg/?202208199525577357</t>
        </is>
      </c>
    </row>
    <row r="1728">
      <c r="A1728" t="inlineStr">
        <is>
          <t>2022</t>
        </is>
      </c>
      <c r="B1728" t="inlineStr">
        <is>
          <t>C00513549</t>
        </is>
      </c>
      <c r="C1728" t="inlineStr">
        <is>
          <t>Phillips 66 PAC</t>
        </is>
      </c>
      <c r="D1728" t="inlineStr">
        <is>
          <t>MARCO RUBIO FOR SENATE</t>
        </is>
      </c>
      <c r="E1728" t="inlineStr">
        <is>
          <t>S0FL00338</t>
        </is>
      </c>
      <c r="F1728" t="inlineStr">
        <is>
          <t>REP</t>
        </is>
      </c>
      <c r="G1728" t="inlineStr">
        <is>
          <t>08022022</t>
        </is>
      </c>
      <c r="H1728" t="n">
        <v>5000</v>
      </c>
      <c r="I1728" t="inlineStr">
        <is>
          <t>202209199528510346</t>
        </is>
      </c>
      <c r="J1728" t="inlineStr">
        <is>
          <t>https://docquery.fec.gov/cgi-bin/fecimg/?202209199528510346</t>
        </is>
      </c>
    </row>
    <row r="1729">
      <c r="A1729" t="inlineStr">
        <is>
          <t>2022</t>
        </is>
      </c>
      <c r="B1729" t="inlineStr">
        <is>
          <t>C00513549</t>
        </is>
      </c>
      <c r="C1729" t="inlineStr">
        <is>
          <t>Phillips 66 PAC</t>
        </is>
      </c>
      <c r="D1729" t="inlineStr">
        <is>
          <t>MICHELLE STEEL FOR CONGRESS</t>
        </is>
      </c>
      <c r="E1729" t="inlineStr">
        <is>
          <t>H0CA48198</t>
        </is>
      </c>
      <c r="F1729" t="inlineStr">
        <is>
          <t>REP</t>
        </is>
      </c>
      <c r="G1729" t="inlineStr">
        <is>
          <t>08022022</t>
        </is>
      </c>
      <c r="H1729" t="n">
        <v>2500</v>
      </c>
      <c r="I1729" t="inlineStr">
        <is>
          <t>202209199528510347</t>
        </is>
      </c>
      <c r="J1729" t="inlineStr">
        <is>
          <t>https://docquery.fec.gov/cgi-bin/fecimg/?202209199528510347</t>
        </is>
      </c>
    </row>
    <row r="1730">
      <c r="A1730" t="inlineStr">
        <is>
          <t>2022</t>
        </is>
      </c>
      <c r="B1730" t="inlineStr">
        <is>
          <t>C00513549</t>
        </is>
      </c>
      <c r="C1730" t="inlineStr">
        <is>
          <t>Phillips 66 PAC</t>
        </is>
      </c>
      <c r="D1730" t="inlineStr">
        <is>
          <t>MORAN FOR KANSAS</t>
        </is>
      </c>
      <c r="E1730" t="inlineStr">
        <is>
          <t>S0KS00091</t>
        </is>
      </c>
      <c r="F1730" t="inlineStr">
        <is>
          <t>REP</t>
        </is>
      </c>
      <c r="G1730" t="inlineStr">
        <is>
          <t>08022022</t>
        </is>
      </c>
      <c r="H1730" t="n">
        <v>2500</v>
      </c>
      <c r="I1730" t="inlineStr">
        <is>
          <t>202209199528510348</t>
        </is>
      </c>
      <c r="J1730" t="inlineStr">
        <is>
          <t>https://docquery.fec.gov/cgi-bin/fecimg/?202209199528510348</t>
        </is>
      </c>
    </row>
    <row r="1731">
      <c r="A1731" t="inlineStr">
        <is>
          <t>2022</t>
        </is>
      </c>
      <c r="B1731" t="inlineStr">
        <is>
          <t>C00513549</t>
        </is>
      </c>
      <c r="C1731" t="inlineStr">
        <is>
          <t>Phillips 66 PAC</t>
        </is>
      </c>
      <c r="D1731" t="inlineStr">
        <is>
          <t>PALLONE FOR CONGRESS</t>
        </is>
      </c>
      <c r="E1731" t="inlineStr">
        <is>
          <t>H8NJ03073</t>
        </is>
      </c>
      <c r="F1731" t="inlineStr">
        <is>
          <t>DEM</t>
        </is>
      </c>
      <c r="G1731" t="inlineStr">
        <is>
          <t>08022022</t>
        </is>
      </c>
      <c r="H1731" t="n">
        <v>2500</v>
      </c>
      <c r="I1731" t="inlineStr">
        <is>
          <t>202209199528510349</t>
        </is>
      </c>
      <c r="J1731" t="inlineStr">
        <is>
          <t>https://docquery.fec.gov/cgi-bin/fecimg/?202209199528510349</t>
        </is>
      </c>
    </row>
    <row r="1732">
      <c r="A1732" t="inlineStr">
        <is>
          <t>2022</t>
        </is>
      </c>
      <c r="B1732" t="inlineStr">
        <is>
          <t>C00513549</t>
        </is>
      </c>
      <c r="C1732" t="inlineStr">
        <is>
          <t>Phillips 66 PAC</t>
        </is>
      </c>
      <c r="D1732" t="inlineStr">
        <is>
          <t>HOYER FOR CONGRESS</t>
        </is>
      </c>
      <c r="E1732" t="inlineStr">
        <is>
          <t>H2MD05155</t>
        </is>
      </c>
      <c r="F1732" t="inlineStr">
        <is>
          <t>DEM</t>
        </is>
      </c>
      <c r="G1732" t="inlineStr">
        <is>
          <t>08022022</t>
        </is>
      </c>
      <c r="H1732" t="n">
        <v>2500</v>
      </c>
      <c r="I1732" t="inlineStr">
        <is>
          <t>202209199528510344</t>
        </is>
      </c>
      <c r="J1732" t="inlineStr">
        <is>
          <t>https://docquery.fec.gov/cgi-bin/fecimg/?202209199528510344</t>
        </is>
      </c>
    </row>
    <row r="1733">
      <c r="A1733" t="inlineStr">
        <is>
          <t>2022</t>
        </is>
      </c>
      <c r="B1733" t="inlineStr">
        <is>
          <t>C00513549</t>
        </is>
      </c>
      <c r="C1733" t="inlineStr">
        <is>
          <t>Phillips 66 PAC</t>
        </is>
      </c>
      <c r="D1733" t="inlineStr">
        <is>
          <t>BICE FOR CONGRESS</t>
        </is>
      </c>
      <c r="E1733" t="inlineStr">
        <is>
          <t>H0OK05205</t>
        </is>
      </c>
      <c r="F1733" t="inlineStr">
        <is>
          <t>REP</t>
        </is>
      </c>
      <c r="G1733" t="inlineStr">
        <is>
          <t>08022022</t>
        </is>
      </c>
      <c r="H1733" t="n">
        <v>2500</v>
      </c>
      <c r="I1733" t="inlineStr">
        <is>
          <t>202209199528510339</t>
        </is>
      </c>
      <c r="J1733" t="inlineStr">
        <is>
          <t>https://docquery.fec.gov/cgi-bin/fecimg/?202209199528510339</t>
        </is>
      </c>
    </row>
    <row r="1734">
      <c r="A1734" t="inlineStr">
        <is>
          <t>2022</t>
        </is>
      </c>
      <c r="B1734" t="inlineStr">
        <is>
          <t>C00513549</t>
        </is>
      </c>
      <c r="C1734" t="inlineStr">
        <is>
          <t>Phillips 66 PAC</t>
        </is>
      </c>
      <c r="D1734" t="inlineStr">
        <is>
          <t>CITIZENS TO ELECT RICK LARSEN</t>
        </is>
      </c>
      <c r="E1734" t="inlineStr">
        <is>
          <t>H0WA02080</t>
        </is>
      </c>
      <c r="F1734" t="inlineStr">
        <is>
          <t>DEM</t>
        </is>
      </c>
      <c r="G1734" t="inlineStr">
        <is>
          <t>08022022</t>
        </is>
      </c>
      <c r="H1734" t="n">
        <v>2500</v>
      </c>
      <c r="I1734" t="inlineStr">
        <is>
          <t>202209199528510340</t>
        </is>
      </c>
      <c r="J1734" t="inlineStr">
        <is>
          <t>https://docquery.fec.gov/cgi-bin/fecimg/?202209199528510340</t>
        </is>
      </c>
    </row>
    <row r="1735">
      <c r="A1735" t="inlineStr">
        <is>
          <t>2022</t>
        </is>
      </c>
      <c r="B1735" t="inlineStr">
        <is>
          <t>C00513549</t>
        </is>
      </c>
      <c r="C1735" t="inlineStr">
        <is>
          <t>Phillips 66 PAC</t>
        </is>
      </c>
      <c r="D1735" t="inlineStr">
        <is>
          <t>HOEVEN FOR SENATE</t>
        </is>
      </c>
      <c r="E1735" t="inlineStr">
        <is>
          <t>S0ND00093</t>
        </is>
      </c>
      <c r="F1735" t="inlineStr">
        <is>
          <t>REP</t>
        </is>
      </c>
      <c r="G1735" t="inlineStr">
        <is>
          <t>08022022</t>
        </is>
      </c>
      <c r="H1735" t="n">
        <v>2500</v>
      </c>
      <c r="I1735" t="inlineStr">
        <is>
          <t>202209199528510344</t>
        </is>
      </c>
      <c r="J1735" t="inlineStr">
        <is>
          <t>https://docquery.fec.gov/cgi-bin/fecimg/?202209199528510344</t>
        </is>
      </c>
    </row>
    <row r="1736">
      <c r="A1736" t="inlineStr">
        <is>
          <t>2022</t>
        </is>
      </c>
      <c r="B1736" t="inlineStr">
        <is>
          <t>C00513549</t>
        </is>
      </c>
      <c r="C1736" t="inlineStr">
        <is>
          <t>Phillips 66 PAC</t>
        </is>
      </c>
      <c r="D1736" t="inlineStr">
        <is>
          <t>RON JOHNSON FOR SENATE</t>
        </is>
      </c>
      <c r="E1736" t="inlineStr">
        <is>
          <t>S0WI00197</t>
        </is>
      </c>
      <c r="F1736" t="inlineStr">
        <is>
          <t>REP</t>
        </is>
      </c>
      <c r="G1736" t="inlineStr">
        <is>
          <t>08022022</t>
        </is>
      </c>
      <c r="H1736" t="n">
        <v>2500</v>
      </c>
      <c r="I1736" t="inlineStr">
        <is>
          <t>202209199528510350</t>
        </is>
      </c>
      <c r="J1736" t="inlineStr">
        <is>
          <t>https://docquery.fec.gov/cgi-bin/fecimg/?202209199528510350</t>
        </is>
      </c>
    </row>
    <row r="1737">
      <c r="A1737" t="inlineStr">
        <is>
          <t>2022</t>
        </is>
      </c>
      <c r="B1737" t="inlineStr">
        <is>
          <t>C00513549</t>
        </is>
      </c>
      <c r="C1737" t="inlineStr">
        <is>
          <t>Phillips 66 PAC</t>
        </is>
      </c>
      <c r="D1737" t="inlineStr">
        <is>
          <t>YOUNG KIM FOR CONGRESS</t>
        </is>
      </c>
      <c r="E1737" t="inlineStr">
        <is>
          <t>H8CA39240</t>
        </is>
      </c>
      <c r="F1737" t="inlineStr">
        <is>
          <t>REP</t>
        </is>
      </c>
      <c r="G1737" t="inlineStr">
        <is>
          <t>08022022</t>
        </is>
      </c>
      <c r="H1737" t="n">
        <v>2500</v>
      </c>
      <c r="I1737" t="inlineStr">
        <is>
          <t>202209199528510353</t>
        </is>
      </c>
      <c r="J1737" t="inlineStr">
        <is>
          <t>https://docquery.fec.gov/cgi-bin/fecimg/?202209199528510353</t>
        </is>
      </c>
    </row>
    <row r="1738">
      <c r="A1738" t="inlineStr">
        <is>
          <t>2022</t>
        </is>
      </c>
      <c r="B1738" t="inlineStr">
        <is>
          <t>C00513549</t>
        </is>
      </c>
      <c r="C1738" t="inlineStr">
        <is>
          <t>Phillips 66 PAC</t>
        </is>
      </c>
      <c r="D1738" t="inlineStr">
        <is>
          <t>CATHY MCMORRIS RODGERS FOR CONGRESS</t>
        </is>
      </c>
      <c r="E1738" t="inlineStr">
        <is>
          <t>H4WA05077</t>
        </is>
      </c>
      <c r="F1738" t="inlineStr">
        <is>
          <t>REP</t>
        </is>
      </c>
      <c r="G1738" t="inlineStr">
        <is>
          <t>08092021</t>
        </is>
      </c>
      <c r="H1738" t="n">
        <v>1500</v>
      </c>
      <c r="I1738" t="inlineStr">
        <is>
          <t>202109209466783675</t>
        </is>
      </c>
      <c r="J1738" t="inlineStr">
        <is>
          <t>https://docquery.fec.gov/cgi-bin/fecimg/?202109209466783675</t>
        </is>
      </c>
    </row>
    <row r="1739">
      <c r="A1739" t="inlineStr">
        <is>
          <t>2022</t>
        </is>
      </c>
      <c r="B1739" t="inlineStr">
        <is>
          <t>C00513549</t>
        </is>
      </c>
      <c r="C1739" t="inlineStr">
        <is>
          <t>Phillips 66 PAC</t>
        </is>
      </c>
      <c r="D1739" t="inlineStr">
        <is>
          <t>ELIZABETH PANNILL FLETCHER FOR CONGRESS</t>
        </is>
      </c>
      <c r="E1739" t="inlineStr">
        <is>
          <t>H8TX07140</t>
        </is>
      </c>
      <c r="F1739" t="inlineStr">
        <is>
          <t>DEM</t>
        </is>
      </c>
      <c r="G1739" t="inlineStr">
        <is>
          <t>08092021</t>
        </is>
      </c>
      <c r="H1739" t="n">
        <v>2500</v>
      </c>
      <c r="I1739" t="inlineStr">
        <is>
          <t>202109209466783675</t>
        </is>
      </c>
      <c r="J1739" t="inlineStr">
        <is>
          <t>https://docquery.fec.gov/cgi-bin/fecimg/?202109209466783675</t>
        </is>
      </c>
    </row>
    <row r="1740">
      <c r="A1740" t="inlineStr">
        <is>
          <t>2022</t>
        </is>
      </c>
      <c r="B1740" t="inlineStr">
        <is>
          <t>C00513549</t>
        </is>
      </c>
      <c r="C1740" t="inlineStr">
        <is>
          <t>Phillips 66 PAC</t>
        </is>
      </c>
      <c r="D1740" t="inlineStr">
        <is>
          <t>LATTA FOR CONGRESS</t>
        </is>
      </c>
      <c r="E1740" t="inlineStr">
        <is>
          <t>H8OH05036</t>
        </is>
      </c>
      <c r="F1740" t="inlineStr">
        <is>
          <t>REP</t>
        </is>
      </c>
      <c r="G1740" t="inlineStr">
        <is>
          <t>08092021</t>
        </is>
      </c>
      <c r="H1740" t="n">
        <v>1000</v>
      </c>
      <c r="I1740" t="inlineStr">
        <is>
          <t>202109209466783676</t>
        </is>
      </c>
      <c r="J1740" t="inlineStr">
        <is>
          <t>https://docquery.fec.gov/cgi-bin/fecimg/?202109209466783676</t>
        </is>
      </c>
    </row>
    <row r="1741">
      <c r="A1741" t="inlineStr">
        <is>
          <t>2022</t>
        </is>
      </c>
      <c r="B1741" t="inlineStr">
        <is>
          <t>C00513549</t>
        </is>
      </c>
      <c r="C1741" t="inlineStr">
        <is>
          <t>Phillips 66 PAC</t>
        </is>
      </c>
      <c r="D1741" t="inlineStr">
        <is>
          <t>MCCAUL FOR CONGRESS INC.</t>
        </is>
      </c>
      <c r="E1741" t="inlineStr">
        <is>
          <t>H4TX10093</t>
        </is>
      </c>
      <c r="F1741" t="inlineStr">
        <is>
          <t>REP</t>
        </is>
      </c>
      <c r="G1741" t="inlineStr">
        <is>
          <t>08092021</t>
        </is>
      </c>
      <c r="H1741" t="n">
        <v>1500</v>
      </c>
      <c r="I1741" t="inlineStr">
        <is>
          <t>202109209466783676</t>
        </is>
      </c>
      <c r="J1741" t="inlineStr">
        <is>
          <t>https://docquery.fec.gov/cgi-bin/fecimg/?202109209466783676</t>
        </is>
      </c>
    </row>
    <row r="1742">
      <c r="A1742" t="inlineStr">
        <is>
          <t>2022</t>
        </is>
      </c>
      <c r="B1742" t="inlineStr">
        <is>
          <t>C00513549</t>
        </is>
      </c>
      <c r="C1742" t="inlineStr">
        <is>
          <t>Phillips 66 PAC</t>
        </is>
      </c>
      <c r="D1742" t="inlineStr">
        <is>
          <t>VICENTE GONZALEZ FOR CONGRESS</t>
        </is>
      </c>
      <c r="E1742" t="inlineStr">
        <is>
          <t>H6TX15162</t>
        </is>
      </c>
      <c r="F1742" t="inlineStr">
        <is>
          <t>DEM</t>
        </is>
      </c>
      <c r="G1742" t="inlineStr">
        <is>
          <t>08092021</t>
        </is>
      </c>
      <c r="H1742" t="n">
        <v>1000</v>
      </c>
      <c r="I1742" t="inlineStr">
        <is>
          <t>202109209466783677</t>
        </is>
      </c>
      <c r="J1742" t="inlineStr">
        <is>
          <t>https://docquery.fec.gov/cgi-bin/fecimg/?202109209466783677</t>
        </is>
      </c>
    </row>
    <row r="1743">
      <c r="A1743" t="inlineStr">
        <is>
          <t>2022</t>
        </is>
      </c>
      <c r="B1743" t="inlineStr">
        <is>
          <t>C00513549</t>
        </is>
      </c>
      <c r="C1743" t="inlineStr">
        <is>
          <t>Phillips 66 PAC</t>
        </is>
      </c>
      <c r="D1743" t="inlineStr">
        <is>
          <t>KEVIN MCCARTHY FOR CONGRESS</t>
        </is>
      </c>
      <c r="E1743" t="inlineStr">
        <is>
          <t>H6CA22125</t>
        </is>
      </c>
      <c r="F1743" t="inlineStr">
        <is>
          <t>REP</t>
        </is>
      </c>
      <c r="G1743" t="inlineStr">
        <is>
          <t>08172022</t>
        </is>
      </c>
      <c r="H1743" t="n">
        <v>5000</v>
      </c>
      <c r="I1743" t="inlineStr">
        <is>
          <t>202209199528510345</t>
        </is>
      </c>
      <c r="J1743" t="inlineStr">
        <is>
          <t>https://docquery.fec.gov/cgi-bin/fecimg/?202209199528510345</t>
        </is>
      </c>
    </row>
    <row r="1744">
      <c r="A1744" t="inlineStr">
        <is>
          <t>2022</t>
        </is>
      </c>
      <c r="B1744" t="inlineStr">
        <is>
          <t>C00513549</t>
        </is>
      </c>
      <c r="C1744" t="inlineStr">
        <is>
          <t>Phillips 66 PAC</t>
        </is>
      </c>
      <c r="D1744" t="inlineStr">
        <is>
          <t>LOU CORREA FOR CONGRESS</t>
        </is>
      </c>
      <c r="E1744" t="inlineStr">
        <is>
          <t>H6CA46116</t>
        </is>
      </c>
      <c r="F1744" t="inlineStr">
        <is>
          <t>DEM</t>
        </is>
      </c>
      <c r="G1744" t="inlineStr">
        <is>
          <t>08172022</t>
        </is>
      </c>
      <c r="H1744" t="n">
        <v>2500</v>
      </c>
      <c r="I1744" t="inlineStr">
        <is>
          <t>202209199528510345</t>
        </is>
      </c>
      <c r="J1744" t="inlineStr">
        <is>
          <t>https://docquery.fec.gov/cgi-bin/fecimg/?202209199528510345</t>
        </is>
      </c>
    </row>
    <row r="1745">
      <c r="A1745" t="inlineStr">
        <is>
          <t>2022</t>
        </is>
      </c>
      <c r="B1745" t="inlineStr">
        <is>
          <t>C00513549</t>
        </is>
      </c>
      <c r="C1745" t="inlineStr">
        <is>
          <t>Phillips 66 PAC</t>
        </is>
      </c>
      <c r="D1745" t="inlineStr">
        <is>
          <t>LUCAS FOR CONGRESS</t>
        </is>
      </c>
      <c r="E1745" t="inlineStr">
        <is>
          <t>H4OK06056</t>
        </is>
      </c>
      <c r="F1745" t="inlineStr">
        <is>
          <t>REP</t>
        </is>
      </c>
      <c r="G1745" t="inlineStr">
        <is>
          <t>08172022</t>
        </is>
      </c>
      <c r="H1745" t="n">
        <v>5000</v>
      </c>
      <c r="I1745" t="inlineStr">
        <is>
          <t>202209199528510346</t>
        </is>
      </c>
      <c r="J1745" t="inlineStr">
        <is>
          <t>https://docquery.fec.gov/cgi-bin/fecimg/?202209199528510346</t>
        </is>
      </c>
    </row>
    <row r="1746">
      <c r="A1746" t="inlineStr">
        <is>
          <t>2022</t>
        </is>
      </c>
      <c r="B1746" t="inlineStr">
        <is>
          <t>C00513549</t>
        </is>
      </c>
      <c r="C1746" t="inlineStr">
        <is>
          <t>Phillips 66 PAC</t>
        </is>
      </c>
      <c r="D1746" t="inlineStr">
        <is>
          <t>MATT ROSENDALE FOR MONTANA</t>
        </is>
      </c>
      <c r="E1746" t="inlineStr">
        <is>
          <t>H4MT00050</t>
        </is>
      </c>
      <c r="F1746" t="inlineStr">
        <is>
          <t>REP</t>
        </is>
      </c>
      <c r="G1746" t="inlineStr">
        <is>
          <t>08172022</t>
        </is>
      </c>
      <c r="H1746" t="n">
        <v>5000</v>
      </c>
      <c r="I1746" t="inlineStr">
        <is>
          <t>202209199528510347</t>
        </is>
      </c>
      <c r="J1746" t="inlineStr">
        <is>
          <t>https://docquery.fec.gov/cgi-bin/fecimg/?202209199528510347</t>
        </is>
      </c>
    </row>
    <row r="1747">
      <c r="A1747" t="inlineStr">
        <is>
          <t>2022</t>
        </is>
      </c>
      <c r="B1747" t="inlineStr">
        <is>
          <t>C00513549</t>
        </is>
      </c>
      <c r="C1747" t="inlineStr">
        <is>
          <t>Phillips 66 PAC</t>
        </is>
      </c>
      <c r="D1747" t="inlineStr">
        <is>
          <t>MIKE BOST FOR CONGRESS COMMITTEE</t>
        </is>
      </c>
      <c r="E1747" t="inlineStr">
        <is>
          <t>H4IL12060</t>
        </is>
      </c>
      <c r="F1747" t="inlineStr">
        <is>
          <t>REP</t>
        </is>
      </c>
      <c r="G1747" t="inlineStr">
        <is>
          <t>08172022</t>
        </is>
      </c>
      <c r="H1747" t="n">
        <v>5000</v>
      </c>
      <c r="I1747" t="inlineStr">
        <is>
          <t>202209199528510347</t>
        </is>
      </c>
      <c r="J1747" t="inlineStr">
        <is>
          <t>https://docquery.fec.gov/cgi-bin/fecimg/?202209199528510347</t>
        </is>
      </c>
    </row>
    <row r="1748">
      <c r="A1748" t="inlineStr">
        <is>
          <t>2022</t>
        </is>
      </c>
      <c r="B1748" t="inlineStr">
        <is>
          <t>C00513549</t>
        </is>
      </c>
      <c r="C1748" t="inlineStr">
        <is>
          <t>Phillips 66 PAC</t>
        </is>
      </c>
      <c r="D1748" t="inlineStr">
        <is>
          <t>MIKE GARCIA FOR CONGRESS</t>
        </is>
      </c>
      <c r="E1748" t="inlineStr">
        <is>
          <t>H0CA25105</t>
        </is>
      </c>
      <c r="F1748" t="inlineStr">
        <is>
          <t>REP</t>
        </is>
      </c>
      <c r="G1748" t="inlineStr">
        <is>
          <t>08172022</t>
        </is>
      </c>
      <c r="H1748" t="n">
        <v>2500</v>
      </c>
      <c r="I1748" t="inlineStr">
        <is>
          <t>202209199528510348</t>
        </is>
      </c>
      <c r="J1748" t="inlineStr">
        <is>
          <t>https://docquery.fec.gov/cgi-bin/fecimg/?202209199528510348</t>
        </is>
      </c>
    </row>
    <row r="1749">
      <c r="A1749" t="inlineStr">
        <is>
          <t>2022</t>
        </is>
      </c>
      <c r="B1749" t="inlineStr">
        <is>
          <t>C00513549</t>
        </is>
      </c>
      <c r="C1749" t="inlineStr">
        <is>
          <t>Phillips 66 PAC</t>
        </is>
      </c>
      <c r="D1749" t="inlineStr">
        <is>
          <t>MIKE THOMPSON FOR CONGRESS</t>
        </is>
      </c>
      <c r="E1749" t="inlineStr">
        <is>
          <t>H8CA01109</t>
        </is>
      </c>
      <c r="F1749" t="inlineStr">
        <is>
          <t>DEM</t>
        </is>
      </c>
      <c r="G1749" t="inlineStr">
        <is>
          <t>08172022</t>
        </is>
      </c>
      <c r="H1749" t="n">
        <v>2500</v>
      </c>
      <c r="I1749" t="inlineStr">
        <is>
          <t>202209199528510348</t>
        </is>
      </c>
      <c r="J1749" t="inlineStr">
        <is>
          <t>https://docquery.fec.gov/cgi-bin/fecimg/?202209199528510348</t>
        </is>
      </c>
    </row>
    <row r="1750">
      <c r="A1750" t="inlineStr">
        <is>
          <t>2022</t>
        </is>
      </c>
      <c r="B1750" t="inlineStr">
        <is>
          <t>C00513549</t>
        </is>
      </c>
      <c r="C1750" t="inlineStr">
        <is>
          <t>Phillips 66 PAC</t>
        </is>
      </c>
      <c r="D1750" t="inlineStr">
        <is>
          <t>NEHLS FOR CONGRESS</t>
        </is>
      </c>
      <c r="E1750" t="inlineStr">
        <is>
          <t>H0TX22302</t>
        </is>
      </c>
      <c r="F1750" t="inlineStr">
        <is>
          <t>REP</t>
        </is>
      </c>
      <c r="G1750" t="inlineStr">
        <is>
          <t>08172022</t>
        </is>
      </c>
      <c r="H1750" t="n">
        <v>2500</v>
      </c>
      <c r="I1750" t="inlineStr">
        <is>
          <t>202209199528510349</t>
        </is>
      </c>
      <c r="J1750" t="inlineStr">
        <is>
          <t>https://docquery.fec.gov/cgi-bin/fecimg/?202209199528510349</t>
        </is>
      </c>
    </row>
    <row r="1751">
      <c r="A1751" t="inlineStr">
        <is>
          <t>2022</t>
        </is>
      </c>
      <c r="B1751" t="inlineStr">
        <is>
          <t>C00513549</t>
        </is>
      </c>
      <c r="C1751" t="inlineStr">
        <is>
          <t>Phillips 66 PAC</t>
        </is>
      </c>
      <c r="D1751" t="inlineStr">
        <is>
          <t>RICHARD E. NEAL FOR CONGRESS COMMITTEE</t>
        </is>
      </c>
      <c r="E1751" t="inlineStr">
        <is>
          <t>H8MA02041</t>
        </is>
      </c>
      <c r="F1751" t="inlineStr">
        <is>
          <t>DEM</t>
        </is>
      </c>
      <c r="G1751" t="inlineStr">
        <is>
          <t>08172022</t>
        </is>
      </c>
      <c r="H1751" t="n">
        <v>2500</v>
      </c>
      <c r="I1751" t="inlineStr">
        <is>
          <t>202209199528510349</t>
        </is>
      </c>
      <c r="J1751" t="inlineStr">
        <is>
          <t>https://docquery.fec.gov/cgi-bin/fecimg/?202209199528510349</t>
        </is>
      </c>
    </row>
    <row r="1752">
      <c r="A1752" t="inlineStr">
        <is>
          <t>2022</t>
        </is>
      </c>
      <c r="B1752" t="inlineStr">
        <is>
          <t>C00513549</t>
        </is>
      </c>
      <c r="C1752" t="inlineStr">
        <is>
          <t>Phillips 66 PAC</t>
        </is>
      </c>
      <c r="D1752" t="inlineStr">
        <is>
          <t>JOSH GOTTHEIMER FOR CONGRESS</t>
        </is>
      </c>
      <c r="E1752" t="inlineStr">
        <is>
          <t>H6NJ05171</t>
        </is>
      </c>
      <c r="F1752" t="inlineStr">
        <is>
          <t>DEM</t>
        </is>
      </c>
      <c r="G1752" t="inlineStr">
        <is>
          <t>08172022</t>
        </is>
      </c>
      <c r="H1752" t="n">
        <v>5000</v>
      </c>
      <c r="I1752" t="inlineStr">
        <is>
          <t>202209199528510344</t>
        </is>
      </c>
      <c r="J1752" t="inlineStr">
        <is>
          <t>https://docquery.fec.gov/cgi-bin/fecimg/?202209199528510344</t>
        </is>
      </c>
    </row>
    <row r="1753">
      <c r="A1753" t="inlineStr">
        <is>
          <t>2022</t>
        </is>
      </c>
      <c r="B1753" t="inlineStr">
        <is>
          <t>C00513549</t>
        </is>
      </c>
      <c r="C1753" t="inlineStr">
        <is>
          <t>Phillips 66 PAC</t>
        </is>
      </c>
      <c r="D1753" t="inlineStr">
        <is>
          <t>AUGUST PFLUGER FOR CONGRESS</t>
        </is>
      </c>
      <c r="E1753" t="inlineStr">
        <is>
          <t>H0TX11230</t>
        </is>
      </c>
      <c r="F1753" t="inlineStr">
        <is>
          <t>REP</t>
        </is>
      </c>
      <c r="G1753" t="inlineStr">
        <is>
          <t>08172022</t>
        </is>
      </c>
      <c r="H1753" t="n">
        <v>2500</v>
      </c>
      <c r="I1753" t="inlineStr">
        <is>
          <t>202209199528510339</t>
        </is>
      </c>
      <c r="J1753" t="inlineStr">
        <is>
          <t>https://docquery.fec.gov/cgi-bin/fecimg/?202209199528510339</t>
        </is>
      </c>
    </row>
    <row r="1754">
      <c r="A1754" t="inlineStr">
        <is>
          <t>2022</t>
        </is>
      </c>
      <c r="B1754" t="inlineStr">
        <is>
          <t>C00513549</t>
        </is>
      </c>
      <c r="C1754" t="inlineStr">
        <is>
          <t>Phillips 66 PAC</t>
        </is>
      </c>
      <c r="D1754" t="inlineStr">
        <is>
          <t>CATHY MCMORRIS RODGERS FOR CONGRESS</t>
        </is>
      </c>
      <c r="E1754" t="inlineStr">
        <is>
          <t>H4WA05077</t>
        </is>
      </c>
      <c r="F1754" t="inlineStr">
        <is>
          <t>REP</t>
        </is>
      </c>
      <c r="G1754" t="inlineStr">
        <is>
          <t>08172022</t>
        </is>
      </c>
      <c r="H1754" t="n">
        <v>2500</v>
      </c>
      <c r="I1754" t="inlineStr">
        <is>
          <t>202209199528510340</t>
        </is>
      </c>
      <c r="J1754" t="inlineStr">
        <is>
          <t>https://docquery.fec.gov/cgi-bin/fecimg/?202209199528510340</t>
        </is>
      </c>
    </row>
    <row r="1755">
      <c r="A1755" t="inlineStr">
        <is>
          <t>2022</t>
        </is>
      </c>
      <c r="B1755" t="inlineStr">
        <is>
          <t>C00513549</t>
        </is>
      </c>
      <c r="C1755" t="inlineStr">
        <is>
          <t>Phillips 66 PAC</t>
        </is>
      </c>
      <c r="D1755" t="inlineStr">
        <is>
          <t>COLE FOR CONGRESS</t>
        </is>
      </c>
      <c r="E1755" t="inlineStr">
        <is>
          <t>H2OK04055</t>
        </is>
      </c>
      <c r="F1755" t="inlineStr">
        <is>
          <t>REP</t>
        </is>
      </c>
      <c r="G1755" t="inlineStr">
        <is>
          <t>08172022</t>
        </is>
      </c>
      <c r="H1755" t="n">
        <v>5000</v>
      </c>
      <c r="I1755" t="inlineStr">
        <is>
          <t>202209199528510341</t>
        </is>
      </c>
      <c r="J1755" t="inlineStr">
        <is>
          <t>https://docquery.fec.gov/cgi-bin/fecimg/?202209199528510341</t>
        </is>
      </c>
    </row>
    <row r="1756">
      <c r="A1756" t="inlineStr">
        <is>
          <t>2022</t>
        </is>
      </c>
      <c r="B1756" t="inlineStr">
        <is>
          <t>C00513549</t>
        </is>
      </c>
      <c r="C1756" t="inlineStr">
        <is>
          <t>Phillips 66 PAC</t>
        </is>
      </c>
      <c r="D1756" t="inlineStr">
        <is>
          <t>CURTIS FOR CONGRESS</t>
        </is>
      </c>
      <c r="E1756" t="inlineStr">
        <is>
          <t>H8UT03238</t>
        </is>
      </c>
      <c r="F1756" t="inlineStr">
        <is>
          <t>REP</t>
        </is>
      </c>
      <c r="G1756" t="inlineStr">
        <is>
          <t>08172022</t>
        </is>
      </c>
      <c r="H1756" t="n">
        <v>2500</v>
      </c>
      <c r="I1756" t="inlineStr">
        <is>
          <t>202209199528510342</t>
        </is>
      </c>
      <c r="J1756" t="inlineStr">
        <is>
          <t>https://docquery.fec.gov/cgi-bin/fecimg/?202209199528510342</t>
        </is>
      </c>
    </row>
    <row r="1757">
      <c r="A1757" t="inlineStr">
        <is>
          <t>2022</t>
        </is>
      </c>
      <c r="B1757" t="inlineStr">
        <is>
          <t>C00513549</t>
        </is>
      </c>
      <c r="C1757" t="inlineStr">
        <is>
          <t>Phillips 66 PAC</t>
        </is>
      </c>
      <c r="D1757" t="inlineStr">
        <is>
          <t>DAN CRENSHAW FOR CONGRESS</t>
        </is>
      </c>
      <c r="E1757" t="inlineStr">
        <is>
          <t>H8TX02166</t>
        </is>
      </c>
      <c r="F1757" t="inlineStr">
        <is>
          <t>REP</t>
        </is>
      </c>
      <c r="G1757" t="inlineStr">
        <is>
          <t>08172022</t>
        </is>
      </c>
      <c r="H1757" t="n">
        <v>2500</v>
      </c>
      <c r="I1757" t="inlineStr">
        <is>
          <t>202209199528510342</t>
        </is>
      </c>
      <c r="J1757" t="inlineStr">
        <is>
          <t>https://docquery.fec.gov/cgi-bin/fecimg/?202209199528510342</t>
        </is>
      </c>
    </row>
    <row r="1758">
      <c r="A1758" t="inlineStr">
        <is>
          <t>2022</t>
        </is>
      </c>
      <c r="B1758" t="inlineStr">
        <is>
          <t>C00513549</t>
        </is>
      </c>
      <c r="C1758" t="inlineStr">
        <is>
          <t>Phillips 66 PAC</t>
        </is>
      </c>
      <c r="D1758" t="inlineStr">
        <is>
          <t>EMMER FOR CONGRESS</t>
        </is>
      </c>
      <c r="E1758" t="inlineStr">
        <is>
          <t>H4MN06087</t>
        </is>
      </c>
      <c r="F1758" t="inlineStr">
        <is>
          <t>REP</t>
        </is>
      </c>
      <c r="G1758" t="inlineStr">
        <is>
          <t>08172022</t>
        </is>
      </c>
      <c r="H1758" t="n">
        <v>2500</v>
      </c>
      <c r="I1758" t="inlineStr">
        <is>
          <t>202209199528510342</t>
        </is>
      </c>
      <c r="J1758" t="inlineStr">
        <is>
          <t>https://docquery.fec.gov/cgi-bin/fecimg/?202209199528510342</t>
        </is>
      </c>
    </row>
    <row r="1759">
      <c r="A1759" t="inlineStr">
        <is>
          <t>2022</t>
        </is>
      </c>
      <c r="B1759" t="inlineStr">
        <is>
          <t>C00513549</t>
        </is>
      </c>
      <c r="C1759" t="inlineStr">
        <is>
          <t>Phillips 66 PAC</t>
        </is>
      </c>
      <c r="D1759" t="inlineStr">
        <is>
          <t>HERN FOR CONGRESS</t>
        </is>
      </c>
      <c r="E1759" t="inlineStr">
        <is>
          <t>H8OK01157</t>
        </is>
      </c>
      <c r="F1759" t="inlineStr">
        <is>
          <t>REP</t>
        </is>
      </c>
      <c r="G1759" t="inlineStr">
        <is>
          <t>08172022</t>
        </is>
      </c>
      <c r="H1759" t="n">
        <v>5000</v>
      </c>
      <c r="I1759" t="inlineStr">
        <is>
          <t>202209199528510343</t>
        </is>
      </c>
      <c r="J1759" t="inlineStr">
        <is>
          <t>https://docquery.fec.gov/cgi-bin/fecimg/?202209199528510343</t>
        </is>
      </c>
    </row>
    <row r="1760">
      <c r="A1760" t="inlineStr">
        <is>
          <t>2022</t>
        </is>
      </c>
      <c r="B1760" t="inlineStr">
        <is>
          <t>C00513549</t>
        </is>
      </c>
      <c r="C1760" t="inlineStr">
        <is>
          <t>Phillips 66 PAC</t>
        </is>
      </c>
      <c r="D1760" t="inlineStr">
        <is>
          <t>KEN CALVERT FOR CONGRESS COMMITTEE</t>
        </is>
      </c>
      <c r="E1760" t="inlineStr">
        <is>
          <t>H2CA37023</t>
        </is>
      </c>
      <c r="F1760" t="inlineStr">
        <is>
          <t>REP</t>
        </is>
      </c>
      <c r="G1760" t="inlineStr">
        <is>
          <t>08172022</t>
        </is>
      </c>
      <c r="H1760" t="n">
        <v>2500</v>
      </c>
      <c r="I1760" t="inlineStr">
        <is>
          <t>202209199528510345</t>
        </is>
      </c>
      <c r="J1760" t="inlineStr">
        <is>
          <t>https://docquery.fec.gov/cgi-bin/fecimg/?202209199528510345</t>
        </is>
      </c>
    </row>
    <row r="1761">
      <c r="A1761" t="inlineStr">
        <is>
          <t>2022</t>
        </is>
      </c>
      <c r="B1761" t="inlineStr">
        <is>
          <t>C00513549</t>
        </is>
      </c>
      <c r="C1761" t="inlineStr">
        <is>
          <t>Phillips 66 PAC</t>
        </is>
      </c>
      <c r="D1761" t="inlineStr">
        <is>
          <t>ADRIAN SMITH FOR CONGRESS</t>
        </is>
      </c>
      <c r="E1761" t="inlineStr">
        <is>
          <t>H6NE03115</t>
        </is>
      </c>
      <c r="F1761" t="inlineStr">
        <is>
          <t>REP</t>
        </is>
      </c>
      <c r="G1761" t="inlineStr">
        <is>
          <t>08172022</t>
        </is>
      </c>
      <c r="H1761" t="n">
        <v>5000</v>
      </c>
      <c r="I1761" t="inlineStr">
        <is>
          <t>202209199528510339</t>
        </is>
      </c>
      <c r="J1761" t="inlineStr">
        <is>
          <t>https://docquery.fec.gov/cgi-bin/fecimg/?202209199528510339</t>
        </is>
      </c>
    </row>
    <row r="1762">
      <c r="A1762" t="inlineStr">
        <is>
          <t>2022</t>
        </is>
      </c>
      <c r="B1762" t="inlineStr">
        <is>
          <t>C00513549</t>
        </is>
      </c>
      <c r="C1762" t="inlineStr">
        <is>
          <t>Phillips 66 PAC</t>
        </is>
      </c>
      <c r="D1762" t="inlineStr">
        <is>
          <t>SCHNEIDER FOR CONGRESS</t>
        </is>
      </c>
      <c r="E1762" t="inlineStr">
        <is>
          <t>H2IL10068</t>
        </is>
      </c>
      <c r="F1762" t="inlineStr">
        <is>
          <t>DEM</t>
        </is>
      </c>
      <c r="G1762" t="inlineStr">
        <is>
          <t>08172022</t>
        </is>
      </c>
      <c r="H1762" t="n">
        <v>5000</v>
      </c>
      <c r="I1762" t="inlineStr">
        <is>
          <t>202209199528510350</t>
        </is>
      </c>
      <c r="J1762" t="inlineStr">
        <is>
          <t>https://docquery.fec.gov/cgi-bin/fecimg/?202209199528510350</t>
        </is>
      </c>
    </row>
    <row r="1763">
      <c r="A1763" t="inlineStr">
        <is>
          <t>2022</t>
        </is>
      </c>
      <c r="B1763" t="inlineStr">
        <is>
          <t>C00513549</t>
        </is>
      </c>
      <c r="C1763" t="inlineStr">
        <is>
          <t>Phillips 66 PAC</t>
        </is>
      </c>
      <c r="D1763" t="inlineStr">
        <is>
          <t>SYLVIA GARCIA FOR CONGRESS</t>
        </is>
      </c>
      <c r="E1763" t="inlineStr">
        <is>
          <t>H8TX29052</t>
        </is>
      </c>
      <c r="F1763" t="inlineStr">
        <is>
          <t>DEM</t>
        </is>
      </c>
      <c r="G1763" t="inlineStr">
        <is>
          <t>08172022</t>
        </is>
      </c>
      <c r="H1763" t="n">
        <v>2500</v>
      </c>
      <c r="I1763" t="inlineStr">
        <is>
          <t>202209199528510350</t>
        </is>
      </c>
      <c r="J1763" t="inlineStr">
        <is>
          <t>https://docquery.fec.gov/cgi-bin/fecimg/?202209199528510350</t>
        </is>
      </c>
    </row>
    <row r="1764">
      <c r="A1764" t="inlineStr">
        <is>
          <t>2022</t>
        </is>
      </c>
      <c r="B1764" t="inlineStr">
        <is>
          <t>C00513549</t>
        </is>
      </c>
      <c r="C1764" t="inlineStr">
        <is>
          <t>Phillips 66 PAC</t>
        </is>
      </c>
      <c r="D1764" t="inlineStr">
        <is>
          <t>TERRI SEWELL FOR CONGRESS</t>
        </is>
      </c>
      <c r="E1764" t="inlineStr">
        <is>
          <t>H0AL07086</t>
        </is>
      </c>
      <c r="F1764" t="inlineStr">
        <is>
          <t>DEM</t>
        </is>
      </c>
      <c r="G1764" t="inlineStr">
        <is>
          <t>08172022</t>
        </is>
      </c>
      <c r="H1764" t="n">
        <v>2500</v>
      </c>
      <c r="I1764" t="inlineStr">
        <is>
          <t>202209199528510351</t>
        </is>
      </c>
      <c r="J1764" t="inlineStr">
        <is>
          <t>https://docquery.fec.gov/cgi-bin/fecimg/?202209199528510351</t>
        </is>
      </c>
    </row>
    <row r="1765">
      <c r="A1765" t="inlineStr">
        <is>
          <t>2022</t>
        </is>
      </c>
      <c r="B1765" t="inlineStr">
        <is>
          <t>C00513549</t>
        </is>
      </c>
      <c r="C1765" t="inlineStr">
        <is>
          <t>Phillips 66 PAC</t>
        </is>
      </c>
      <c r="D1765" t="inlineStr">
        <is>
          <t>TEXANS FOR HENRY CUELLAR CONGRESSIONAL CAMPAIGN</t>
        </is>
      </c>
      <c r="E1765" t="inlineStr">
        <is>
          <t>H2TX23082</t>
        </is>
      </c>
      <c r="F1765" t="inlineStr">
        <is>
          <t>DEM</t>
        </is>
      </c>
      <c r="G1765" t="inlineStr">
        <is>
          <t>08172022</t>
        </is>
      </c>
      <c r="H1765" t="n">
        <v>5000</v>
      </c>
      <c r="I1765" t="inlineStr">
        <is>
          <t>202209199528510351</t>
        </is>
      </c>
      <c r="J1765" t="inlineStr">
        <is>
          <t>https://docquery.fec.gov/cgi-bin/fecimg/?202209199528510351</t>
        </is>
      </c>
    </row>
    <row r="1766">
      <c r="A1766" t="inlineStr">
        <is>
          <t>2022</t>
        </is>
      </c>
      <c r="B1766" t="inlineStr">
        <is>
          <t>C00513549</t>
        </is>
      </c>
      <c r="C1766" t="inlineStr">
        <is>
          <t>Phillips 66 PAC</t>
        </is>
      </c>
      <c r="D1766" t="inlineStr">
        <is>
          <t>TEXANS FOR JODEY ARRINGTON</t>
        </is>
      </c>
      <c r="E1766" t="inlineStr">
        <is>
          <t>H6TX19099</t>
        </is>
      </c>
      <c r="F1766" t="inlineStr">
        <is>
          <t>REP</t>
        </is>
      </c>
      <c r="G1766" t="inlineStr">
        <is>
          <t>08172022</t>
        </is>
      </c>
      <c r="H1766" t="n">
        <v>2500</v>
      </c>
      <c r="I1766" t="inlineStr">
        <is>
          <t>202209199528510351</t>
        </is>
      </c>
      <c r="J1766" t="inlineStr">
        <is>
          <t>https://docquery.fec.gov/cgi-bin/fecimg/?202209199528510351</t>
        </is>
      </c>
    </row>
    <row r="1767">
      <c r="A1767" t="inlineStr">
        <is>
          <t>2022</t>
        </is>
      </c>
      <c r="B1767" t="inlineStr">
        <is>
          <t>C00513549</t>
        </is>
      </c>
      <c r="C1767" t="inlineStr">
        <is>
          <t>Phillips 66 PAC</t>
        </is>
      </c>
      <c r="D1767" t="inlineStr">
        <is>
          <t>TIM SCOTT FOR SENATE</t>
        </is>
      </c>
      <c r="E1767" t="inlineStr">
        <is>
          <t>S4SC00240</t>
        </is>
      </c>
      <c r="F1767" t="inlineStr">
        <is>
          <t>REP</t>
        </is>
      </c>
      <c r="G1767" t="inlineStr">
        <is>
          <t>08172022</t>
        </is>
      </c>
      <c r="H1767" t="n">
        <v>2500</v>
      </c>
      <c r="I1767" t="inlineStr">
        <is>
          <t>202209199528510352</t>
        </is>
      </c>
      <c r="J1767" t="inlineStr">
        <is>
          <t>https://docquery.fec.gov/cgi-bin/fecimg/?202209199528510352</t>
        </is>
      </c>
    </row>
    <row r="1768">
      <c r="A1768" t="inlineStr">
        <is>
          <t>2022</t>
        </is>
      </c>
      <c r="B1768" t="inlineStr">
        <is>
          <t>C00513549</t>
        </is>
      </c>
      <c r="C1768" t="inlineStr">
        <is>
          <t>Phillips 66 PAC</t>
        </is>
      </c>
      <c r="D1768" t="inlineStr">
        <is>
          <t>TONY GONZALES FOR CONGRESS</t>
        </is>
      </c>
      <c r="E1768" t="inlineStr">
        <is>
          <t>H0TX35015</t>
        </is>
      </c>
      <c r="F1768" t="inlineStr">
        <is>
          <t>REP</t>
        </is>
      </c>
      <c r="G1768" t="inlineStr">
        <is>
          <t>08172022</t>
        </is>
      </c>
      <c r="H1768" t="n">
        <v>2500</v>
      </c>
      <c r="I1768" t="inlineStr">
        <is>
          <t>202209199528510352</t>
        </is>
      </c>
      <c r="J1768" t="inlineStr">
        <is>
          <t>https://docquery.fec.gov/cgi-bin/fecimg/?202209199528510352</t>
        </is>
      </c>
    </row>
    <row r="1769">
      <c r="A1769" t="inlineStr">
        <is>
          <t>2022</t>
        </is>
      </c>
      <c r="B1769" t="inlineStr">
        <is>
          <t>C00513549</t>
        </is>
      </c>
      <c r="C1769" t="inlineStr">
        <is>
          <t>Phillips 66 PAC</t>
        </is>
      </c>
      <c r="D1769" t="inlineStr">
        <is>
          <t>WESTERMAN FOR CONGRESS</t>
        </is>
      </c>
      <c r="E1769" t="inlineStr">
        <is>
          <t>H4AR04048</t>
        </is>
      </c>
      <c r="F1769" t="inlineStr">
        <is>
          <t>REP</t>
        </is>
      </c>
      <c r="G1769" t="inlineStr">
        <is>
          <t>08172022</t>
        </is>
      </c>
      <c r="H1769" t="n">
        <v>2500</v>
      </c>
      <c r="I1769" t="inlineStr">
        <is>
          <t>202209199528510352</t>
        </is>
      </c>
      <c r="J1769" t="inlineStr">
        <is>
          <t>https://docquery.fec.gov/cgi-bin/fecimg/?202209199528510352</t>
        </is>
      </c>
    </row>
    <row r="1770">
      <c r="A1770" t="inlineStr">
        <is>
          <t>2022</t>
        </is>
      </c>
      <c r="B1770" t="inlineStr">
        <is>
          <t>C00513549</t>
        </is>
      </c>
      <c r="C1770" t="inlineStr">
        <is>
          <t>Phillips 66 PAC</t>
        </is>
      </c>
      <c r="D1770" t="inlineStr">
        <is>
          <t>HOYER FOR CONGRESS</t>
        </is>
      </c>
      <c r="E1770" t="inlineStr">
        <is>
          <t>H2MD05155</t>
        </is>
      </c>
      <c r="F1770" t="inlineStr">
        <is>
          <t>DEM</t>
        </is>
      </c>
      <c r="G1770" t="inlineStr">
        <is>
          <t>08202021</t>
        </is>
      </c>
      <c r="H1770" t="n">
        <v>2500</v>
      </c>
      <c r="I1770" t="inlineStr">
        <is>
          <t>202109209466783675</t>
        </is>
      </c>
      <c r="J1770" t="inlineStr">
        <is>
          <t>https://docquery.fec.gov/cgi-bin/fecimg/?202109209466783675</t>
        </is>
      </c>
    </row>
    <row r="1771">
      <c r="A1771" t="inlineStr">
        <is>
          <t>2022</t>
        </is>
      </c>
      <c r="B1771" t="inlineStr">
        <is>
          <t>C00513549</t>
        </is>
      </c>
      <c r="C1771" t="inlineStr">
        <is>
          <t>Phillips 66 PAC</t>
        </is>
      </c>
      <c r="D1771" t="inlineStr">
        <is>
          <t>LISA MURKOWSKI FOR US SENATE</t>
        </is>
      </c>
      <c r="E1771" t="inlineStr">
        <is>
          <t>S4AK00099</t>
        </is>
      </c>
      <c r="F1771" t="inlineStr">
        <is>
          <t>REP</t>
        </is>
      </c>
      <c r="G1771" t="inlineStr">
        <is>
          <t>08202021</t>
        </is>
      </c>
      <c r="H1771" t="n">
        <v>1000</v>
      </c>
      <c r="I1771" t="inlineStr">
        <is>
          <t>202109209466783676</t>
        </is>
      </c>
      <c r="J1771" t="inlineStr">
        <is>
          <t>https://docquery.fec.gov/cgi-bin/fecimg/?202109209466783676</t>
        </is>
      </c>
    </row>
    <row r="1772">
      <c r="A1772" t="inlineStr">
        <is>
          <t>2022</t>
        </is>
      </c>
      <c r="B1772" t="inlineStr">
        <is>
          <t>C00513549</t>
        </is>
      </c>
      <c r="C1772" t="inlineStr">
        <is>
          <t>Phillips 66 PAC</t>
        </is>
      </c>
      <c r="D1772" t="inlineStr">
        <is>
          <t>KEAN FOR CONGRESS INC</t>
        </is>
      </c>
      <c r="E1772" t="inlineStr">
        <is>
          <t>H0NJ07261</t>
        </is>
      </c>
      <c r="F1772" t="inlineStr">
        <is>
          <t>REP</t>
        </is>
      </c>
      <c r="G1772" t="inlineStr">
        <is>
          <t>09072022</t>
        </is>
      </c>
      <c r="H1772" t="n">
        <v>2500</v>
      </c>
      <c r="I1772" t="inlineStr">
        <is>
          <t>202210209537633073</t>
        </is>
      </c>
      <c r="J1772" t="inlineStr">
        <is>
          <t>https://docquery.fec.gov/cgi-bin/fecimg/?202210209537633073</t>
        </is>
      </c>
    </row>
    <row r="1773">
      <c r="A1773" t="inlineStr">
        <is>
          <t>2022</t>
        </is>
      </c>
      <c r="B1773" t="inlineStr">
        <is>
          <t>C00513549</t>
        </is>
      </c>
      <c r="C1773" t="inlineStr">
        <is>
          <t>Phillips 66 PAC</t>
        </is>
      </c>
      <c r="D1773" t="inlineStr">
        <is>
          <t>MULLIN FOR AMERICA</t>
        </is>
      </c>
      <c r="E1773" t="inlineStr">
        <is>
          <t>H2OK02083</t>
        </is>
      </c>
      <c r="F1773" t="inlineStr">
        <is>
          <t>REP</t>
        </is>
      </c>
      <c r="G1773" t="inlineStr">
        <is>
          <t>09072022</t>
        </is>
      </c>
      <c r="H1773" t="n">
        <v>5000</v>
      </c>
      <c r="I1773" t="inlineStr">
        <is>
          <t>202210209537633073</t>
        </is>
      </c>
      <c r="J1773" t="inlineStr">
        <is>
          <t>https://docquery.fec.gov/cgi-bin/fecimg/?202210209537633073</t>
        </is>
      </c>
    </row>
    <row r="1774">
      <c r="A1774" t="inlineStr">
        <is>
          <t>2022</t>
        </is>
      </c>
      <c r="B1774" t="inlineStr">
        <is>
          <t>C00513549</t>
        </is>
      </c>
      <c r="C1774" t="inlineStr">
        <is>
          <t>Phillips 66 PAC</t>
        </is>
      </c>
      <c r="D1774" t="inlineStr">
        <is>
          <t>RON ESTES FOR CONGRESS</t>
        </is>
      </c>
      <c r="E1774" t="inlineStr">
        <is>
          <t>H8KS04112</t>
        </is>
      </c>
      <c r="F1774" t="inlineStr">
        <is>
          <t>REP</t>
        </is>
      </c>
      <c r="G1774" t="inlineStr">
        <is>
          <t>09072022</t>
        </is>
      </c>
      <c r="H1774" t="n">
        <v>2500</v>
      </c>
      <c r="I1774" t="inlineStr">
        <is>
          <t>202210209537633074</t>
        </is>
      </c>
      <c r="J1774" t="inlineStr">
        <is>
          <t>https://docquery.fec.gov/cgi-bin/fecimg/?202210209537633074</t>
        </is>
      </c>
    </row>
    <row r="1775">
      <c r="A1775" t="inlineStr">
        <is>
          <t>2022</t>
        </is>
      </c>
      <c r="B1775" t="inlineStr">
        <is>
          <t>C00513549</t>
        </is>
      </c>
      <c r="C1775" t="inlineStr">
        <is>
          <t>Phillips 66 PAC</t>
        </is>
      </c>
      <c r="D1775" t="inlineStr">
        <is>
          <t>SCALISE FOR CONGRESS</t>
        </is>
      </c>
      <c r="E1775" t="inlineStr">
        <is>
          <t>H0LA01087</t>
        </is>
      </c>
      <c r="F1775" t="inlineStr">
        <is>
          <t>REP</t>
        </is>
      </c>
      <c r="G1775" t="inlineStr">
        <is>
          <t>09072022</t>
        </is>
      </c>
      <c r="H1775" t="n">
        <v>5000</v>
      </c>
      <c r="I1775" t="inlineStr">
        <is>
          <t>202210209537633074</t>
        </is>
      </c>
      <c r="J1775" t="inlineStr">
        <is>
          <t>https://docquery.fec.gov/cgi-bin/fecimg/?202210209537633074</t>
        </is>
      </c>
    </row>
    <row r="1776">
      <c r="A1776" t="inlineStr">
        <is>
          <t>2022</t>
        </is>
      </c>
      <c r="B1776" t="inlineStr">
        <is>
          <t>C00513549</t>
        </is>
      </c>
      <c r="C1776" t="inlineStr">
        <is>
          <t>Phillips 66 PAC</t>
        </is>
      </c>
      <c r="D1776" t="inlineStr">
        <is>
          <t>SCHMITT FOR SENATE</t>
        </is>
      </c>
      <c r="E1776" t="inlineStr">
        <is>
          <t>S2MO00544</t>
        </is>
      </c>
      <c r="F1776" t="inlineStr">
        <is>
          <t>REP</t>
        </is>
      </c>
      <c r="G1776" t="inlineStr">
        <is>
          <t>09072022</t>
        </is>
      </c>
      <c r="H1776" t="n">
        <v>5000</v>
      </c>
      <c r="I1776" t="inlineStr">
        <is>
          <t>202210209537633074</t>
        </is>
      </c>
      <c r="J1776" t="inlineStr">
        <is>
          <t>https://docquery.fec.gov/cgi-bin/fecimg/?202210209537633074</t>
        </is>
      </c>
    </row>
    <row r="1777">
      <c r="A1777" t="inlineStr">
        <is>
          <t>2022</t>
        </is>
      </c>
      <c r="B1777" t="inlineStr">
        <is>
          <t>C00513549</t>
        </is>
      </c>
      <c r="C1777" t="inlineStr">
        <is>
          <t>Phillips 66 PAC</t>
        </is>
      </c>
      <c r="D1777" t="inlineStr">
        <is>
          <t>CAPTAIN HIGGINS FOR CONGRESS</t>
        </is>
      </c>
      <c r="E1777" t="inlineStr">
        <is>
          <t>H6LA03148</t>
        </is>
      </c>
      <c r="F1777" t="inlineStr">
        <is>
          <t>REP</t>
        </is>
      </c>
      <c r="G1777" t="inlineStr">
        <is>
          <t>09072022</t>
        </is>
      </c>
      <c r="H1777" t="n">
        <v>5000</v>
      </c>
      <c r="I1777" t="inlineStr">
        <is>
          <t>202210209537633071</t>
        </is>
      </c>
      <c r="J1777" t="inlineStr">
        <is>
          <t>https://docquery.fec.gov/cgi-bin/fecimg/?202210209537633071</t>
        </is>
      </c>
    </row>
    <row r="1778">
      <c r="A1778" t="inlineStr">
        <is>
          <t>2022</t>
        </is>
      </c>
      <c r="B1778" t="inlineStr">
        <is>
          <t>C00513549</t>
        </is>
      </c>
      <c r="C1778" t="inlineStr">
        <is>
          <t>Phillips 66 PAC</t>
        </is>
      </c>
      <c r="D1778" t="inlineStr">
        <is>
          <t>GARRET GRAVES FOR CONGRESS</t>
        </is>
      </c>
      <c r="E1778" t="inlineStr">
        <is>
          <t>H4LA06153</t>
        </is>
      </c>
      <c r="F1778" t="inlineStr">
        <is>
          <t>REP</t>
        </is>
      </c>
      <c r="G1778" t="inlineStr">
        <is>
          <t>09072022</t>
        </is>
      </c>
      <c r="H1778" t="n">
        <v>5000</v>
      </c>
      <c r="I1778" t="inlineStr">
        <is>
          <t>202210209537633071</t>
        </is>
      </c>
      <c r="J1778" t="inlineStr">
        <is>
          <t>https://docquery.fec.gov/cgi-bin/fecimg/?202210209537633071</t>
        </is>
      </c>
    </row>
    <row r="1779">
      <c r="A1779" t="inlineStr">
        <is>
          <t>2022</t>
        </is>
      </c>
      <c r="B1779" t="inlineStr">
        <is>
          <t>C00513549</t>
        </is>
      </c>
      <c r="C1779" t="inlineStr">
        <is>
          <t>Phillips 66 PAC</t>
        </is>
      </c>
      <c r="D1779" t="inlineStr">
        <is>
          <t>ARMSTRONG FOR CONGRESS</t>
        </is>
      </c>
      <c r="E1779" t="inlineStr">
        <is>
          <t>H8ND00096</t>
        </is>
      </c>
      <c r="F1779" t="inlineStr">
        <is>
          <t>REP</t>
        </is>
      </c>
      <c r="G1779" t="inlineStr">
        <is>
          <t>09102021</t>
        </is>
      </c>
      <c r="H1779" t="n">
        <v>1500</v>
      </c>
      <c r="I1779" t="inlineStr">
        <is>
          <t>202110209468143459</t>
        </is>
      </c>
      <c r="J1779" t="inlineStr">
        <is>
          <t>https://docquery.fec.gov/cgi-bin/fecimg/?202110209468143459</t>
        </is>
      </c>
    </row>
    <row r="1780">
      <c r="A1780" t="inlineStr">
        <is>
          <t>2022</t>
        </is>
      </c>
      <c r="B1780" t="inlineStr">
        <is>
          <t>C00513549</t>
        </is>
      </c>
      <c r="C1780" t="inlineStr">
        <is>
          <t>Phillips 66 PAC</t>
        </is>
      </c>
      <c r="D1780" t="inlineStr">
        <is>
          <t>BOOZMAN FOR ARKANSAS</t>
        </is>
      </c>
      <c r="E1780" t="inlineStr">
        <is>
          <t>S0AR00150</t>
        </is>
      </c>
      <c r="F1780" t="inlineStr">
        <is>
          <t>REP</t>
        </is>
      </c>
      <c r="G1780" t="inlineStr">
        <is>
          <t>09102021</t>
        </is>
      </c>
      <c r="H1780" t="n">
        <v>2500</v>
      </c>
      <c r="I1780" t="inlineStr">
        <is>
          <t>202110209468143459</t>
        </is>
      </c>
      <c r="J1780" t="inlineStr">
        <is>
          <t>https://docquery.fec.gov/cgi-bin/fecimg/?202110209468143459</t>
        </is>
      </c>
    </row>
    <row r="1781">
      <c r="A1781" t="inlineStr">
        <is>
          <t>2022</t>
        </is>
      </c>
      <c r="B1781" t="inlineStr">
        <is>
          <t>C00513549</t>
        </is>
      </c>
      <c r="C1781" t="inlineStr">
        <is>
          <t>Phillips 66 PAC</t>
        </is>
      </c>
      <c r="D1781" t="inlineStr">
        <is>
          <t>MIKE CRAPO FOR US SENATE</t>
        </is>
      </c>
      <c r="E1781" t="inlineStr">
        <is>
          <t>S8ID00027</t>
        </is>
      </c>
      <c r="F1781" t="inlineStr">
        <is>
          <t>REP</t>
        </is>
      </c>
      <c r="G1781" t="inlineStr">
        <is>
          <t>09102021</t>
        </is>
      </c>
      <c r="H1781" t="n">
        <v>2500</v>
      </c>
      <c r="I1781" t="inlineStr">
        <is>
          <t>202110209468143459</t>
        </is>
      </c>
      <c r="J1781" t="inlineStr">
        <is>
          <t>https://docquery.fec.gov/cgi-bin/fecimg/?202110209468143459</t>
        </is>
      </c>
    </row>
    <row r="1782">
      <c r="A1782" t="inlineStr">
        <is>
          <t>2022</t>
        </is>
      </c>
      <c r="B1782" t="inlineStr">
        <is>
          <t>C00513549</t>
        </is>
      </c>
      <c r="C1782" t="inlineStr">
        <is>
          <t>Phillips 66 PAC</t>
        </is>
      </c>
      <c r="D1782" t="inlineStr">
        <is>
          <t>GRAVES FOR CONGRESS</t>
        </is>
      </c>
      <c r="E1782" t="inlineStr">
        <is>
          <t>H0MO06073</t>
        </is>
      </c>
      <c r="F1782" t="inlineStr">
        <is>
          <t>REP</t>
        </is>
      </c>
      <c r="G1782" t="inlineStr">
        <is>
          <t>09302022</t>
        </is>
      </c>
      <c r="H1782" t="n">
        <v>5000</v>
      </c>
      <c r="I1782" t="inlineStr">
        <is>
          <t>202210209537633072</t>
        </is>
      </c>
      <c r="J1782" t="inlineStr">
        <is>
          <t>https://docquery.fec.gov/cgi-bin/fecimg/?202210209537633072</t>
        </is>
      </c>
    </row>
    <row r="1783">
      <c r="A1783" t="inlineStr">
        <is>
          <t>2022</t>
        </is>
      </c>
      <c r="B1783" t="inlineStr">
        <is>
          <t>C00513549</t>
        </is>
      </c>
      <c r="C1783" t="inlineStr">
        <is>
          <t>Phillips 66 PAC</t>
        </is>
      </c>
      <c r="D1783" t="inlineStr">
        <is>
          <t>HUDSON FOR CONGRESS</t>
        </is>
      </c>
      <c r="E1783" t="inlineStr">
        <is>
          <t>H2NC08185</t>
        </is>
      </c>
      <c r="F1783" t="inlineStr">
        <is>
          <t>REP</t>
        </is>
      </c>
      <c r="G1783" t="inlineStr">
        <is>
          <t>09302022</t>
        </is>
      </c>
      <c r="H1783" t="n">
        <v>2500</v>
      </c>
      <c r="I1783" t="inlineStr">
        <is>
          <t>202210209537633072</t>
        </is>
      </c>
      <c r="J1783" t="inlineStr">
        <is>
          <t>https://docquery.fec.gov/cgi-bin/fecimg/?202210209537633072</t>
        </is>
      </c>
    </row>
    <row r="1784">
      <c r="A1784" t="inlineStr">
        <is>
          <t>2022</t>
        </is>
      </c>
      <c r="B1784" t="inlineStr">
        <is>
          <t>C00513549</t>
        </is>
      </c>
      <c r="C1784" t="inlineStr">
        <is>
          <t>Phillips 66 PAC</t>
        </is>
      </c>
      <c r="D1784" t="inlineStr">
        <is>
          <t>JASON SMITH FOR CONGRESS</t>
        </is>
      </c>
      <c r="E1784" t="inlineStr">
        <is>
          <t>H4MO08162</t>
        </is>
      </c>
      <c r="F1784" t="inlineStr">
        <is>
          <t>REP</t>
        </is>
      </c>
      <c r="G1784" t="inlineStr">
        <is>
          <t>09302022</t>
        </is>
      </c>
      <c r="H1784" t="n">
        <v>2500</v>
      </c>
      <c r="I1784" t="inlineStr">
        <is>
          <t>202210209537633072</t>
        </is>
      </c>
      <c r="J1784" t="inlineStr">
        <is>
          <t>https://docquery.fec.gov/cgi-bin/fecimg/?202210209537633072</t>
        </is>
      </c>
    </row>
    <row r="1785">
      <c r="A1785" t="inlineStr">
        <is>
          <t>2022</t>
        </is>
      </c>
      <c r="B1785" t="inlineStr">
        <is>
          <t>C00513549</t>
        </is>
      </c>
      <c r="C1785" t="inlineStr">
        <is>
          <t>Phillips 66 PAC</t>
        </is>
      </c>
      <c r="D1785" t="inlineStr">
        <is>
          <t>JOSH BRECHEEN FOR CONGRESS</t>
        </is>
      </c>
      <c r="E1785" t="inlineStr">
        <is>
          <t>H2OK02315</t>
        </is>
      </c>
      <c r="F1785" t="inlineStr">
        <is>
          <t>REP</t>
        </is>
      </c>
      <c r="G1785" t="inlineStr">
        <is>
          <t>09302022</t>
        </is>
      </c>
      <c r="H1785" t="n">
        <v>5000</v>
      </c>
      <c r="I1785" t="inlineStr">
        <is>
          <t>202210209537633073</t>
        </is>
      </c>
      <c r="J1785" t="inlineStr">
        <is>
          <t>https://docquery.fec.gov/cgi-bin/fecimg/?202210209537633073</t>
        </is>
      </c>
    </row>
    <row r="1786">
      <c r="A1786" t="inlineStr">
        <is>
          <t>2022</t>
        </is>
      </c>
      <c r="B1786" t="inlineStr">
        <is>
          <t>C00513549</t>
        </is>
      </c>
      <c r="C1786" t="inlineStr">
        <is>
          <t>Phillips 66 PAC</t>
        </is>
      </c>
      <c r="D1786" t="inlineStr">
        <is>
          <t>CITIZENS TO ELECT RICK LARSEN</t>
        </is>
      </c>
      <c r="E1786" t="inlineStr">
        <is>
          <t>H0WA02080</t>
        </is>
      </c>
      <c r="F1786" t="inlineStr">
        <is>
          <t>DEM</t>
        </is>
      </c>
      <c r="G1786" t="inlineStr">
        <is>
          <t>09302022</t>
        </is>
      </c>
      <c r="H1786" t="n">
        <v>2500</v>
      </c>
      <c r="I1786" t="inlineStr">
        <is>
          <t>202210209537633071</t>
        </is>
      </c>
      <c r="J1786" t="inlineStr">
        <is>
          <t>https://docquery.fec.gov/cgi-bin/fecimg/?202210209537633071</t>
        </is>
      </c>
    </row>
    <row r="1787">
      <c r="A1787" t="inlineStr">
        <is>
          <t>2022</t>
        </is>
      </c>
      <c r="B1787" t="inlineStr">
        <is>
          <t>C00513549</t>
        </is>
      </c>
      <c r="C1787" t="inlineStr">
        <is>
          <t>Phillips 66 PAC</t>
        </is>
      </c>
      <c r="D1787" t="inlineStr">
        <is>
          <t>FRIENDS OF TODD YOUNG, INC.</t>
        </is>
      </c>
      <c r="E1787" t="inlineStr">
        <is>
          <t>S6IN00191</t>
        </is>
      </c>
      <c r="F1787" t="inlineStr">
        <is>
          <t>REP</t>
        </is>
      </c>
      <c r="G1787" t="inlineStr">
        <is>
          <t>10132021</t>
        </is>
      </c>
      <c r="H1787" t="n">
        <v>2500</v>
      </c>
      <c r="I1787" t="inlineStr">
        <is>
          <t>202111179468565513</t>
        </is>
      </c>
      <c r="J1787" t="inlineStr">
        <is>
          <t>https://docquery.fec.gov/cgi-bin/fecimg/?202111179468565513</t>
        </is>
      </c>
    </row>
    <row r="1788">
      <c r="A1788" t="inlineStr">
        <is>
          <t>2022</t>
        </is>
      </c>
      <c r="B1788" t="inlineStr">
        <is>
          <t>C00513549</t>
        </is>
      </c>
      <c r="C1788" t="inlineStr">
        <is>
          <t>Phillips 66 PAC</t>
        </is>
      </c>
      <c r="D1788" t="inlineStr">
        <is>
          <t>HOYER FOR CONGRESS</t>
        </is>
      </c>
      <c r="E1788" t="inlineStr">
        <is>
          <t>H2MD05155</t>
        </is>
      </c>
      <c r="F1788" t="inlineStr">
        <is>
          <t>DEM</t>
        </is>
      </c>
      <c r="G1788" t="inlineStr">
        <is>
          <t>10132021</t>
        </is>
      </c>
      <c r="H1788" t="n">
        <v>2500</v>
      </c>
      <c r="I1788" t="inlineStr">
        <is>
          <t>202111179468565513</t>
        </is>
      </c>
      <c r="J1788" t="inlineStr">
        <is>
          <t>https://docquery.fec.gov/cgi-bin/fecimg/?202111179468565513</t>
        </is>
      </c>
    </row>
    <row r="1789">
      <c r="A1789" t="inlineStr">
        <is>
          <t>2022</t>
        </is>
      </c>
      <c r="B1789" t="inlineStr">
        <is>
          <t>C00513549</t>
        </is>
      </c>
      <c r="C1789" t="inlineStr">
        <is>
          <t>Phillips 66 PAC</t>
        </is>
      </c>
      <c r="D1789" t="inlineStr">
        <is>
          <t>JOSH GOTTHEIMER FOR CONGRESS</t>
        </is>
      </c>
      <c r="E1789" t="inlineStr">
        <is>
          <t>H6NJ05171</t>
        </is>
      </c>
      <c r="F1789" t="inlineStr">
        <is>
          <t>DEM</t>
        </is>
      </c>
      <c r="G1789" t="inlineStr">
        <is>
          <t>10132021</t>
        </is>
      </c>
      <c r="H1789" t="n">
        <v>1000</v>
      </c>
      <c r="I1789" t="inlineStr">
        <is>
          <t>202111179468565513</t>
        </is>
      </c>
      <c r="J1789" t="inlineStr">
        <is>
          <t>https://docquery.fec.gov/cgi-bin/fecimg/?202111179468565513</t>
        </is>
      </c>
    </row>
    <row r="1790">
      <c r="A1790" t="inlineStr">
        <is>
          <t>2022</t>
        </is>
      </c>
      <c r="B1790" t="inlineStr">
        <is>
          <t>C00513549</t>
        </is>
      </c>
      <c r="C1790" t="inlineStr">
        <is>
          <t>Phillips 66 PAC</t>
        </is>
      </c>
      <c r="D1790" t="inlineStr">
        <is>
          <t>LATTA FOR CONGRESS</t>
        </is>
      </c>
      <c r="E1790" t="inlineStr">
        <is>
          <t>H8OH05036</t>
        </is>
      </c>
      <c r="F1790" t="inlineStr">
        <is>
          <t>REP</t>
        </is>
      </c>
      <c r="G1790" t="inlineStr">
        <is>
          <t>10132021</t>
        </is>
      </c>
      <c r="H1790" t="n">
        <v>1500</v>
      </c>
      <c r="I1790" t="inlineStr">
        <is>
          <t>202111179468565514</t>
        </is>
      </c>
      <c r="J1790" t="inlineStr">
        <is>
          <t>https://docquery.fec.gov/cgi-bin/fecimg/?202111179468565514</t>
        </is>
      </c>
    </row>
    <row r="1791">
      <c r="A1791" t="inlineStr">
        <is>
          <t>2022</t>
        </is>
      </c>
      <c r="B1791" t="inlineStr">
        <is>
          <t>C00513549</t>
        </is>
      </c>
      <c r="C1791" t="inlineStr">
        <is>
          <t>Phillips 66 PAC</t>
        </is>
      </c>
      <c r="D1791" t="inlineStr">
        <is>
          <t>PALLONE FOR CONGRESS</t>
        </is>
      </c>
      <c r="E1791" t="inlineStr">
        <is>
          <t>H8NJ03073</t>
        </is>
      </c>
      <c r="F1791" t="inlineStr">
        <is>
          <t>DEM</t>
        </is>
      </c>
      <c r="G1791" t="inlineStr">
        <is>
          <t>10132021</t>
        </is>
      </c>
      <c r="H1791" t="n">
        <v>2500</v>
      </c>
      <c r="I1791" t="inlineStr">
        <is>
          <t>202111179468565514</t>
        </is>
      </c>
      <c r="J1791" t="inlineStr">
        <is>
          <t>https://docquery.fec.gov/cgi-bin/fecimg/?202111179468565514</t>
        </is>
      </c>
    </row>
    <row r="1792">
      <c r="A1792" t="inlineStr">
        <is>
          <t>2022</t>
        </is>
      </c>
      <c r="B1792" t="inlineStr">
        <is>
          <t>C00513549</t>
        </is>
      </c>
      <c r="C1792" t="inlineStr">
        <is>
          <t>Phillips 66 PAC</t>
        </is>
      </c>
      <c r="D1792" t="inlineStr">
        <is>
          <t>RICHARD E NEAL FOR CONGRESS COMMITTEE</t>
        </is>
      </c>
      <c r="E1792" t="inlineStr">
        <is>
          <t>H8MA02041</t>
        </is>
      </c>
      <c r="F1792" t="inlineStr">
        <is>
          <t>DEM</t>
        </is>
      </c>
      <c r="G1792" t="inlineStr">
        <is>
          <t>10132021</t>
        </is>
      </c>
      <c r="H1792" t="n">
        <v>2500</v>
      </c>
      <c r="I1792" t="inlineStr">
        <is>
          <t>202111179468565515</t>
        </is>
      </c>
      <c r="J1792" t="inlineStr">
        <is>
          <t>https://docquery.fec.gov/cgi-bin/fecimg/?202111179468565515</t>
        </is>
      </c>
    </row>
    <row r="1793">
      <c r="A1793" t="inlineStr">
        <is>
          <t>2022</t>
        </is>
      </c>
      <c r="B1793" t="inlineStr">
        <is>
          <t>C00513549</t>
        </is>
      </c>
      <c r="C1793" t="inlineStr">
        <is>
          <t>Phillips 66 PAC</t>
        </is>
      </c>
      <c r="D1793" t="inlineStr">
        <is>
          <t>RODNEY FOR CONGRESS</t>
        </is>
      </c>
      <c r="E1793" t="inlineStr">
        <is>
          <t>H2IL13120</t>
        </is>
      </c>
      <c r="F1793" t="inlineStr">
        <is>
          <t>REP</t>
        </is>
      </c>
      <c r="G1793" t="inlineStr">
        <is>
          <t>10192022</t>
        </is>
      </c>
      <c r="H1793" t="n">
        <v>-5000</v>
      </c>
      <c r="I1793" t="inlineStr">
        <is>
          <t>202210279541724430</t>
        </is>
      </c>
      <c r="J1793" t="inlineStr">
        <is>
          <t>https://docquery.fec.gov/cgi-bin/fecimg/?202210279541724430</t>
        </is>
      </c>
    </row>
    <row r="1794">
      <c r="A1794" t="inlineStr">
        <is>
          <t>2022</t>
        </is>
      </c>
      <c r="B1794" t="inlineStr">
        <is>
          <t>C00513549</t>
        </is>
      </c>
      <c r="C1794" t="inlineStr">
        <is>
          <t>Phillips 66 PAC</t>
        </is>
      </c>
      <c r="D1794" t="inlineStr">
        <is>
          <t>LUCAS FOR CONGRESS</t>
        </is>
      </c>
      <c r="E1794" t="inlineStr">
        <is>
          <t>H4OK06056</t>
        </is>
      </c>
      <c r="F1794" t="inlineStr">
        <is>
          <t>REP</t>
        </is>
      </c>
      <c r="G1794" t="inlineStr">
        <is>
          <t>11282022</t>
        </is>
      </c>
      <c r="H1794" t="n">
        <v>-5000</v>
      </c>
      <c r="I1794" t="inlineStr">
        <is>
          <t>202212089547728518</t>
        </is>
      </c>
      <c r="J1794" t="inlineStr">
        <is>
          <t>https://docquery.fec.gov/cgi-bin/fecimg/?202212089547728518</t>
        </is>
      </c>
    </row>
    <row r="1795">
      <c r="A1795" t="inlineStr">
        <is>
          <t>2022</t>
        </is>
      </c>
      <c r="B1795" t="inlineStr">
        <is>
          <t>C00513549</t>
        </is>
      </c>
      <c r="C1795" t="inlineStr">
        <is>
          <t>Phillips 66 PAC</t>
        </is>
      </c>
      <c r="D1795" t="inlineStr">
        <is>
          <t>MIKE GARCIA FOR CONGRESS</t>
        </is>
      </c>
      <c r="E1795" t="inlineStr">
        <is>
          <t>H0CA25105</t>
        </is>
      </c>
      <c r="F1795" t="inlineStr">
        <is>
          <t>REP</t>
        </is>
      </c>
      <c r="G1795" t="inlineStr">
        <is>
          <t>11282022</t>
        </is>
      </c>
      <c r="H1795" t="n">
        <v>-2500</v>
      </c>
      <c r="I1795" t="inlineStr">
        <is>
          <t>202212089547728518</t>
        </is>
      </c>
      <c r="J1795" t="inlineStr">
        <is>
          <t>https://docquery.fec.gov/cgi-bin/fecimg/?202212089547728518</t>
        </is>
      </c>
    </row>
    <row r="1796">
      <c r="A1796" t="inlineStr">
        <is>
          <t>2022</t>
        </is>
      </c>
      <c r="B1796" t="inlineStr">
        <is>
          <t>C00513549</t>
        </is>
      </c>
      <c r="C1796" t="inlineStr">
        <is>
          <t>Phillips 66 PAC</t>
        </is>
      </c>
      <c r="D1796" t="inlineStr">
        <is>
          <t>HOYER FOR CONGRESS</t>
        </is>
      </c>
      <c r="E1796" t="inlineStr">
        <is>
          <t>H2MD05155</t>
        </is>
      </c>
      <c r="F1796" t="inlineStr">
        <is>
          <t>DEM</t>
        </is>
      </c>
      <c r="G1796" t="inlineStr">
        <is>
          <t>12062021</t>
        </is>
      </c>
      <c r="H1796" t="n">
        <v>2500</v>
      </c>
      <c r="I1796" t="inlineStr">
        <is>
          <t>202201279475204686</t>
        </is>
      </c>
      <c r="J1796" t="inlineStr">
        <is>
          <t>https://docquery.fec.gov/cgi-bin/fecimg/?202201279475204686</t>
        </is>
      </c>
    </row>
    <row r="1797">
      <c r="A1797" t="inlineStr">
        <is>
          <t>2022</t>
        </is>
      </c>
      <c r="B1797" t="inlineStr">
        <is>
          <t>C00513549</t>
        </is>
      </c>
      <c r="C1797" t="inlineStr">
        <is>
          <t>Phillips 66 PAC</t>
        </is>
      </c>
      <c r="D1797" t="inlineStr">
        <is>
          <t>HOYER FOR CONGRESS</t>
        </is>
      </c>
      <c r="E1797" t="inlineStr">
        <is>
          <t>H2MD05155</t>
        </is>
      </c>
      <c r="F1797" t="inlineStr">
        <is>
          <t>DEM</t>
        </is>
      </c>
      <c r="G1797" t="inlineStr">
        <is>
          <t>12062021</t>
        </is>
      </c>
      <c r="H1797" t="n">
        <v>-2500</v>
      </c>
      <c r="I1797" t="inlineStr">
        <is>
          <t>202201279475204686</t>
        </is>
      </c>
      <c r="J1797" t="inlineStr">
        <is>
          <t>https://docquery.fec.gov/cgi-bin/fecimg/?202201279475204686</t>
        </is>
      </c>
    </row>
    <row r="1798">
      <c r="A1798" t="inlineStr">
        <is>
          <t>2022</t>
        </is>
      </c>
      <c r="B1798" t="inlineStr">
        <is>
          <t>C00513549</t>
        </is>
      </c>
      <c r="C1798" t="inlineStr">
        <is>
          <t>Phillips 66 PAC</t>
        </is>
      </c>
      <c r="D1798" t="inlineStr">
        <is>
          <t>JOSH GOTTHEIMER FOR CONGRESS</t>
        </is>
      </c>
      <c r="E1798" t="inlineStr">
        <is>
          <t>H6NJ05171</t>
        </is>
      </c>
      <c r="F1798" t="inlineStr">
        <is>
          <t>DEM</t>
        </is>
      </c>
      <c r="G1798" t="inlineStr">
        <is>
          <t>12062021</t>
        </is>
      </c>
      <c r="H1798" t="n">
        <v>-1000</v>
      </c>
      <c r="I1798" t="inlineStr">
        <is>
          <t>202201279475204686</t>
        </is>
      </c>
      <c r="J1798" t="inlineStr">
        <is>
          <t>https://docquery.fec.gov/cgi-bin/fecimg/?202201279475204686</t>
        </is>
      </c>
    </row>
    <row r="1799">
      <c r="A1799" t="inlineStr">
        <is>
          <t>2022</t>
        </is>
      </c>
      <c r="B1799" t="inlineStr">
        <is>
          <t>C00513549</t>
        </is>
      </c>
      <c r="C1799" t="inlineStr">
        <is>
          <t>Phillips 66 PAC</t>
        </is>
      </c>
      <c r="D1799" t="inlineStr">
        <is>
          <t>JOSH GOTTHEIMER FOR CONGRESS</t>
        </is>
      </c>
      <c r="E1799" t="inlineStr">
        <is>
          <t>H6NJ05171</t>
        </is>
      </c>
      <c r="F1799" t="inlineStr">
        <is>
          <t>DEM</t>
        </is>
      </c>
      <c r="G1799" t="inlineStr">
        <is>
          <t>12062021</t>
        </is>
      </c>
      <c r="H1799" t="n">
        <v>1000</v>
      </c>
      <c r="I1799" t="inlineStr">
        <is>
          <t>202201279475204687</t>
        </is>
      </c>
      <c r="J1799" t="inlineStr">
        <is>
          <t>https://docquery.fec.gov/cgi-bin/fecimg/?202201279475204687</t>
        </is>
      </c>
    </row>
    <row r="1800">
      <c r="A1800" t="inlineStr">
        <is>
          <t>2022</t>
        </is>
      </c>
      <c r="B1800" t="inlineStr">
        <is>
          <t>C00109546</t>
        </is>
      </c>
      <c r="C1800" t="inlineStr">
        <is>
          <t>Valero Energy Corp PAC</t>
        </is>
      </c>
      <c r="D1800" t="inlineStr">
        <is>
          <t>BILL CASSIDY FOR US SENATE</t>
        </is>
      </c>
      <c r="E1800" t="inlineStr">
        <is>
          <t>S4LA00107</t>
        </is>
      </c>
      <c r="F1800" t="inlineStr">
        <is>
          <t>REP</t>
        </is>
      </c>
      <c r="G1800" t="inlineStr">
        <is>
          <t>01182021</t>
        </is>
      </c>
      <c r="H1800" t="n">
        <v>-2500</v>
      </c>
      <c r="I1800" t="inlineStr">
        <is>
          <t>202102199428642779</t>
        </is>
      </c>
      <c r="J1800" t="inlineStr">
        <is>
          <t>https://docquery.fec.gov/cgi-bin/fecimg/?202102199428642779</t>
        </is>
      </c>
    </row>
    <row r="1801">
      <c r="A1801" t="inlineStr">
        <is>
          <t>2022</t>
        </is>
      </c>
      <c r="B1801" t="inlineStr">
        <is>
          <t>C00109546</t>
        </is>
      </c>
      <c r="C1801" t="inlineStr">
        <is>
          <t>Valero Energy Corp PAC</t>
        </is>
      </c>
      <c r="D1801" t="inlineStr">
        <is>
          <t>MONICA FOR CONGRESS</t>
        </is>
      </c>
      <c r="E1801" t="inlineStr">
        <is>
          <t>H0TX15124</t>
        </is>
      </c>
      <c r="F1801" t="inlineStr">
        <is>
          <t>REP</t>
        </is>
      </c>
      <c r="G1801" t="inlineStr">
        <is>
          <t>01272022</t>
        </is>
      </c>
      <c r="H1801" t="n">
        <v>5000</v>
      </c>
      <c r="I1801" t="inlineStr">
        <is>
          <t>202202099491614560</t>
        </is>
      </c>
      <c r="J1801" t="inlineStr">
        <is>
          <t>https://docquery.fec.gov/cgi-bin/fecimg/?202202099491614560</t>
        </is>
      </c>
    </row>
    <row r="1802">
      <c r="A1802" t="inlineStr">
        <is>
          <t>2022</t>
        </is>
      </c>
      <c r="B1802" t="inlineStr">
        <is>
          <t>C00109546</t>
        </is>
      </c>
      <c r="C1802" t="inlineStr">
        <is>
          <t>Valero Energy Corp PAC</t>
        </is>
      </c>
      <c r="D1802" t="inlineStr">
        <is>
          <t>TEXANS FOR MORGAN LUTTRELL</t>
        </is>
      </c>
      <c r="E1802" t="inlineStr">
        <is>
          <t>H2TX08182</t>
        </is>
      </c>
      <c r="F1802" t="inlineStr">
        <is>
          <t>REP</t>
        </is>
      </c>
      <c r="G1802" t="inlineStr">
        <is>
          <t>01272022</t>
        </is>
      </c>
      <c r="H1802" t="n">
        <v>5000</v>
      </c>
      <c r="I1802" t="inlineStr">
        <is>
          <t>202202099491614561</t>
        </is>
      </c>
      <c r="J1802" t="inlineStr">
        <is>
          <t>https://docquery.fec.gov/cgi-bin/fecimg/?202202099491614561</t>
        </is>
      </c>
    </row>
    <row r="1803">
      <c r="A1803" t="inlineStr">
        <is>
          <t>2022</t>
        </is>
      </c>
      <c r="B1803" t="inlineStr">
        <is>
          <t>C00109546</t>
        </is>
      </c>
      <c r="C1803" t="inlineStr">
        <is>
          <t>Valero Energy Corp PAC</t>
        </is>
      </c>
      <c r="D1803" t="inlineStr">
        <is>
          <t>JAKE ELLZEY FOR CONGRESS</t>
        </is>
      </c>
      <c r="E1803" t="inlineStr">
        <is>
          <t>H8TX06266</t>
        </is>
      </c>
      <c r="F1803" t="inlineStr">
        <is>
          <t>REP</t>
        </is>
      </c>
      <c r="G1803" t="inlineStr">
        <is>
          <t>01272022</t>
        </is>
      </c>
      <c r="H1803" t="n">
        <v>2500</v>
      </c>
      <c r="I1803" t="inlineStr">
        <is>
          <t>202202099491614559</t>
        </is>
      </c>
      <c r="J1803" t="inlineStr">
        <is>
          <t>https://docquery.fec.gov/cgi-bin/fecimg/?202202099491614559</t>
        </is>
      </c>
    </row>
    <row r="1804">
      <c r="A1804" t="inlineStr">
        <is>
          <t>2022</t>
        </is>
      </c>
      <c r="B1804" t="inlineStr">
        <is>
          <t>C00109546</t>
        </is>
      </c>
      <c r="C1804" t="inlineStr">
        <is>
          <t>Valero Energy Corp PAC</t>
        </is>
      </c>
      <c r="D1804" t="inlineStr">
        <is>
          <t>ASHLEY HINSON FOR CONGRESS</t>
        </is>
      </c>
      <c r="E1804" t="inlineStr">
        <is>
          <t>H0IA01174</t>
        </is>
      </c>
      <c r="F1804" t="inlineStr">
        <is>
          <t>REP</t>
        </is>
      </c>
      <c r="G1804" t="inlineStr">
        <is>
          <t>02232022</t>
        </is>
      </c>
      <c r="H1804" t="n">
        <v>2500</v>
      </c>
      <c r="I1804" t="inlineStr">
        <is>
          <t>202203189494026416</t>
        </is>
      </c>
      <c r="J1804" t="inlineStr">
        <is>
          <t>https://docquery.fec.gov/cgi-bin/fecimg/?202203189494026416</t>
        </is>
      </c>
    </row>
    <row r="1805">
      <c r="A1805" t="inlineStr">
        <is>
          <t>2022</t>
        </is>
      </c>
      <c r="B1805" t="inlineStr">
        <is>
          <t>C00109546</t>
        </is>
      </c>
      <c r="C1805" t="inlineStr">
        <is>
          <t>Valero Energy Corp PAC</t>
        </is>
      </c>
      <c r="D1805" t="inlineStr">
        <is>
          <t>ASHLEY HINSON FOR CONGRESS</t>
        </is>
      </c>
      <c r="E1805" t="inlineStr">
        <is>
          <t>H0IA01174</t>
        </is>
      </c>
      <c r="F1805" t="inlineStr">
        <is>
          <t>REP</t>
        </is>
      </c>
      <c r="G1805" t="inlineStr">
        <is>
          <t>02232022</t>
        </is>
      </c>
      <c r="H1805" t="n">
        <v>2500</v>
      </c>
      <c r="I1805" t="inlineStr">
        <is>
          <t>202203189494026416</t>
        </is>
      </c>
      <c r="J1805" t="inlineStr">
        <is>
          <t>https://docquery.fec.gov/cgi-bin/fecimg/?202203189494026416</t>
        </is>
      </c>
    </row>
    <row r="1806">
      <c r="A1806" t="inlineStr">
        <is>
          <t>2022</t>
        </is>
      </c>
      <c r="B1806" t="inlineStr">
        <is>
          <t>C00109546</t>
        </is>
      </c>
      <c r="C1806" t="inlineStr">
        <is>
          <t>Valero Energy Corp PAC</t>
        </is>
      </c>
      <c r="D1806" t="inlineStr">
        <is>
          <t>DR JOHN JOYCE FOR CONGRESS</t>
        </is>
      </c>
      <c r="E1806" t="inlineStr">
        <is>
          <t>H8PA13125</t>
        </is>
      </c>
      <c r="F1806" t="inlineStr">
        <is>
          <t>REP</t>
        </is>
      </c>
      <c r="G1806" t="inlineStr">
        <is>
          <t>02232022</t>
        </is>
      </c>
      <c r="H1806" t="n">
        <v>2500</v>
      </c>
      <c r="I1806" t="inlineStr">
        <is>
          <t>202203189494026417</t>
        </is>
      </c>
      <c r="J1806" t="inlineStr">
        <is>
          <t>https://docquery.fec.gov/cgi-bin/fecimg/?202203189494026417</t>
        </is>
      </c>
    </row>
    <row r="1807">
      <c r="A1807" t="inlineStr">
        <is>
          <t>2022</t>
        </is>
      </c>
      <c r="B1807" t="inlineStr">
        <is>
          <t>C00109546</t>
        </is>
      </c>
      <c r="C1807" t="inlineStr">
        <is>
          <t>Valero Energy Corp PAC</t>
        </is>
      </c>
      <c r="D1807" t="inlineStr">
        <is>
          <t>DR. BRIAN BABIN FOR CONGRESS</t>
        </is>
      </c>
      <c r="E1807" t="inlineStr">
        <is>
          <t>H6TX02079</t>
        </is>
      </c>
      <c r="F1807" t="inlineStr">
        <is>
          <t>REP</t>
        </is>
      </c>
      <c r="G1807" t="inlineStr">
        <is>
          <t>02232022</t>
        </is>
      </c>
      <c r="H1807" t="n">
        <v>2500</v>
      </c>
      <c r="I1807" t="inlineStr">
        <is>
          <t>202203189494026417</t>
        </is>
      </c>
      <c r="J1807" t="inlineStr">
        <is>
          <t>https://docquery.fec.gov/cgi-bin/fecimg/?202203189494026417</t>
        </is>
      </c>
    </row>
    <row r="1808">
      <c r="A1808" t="inlineStr">
        <is>
          <t>2022</t>
        </is>
      </c>
      <c r="B1808" t="inlineStr">
        <is>
          <t>C00109546</t>
        </is>
      </c>
      <c r="C1808" t="inlineStr">
        <is>
          <t>Valero Energy Corp PAC</t>
        </is>
      </c>
      <c r="D1808" t="inlineStr">
        <is>
          <t>FEENSTRA FOR CONGRESS</t>
        </is>
      </c>
      <c r="E1808" t="inlineStr">
        <is>
          <t>H0IA04145</t>
        </is>
      </c>
      <c r="F1808" t="inlineStr">
        <is>
          <t>REP</t>
        </is>
      </c>
      <c r="G1808" t="inlineStr">
        <is>
          <t>02232022</t>
        </is>
      </c>
      <c r="H1808" t="n">
        <v>2500</v>
      </c>
      <c r="I1808" t="inlineStr">
        <is>
          <t>202203189494026417</t>
        </is>
      </c>
      <c r="J1808" t="inlineStr">
        <is>
          <t>https://docquery.fec.gov/cgi-bin/fecimg/?202203189494026417</t>
        </is>
      </c>
    </row>
    <row r="1809">
      <c r="A1809" t="inlineStr">
        <is>
          <t>2022</t>
        </is>
      </c>
      <c r="B1809" t="inlineStr">
        <is>
          <t>C00109546</t>
        </is>
      </c>
      <c r="C1809" t="inlineStr">
        <is>
          <t>Valero Energy Corp PAC</t>
        </is>
      </c>
      <c r="D1809" t="inlineStr">
        <is>
          <t>FEENSTRA FOR CONGRESS</t>
        </is>
      </c>
      <c r="E1809" t="inlineStr">
        <is>
          <t>H0IA04145</t>
        </is>
      </c>
      <c r="F1809" t="inlineStr">
        <is>
          <t>REP</t>
        </is>
      </c>
      <c r="G1809" t="inlineStr">
        <is>
          <t>02232022</t>
        </is>
      </c>
      <c r="H1809" t="n">
        <v>2500</v>
      </c>
      <c r="I1809" t="inlineStr">
        <is>
          <t>202203189494026418</t>
        </is>
      </c>
      <c r="J1809" t="inlineStr">
        <is>
          <t>https://docquery.fec.gov/cgi-bin/fecimg/?202203189494026418</t>
        </is>
      </c>
    </row>
    <row r="1810">
      <c r="A1810" t="inlineStr">
        <is>
          <t>2022</t>
        </is>
      </c>
      <c r="B1810" t="inlineStr">
        <is>
          <t>C00109546</t>
        </is>
      </c>
      <c r="C1810" t="inlineStr">
        <is>
          <t>Valero Energy Corp PAC</t>
        </is>
      </c>
      <c r="D1810" t="inlineStr">
        <is>
          <t>GARRET GRAVES FOR CONGRESS</t>
        </is>
      </c>
      <c r="E1810" t="inlineStr">
        <is>
          <t>H4LA06153</t>
        </is>
      </c>
      <c r="F1810" t="inlineStr">
        <is>
          <t>REP</t>
        </is>
      </c>
      <c r="G1810" t="inlineStr">
        <is>
          <t>02232022</t>
        </is>
      </c>
      <c r="H1810" t="n">
        <v>2500</v>
      </c>
      <c r="I1810" t="inlineStr">
        <is>
          <t>202203189494026418</t>
        </is>
      </c>
      <c r="J1810" t="inlineStr">
        <is>
          <t>https://docquery.fec.gov/cgi-bin/fecimg/?202203189494026418</t>
        </is>
      </c>
    </row>
    <row r="1811">
      <c r="A1811" t="inlineStr">
        <is>
          <t>2022</t>
        </is>
      </c>
      <c r="B1811" t="inlineStr">
        <is>
          <t>C00109546</t>
        </is>
      </c>
      <c r="C1811" t="inlineStr">
        <is>
          <t>Valero Energy Corp PAC</t>
        </is>
      </c>
      <c r="D1811" t="inlineStr">
        <is>
          <t>GARRET GRAVES FOR CONGRESS</t>
        </is>
      </c>
      <c r="E1811" t="inlineStr">
        <is>
          <t>H4LA06153</t>
        </is>
      </c>
      <c r="F1811" t="inlineStr">
        <is>
          <t>REP</t>
        </is>
      </c>
      <c r="G1811" t="inlineStr">
        <is>
          <t>02232022</t>
        </is>
      </c>
      <c r="H1811" t="n">
        <v>2500</v>
      </c>
      <c r="I1811" t="inlineStr">
        <is>
          <t>202203189494026419</t>
        </is>
      </c>
      <c r="J1811" t="inlineStr">
        <is>
          <t>https://docquery.fec.gov/cgi-bin/fecimg/?202203189494026419</t>
        </is>
      </c>
    </row>
    <row r="1812">
      <c r="A1812" t="inlineStr">
        <is>
          <t>2022</t>
        </is>
      </c>
      <c r="B1812" t="inlineStr">
        <is>
          <t>C00109546</t>
        </is>
      </c>
      <c r="C1812" t="inlineStr">
        <is>
          <t>Valero Energy Corp PAC</t>
        </is>
      </c>
      <c r="D1812" t="inlineStr">
        <is>
          <t>JIM COSTA FOR CONGRESS</t>
        </is>
      </c>
      <c r="E1812" t="inlineStr">
        <is>
          <t>H4CA20082</t>
        </is>
      </c>
      <c r="F1812" t="inlineStr">
        <is>
          <t>DEM</t>
        </is>
      </c>
      <c r="G1812" t="inlineStr">
        <is>
          <t>02232022</t>
        </is>
      </c>
      <c r="H1812" t="n">
        <v>2500</v>
      </c>
      <c r="I1812" t="inlineStr">
        <is>
          <t>202203189494026419</t>
        </is>
      </c>
      <c r="J1812" t="inlineStr">
        <is>
          <t>https://docquery.fec.gov/cgi-bin/fecimg/?202203189494026419</t>
        </is>
      </c>
    </row>
    <row r="1813">
      <c r="A1813" t="inlineStr">
        <is>
          <t>2022</t>
        </is>
      </c>
      <c r="B1813" t="inlineStr">
        <is>
          <t>C00109546</t>
        </is>
      </c>
      <c r="C1813" t="inlineStr">
        <is>
          <t>Valero Energy Corp PAC</t>
        </is>
      </c>
      <c r="D1813" t="inlineStr">
        <is>
          <t>JOHN KENNEDY FOR US</t>
        </is>
      </c>
      <c r="E1813" t="inlineStr">
        <is>
          <t>S4LA00065</t>
        </is>
      </c>
      <c r="F1813" t="inlineStr">
        <is>
          <t>REP</t>
        </is>
      </c>
      <c r="G1813" t="inlineStr">
        <is>
          <t>02232022</t>
        </is>
      </c>
      <c r="H1813" t="n">
        <v>5000</v>
      </c>
      <c r="I1813" t="inlineStr">
        <is>
          <t>202203189494026420</t>
        </is>
      </c>
      <c r="J1813" t="inlineStr">
        <is>
          <t>https://docquery.fec.gov/cgi-bin/fecimg/?202203189494026420</t>
        </is>
      </c>
    </row>
    <row r="1814">
      <c r="A1814" t="inlineStr">
        <is>
          <t>2022</t>
        </is>
      </c>
      <c r="B1814" t="inlineStr">
        <is>
          <t>C00109546</t>
        </is>
      </c>
      <c r="C1814" t="inlineStr">
        <is>
          <t>Valero Energy Corp PAC</t>
        </is>
      </c>
      <c r="D1814" t="inlineStr">
        <is>
          <t>FAMILIES FOR JAMES LANKFORD</t>
        </is>
      </c>
      <c r="E1814" t="inlineStr">
        <is>
          <t>S4OK00232</t>
        </is>
      </c>
      <c r="F1814" t="inlineStr">
        <is>
          <t>REP</t>
        </is>
      </c>
      <c r="G1814" t="inlineStr">
        <is>
          <t>03282022</t>
        </is>
      </c>
      <c r="H1814" t="n">
        <v>5000</v>
      </c>
      <c r="I1814" t="inlineStr">
        <is>
          <t>202204209500146779</t>
        </is>
      </c>
      <c r="J1814" t="inlineStr">
        <is>
          <t>https://docquery.fec.gov/cgi-bin/fecimg/?202204209500146779</t>
        </is>
      </c>
    </row>
    <row r="1815">
      <c r="A1815" t="inlineStr">
        <is>
          <t>2022</t>
        </is>
      </c>
      <c r="B1815" t="inlineStr">
        <is>
          <t>C00109546</t>
        </is>
      </c>
      <c r="C1815" t="inlineStr">
        <is>
          <t>Valero Energy Corp PAC</t>
        </is>
      </c>
      <c r="D1815" t="inlineStr">
        <is>
          <t>FRIENDS OF DUSTY JOHNSON</t>
        </is>
      </c>
      <c r="E1815" t="inlineStr">
        <is>
          <t>H8SD01055</t>
        </is>
      </c>
      <c r="F1815" t="inlineStr">
        <is>
          <t>REP</t>
        </is>
      </c>
      <c r="G1815" t="inlineStr">
        <is>
          <t>03282022</t>
        </is>
      </c>
      <c r="H1815" t="n">
        <v>2500</v>
      </c>
      <c r="I1815" t="inlineStr">
        <is>
          <t>202204209500146779</t>
        </is>
      </c>
      <c r="J1815" t="inlineStr">
        <is>
          <t>https://docquery.fec.gov/cgi-bin/fecimg/?202204209500146779</t>
        </is>
      </c>
    </row>
    <row r="1816">
      <c r="A1816" t="inlineStr">
        <is>
          <t>2022</t>
        </is>
      </c>
      <c r="B1816" t="inlineStr">
        <is>
          <t>C00109546</t>
        </is>
      </c>
      <c r="C1816" t="inlineStr">
        <is>
          <t>Valero Energy Corp PAC</t>
        </is>
      </c>
      <c r="D1816" t="inlineStr">
        <is>
          <t>FRIENDS OF DUSTY JOHNSON</t>
        </is>
      </c>
      <c r="E1816" t="inlineStr">
        <is>
          <t>H8SD01055</t>
        </is>
      </c>
      <c r="F1816" t="inlineStr">
        <is>
          <t>REP</t>
        </is>
      </c>
      <c r="G1816" t="inlineStr">
        <is>
          <t>03282022</t>
        </is>
      </c>
      <c r="H1816" t="n">
        <v>2500</v>
      </c>
      <c r="I1816" t="inlineStr">
        <is>
          <t>202204209500146779</t>
        </is>
      </c>
      <c r="J1816" t="inlineStr">
        <is>
          <t>https://docquery.fec.gov/cgi-bin/fecimg/?202204209500146779</t>
        </is>
      </c>
    </row>
    <row r="1817">
      <c r="A1817" t="inlineStr">
        <is>
          <t>2022</t>
        </is>
      </c>
      <c r="B1817" t="inlineStr">
        <is>
          <t>C00109546</t>
        </is>
      </c>
      <c r="C1817" t="inlineStr">
        <is>
          <t>Valero Energy Corp PAC</t>
        </is>
      </c>
      <c r="D1817" t="inlineStr">
        <is>
          <t>HERN FOR CONGRESS</t>
        </is>
      </c>
      <c r="E1817" t="inlineStr">
        <is>
          <t>H8OK01157</t>
        </is>
      </c>
      <c r="F1817" t="inlineStr">
        <is>
          <t>REP</t>
        </is>
      </c>
      <c r="G1817" t="inlineStr">
        <is>
          <t>03282022</t>
        </is>
      </c>
      <c r="H1817" t="n">
        <v>2500</v>
      </c>
      <c r="I1817" t="inlineStr">
        <is>
          <t>202204209500146780</t>
        </is>
      </c>
      <c r="J1817" t="inlineStr">
        <is>
          <t>https://docquery.fec.gov/cgi-bin/fecimg/?202204209500146780</t>
        </is>
      </c>
    </row>
    <row r="1818">
      <c r="A1818" t="inlineStr">
        <is>
          <t>2022</t>
        </is>
      </c>
      <c r="B1818" t="inlineStr">
        <is>
          <t>C00109546</t>
        </is>
      </c>
      <c r="C1818" t="inlineStr">
        <is>
          <t>Valero Energy Corp PAC</t>
        </is>
      </c>
      <c r="D1818" t="inlineStr">
        <is>
          <t>HERN FOR CONGRESS</t>
        </is>
      </c>
      <c r="E1818" t="inlineStr">
        <is>
          <t>H8OK01157</t>
        </is>
      </c>
      <c r="F1818" t="inlineStr">
        <is>
          <t>REP</t>
        </is>
      </c>
      <c r="G1818" t="inlineStr">
        <is>
          <t>03282022</t>
        </is>
      </c>
      <c r="H1818" t="n">
        <v>2500</v>
      </c>
      <c r="I1818" t="inlineStr">
        <is>
          <t>202204209500146780</t>
        </is>
      </c>
      <c r="J1818" t="inlineStr">
        <is>
          <t>https://docquery.fec.gov/cgi-bin/fecimg/?202204209500146780</t>
        </is>
      </c>
    </row>
    <row r="1819">
      <c r="A1819" t="inlineStr">
        <is>
          <t>2022</t>
        </is>
      </c>
      <c r="B1819" t="inlineStr">
        <is>
          <t>C00109546</t>
        </is>
      </c>
      <c r="C1819" t="inlineStr">
        <is>
          <t>Valero Energy Corp PAC</t>
        </is>
      </c>
      <c r="D1819" t="inlineStr">
        <is>
          <t>TEXANS FOR JODEY ARRINGTON</t>
        </is>
      </c>
      <c r="E1819" t="inlineStr">
        <is>
          <t>H6TX19099</t>
        </is>
      </c>
      <c r="F1819" t="inlineStr">
        <is>
          <t>REP</t>
        </is>
      </c>
      <c r="G1819" t="inlineStr">
        <is>
          <t>03282022</t>
        </is>
      </c>
      <c r="H1819" t="n">
        <v>5000</v>
      </c>
      <c r="I1819" t="inlineStr">
        <is>
          <t>202204209500146782</t>
        </is>
      </c>
      <c r="J1819" t="inlineStr">
        <is>
          <t>https://docquery.fec.gov/cgi-bin/fecimg/?202204209500146782</t>
        </is>
      </c>
    </row>
    <row r="1820">
      <c r="A1820" t="inlineStr">
        <is>
          <t>2022</t>
        </is>
      </c>
      <c r="B1820" t="inlineStr">
        <is>
          <t>C00109546</t>
        </is>
      </c>
      <c r="C1820" t="inlineStr">
        <is>
          <t>Valero Energy Corp PAC</t>
        </is>
      </c>
      <c r="D1820" t="inlineStr">
        <is>
          <t>WALBERG FOR CONGRESS</t>
        </is>
      </c>
      <c r="E1820" t="inlineStr">
        <is>
          <t>H4MI07103</t>
        </is>
      </c>
      <c r="F1820" t="inlineStr">
        <is>
          <t>REP</t>
        </is>
      </c>
      <c r="G1820" t="inlineStr">
        <is>
          <t>03282022</t>
        </is>
      </c>
      <c r="H1820" t="n">
        <v>2500</v>
      </c>
      <c r="I1820" t="inlineStr">
        <is>
          <t>202204209500146783</t>
        </is>
      </c>
      <c r="J1820" t="inlineStr">
        <is>
          <t>https://docquery.fec.gov/cgi-bin/fecimg/?202204209500146783</t>
        </is>
      </c>
    </row>
    <row r="1821">
      <c r="A1821" t="inlineStr">
        <is>
          <t>2022</t>
        </is>
      </c>
      <c r="B1821" t="inlineStr">
        <is>
          <t>C00109546</t>
        </is>
      </c>
      <c r="C1821" t="inlineStr">
        <is>
          <t>Valero Energy Corp PAC</t>
        </is>
      </c>
      <c r="D1821" t="inlineStr">
        <is>
          <t>WESTERMAN FOR CONGRESS</t>
        </is>
      </c>
      <c r="E1821" t="inlineStr">
        <is>
          <t>H4AR04048</t>
        </is>
      </c>
      <c r="F1821" t="inlineStr">
        <is>
          <t>REP</t>
        </is>
      </c>
      <c r="G1821" t="inlineStr">
        <is>
          <t>03282022</t>
        </is>
      </c>
      <c r="H1821" t="n">
        <v>2500</v>
      </c>
      <c r="I1821" t="inlineStr">
        <is>
          <t>202204209500146783</t>
        </is>
      </c>
      <c r="J1821" t="inlineStr">
        <is>
          <t>https://docquery.fec.gov/cgi-bin/fecimg/?202204209500146783</t>
        </is>
      </c>
    </row>
    <row r="1822">
      <c r="A1822" t="inlineStr">
        <is>
          <t>2022</t>
        </is>
      </c>
      <c r="B1822" t="inlineStr">
        <is>
          <t>C00109546</t>
        </is>
      </c>
      <c r="C1822" t="inlineStr">
        <is>
          <t>Valero Energy Corp PAC</t>
        </is>
      </c>
      <c r="D1822" t="inlineStr">
        <is>
          <t>AUGUST PFLUGER FOR CONGRESS</t>
        </is>
      </c>
      <c r="E1822" t="inlineStr">
        <is>
          <t>H0TX11230</t>
        </is>
      </c>
      <c r="F1822" t="inlineStr">
        <is>
          <t>REP</t>
        </is>
      </c>
      <c r="G1822" t="inlineStr">
        <is>
          <t>04252022</t>
        </is>
      </c>
      <c r="H1822" t="n">
        <v>5000</v>
      </c>
      <c r="I1822" t="inlineStr">
        <is>
          <t>202205209512429964</t>
        </is>
      </c>
      <c r="J1822" t="inlineStr">
        <is>
          <t>https://docquery.fec.gov/cgi-bin/fecimg/?202205209512429964</t>
        </is>
      </c>
    </row>
    <row r="1823">
      <c r="A1823" t="inlineStr">
        <is>
          <t>2022</t>
        </is>
      </c>
      <c r="B1823" t="inlineStr">
        <is>
          <t>C00109546</t>
        </is>
      </c>
      <c r="C1823" t="inlineStr">
        <is>
          <t>Valero Energy Corp PAC</t>
        </is>
      </c>
      <c r="D1823" t="inlineStr">
        <is>
          <t>BOOZMAN FOR ARKANSAS</t>
        </is>
      </c>
      <c r="E1823" t="inlineStr">
        <is>
          <t>S0AR00150</t>
        </is>
      </c>
      <c r="F1823" t="inlineStr">
        <is>
          <t>REP</t>
        </is>
      </c>
      <c r="G1823" t="inlineStr">
        <is>
          <t>04252022</t>
        </is>
      </c>
      <c r="H1823" t="n">
        <v>5000</v>
      </c>
      <c r="I1823" t="inlineStr">
        <is>
          <t>202205209512429964</t>
        </is>
      </c>
      <c r="J1823" t="inlineStr">
        <is>
          <t>https://docquery.fec.gov/cgi-bin/fecimg/?202205209512429964</t>
        </is>
      </c>
    </row>
    <row r="1824">
      <c r="A1824" t="inlineStr">
        <is>
          <t>2022</t>
        </is>
      </c>
      <c r="B1824" t="inlineStr">
        <is>
          <t>C00109546</t>
        </is>
      </c>
      <c r="C1824" t="inlineStr">
        <is>
          <t>Valero Energy Corp PAC</t>
        </is>
      </c>
      <c r="D1824" t="inlineStr">
        <is>
          <t>HUNT FOR CONGRESS</t>
        </is>
      </c>
      <c r="E1824" t="inlineStr">
        <is>
          <t>H0TX07170</t>
        </is>
      </c>
      <c r="F1824" t="inlineStr">
        <is>
          <t>REP</t>
        </is>
      </c>
      <c r="G1824" t="inlineStr">
        <is>
          <t>04252022</t>
        </is>
      </c>
      <c r="H1824" t="n">
        <v>5000</v>
      </c>
      <c r="I1824" t="inlineStr">
        <is>
          <t>202205209512429965</t>
        </is>
      </c>
      <c r="J1824" t="inlineStr">
        <is>
          <t>https://docquery.fec.gov/cgi-bin/fecimg/?202205209512429965</t>
        </is>
      </c>
    </row>
    <row r="1825">
      <c r="A1825" t="inlineStr">
        <is>
          <t>2022</t>
        </is>
      </c>
      <c r="B1825" t="inlineStr">
        <is>
          <t>C00109546</t>
        </is>
      </c>
      <c r="C1825" t="inlineStr">
        <is>
          <t>Valero Energy Corp PAC</t>
        </is>
      </c>
      <c r="D1825" t="inlineStr">
        <is>
          <t>JASON SMITH FOR CONGRESS</t>
        </is>
      </c>
      <c r="E1825" t="inlineStr">
        <is>
          <t>H4MO08162</t>
        </is>
      </c>
      <c r="F1825" t="inlineStr">
        <is>
          <t>REP</t>
        </is>
      </c>
      <c r="G1825" t="inlineStr">
        <is>
          <t>04252022</t>
        </is>
      </c>
      <c r="H1825" t="n">
        <v>5000</v>
      </c>
      <c r="I1825" t="inlineStr">
        <is>
          <t>202205209512429965</t>
        </is>
      </c>
      <c r="J1825" t="inlineStr">
        <is>
          <t>https://docquery.fec.gov/cgi-bin/fecimg/?202205209512429965</t>
        </is>
      </c>
    </row>
    <row r="1826">
      <c r="A1826" t="inlineStr">
        <is>
          <t>2022</t>
        </is>
      </c>
      <c r="B1826" t="inlineStr">
        <is>
          <t>C00109546</t>
        </is>
      </c>
      <c r="C1826" t="inlineStr">
        <is>
          <t>Valero Energy Corp PAC</t>
        </is>
      </c>
      <c r="D1826" t="inlineStr">
        <is>
          <t>KAT FOR CONGRESS</t>
        </is>
      </c>
      <c r="E1826" t="inlineStr">
        <is>
          <t>H0FL03175</t>
        </is>
      </c>
      <c r="F1826" t="inlineStr">
        <is>
          <t>REP</t>
        </is>
      </c>
      <c r="G1826" t="inlineStr">
        <is>
          <t>04252022</t>
        </is>
      </c>
      <c r="H1826" t="n">
        <v>2500</v>
      </c>
      <c r="I1826" t="inlineStr">
        <is>
          <t>202205209512429966</t>
        </is>
      </c>
      <c r="J1826" t="inlineStr">
        <is>
          <t>https://docquery.fec.gov/cgi-bin/fecimg/?202205209512429966</t>
        </is>
      </c>
    </row>
    <row r="1827">
      <c r="A1827" t="inlineStr">
        <is>
          <t>2022</t>
        </is>
      </c>
      <c r="B1827" t="inlineStr">
        <is>
          <t>C00109546</t>
        </is>
      </c>
      <c r="C1827" t="inlineStr">
        <is>
          <t>Valero Energy Corp PAC</t>
        </is>
      </c>
      <c r="D1827" t="inlineStr">
        <is>
          <t>KURT SCHRADER FOR CONGRESS</t>
        </is>
      </c>
      <c r="E1827" t="inlineStr">
        <is>
          <t>H8OR05107</t>
        </is>
      </c>
      <c r="F1827" t="inlineStr">
        <is>
          <t>DEM</t>
        </is>
      </c>
      <c r="G1827" t="inlineStr">
        <is>
          <t>04252022</t>
        </is>
      </c>
      <c r="H1827" t="n">
        <v>1500</v>
      </c>
      <c r="I1827" t="inlineStr">
        <is>
          <t>202205209512429966</t>
        </is>
      </c>
      <c r="J1827" t="inlineStr">
        <is>
          <t>https://docquery.fec.gov/cgi-bin/fecimg/?202205209512429966</t>
        </is>
      </c>
    </row>
    <row r="1828">
      <c r="A1828" t="inlineStr">
        <is>
          <t>2022</t>
        </is>
      </c>
      <c r="B1828" t="inlineStr">
        <is>
          <t>C00109546</t>
        </is>
      </c>
      <c r="C1828" t="inlineStr">
        <is>
          <t>Valero Energy Corp PAC</t>
        </is>
      </c>
      <c r="D1828" t="inlineStr">
        <is>
          <t>MCHENRY FOR CONGRESS</t>
        </is>
      </c>
      <c r="E1828" t="inlineStr">
        <is>
          <t>H4NC10047</t>
        </is>
      </c>
      <c r="F1828" t="inlineStr">
        <is>
          <t>REP</t>
        </is>
      </c>
      <c r="G1828" t="inlineStr">
        <is>
          <t>04252022</t>
        </is>
      </c>
      <c r="H1828" t="n">
        <v>5000</v>
      </c>
      <c r="I1828" t="inlineStr">
        <is>
          <t>202205209512429966</t>
        </is>
      </c>
      <c r="J1828" t="inlineStr">
        <is>
          <t>https://docquery.fec.gov/cgi-bin/fecimg/?202205209512429966</t>
        </is>
      </c>
    </row>
    <row r="1829">
      <c r="A1829" t="inlineStr">
        <is>
          <t>2022</t>
        </is>
      </c>
      <c r="B1829" t="inlineStr">
        <is>
          <t>C00109546</t>
        </is>
      </c>
      <c r="C1829" t="inlineStr">
        <is>
          <t>Valero Energy Corp PAC</t>
        </is>
      </c>
      <c r="D1829" t="inlineStr">
        <is>
          <t>MIKE THOMPSON FOR CONGRESS</t>
        </is>
      </c>
      <c r="E1829" t="inlineStr">
        <is>
          <t>H8CA01109</t>
        </is>
      </c>
      <c r="F1829" t="inlineStr">
        <is>
          <t>DEM</t>
        </is>
      </c>
      <c r="G1829" t="inlineStr">
        <is>
          <t>04252022</t>
        </is>
      </c>
      <c r="H1829" t="n">
        <v>2500</v>
      </c>
      <c r="I1829" t="inlineStr">
        <is>
          <t>202205209512429967</t>
        </is>
      </c>
      <c r="J1829" t="inlineStr">
        <is>
          <t>https://docquery.fec.gov/cgi-bin/fecimg/?202205209512429967</t>
        </is>
      </c>
    </row>
    <row r="1830">
      <c r="A1830" t="inlineStr">
        <is>
          <t>2022</t>
        </is>
      </c>
      <c r="B1830" t="inlineStr">
        <is>
          <t>C00109546</t>
        </is>
      </c>
      <c r="C1830" t="inlineStr">
        <is>
          <t>Valero Energy Corp PAC</t>
        </is>
      </c>
      <c r="D1830" t="inlineStr">
        <is>
          <t>MIKE THOMPSON FOR CONGRESS</t>
        </is>
      </c>
      <c r="E1830" t="inlineStr">
        <is>
          <t>H8CA01109</t>
        </is>
      </c>
      <c r="F1830" t="inlineStr">
        <is>
          <t>DEM</t>
        </is>
      </c>
      <c r="G1830" t="inlineStr">
        <is>
          <t>04252022</t>
        </is>
      </c>
      <c r="H1830" t="n">
        <v>2500</v>
      </c>
      <c r="I1830" t="inlineStr">
        <is>
          <t>202205209512429967</t>
        </is>
      </c>
      <c r="J1830" t="inlineStr">
        <is>
          <t>https://docquery.fec.gov/cgi-bin/fecimg/?202205209512429967</t>
        </is>
      </c>
    </row>
    <row r="1831">
      <c r="A1831" t="inlineStr">
        <is>
          <t>2022</t>
        </is>
      </c>
      <c r="B1831" t="inlineStr">
        <is>
          <t>C00109546</t>
        </is>
      </c>
      <c r="C1831" t="inlineStr">
        <is>
          <t>Valero Energy Corp PAC</t>
        </is>
      </c>
      <c r="D1831" t="inlineStr">
        <is>
          <t>WALORSKI FOR CONGRESS INC</t>
        </is>
      </c>
      <c r="E1831" t="inlineStr">
        <is>
          <t>H0IN02190</t>
        </is>
      </c>
      <c r="F1831" t="inlineStr">
        <is>
          <t>REP</t>
        </is>
      </c>
      <c r="G1831" t="inlineStr">
        <is>
          <t>04252022</t>
        </is>
      </c>
      <c r="H1831" t="n">
        <v>5000</v>
      </c>
      <c r="I1831" t="inlineStr">
        <is>
          <t>202205209512429967</t>
        </is>
      </c>
      <c r="J1831" t="inlineStr">
        <is>
          <t>https://docquery.fec.gov/cgi-bin/fecimg/?202205209512429967</t>
        </is>
      </c>
    </row>
    <row r="1832">
      <c r="A1832" t="inlineStr">
        <is>
          <t>2022</t>
        </is>
      </c>
      <c r="B1832" t="inlineStr">
        <is>
          <t>C00109546</t>
        </is>
      </c>
      <c r="C1832" t="inlineStr">
        <is>
          <t>Valero Energy Corp PAC</t>
        </is>
      </c>
      <c r="D1832" t="inlineStr">
        <is>
          <t>WEBER FOR CONGRESS</t>
        </is>
      </c>
      <c r="E1832" t="inlineStr">
        <is>
          <t>H2TX14149</t>
        </is>
      </c>
      <c r="F1832" t="inlineStr">
        <is>
          <t>REP</t>
        </is>
      </c>
      <c r="G1832" t="inlineStr">
        <is>
          <t>04252022</t>
        </is>
      </c>
      <c r="H1832" t="n">
        <v>2500</v>
      </c>
      <c r="I1832" t="inlineStr">
        <is>
          <t>202205209512429968</t>
        </is>
      </c>
      <c r="J1832" t="inlineStr">
        <is>
          <t>https://docquery.fec.gov/cgi-bin/fecimg/?202205209512429968</t>
        </is>
      </c>
    </row>
    <row r="1833">
      <c r="A1833" t="inlineStr">
        <is>
          <t>2022</t>
        </is>
      </c>
      <c r="B1833" t="inlineStr">
        <is>
          <t>C00109546</t>
        </is>
      </c>
      <c r="C1833" t="inlineStr">
        <is>
          <t>Valero Energy Corp PAC</t>
        </is>
      </c>
      <c r="D1833" t="inlineStr">
        <is>
          <t>BETH VAN DUYNE FOR CONGRESS</t>
        </is>
      </c>
      <c r="E1833" t="inlineStr">
        <is>
          <t>H0TX24209</t>
        </is>
      </c>
      <c r="F1833" t="inlineStr">
        <is>
          <t>REP</t>
        </is>
      </c>
      <c r="G1833" t="inlineStr">
        <is>
          <t>05232022</t>
        </is>
      </c>
      <c r="H1833" t="n">
        <v>2500</v>
      </c>
      <c r="I1833" t="inlineStr">
        <is>
          <t>202206209515044363</t>
        </is>
      </c>
      <c r="J1833" t="inlineStr">
        <is>
          <t>https://docquery.fec.gov/cgi-bin/fecimg/?202206209515044363</t>
        </is>
      </c>
    </row>
    <row r="1834">
      <c r="A1834" t="inlineStr">
        <is>
          <t>2022</t>
        </is>
      </c>
      <c r="B1834" t="inlineStr">
        <is>
          <t>C00109546</t>
        </is>
      </c>
      <c r="C1834" t="inlineStr">
        <is>
          <t>Valero Energy Corp PAC</t>
        </is>
      </c>
      <c r="D1834" t="inlineStr">
        <is>
          <t>COLE FOR CONGRESS</t>
        </is>
      </c>
      <c r="E1834" t="inlineStr">
        <is>
          <t>H2OK04055</t>
        </is>
      </c>
      <c r="F1834" t="inlineStr">
        <is>
          <t>REP</t>
        </is>
      </c>
      <c r="G1834" t="inlineStr">
        <is>
          <t>05232022</t>
        </is>
      </c>
      <c r="H1834" t="n">
        <v>2500</v>
      </c>
      <c r="I1834" t="inlineStr">
        <is>
          <t>202206209515044364</t>
        </is>
      </c>
      <c r="J1834" t="inlineStr">
        <is>
          <t>https://docquery.fec.gov/cgi-bin/fecimg/?202206209515044364</t>
        </is>
      </c>
    </row>
    <row r="1835">
      <c r="A1835" t="inlineStr">
        <is>
          <t>2022</t>
        </is>
      </c>
      <c r="B1835" t="inlineStr">
        <is>
          <t>C00109546</t>
        </is>
      </c>
      <c r="C1835" t="inlineStr">
        <is>
          <t>Valero Energy Corp PAC</t>
        </is>
      </c>
      <c r="D1835" t="inlineStr">
        <is>
          <t>FRIENDS OF JOHN THUNE</t>
        </is>
      </c>
      <c r="E1835" t="inlineStr">
        <is>
          <t>S2SD00068</t>
        </is>
      </c>
      <c r="F1835" t="inlineStr">
        <is>
          <t>REP</t>
        </is>
      </c>
      <c r="G1835" t="inlineStr">
        <is>
          <t>05232022</t>
        </is>
      </c>
      <c r="H1835" t="n">
        <v>2500</v>
      </c>
      <c r="I1835" t="inlineStr">
        <is>
          <t>202206209515044364</t>
        </is>
      </c>
      <c r="J1835" t="inlineStr">
        <is>
          <t>https://docquery.fec.gov/cgi-bin/fecimg/?202206209515044364</t>
        </is>
      </c>
    </row>
    <row r="1836">
      <c r="A1836" t="inlineStr">
        <is>
          <t>2022</t>
        </is>
      </c>
      <c r="B1836" t="inlineStr">
        <is>
          <t>C00109546</t>
        </is>
      </c>
      <c r="C1836" t="inlineStr">
        <is>
          <t>Valero Energy Corp PAC</t>
        </is>
      </c>
      <c r="D1836" t="inlineStr">
        <is>
          <t>MIKE CRAPO FOR US SENATE</t>
        </is>
      </c>
      <c r="E1836" t="inlineStr">
        <is>
          <t>S8ID00027</t>
        </is>
      </c>
      <c r="F1836" t="inlineStr">
        <is>
          <t>REP</t>
        </is>
      </c>
      <c r="G1836" t="inlineStr">
        <is>
          <t>06042021</t>
        </is>
      </c>
      <c r="H1836" t="n">
        <v>2500</v>
      </c>
      <c r="I1836" t="inlineStr">
        <is>
          <t>202107149451077884</t>
        </is>
      </c>
      <c r="J1836" t="inlineStr">
        <is>
          <t>https://docquery.fec.gov/cgi-bin/fecimg/?202107149451077884</t>
        </is>
      </c>
    </row>
    <row r="1837">
      <c r="A1837" t="inlineStr">
        <is>
          <t>2022</t>
        </is>
      </c>
      <c r="B1837" t="inlineStr">
        <is>
          <t>C00109546</t>
        </is>
      </c>
      <c r="C1837" t="inlineStr">
        <is>
          <t>Valero Energy Corp PAC</t>
        </is>
      </c>
      <c r="D1837" t="inlineStr">
        <is>
          <t>MIKE THOMPSON FOR CONGRESS</t>
        </is>
      </c>
      <c r="E1837" t="inlineStr">
        <is>
          <t>H8CA01109</t>
        </is>
      </c>
      <c r="F1837" t="inlineStr">
        <is>
          <t>DEM</t>
        </is>
      </c>
      <c r="G1837" t="inlineStr">
        <is>
          <t>06042021</t>
        </is>
      </c>
      <c r="H1837" t="n">
        <v>2500</v>
      </c>
      <c r="I1837" t="inlineStr">
        <is>
          <t>202107149451077884</t>
        </is>
      </c>
      <c r="J1837" t="inlineStr">
        <is>
          <t>https://docquery.fec.gov/cgi-bin/fecimg/?202107149451077884</t>
        </is>
      </c>
    </row>
    <row r="1838">
      <c r="A1838" t="inlineStr">
        <is>
          <t>2022</t>
        </is>
      </c>
      <c r="B1838" t="inlineStr">
        <is>
          <t>C00109546</t>
        </is>
      </c>
      <c r="C1838" t="inlineStr">
        <is>
          <t>Valero Energy Corp PAC</t>
        </is>
      </c>
      <c r="D1838" t="inlineStr">
        <is>
          <t>ELIZABETH PANNILL FLETCHER FOR CONGRESS</t>
        </is>
      </c>
      <c r="E1838" t="inlineStr">
        <is>
          <t>H8TX07140</t>
        </is>
      </c>
      <c r="F1838" t="inlineStr">
        <is>
          <t>DEM</t>
        </is>
      </c>
      <c r="G1838" t="inlineStr">
        <is>
          <t>06042021</t>
        </is>
      </c>
      <c r="H1838" t="n">
        <v>2500</v>
      </c>
      <c r="I1838" t="inlineStr">
        <is>
          <t>202107149451077878</t>
        </is>
      </c>
      <c r="J1838" t="inlineStr">
        <is>
          <t>https://docquery.fec.gov/cgi-bin/fecimg/?202107149451077878</t>
        </is>
      </c>
    </row>
    <row r="1839">
      <c r="A1839" t="inlineStr">
        <is>
          <t>2022</t>
        </is>
      </c>
      <c r="B1839" t="inlineStr">
        <is>
          <t>C00109546</t>
        </is>
      </c>
      <c r="C1839" t="inlineStr">
        <is>
          <t>Valero Energy Corp PAC</t>
        </is>
      </c>
      <c r="D1839" t="inlineStr">
        <is>
          <t>HERN FOR CONGRESS</t>
        </is>
      </c>
      <c r="E1839" t="inlineStr">
        <is>
          <t>H8OK01157</t>
        </is>
      </c>
      <c r="F1839" t="inlineStr">
        <is>
          <t>REP</t>
        </is>
      </c>
      <c r="G1839" t="inlineStr">
        <is>
          <t>06042021</t>
        </is>
      </c>
      <c r="H1839" t="n">
        <v>2500</v>
      </c>
      <c r="I1839" t="inlineStr">
        <is>
          <t>202107149451077880</t>
        </is>
      </c>
      <c r="J1839" t="inlineStr">
        <is>
          <t>https://docquery.fec.gov/cgi-bin/fecimg/?202107149451077880</t>
        </is>
      </c>
    </row>
    <row r="1840">
      <c r="A1840" t="inlineStr">
        <is>
          <t>2022</t>
        </is>
      </c>
      <c r="B1840" t="inlineStr">
        <is>
          <t>C00109546</t>
        </is>
      </c>
      <c r="C1840" t="inlineStr">
        <is>
          <t>Valero Energy Corp PAC</t>
        </is>
      </c>
      <c r="D1840" t="inlineStr">
        <is>
          <t>HUDSON FOR CONGRESS</t>
        </is>
      </c>
      <c r="E1840" t="inlineStr">
        <is>
          <t>H2NC08185</t>
        </is>
      </c>
      <c r="F1840" t="inlineStr">
        <is>
          <t>REP</t>
        </is>
      </c>
      <c r="G1840" t="inlineStr">
        <is>
          <t>06042021</t>
        </is>
      </c>
      <c r="H1840" t="n">
        <v>2500</v>
      </c>
      <c r="I1840" t="inlineStr">
        <is>
          <t>202107149451077880</t>
        </is>
      </c>
      <c r="J1840" t="inlineStr">
        <is>
          <t>https://docquery.fec.gov/cgi-bin/fecimg/?202107149451077880</t>
        </is>
      </c>
    </row>
    <row r="1841">
      <c r="A1841" t="inlineStr">
        <is>
          <t>2022</t>
        </is>
      </c>
      <c r="B1841" t="inlineStr">
        <is>
          <t>C00109546</t>
        </is>
      </c>
      <c r="C1841" t="inlineStr">
        <is>
          <t>Valero Energy Corp PAC</t>
        </is>
      </c>
      <c r="D1841" t="inlineStr">
        <is>
          <t>KURT SCHRADER FOR CONGRESS</t>
        </is>
      </c>
      <c r="E1841" t="inlineStr">
        <is>
          <t>H8OR05107</t>
        </is>
      </c>
      <c r="F1841" t="inlineStr">
        <is>
          <t>DEM</t>
        </is>
      </c>
      <c r="G1841" t="inlineStr">
        <is>
          <t>06042021</t>
        </is>
      </c>
      <c r="H1841" t="n">
        <v>2500</v>
      </c>
      <c r="I1841" t="inlineStr">
        <is>
          <t>202107149451077881</t>
        </is>
      </c>
      <c r="J1841" t="inlineStr">
        <is>
          <t>https://docquery.fec.gov/cgi-bin/fecimg/?202107149451077881</t>
        </is>
      </c>
    </row>
    <row r="1842">
      <c r="A1842" t="inlineStr">
        <is>
          <t>2022</t>
        </is>
      </c>
      <c r="B1842" t="inlineStr">
        <is>
          <t>C00109546</t>
        </is>
      </c>
      <c r="C1842" t="inlineStr">
        <is>
          <t>Valero Energy Corp PAC</t>
        </is>
      </c>
      <c r="D1842" t="inlineStr">
        <is>
          <t>MARC VEASEY CONGRESSIONAL CAMPAIGN COMMITTEE</t>
        </is>
      </c>
      <c r="E1842" t="inlineStr">
        <is>
          <t>H2TX33073</t>
        </is>
      </c>
      <c r="F1842" t="inlineStr">
        <is>
          <t>DEM</t>
        </is>
      </c>
      <c r="G1842" t="inlineStr">
        <is>
          <t>06042021</t>
        </is>
      </c>
      <c r="H1842" t="n">
        <v>5000</v>
      </c>
      <c r="I1842" t="inlineStr">
        <is>
          <t>202107149451077881</t>
        </is>
      </c>
      <c r="J1842" t="inlineStr">
        <is>
          <t>https://docquery.fec.gov/cgi-bin/fecimg/?202107149451077881</t>
        </is>
      </c>
    </row>
    <row r="1843">
      <c r="A1843" t="inlineStr">
        <is>
          <t>2022</t>
        </is>
      </c>
      <c r="B1843" t="inlineStr">
        <is>
          <t>C00109546</t>
        </is>
      </c>
      <c r="C1843" t="inlineStr">
        <is>
          <t>Valero Energy Corp PAC</t>
        </is>
      </c>
      <c r="D1843" t="inlineStr">
        <is>
          <t>TERRI SEWELL FOR CONGRESS</t>
        </is>
      </c>
      <c r="E1843" t="inlineStr">
        <is>
          <t>H0AL07086</t>
        </is>
      </c>
      <c r="F1843" t="inlineStr">
        <is>
          <t>DEM</t>
        </is>
      </c>
      <c r="G1843" t="inlineStr">
        <is>
          <t>06042021</t>
        </is>
      </c>
      <c r="H1843" t="n">
        <v>2500</v>
      </c>
      <c r="I1843" t="inlineStr">
        <is>
          <t>202107149451077885</t>
        </is>
      </c>
      <c r="J1843" t="inlineStr">
        <is>
          <t>https://docquery.fec.gov/cgi-bin/fecimg/?202107149451077885</t>
        </is>
      </c>
    </row>
    <row r="1844">
      <c r="A1844" t="inlineStr">
        <is>
          <t>2022</t>
        </is>
      </c>
      <c r="B1844" t="inlineStr">
        <is>
          <t>C00109546</t>
        </is>
      </c>
      <c r="C1844" t="inlineStr">
        <is>
          <t>Valero Energy Corp PAC</t>
        </is>
      </c>
      <c r="D1844" t="inlineStr">
        <is>
          <t>TEXANS FOR HENRY CUELLAR CONGRESSIONAL CAMPAIGN</t>
        </is>
      </c>
      <c r="E1844" t="inlineStr">
        <is>
          <t>H2TX23082</t>
        </is>
      </c>
      <c r="F1844" t="inlineStr">
        <is>
          <t>DEM</t>
        </is>
      </c>
      <c r="G1844" t="inlineStr">
        <is>
          <t>06042021</t>
        </is>
      </c>
      <c r="H1844" t="n">
        <v>5000</v>
      </c>
      <c r="I1844" t="inlineStr">
        <is>
          <t>202107149451077885</t>
        </is>
      </c>
      <c r="J1844" t="inlineStr">
        <is>
          <t>https://docquery.fec.gov/cgi-bin/fecimg/?202107149451077885</t>
        </is>
      </c>
    </row>
    <row r="1845">
      <c r="A1845" t="inlineStr">
        <is>
          <t>2022</t>
        </is>
      </c>
      <c r="B1845" t="inlineStr">
        <is>
          <t>C00109546</t>
        </is>
      </c>
      <c r="C1845" t="inlineStr">
        <is>
          <t>Valero Energy Corp PAC</t>
        </is>
      </c>
      <c r="D1845" t="inlineStr">
        <is>
          <t>TONY GONZALES FOR CONGRESS</t>
        </is>
      </c>
      <c r="E1845" t="inlineStr">
        <is>
          <t>H0TX35015</t>
        </is>
      </c>
      <c r="F1845" t="inlineStr">
        <is>
          <t>REP</t>
        </is>
      </c>
      <c r="G1845" t="inlineStr">
        <is>
          <t>06042021</t>
        </is>
      </c>
      <c r="H1845" t="n">
        <v>5000</v>
      </c>
      <c r="I1845" t="inlineStr">
        <is>
          <t>202107149451077886</t>
        </is>
      </c>
      <c r="J1845" t="inlineStr">
        <is>
          <t>https://docquery.fec.gov/cgi-bin/fecimg/?202107149451077886</t>
        </is>
      </c>
    </row>
    <row r="1846">
      <c r="A1846" t="inlineStr">
        <is>
          <t>2022</t>
        </is>
      </c>
      <c r="B1846" t="inlineStr">
        <is>
          <t>C00109546</t>
        </is>
      </c>
      <c r="C1846" t="inlineStr">
        <is>
          <t>Valero Energy Corp PAC</t>
        </is>
      </c>
      <c r="D1846" t="inlineStr">
        <is>
          <t>ARMSTRONG FOR CONGRESS</t>
        </is>
      </c>
      <c r="E1846" t="inlineStr">
        <is>
          <t>H8ND00096</t>
        </is>
      </c>
      <c r="F1846" t="inlineStr">
        <is>
          <t>REP</t>
        </is>
      </c>
      <c r="G1846" t="inlineStr">
        <is>
          <t>06042021</t>
        </is>
      </c>
      <c r="H1846" t="n">
        <v>2500</v>
      </c>
      <c r="I1846" t="inlineStr">
        <is>
          <t>202107149451077875</t>
        </is>
      </c>
      <c r="J1846" t="inlineStr">
        <is>
          <t>https://docquery.fec.gov/cgi-bin/fecimg/?202107149451077875</t>
        </is>
      </c>
    </row>
    <row r="1847">
      <c r="A1847" t="inlineStr">
        <is>
          <t>2022</t>
        </is>
      </c>
      <c r="B1847" t="inlineStr">
        <is>
          <t>C00109546</t>
        </is>
      </c>
      <c r="C1847" t="inlineStr">
        <is>
          <t>Valero Energy Corp PAC</t>
        </is>
      </c>
      <c r="D1847" t="inlineStr">
        <is>
          <t>TONY GONZALES FOR CONGRESS</t>
        </is>
      </c>
      <c r="E1847" t="inlineStr">
        <is>
          <t>H0TX35015</t>
        </is>
      </c>
      <c r="F1847" t="inlineStr">
        <is>
          <t>REP</t>
        </is>
      </c>
      <c r="G1847" t="inlineStr">
        <is>
          <t>06042021</t>
        </is>
      </c>
      <c r="H1847" t="n">
        <v>5000</v>
      </c>
      <c r="I1847" t="inlineStr">
        <is>
          <t>202107149451077887</t>
        </is>
      </c>
      <c r="J1847" t="inlineStr">
        <is>
          <t>https://docquery.fec.gov/cgi-bin/fecimg/?202107149451077887</t>
        </is>
      </c>
    </row>
    <row r="1848">
      <c r="A1848" t="inlineStr">
        <is>
          <t>2022</t>
        </is>
      </c>
      <c r="B1848" t="inlineStr">
        <is>
          <t>C00109546</t>
        </is>
      </c>
      <c r="C1848" t="inlineStr">
        <is>
          <t>Valero Energy Corp PAC</t>
        </is>
      </c>
      <c r="D1848" t="inlineStr">
        <is>
          <t>VICENTE GONZALEZ FOR CONGRESS</t>
        </is>
      </c>
      <c r="E1848" t="inlineStr">
        <is>
          <t>H6TX15162</t>
        </is>
      </c>
      <c r="F1848" t="inlineStr">
        <is>
          <t>DEM</t>
        </is>
      </c>
      <c r="G1848" t="inlineStr">
        <is>
          <t>06042021</t>
        </is>
      </c>
      <c r="H1848" t="n">
        <v>5000</v>
      </c>
      <c r="I1848" t="inlineStr">
        <is>
          <t>202107149451077887</t>
        </is>
      </c>
      <c r="J1848" t="inlineStr">
        <is>
          <t>https://docquery.fec.gov/cgi-bin/fecimg/?202107149451077887</t>
        </is>
      </c>
    </row>
    <row r="1849">
      <c r="A1849" t="inlineStr">
        <is>
          <t>2022</t>
        </is>
      </c>
      <c r="B1849" t="inlineStr">
        <is>
          <t>C00109546</t>
        </is>
      </c>
      <c r="C1849" t="inlineStr">
        <is>
          <t>Valero Energy Corp PAC</t>
        </is>
      </c>
      <c r="D1849" t="inlineStr">
        <is>
          <t>BUCSHON FOR CONGRESS</t>
        </is>
      </c>
      <c r="E1849" t="inlineStr">
        <is>
          <t>H0IN08114</t>
        </is>
      </c>
      <c r="F1849" t="inlineStr">
        <is>
          <t>REP</t>
        </is>
      </c>
      <c r="G1849" t="inlineStr">
        <is>
          <t>06042021</t>
        </is>
      </c>
      <c r="H1849" t="n">
        <v>2500</v>
      </c>
      <c r="I1849" t="inlineStr">
        <is>
          <t>202107149451077876</t>
        </is>
      </c>
      <c r="J1849" t="inlineStr">
        <is>
          <t>https://docquery.fec.gov/cgi-bin/fecimg/?202107149451077876</t>
        </is>
      </c>
    </row>
    <row r="1850">
      <c r="A1850" t="inlineStr">
        <is>
          <t>2022</t>
        </is>
      </c>
      <c r="B1850" t="inlineStr">
        <is>
          <t>C00109546</t>
        </is>
      </c>
      <c r="C1850" t="inlineStr">
        <is>
          <t>Valero Energy Corp PAC</t>
        </is>
      </c>
      <c r="D1850" t="inlineStr">
        <is>
          <t>CHIP ROY FOR CONGRESS</t>
        </is>
      </c>
      <c r="E1850" t="inlineStr">
        <is>
          <t>H8TX21307</t>
        </is>
      </c>
      <c r="F1850" t="inlineStr">
        <is>
          <t>REP</t>
        </is>
      </c>
      <c r="G1850" t="inlineStr">
        <is>
          <t>06212021</t>
        </is>
      </c>
      <c r="H1850" t="n">
        <v>2500</v>
      </c>
      <c r="I1850" t="inlineStr">
        <is>
          <t>202107149451077877</t>
        </is>
      </c>
      <c r="J1850" t="inlineStr">
        <is>
          <t>https://docquery.fec.gov/cgi-bin/fecimg/?202107149451077877</t>
        </is>
      </c>
    </row>
    <row r="1851">
      <c r="A1851" t="inlineStr">
        <is>
          <t>2022</t>
        </is>
      </c>
      <c r="B1851" t="inlineStr">
        <is>
          <t>C00109546</t>
        </is>
      </c>
      <c r="C1851" t="inlineStr">
        <is>
          <t>Valero Energy Corp PAC</t>
        </is>
      </c>
      <c r="D1851" t="inlineStr">
        <is>
          <t>COLE FOR CONGRESS</t>
        </is>
      </c>
      <c r="E1851" t="inlineStr">
        <is>
          <t>H2OK04055</t>
        </is>
      </c>
      <c r="F1851" t="inlineStr">
        <is>
          <t>REP</t>
        </is>
      </c>
      <c r="G1851" t="inlineStr">
        <is>
          <t>06212021</t>
        </is>
      </c>
      <c r="H1851" t="n">
        <v>2500</v>
      </c>
      <c r="I1851" t="inlineStr">
        <is>
          <t>202107149451077877</t>
        </is>
      </c>
      <c r="J1851" t="inlineStr">
        <is>
          <t>https://docquery.fec.gov/cgi-bin/fecimg/?202107149451077877</t>
        </is>
      </c>
    </row>
    <row r="1852">
      <c r="A1852" t="inlineStr">
        <is>
          <t>2022</t>
        </is>
      </c>
      <c r="B1852" t="inlineStr">
        <is>
          <t>C00109546</t>
        </is>
      </c>
      <c r="C1852" t="inlineStr">
        <is>
          <t>Valero Energy Corp PAC</t>
        </is>
      </c>
      <c r="D1852" t="inlineStr">
        <is>
          <t>RICHARD E NEAL FOR CONGRESS COMMITTEE</t>
        </is>
      </c>
      <c r="E1852" t="inlineStr">
        <is>
          <t>H8MA02041</t>
        </is>
      </c>
      <c r="F1852" t="inlineStr">
        <is>
          <t>DEM</t>
        </is>
      </c>
      <c r="G1852" t="inlineStr">
        <is>
          <t>06212021</t>
        </is>
      </c>
      <c r="H1852" t="n">
        <v>5000</v>
      </c>
      <c r="I1852" t="inlineStr">
        <is>
          <t>202107149451077885</t>
        </is>
      </c>
      <c r="J1852" t="inlineStr">
        <is>
          <t>https://docquery.fec.gov/cgi-bin/fecimg/?202107149451077885</t>
        </is>
      </c>
    </row>
    <row r="1853">
      <c r="A1853" t="inlineStr">
        <is>
          <t>2022</t>
        </is>
      </c>
      <c r="B1853" t="inlineStr">
        <is>
          <t>C00109546</t>
        </is>
      </c>
      <c r="C1853" t="inlineStr">
        <is>
          <t>Valero Energy Corp PAC</t>
        </is>
      </c>
      <c r="D1853" t="inlineStr">
        <is>
          <t>CURTIS FOR CONGRESS</t>
        </is>
      </c>
      <c r="E1853" t="inlineStr">
        <is>
          <t>H8UT03238</t>
        </is>
      </c>
      <c r="F1853" t="inlineStr">
        <is>
          <t>REP</t>
        </is>
      </c>
      <c r="G1853" t="inlineStr">
        <is>
          <t>06212021</t>
        </is>
      </c>
      <c r="H1853" t="n">
        <v>2500</v>
      </c>
      <c r="I1853" t="inlineStr">
        <is>
          <t>202107149451077878</t>
        </is>
      </c>
      <c r="J1853" t="inlineStr">
        <is>
          <t>https://docquery.fec.gov/cgi-bin/fecimg/?202107149451077878</t>
        </is>
      </c>
    </row>
    <row r="1854">
      <c r="A1854" t="inlineStr">
        <is>
          <t>2022</t>
        </is>
      </c>
      <c r="B1854" t="inlineStr">
        <is>
          <t>C00109546</t>
        </is>
      </c>
      <c r="C1854" t="inlineStr">
        <is>
          <t>Valero Energy Corp PAC</t>
        </is>
      </c>
      <c r="D1854" t="inlineStr">
        <is>
          <t>DAN CRENSHAW FOR CONGRESS</t>
        </is>
      </c>
      <c r="E1854" t="inlineStr">
        <is>
          <t>H8TX02166</t>
        </is>
      </c>
      <c r="F1854" t="inlineStr">
        <is>
          <t>REP</t>
        </is>
      </c>
      <c r="G1854" t="inlineStr">
        <is>
          <t>06212021</t>
        </is>
      </c>
      <c r="H1854" t="n">
        <v>2500</v>
      </c>
      <c r="I1854" t="inlineStr">
        <is>
          <t>202107149451077878</t>
        </is>
      </c>
      <c r="J1854" t="inlineStr">
        <is>
          <t>https://docquery.fec.gov/cgi-bin/fecimg/?202107149451077878</t>
        </is>
      </c>
    </row>
    <row r="1855">
      <c r="A1855" t="inlineStr">
        <is>
          <t>2022</t>
        </is>
      </c>
      <c r="B1855" t="inlineStr">
        <is>
          <t>C00109546</t>
        </is>
      </c>
      <c r="C1855" t="inlineStr">
        <is>
          <t>Valero Energy Corp PAC</t>
        </is>
      </c>
      <c r="D1855" t="inlineStr">
        <is>
          <t>FEENSTRA FOR CONGRESS</t>
        </is>
      </c>
      <c r="E1855" t="inlineStr">
        <is>
          <t>H0IA04145</t>
        </is>
      </c>
      <c r="F1855" t="inlineStr">
        <is>
          <t>REP</t>
        </is>
      </c>
      <c r="G1855" t="inlineStr">
        <is>
          <t>06212021</t>
        </is>
      </c>
      <c r="H1855" t="n">
        <v>2500</v>
      </c>
      <c r="I1855" t="inlineStr">
        <is>
          <t>202107149451077879</t>
        </is>
      </c>
      <c r="J1855" t="inlineStr">
        <is>
          <t>https://docquery.fec.gov/cgi-bin/fecimg/?202107149451077879</t>
        </is>
      </c>
    </row>
    <row r="1856">
      <c r="A1856" t="inlineStr">
        <is>
          <t>2022</t>
        </is>
      </c>
      <c r="B1856" t="inlineStr">
        <is>
          <t>C00109546</t>
        </is>
      </c>
      <c r="C1856" t="inlineStr">
        <is>
          <t>Valero Energy Corp PAC</t>
        </is>
      </c>
      <c r="D1856" t="inlineStr">
        <is>
          <t>FRIENDS OF TODD YOUNG, INC.</t>
        </is>
      </c>
      <c r="E1856" t="inlineStr">
        <is>
          <t>S6IN00191</t>
        </is>
      </c>
      <c r="F1856" t="inlineStr">
        <is>
          <t>REP</t>
        </is>
      </c>
      <c r="G1856" t="inlineStr">
        <is>
          <t>06212021</t>
        </is>
      </c>
      <c r="H1856" t="n">
        <v>2500</v>
      </c>
      <c r="I1856" t="inlineStr">
        <is>
          <t>202107149451077879</t>
        </is>
      </c>
      <c r="J1856" t="inlineStr">
        <is>
          <t>https://docquery.fec.gov/cgi-bin/fecimg/?202107149451077879</t>
        </is>
      </c>
    </row>
    <row r="1857">
      <c r="A1857" t="inlineStr">
        <is>
          <t>2022</t>
        </is>
      </c>
      <c r="B1857" t="inlineStr">
        <is>
          <t>C00109546</t>
        </is>
      </c>
      <c r="C1857" t="inlineStr">
        <is>
          <t>Valero Energy Corp PAC</t>
        </is>
      </c>
      <c r="D1857" t="inlineStr">
        <is>
          <t>GARRET GRAVES FOR CONGRESS</t>
        </is>
      </c>
      <c r="E1857" t="inlineStr">
        <is>
          <t>H4LA06153</t>
        </is>
      </c>
      <c r="F1857" t="inlineStr">
        <is>
          <t>REP</t>
        </is>
      </c>
      <c r="G1857" t="inlineStr">
        <is>
          <t>06212021</t>
        </is>
      </c>
      <c r="H1857" t="n">
        <v>2500</v>
      </c>
      <c r="I1857" t="inlineStr">
        <is>
          <t>202107149451077879</t>
        </is>
      </c>
      <c r="J1857" t="inlineStr">
        <is>
          <t>https://docquery.fec.gov/cgi-bin/fecimg/?202107149451077879</t>
        </is>
      </c>
    </row>
    <row r="1858">
      <c r="A1858" t="inlineStr">
        <is>
          <t>2022</t>
        </is>
      </c>
      <c r="B1858" t="inlineStr">
        <is>
          <t>C00109546</t>
        </is>
      </c>
      <c r="C1858" t="inlineStr">
        <is>
          <t>Valero Energy Corp PAC</t>
        </is>
      </c>
      <c r="D1858" t="inlineStr">
        <is>
          <t>JIM COSTA FOR CONGRESS</t>
        </is>
      </c>
      <c r="E1858" t="inlineStr">
        <is>
          <t>H4CA20082</t>
        </is>
      </c>
      <c r="F1858" t="inlineStr">
        <is>
          <t>DEM</t>
        </is>
      </c>
      <c r="G1858" t="inlineStr">
        <is>
          <t>06212021</t>
        </is>
      </c>
      <c r="H1858" t="n">
        <v>2500</v>
      </c>
      <c r="I1858" t="inlineStr">
        <is>
          <t>202107149451077881</t>
        </is>
      </c>
      <c r="J1858" t="inlineStr">
        <is>
          <t>https://docquery.fec.gov/cgi-bin/fecimg/?202107149451077881</t>
        </is>
      </c>
    </row>
    <row r="1859">
      <c r="A1859" t="inlineStr">
        <is>
          <t>2022</t>
        </is>
      </c>
      <c r="B1859" t="inlineStr">
        <is>
          <t>C00109546</t>
        </is>
      </c>
      <c r="C1859" t="inlineStr">
        <is>
          <t>Valero Energy Corp PAC</t>
        </is>
      </c>
      <c r="D1859" t="inlineStr">
        <is>
          <t>TIM SCOTT FOR SENATE</t>
        </is>
      </c>
      <c r="E1859" t="inlineStr">
        <is>
          <t>S4SC00240</t>
        </is>
      </c>
      <c r="F1859" t="inlineStr">
        <is>
          <t>REP</t>
        </is>
      </c>
      <c r="G1859" t="inlineStr">
        <is>
          <t>06212021</t>
        </is>
      </c>
      <c r="H1859" t="n">
        <v>2500</v>
      </c>
      <c r="I1859" t="inlineStr">
        <is>
          <t>202107149451077886</t>
        </is>
      </c>
      <c r="J1859" t="inlineStr">
        <is>
          <t>https://docquery.fec.gov/cgi-bin/fecimg/?202107149451077886</t>
        </is>
      </c>
    </row>
    <row r="1860">
      <c r="A1860" t="inlineStr">
        <is>
          <t>2022</t>
        </is>
      </c>
      <c r="B1860" t="inlineStr">
        <is>
          <t>C00109546</t>
        </is>
      </c>
      <c r="C1860" t="inlineStr">
        <is>
          <t>Valero Energy Corp PAC</t>
        </is>
      </c>
      <c r="D1860" t="inlineStr">
        <is>
          <t>AUGUST PFLUGER FOR CONGRESS</t>
        </is>
      </c>
      <c r="E1860" t="inlineStr">
        <is>
          <t>H0TX11230</t>
        </is>
      </c>
      <c r="F1860" t="inlineStr">
        <is>
          <t>REP</t>
        </is>
      </c>
      <c r="G1860" t="inlineStr">
        <is>
          <t>06212021</t>
        </is>
      </c>
      <c r="H1860" t="n">
        <v>2500</v>
      </c>
      <c r="I1860" t="inlineStr">
        <is>
          <t>202107149451077875</t>
        </is>
      </c>
      <c r="J1860" t="inlineStr">
        <is>
          <t>https://docquery.fec.gov/cgi-bin/fecimg/?202107149451077875</t>
        </is>
      </c>
    </row>
    <row r="1861">
      <c r="A1861" t="inlineStr">
        <is>
          <t>2022</t>
        </is>
      </c>
      <c r="B1861" t="inlineStr">
        <is>
          <t>C00109546</t>
        </is>
      </c>
      <c r="C1861" t="inlineStr">
        <is>
          <t>Valero Energy Corp PAC</t>
        </is>
      </c>
      <c r="D1861" t="inlineStr">
        <is>
          <t>BICE FOR CONGRESS</t>
        </is>
      </c>
      <c r="E1861" t="inlineStr">
        <is>
          <t>H0OK05205</t>
        </is>
      </c>
      <c r="F1861" t="inlineStr">
        <is>
          <t>REP</t>
        </is>
      </c>
      <c r="G1861" t="inlineStr">
        <is>
          <t>06212021</t>
        </is>
      </c>
      <c r="H1861" t="n">
        <v>2500</v>
      </c>
      <c r="I1861" t="inlineStr">
        <is>
          <t>202107149451077875</t>
        </is>
      </c>
      <c r="J1861" t="inlineStr">
        <is>
          <t>https://docquery.fec.gov/cgi-bin/fecimg/?202107149451077875</t>
        </is>
      </c>
    </row>
    <row r="1862">
      <c r="A1862" t="inlineStr">
        <is>
          <t>2022</t>
        </is>
      </c>
      <c r="B1862" t="inlineStr">
        <is>
          <t>C00109546</t>
        </is>
      </c>
      <c r="C1862" t="inlineStr">
        <is>
          <t>Valero Energy Corp PAC</t>
        </is>
      </c>
      <c r="D1862" t="inlineStr">
        <is>
          <t>WESTERMAN FOR CONGRESS</t>
        </is>
      </c>
      <c r="E1862" t="inlineStr">
        <is>
          <t>H4AR04048</t>
        </is>
      </c>
      <c r="F1862" t="inlineStr">
        <is>
          <t>REP</t>
        </is>
      </c>
      <c r="G1862" t="inlineStr">
        <is>
          <t>06212021</t>
        </is>
      </c>
      <c r="H1862" t="n">
        <v>2500</v>
      </c>
      <c r="I1862" t="inlineStr">
        <is>
          <t>202107149451077887</t>
        </is>
      </c>
      <c r="J1862" t="inlineStr">
        <is>
          <t>https://docquery.fec.gov/cgi-bin/fecimg/?202107149451077887</t>
        </is>
      </c>
    </row>
    <row r="1863">
      <c r="A1863" t="inlineStr">
        <is>
          <t>2022</t>
        </is>
      </c>
      <c r="B1863" t="inlineStr">
        <is>
          <t>C00109546</t>
        </is>
      </c>
      <c r="C1863" t="inlineStr">
        <is>
          <t>Valero Energy Corp PAC</t>
        </is>
      </c>
      <c r="D1863" t="inlineStr">
        <is>
          <t>CATHY MCMORRIS RODGERS FOR CONGRESS</t>
        </is>
      </c>
      <c r="E1863" t="inlineStr">
        <is>
          <t>H4WA05077</t>
        </is>
      </c>
      <c r="F1863" t="inlineStr">
        <is>
          <t>REP</t>
        </is>
      </c>
      <c r="G1863" t="inlineStr">
        <is>
          <t>06212021</t>
        </is>
      </c>
      <c r="H1863" t="n">
        <v>2500</v>
      </c>
      <c r="I1863" t="inlineStr">
        <is>
          <t>202107149451077876</t>
        </is>
      </c>
      <c r="J1863" t="inlineStr">
        <is>
          <t>https://docquery.fec.gov/cgi-bin/fecimg/?202107149451077876</t>
        </is>
      </c>
    </row>
    <row r="1864">
      <c r="A1864" t="inlineStr">
        <is>
          <t>2022</t>
        </is>
      </c>
      <c r="B1864" t="inlineStr">
        <is>
          <t>C00109546</t>
        </is>
      </c>
      <c r="C1864" t="inlineStr">
        <is>
          <t>Valero Energy Corp PAC</t>
        </is>
      </c>
      <c r="D1864" t="inlineStr">
        <is>
          <t>BICE FOR CONGRESS</t>
        </is>
      </c>
      <c r="E1864" t="inlineStr">
        <is>
          <t>H0OK05205</t>
        </is>
      </c>
      <c r="F1864" t="inlineStr">
        <is>
          <t>REP</t>
        </is>
      </c>
      <c r="G1864" t="inlineStr">
        <is>
          <t>06232022</t>
        </is>
      </c>
      <c r="H1864" t="n">
        <v>2500</v>
      </c>
      <c r="I1864" t="inlineStr">
        <is>
          <t>202207199522194604</t>
        </is>
      </c>
      <c r="J1864" t="inlineStr">
        <is>
          <t>https://docquery.fec.gov/cgi-bin/fecimg/?202207199522194604</t>
        </is>
      </c>
    </row>
    <row r="1865">
      <c r="A1865" t="inlineStr">
        <is>
          <t>2022</t>
        </is>
      </c>
      <c r="B1865" t="inlineStr">
        <is>
          <t>C00109546</t>
        </is>
      </c>
      <c r="C1865" t="inlineStr">
        <is>
          <t>Valero Energy Corp PAC</t>
        </is>
      </c>
      <c r="D1865" t="inlineStr">
        <is>
          <t>BUCSHON FOR CONGRESS</t>
        </is>
      </c>
      <c r="E1865" t="inlineStr">
        <is>
          <t>H0IN08114</t>
        </is>
      </c>
      <c r="F1865" t="inlineStr">
        <is>
          <t>REP</t>
        </is>
      </c>
      <c r="G1865" t="inlineStr">
        <is>
          <t>06232022</t>
        </is>
      </c>
      <c r="H1865" t="n">
        <v>5000</v>
      </c>
      <c r="I1865" t="inlineStr">
        <is>
          <t>202207199522194604</t>
        </is>
      </c>
      <c r="J1865" t="inlineStr">
        <is>
          <t>https://docquery.fec.gov/cgi-bin/fecimg/?202207199522194604</t>
        </is>
      </c>
    </row>
    <row r="1866">
      <c r="A1866" t="inlineStr">
        <is>
          <t>2022</t>
        </is>
      </c>
      <c r="B1866" t="inlineStr">
        <is>
          <t>C00109546</t>
        </is>
      </c>
      <c r="C1866" t="inlineStr">
        <is>
          <t>Valero Energy Corp PAC</t>
        </is>
      </c>
      <c r="D1866" t="inlineStr">
        <is>
          <t>BYRON DONALDS FOR CONGRESS</t>
        </is>
      </c>
      <c r="E1866" t="inlineStr">
        <is>
          <t>H2FL14186</t>
        </is>
      </c>
      <c r="F1866" t="inlineStr">
        <is>
          <t>REP</t>
        </is>
      </c>
      <c r="G1866" t="inlineStr">
        <is>
          <t>06232022</t>
        </is>
      </c>
      <c r="H1866" t="n">
        <v>5000</v>
      </c>
      <c r="I1866" t="inlineStr">
        <is>
          <t>202207199522194605</t>
        </is>
      </c>
      <c r="J1866" t="inlineStr">
        <is>
          <t>https://docquery.fec.gov/cgi-bin/fecimg/?202207199522194605</t>
        </is>
      </c>
    </row>
    <row r="1867">
      <c r="A1867" t="inlineStr">
        <is>
          <t>2022</t>
        </is>
      </c>
      <c r="B1867" t="inlineStr">
        <is>
          <t>C00109546</t>
        </is>
      </c>
      <c r="C1867" t="inlineStr">
        <is>
          <t>Valero Energy Corp PAC</t>
        </is>
      </c>
      <c r="D1867" t="inlineStr">
        <is>
          <t>CURTIS FOR CONGRESS</t>
        </is>
      </c>
      <c r="E1867" t="inlineStr">
        <is>
          <t>H8UT03238</t>
        </is>
      </c>
      <c r="F1867" t="inlineStr">
        <is>
          <t>REP</t>
        </is>
      </c>
      <c r="G1867" t="inlineStr">
        <is>
          <t>06232022</t>
        </is>
      </c>
      <c r="H1867" t="n">
        <v>2500</v>
      </c>
      <c r="I1867" t="inlineStr">
        <is>
          <t>202207199522194606</t>
        </is>
      </c>
      <c r="J1867" t="inlineStr">
        <is>
          <t>https://docquery.fec.gov/cgi-bin/fecimg/?202207199522194606</t>
        </is>
      </c>
    </row>
    <row r="1868">
      <c r="A1868" t="inlineStr">
        <is>
          <t>2022</t>
        </is>
      </c>
      <c r="B1868" t="inlineStr">
        <is>
          <t>C00109546</t>
        </is>
      </c>
      <c r="C1868" t="inlineStr">
        <is>
          <t>Valero Energy Corp PAC</t>
        </is>
      </c>
      <c r="D1868" t="inlineStr">
        <is>
          <t>DR JOHN JOYCE FOR CONGRESS</t>
        </is>
      </c>
      <c r="E1868" t="inlineStr">
        <is>
          <t>H8PA13125</t>
        </is>
      </c>
      <c r="F1868" t="inlineStr">
        <is>
          <t>REP</t>
        </is>
      </c>
      <c r="G1868" t="inlineStr">
        <is>
          <t>06232022</t>
        </is>
      </c>
      <c r="H1868" t="n">
        <v>2500</v>
      </c>
      <c r="I1868" t="inlineStr">
        <is>
          <t>202207199522194606</t>
        </is>
      </c>
      <c r="J1868" t="inlineStr">
        <is>
          <t>https://docquery.fec.gov/cgi-bin/fecimg/?202207199522194606</t>
        </is>
      </c>
    </row>
    <row r="1869">
      <c r="A1869" t="inlineStr">
        <is>
          <t>2022</t>
        </is>
      </c>
      <c r="B1869" t="inlineStr">
        <is>
          <t>C00109546</t>
        </is>
      </c>
      <c r="C1869" t="inlineStr">
        <is>
          <t>Valero Energy Corp PAC</t>
        </is>
      </c>
      <c r="D1869" t="inlineStr">
        <is>
          <t>DR. BRIAN BABIN FOR CONGRESS</t>
        </is>
      </c>
      <c r="E1869" t="inlineStr">
        <is>
          <t>H6TX02079</t>
        </is>
      </c>
      <c r="F1869" t="inlineStr">
        <is>
          <t>REP</t>
        </is>
      </c>
      <c r="G1869" t="inlineStr">
        <is>
          <t>06232022</t>
        </is>
      </c>
      <c r="H1869" t="n">
        <v>2500</v>
      </c>
      <c r="I1869" t="inlineStr">
        <is>
          <t>202207199522194606</t>
        </is>
      </c>
      <c r="J1869" t="inlineStr">
        <is>
          <t>https://docquery.fec.gov/cgi-bin/fecimg/?202207199522194606</t>
        </is>
      </c>
    </row>
    <row r="1870">
      <c r="A1870" t="inlineStr">
        <is>
          <t>2022</t>
        </is>
      </c>
      <c r="B1870" t="inlineStr">
        <is>
          <t>C00109546</t>
        </is>
      </c>
      <c r="C1870" t="inlineStr">
        <is>
          <t>Valero Energy Corp PAC</t>
        </is>
      </c>
      <c r="D1870" t="inlineStr">
        <is>
          <t>HUDSON FOR CONGRESS</t>
        </is>
      </c>
      <c r="E1870" t="inlineStr">
        <is>
          <t>H2NC08185</t>
        </is>
      </c>
      <c r="F1870" t="inlineStr">
        <is>
          <t>REP</t>
        </is>
      </c>
      <c r="G1870" t="inlineStr">
        <is>
          <t>06232022</t>
        </is>
      </c>
      <c r="H1870" t="n">
        <v>2500</v>
      </c>
      <c r="I1870" t="inlineStr">
        <is>
          <t>202207199522194607</t>
        </is>
      </c>
      <c r="J1870" t="inlineStr">
        <is>
          <t>https://docquery.fec.gov/cgi-bin/fecimg/?202207199522194607</t>
        </is>
      </c>
    </row>
    <row r="1871">
      <c r="A1871" t="inlineStr">
        <is>
          <t>2022</t>
        </is>
      </c>
      <c r="B1871" t="inlineStr">
        <is>
          <t>C00109546</t>
        </is>
      </c>
      <c r="C1871" t="inlineStr">
        <is>
          <t>Valero Energy Corp PAC</t>
        </is>
      </c>
      <c r="D1871" t="inlineStr">
        <is>
          <t>JAKE ELLZEY FOR CONGRESS</t>
        </is>
      </c>
      <c r="E1871" t="inlineStr">
        <is>
          <t>H8TX06266</t>
        </is>
      </c>
      <c r="F1871" t="inlineStr">
        <is>
          <t>REP</t>
        </is>
      </c>
      <c r="G1871" t="inlineStr">
        <is>
          <t>06232022</t>
        </is>
      </c>
      <c r="H1871" t="n">
        <v>5000</v>
      </c>
      <c r="I1871" t="inlineStr">
        <is>
          <t>202207199522194608</t>
        </is>
      </c>
      <c r="J1871" t="inlineStr">
        <is>
          <t>https://docquery.fec.gov/cgi-bin/fecimg/?202207199522194608</t>
        </is>
      </c>
    </row>
    <row r="1872">
      <c r="A1872" t="inlineStr">
        <is>
          <t>2022</t>
        </is>
      </c>
      <c r="B1872" t="inlineStr">
        <is>
          <t>C00109546</t>
        </is>
      </c>
      <c r="C1872" t="inlineStr">
        <is>
          <t>Valero Energy Corp PAC</t>
        </is>
      </c>
      <c r="D1872" t="inlineStr">
        <is>
          <t>MICHELLE STEEL FOR CONGRESS</t>
        </is>
      </c>
      <c r="E1872" t="inlineStr">
        <is>
          <t>H0CA48198</t>
        </is>
      </c>
      <c r="F1872" t="inlineStr">
        <is>
          <t>REP</t>
        </is>
      </c>
      <c r="G1872" t="inlineStr">
        <is>
          <t>06232022</t>
        </is>
      </c>
      <c r="H1872" t="n">
        <v>5000</v>
      </c>
      <c r="I1872" t="inlineStr">
        <is>
          <t>202207199522194609</t>
        </is>
      </c>
      <c r="J1872" t="inlineStr">
        <is>
          <t>https://docquery.fec.gov/cgi-bin/fecimg/?202207199522194609</t>
        </is>
      </c>
    </row>
    <row r="1873">
      <c r="A1873" t="inlineStr">
        <is>
          <t>2022</t>
        </is>
      </c>
      <c r="B1873" t="inlineStr">
        <is>
          <t>C00109546</t>
        </is>
      </c>
      <c r="C1873" t="inlineStr">
        <is>
          <t>Valero Energy Corp PAC</t>
        </is>
      </c>
      <c r="D1873" t="inlineStr">
        <is>
          <t>MONICA FOR CONGRESS</t>
        </is>
      </c>
      <c r="E1873" t="inlineStr">
        <is>
          <t>H0TX15124</t>
        </is>
      </c>
      <c r="F1873" t="inlineStr">
        <is>
          <t>REP</t>
        </is>
      </c>
      <c r="G1873" t="inlineStr">
        <is>
          <t>06232022</t>
        </is>
      </c>
      <c r="H1873" t="n">
        <v>5000</v>
      </c>
      <c r="I1873" t="inlineStr">
        <is>
          <t>202207199522194609</t>
        </is>
      </c>
      <c r="J1873" t="inlineStr">
        <is>
          <t>https://docquery.fec.gov/cgi-bin/fecimg/?202207199522194609</t>
        </is>
      </c>
    </row>
    <row r="1874">
      <c r="A1874" t="inlineStr">
        <is>
          <t>2022</t>
        </is>
      </c>
      <c r="B1874" t="inlineStr">
        <is>
          <t>C00109546</t>
        </is>
      </c>
      <c r="C1874" t="inlineStr">
        <is>
          <t>Valero Energy Corp PAC</t>
        </is>
      </c>
      <c r="D1874" t="inlineStr">
        <is>
          <t>RON JOHNSON FOR SENATE, INC.</t>
        </is>
      </c>
      <c r="E1874" t="inlineStr">
        <is>
          <t>S0WI00197</t>
        </is>
      </c>
      <c r="F1874" t="inlineStr">
        <is>
          <t>REP</t>
        </is>
      </c>
      <c r="G1874" t="inlineStr">
        <is>
          <t>06232022</t>
        </is>
      </c>
      <c r="H1874" t="n">
        <v>2500</v>
      </c>
      <c r="I1874" t="inlineStr">
        <is>
          <t>202207199522194609</t>
        </is>
      </c>
      <c r="J1874" t="inlineStr">
        <is>
          <t>https://docquery.fec.gov/cgi-bin/fecimg/?202207199522194609</t>
        </is>
      </c>
    </row>
    <row r="1875">
      <c r="A1875" t="inlineStr">
        <is>
          <t>2022</t>
        </is>
      </c>
      <c r="B1875" t="inlineStr">
        <is>
          <t>C00109546</t>
        </is>
      </c>
      <c r="C1875" t="inlineStr">
        <is>
          <t>Valero Energy Corp PAC</t>
        </is>
      </c>
      <c r="D1875" t="inlineStr">
        <is>
          <t>SCALISE FOR CONGRESS</t>
        </is>
      </c>
      <c r="E1875" t="inlineStr">
        <is>
          <t>H0LA01087</t>
        </is>
      </c>
      <c r="F1875" t="inlineStr">
        <is>
          <t>REP</t>
        </is>
      </c>
      <c r="G1875" t="inlineStr">
        <is>
          <t>07272021</t>
        </is>
      </c>
      <c r="H1875" t="n">
        <v>5000</v>
      </c>
      <c r="I1875" t="inlineStr">
        <is>
          <t>202108129466257551</t>
        </is>
      </c>
      <c r="J1875" t="inlineStr">
        <is>
          <t>https://docquery.fec.gov/cgi-bin/fecimg/?202108129466257551</t>
        </is>
      </c>
    </row>
    <row r="1876">
      <c r="A1876" t="inlineStr">
        <is>
          <t>2022</t>
        </is>
      </c>
      <c r="B1876" t="inlineStr">
        <is>
          <t>C00109546</t>
        </is>
      </c>
      <c r="C1876" t="inlineStr">
        <is>
          <t>Valero Energy Corp PAC</t>
        </is>
      </c>
      <c r="D1876" t="inlineStr">
        <is>
          <t>SMUCKER FOR CONGRESS</t>
        </is>
      </c>
      <c r="E1876" t="inlineStr">
        <is>
          <t>H6PA16320</t>
        </is>
      </c>
      <c r="F1876" t="inlineStr">
        <is>
          <t>REP</t>
        </is>
      </c>
      <c r="G1876" t="inlineStr">
        <is>
          <t>07272021</t>
        </is>
      </c>
      <c r="H1876" t="n">
        <v>2500</v>
      </c>
      <c r="I1876" t="inlineStr">
        <is>
          <t>202108129466257552</t>
        </is>
      </c>
      <c r="J1876" t="inlineStr">
        <is>
          <t>https://docquery.fec.gov/cgi-bin/fecimg/?202108129466257552</t>
        </is>
      </c>
    </row>
    <row r="1877">
      <c r="A1877" t="inlineStr">
        <is>
          <t>2022</t>
        </is>
      </c>
      <c r="B1877" t="inlineStr">
        <is>
          <t>C00109546</t>
        </is>
      </c>
      <c r="C1877" t="inlineStr">
        <is>
          <t>Valero Energy Corp PAC</t>
        </is>
      </c>
      <c r="D1877" t="inlineStr">
        <is>
          <t>ANTHONY GONZALEZ FOR CONGRESS</t>
        </is>
      </c>
      <c r="E1877" t="inlineStr">
        <is>
          <t>H8OH16124</t>
        </is>
      </c>
      <c r="F1877" t="inlineStr">
        <is>
          <t>REP</t>
        </is>
      </c>
      <c r="G1877" t="inlineStr">
        <is>
          <t>07272021</t>
        </is>
      </c>
      <c r="H1877" t="n">
        <v>2500</v>
      </c>
      <c r="I1877" t="inlineStr">
        <is>
          <t>202108129466257547</t>
        </is>
      </c>
      <c r="J1877" t="inlineStr">
        <is>
          <t>https://docquery.fec.gov/cgi-bin/fecimg/?202108129466257547</t>
        </is>
      </c>
    </row>
    <row r="1878">
      <c r="A1878" t="inlineStr">
        <is>
          <t>2022</t>
        </is>
      </c>
      <c r="B1878" t="inlineStr">
        <is>
          <t>C00109546</t>
        </is>
      </c>
      <c r="C1878" t="inlineStr">
        <is>
          <t>Valero Energy Corp PAC</t>
        </is>
      </c>
      <c r="D1878" t="inlineStr">
        <is>
          <t>COMER FOR CONGRESS</t>
        </is>
      </c>
      <c r="E1878" t="inlineStr">
        <is>
          <t>H6KY01110</t>
        </is>
      </c>
      <c r="F1878" t="inlineStr">
        <is>
          <t>REP</t>
        </is>
      </c>
      <c r="G1878" t="inlineStr">
        <is>
          <t>07272021</t>
        </is>
      </c>
      <c r="H1878" t="n">
        <v>2500</v>
      </c>
      <c r="I1878" t="inlineStr">
        <is>
          <t>202108129466257547</t>
        </is>
      </c>
      <c r="J1878" t="inlineStr">
        <is>
          <t>https://docquery.fec.gov/cgi-bin/fecimg/?202108129466257547</t>
        </is>
      </c>
    </row>
    <row r="1879">
      <c r="A1879" t="inlineStr">
        <is>
          <t>2022</t>
        </is>
      </c>
      <c r="B1879" t="inlineStr">
        <is>
          <t>C00109546</t>
        </is>
      </c>
      <c r="C1879" t="inlineStr">
        <is>
          <t>Valero Energy Corp PAC</t>
        </is>
      </c>
      <c r="D1879" t="inlineStr">
        <is>
          <t>DAN CRENSHAW FOR CONGRESS</t>
        </is>
      </c>
      <c r="E1879" t="inlineStr">
        <is>
          <t>H8TX02166</t>
        </is>
      </c>
      <c r="F1879" t="inlineStr">
        <is>
          <t>REP</t>
        </is>
      </c>
      <c r="G1879" t="inlineStr">
        <is>
          <t>07272021</t>
        </is>
      </c>
      <c r="H1879" t="n">
        <v>2500</v>
      </c>
      <c r="I1879" t="inlineStr">
        <is>
          <t>202108129466257547</t>
        </is>
      </c>
      <c r="J1879" t="inlineStr">
        <is>
          <t>https://docquery.fec.gov/cgi-bin/fecimg/?202108129466257547</t>
        </is>
      </c>
    </row>
    <row r="1880">
      <c r="A1880" t="inlineStr">
        <is>
          <t>2022</t>
        </is>
      </c>
      <c r="B1880" t="inlineStr">
        <is>
          <t>C00109546</t>
        </is>
      </c>
      <c r="C1880" t="inlineStr">
        <is>
          <t>Valero Energy Corp PAC</t>
        </is>
      </c>
      <c r="D1880" t="inlineStr">
        <is>
          <t>FRIENDS OF JOHN THUNE</t>
        </is>
      </c>
      <c r="E1880" t="inlineStr">
        <is>
          <t>S2SD00068</t>
        </is>
      </c>
      <c r="F1880" t="inlineStr">
        <is>
          <t>REP</t>
        </is>
      </c>
      <c r="G1880" t="inlineStr">
        <is>
          <t>07272021</t>
        </is>
      </c>
      <c r="H1880" t="n">
        <v>2500</v>
      </c>
      <c r="I1880" t="inlineStr">
        <is>
          <t>202108129466257548</t>
        </is>
      </c>
      <c r="J1880" t="inlineStr">
        <is>
          <t>https://docquery.fec.gov/cgi-bin/fecimg/?202108129466257548</t>
        </is>
      </c>
    </row>
    <row r="1881">
      <c r="A1881" t="inlineStr">
        <is>
          <t>2022</t>
        </is>
      </c>
      <c r="B1881" t="inlineStr">
        <is>
          <t>C00109546</t>
        </is>
      </c>
      <c r="C1881" t="inlineStr">
        <is>
          <t>Valero Energy Corp PAC</t>
        </is>
      </c>
      <c r="D1881" t="inlineStr">
        <is>
          <t>JASON SMITH FOR CONGRESS</t>
        </is>
      </c>
      <c r="E1881" t="inlineStr">
        <is>
          <t>H4MO08162</t>
        </is>
      </c>
      <c r="F1881" t="inlineStr">
        <is>
          <t>REP</t>
        </is>
      </c>
      <c r="G1881" t="inlineStr">
        <is>
          <t>07272021</t>
        </is>
      </c>
      <c r="H1881" t="n">
        <v>5000</v>
      </c>
      <c r="I1881" t="inlineStr">
        <is>
          <t>202108129466257548</t>
        </is>
      </c>
      <c r="J1881" t="inlineStr">
        <is>
          <t>https://docquery.fec.gov/cgi-bin/fecimg/?202108129466257548</t>
        </is>
      </c>
    </row>
    <row r="1882">
      <c r="A1882" t="inlineStr">
        <is>
          <t>2022</t>
        </is>
      </c>
      <c r="B1882" t="inlineStr">
        <is>
          <t>C00109546</t>
        </is>
      </c>
      <c r="C1882" t="inlineStr">
        <is>
          <t>Valero Energy Corp PAC</t>
        </is>
      </c>
      <c r="D1882" t="inlineStr">
        <is>
          <t>KUSTOFF FOR CONGRESS</t>
        </is>
      </c>
      <c r="E1882" t="inlineStr">
        <is>
          <t>H2TN07103</t>
        </is>
      </c>
      <c r="F1882" t="inlineStr">
        <is>
          <t>REP</t>
        </is>
      </c>
      <c r="G1882" t="inlineStr">
        <is>
          <t>07272021</t>
        </is>
      </c>
      <c r="H1882" t="n">
        <v>2500</v>
      </c>
      <c r="I1882" t="inlineStr">
        <is>
          <t>202108129466257548</t>
        </is>
      </c>
      <c r="J1882" t="inlineStr">
        <is>
          <t>https://docquery.fec.gov/cgi-bin/fecimg/?202108129466257548</t>
        </is>
      </c>
    </row>
    <row r="1883">
      <c r="A1883" t="inlineStr">
        <is>
          <t>2022</t>
        </is>
      </c>
      <c r="B1883" t="inlineStr">
        <is>
          <t>C00109546</t>
        </is>
      </c>
      <c r="C1883" t="inlineStr">
        <is>
          <t>Valero Energy Corp PAC</t>
        </is>
      </c>
      <c r="D1883" t="inlineStr">
        <is>
          <t>MCHENRY FOR CONGRESS</t>
        </is>
      </c>
      <c r="E1883" t="inlineStr">
        <is>
          <t>H4NC10047</t>
        </is>
      </c>
      <c r="F1883" t="inlineStr">
        <is>
          <t>REP</t>
        </is>
      </c>
      <c r="G1883" t="inlineStr">
        <is>
          <t>07272021</t>
        </is>
      </c>
      <c r="H1883" t="n">
        <v>2500</v>
      </c>
      <c r="I1883" t="inlineStr">
        <is>
          <t>202108129466257550</t>
        </is>
      </c>
      <c r="J1883" t="inlineStr">
        <is>
          <t>https://docquery.fec.gov/cgi-bin/fecimg/?202108129466257550</t>
        </is>
      </c>
    </row>
    <row r="1884">
      <c r="A1884" t="inlineStr">
        <is>
          <t>2022</t>
        </is>
      </c>
      <c r="B1884" t="inlineStr">
        <is>
          <t>C00109546</t>
        </is>
      </c>
      <c r="C1884" t="inlineStr">
        <is>
          <t>Valero Energy Corp PAC</t>
        </is>
      </c>
      <c r="D1884" t="inlineStr">
        <is>
          <t>MIKE JOHNSON FOR LOUISIANA</t>
        </is>
      </c>
      <c r="E1884" t="inlineStr">
        <is>
          <t>H6LA04138</t>
        </is>
      </c>
      <c r="F1884" t="inlineStr">
        <is>
          <t>REP</t>
        </is>
      </c>
      <c r="G1884" t="inlineStr">
        <is>
          <t>07272021</t>
        </is>
      </c>
      <c r="H1884" t="n">
        <v>2500</v>
      </c>
      <c r="I1884" t="inlineStr">
        <is>
          <t>202108129466257550</t>
        </is>
      </c>
      <c r="J1884" t="inlineStr">
        <is>
          <t>https://docquery.fec.gov/cgi-bin/fecimg/?202108129466257550</t>
        </is>
      </c>
    </row>
    <row r="1885">
      <c r="A1885" t="inlineStr">
        <is>
          <t>2022</t>
        </is>
      </c>
      <c r="B1885" t="inlineStr">
        <is>
          <t>C00109546</t>
        </is>
      </c>
      <c r="C1885" t="inlineStr">
        <is>
          <t>Valero Energy Corp PAC</t>
        </is>
      </c>
      <c r="D1885" t="inlineStr">
        <is>
          <t>SCALISE FOR CONGRESS</t>
        </is>
      </c>
      <c r="E1885" t="inlineStr">
        <is>
          <t>H0LA01087</t>
        </is>
      </c>
      <c r="F1885" t="inlineStr">
        <is>
          <t>REP</t>
        </is>
      </c>
      <c r="G1885" t="inlineStr">
        <is>
          <t>07272021</t>
        </is>
      </c>
      <c r="H1885" t="n">
        <v>5000</v>
      </c>
      <c r="I1885" t="inlineStr">
        <is>
          <t>202108129466257551</t>
        </is>
      </c>
      <c r="J1885" t="inlineStr">
        <is>
          <t>https://docquery.fec.gov/cgi-bin/fecimg/?202108129466257551</t>
        </is>
      </c>
    </row>
    <row r="1886">
      <c r="A1886" t="inlineStr">
        <is>
          <t>2022</t>
        </is>
      </c>
      <c r="B1886" t="inlineStr">
        <is>
          <t>C00109546</t>
        </is>
      </c>
      <c r="C1886" t="inlineStr">
        <is>
          <t>Valero Energy Corp PAC</t>
        </is>
      </c>
      <c r="D1886" t="inlineStr">
        <is>
          <t>ADRIAN SMITH FOR CONGRESS</t>
        </is>
      </c>
      <c r="E1886" t="inlineStr">
        <is>
          <t>H6NE03115</t>
        </is>
      </c>
      <c r="F1886" t="inlineStr">
        <is>
          <t>REP</t>
        </is>
      </c>
      <c r="G1886" t="inlineStr">
        <is>
          <t>07272022</t>
        </is>
      </c>
      <c r="H1886" t="n">
        <v>5000</v>
      </c>
      <c r="I1886" t="inlineStr">
        <is>
          <t>202208199525555750</t>
        </is>
      </c>
      <c r="J1886" t="inlineStr">
        <is>
          <t>https://docquery.fec.gov/cgi-bin/fecimg/?202208199525555750</t>
        </is>
      </c>
    </row>
    <row r="1887">
      <c r="A1887" t="inlineStr">
        <is>
          <t>2022</t>
        </is>
      </c>
      <c r="B1887" t="inlineStr">
        <is>
          <t>C00109546</t>
        </is>
      </c>
      <c r="C1887" t="inlineStr">
        <is>
          <t>Valero Energy Corp PAC</t>
        </is>
      </c>
      <c r="D1887" t="inlineStr">
        <is>
          <t>CLOUD FOR CONGRESS</t>
        </is>
      </c>
      <c r="E1887" t="inlineStr">
        <is>
          <t>H8TX27049</t>
        </is>
      </c>
      <c r="F1887" t="inlineStr">
        <is>
          <t>REP</t>
        </is>
      </c>
      <c r="G1887" t="inlineStr">
        <is>
          <t>07272022</t>
        </is>
      </c>
      <c r="H1887" t="n">
        <v>5000</v>
      </c>
      <c r="I1887" t="inlineStr">
        <is>
          <t>202208199525555750</t>
        </is>
      </c>
      <c r="J1887" t="inlineStr">
        <is>
          <t>https://docquery.fec.gov/cgi-bin/fecimg/?202208199525555750</t>
        </is>
      </c>
    </row>
    <row r="1888">
      <c r="A1888" t="inlineStr">
        <is>
          <t>2022</t>
        </is>
      </c>
      <c r="B1888" t="inlineStr">
        <is>
          <t>C00109546</t>
        </is>
      </c>
      <c r="C1888" t="inlineStr">
        <is>
          <t>Valero Energy Corp PAC</t>
        </is>
      </c>
      <c r="D1888" t="inlineStr">
        <is>
          <t>JIM BANKS FOR CONGRESS, INC.</t>
        </is>
      </c>
      <c r="E1888" t="inlineStr">
        <is>
          <t>H6IN03229</t>
        </is>
      </c>
      <c r="F1888" t="inlineStr">
        <is>
          <t>REP</t>
        </is>
      </c>
      <c r="G1888" t="inlineStr">
        <is>
          <t>07272022</t>
        </is>
      </c>
      <c r="H1888" t="n">
        <v>5000</v>
      </c>
      <c r="I1888" t="inlineStr">
        <is>
          <t>202208199525555750</t>
        </is>
      </c>
      <c r="J1888" t="inlineStr">
        <is>
          <t>https://docquery.fec.gov/cgi-bin/fecimg/?202208199525555750</t>
        </is>
      </c>
    </row>
    <row r="1889">
      <c r="A1889" t="inlineStr">
        <is>
          <t>2022</t>
        </is>
      </c>
      <c r="B1889" t="inlineStr">
        <is>
          <t>C00109546</t>
        </is>
      </c>
      <c r="C1889" t="inlineStr">
        <is>
          <t>Valero Energy Corp PAC</t>
        </is>
      </c>
      <c r="D1889" t="inlineStr">
        <is>
          <t>KUSTOFF FOR CONGRESS</t>
        </is>
      </c>
      <c r="E1889" t="inlineStr">
        <is>
          <t>H2TN07103</t>
        </is>
      </c>
      <c r="F1889" t="inlineStr">
        <is>
          <t>REP</t>
        </is>
      </c>
      <c r="G1889" t="inlineStr">
        <is>
          <t>07272022</t>
        </is>
      </c>
      <c r="H1889" t="n">
        <v>2500</v>
      </c>
      <c r="I1889" t="inlineStr">
        <is>
          <t>202208199525555751</t>
        </is>
      </c>
      <c r="J1889" t="inlineStr">
        <is>
          <t>https://docquery.fec.gov/cgi-bin/fecimg/?202208199525555751</t>
        </is>
      </c>
    </row>
    <row r="1890">
      <c r="A1890" t="inlineStr">
        <is>
          <t>2022</t>
        </is>
      </c>
      <c r="B1890" t="inlineStr">
        <is>
          <t>C00109546</t>
        </is>
      </c>
      <c r="C1890" t="inlineStr">
        <is>
          <t>Valero Energy Corp PAC</t>
        </is>
      </c>
      <c r="D1890" t="inlineStr">
        <is>
          <t>TEXANS FOR RONNY JACKSON</t>
        </is>
      </c>
      <c r="E1890" t="inlineStr">
        <is>
          <t>H0TX13228</t>
        </is>
      </c>
      <c r="F1890" t="inlineStr">
        <is>
          <t>REP</t>
        </is>
      </c>
      <c r="G1890" t="inlineStr">
        <is>
          <t>07272022</t>
        </is>
      </c>
      <c r="H1890" t="n">
        <v>5000</v>
      </c>
      <c r="I1890" t="inlineStr">
        <is>
          <t>202208199525555751</t>
        </is>
      </c>
      <c r="J1890" t="inlineStr">
        <is>
          <t>https://docquery.fec.gov/cgi-bin/fecimg/?202208199525555751</t>
        </is>
      </c>
    </row>
    <row r="1891">
      <c r="A1891" t="inlineStr">
        <is>
          <t>2022</t>
        </is>
      </c>
      <c r="B1891" t="inlineStr">
        <is>
          <t>C00109546</t>
        </is>
      </c>
      <c r="C1891" t="inlineStr">
        <is>
          <t>Valero Energy Corp PAC</t>
        </is>
      </c>
      <c r="D1891" t="inlineStr">
        <is>
          <t>MULLIN FOR AMERICA</t>
        </is>
      </c>
      <c r="E1891" t="inlineStr">
        <is>
          <t>S2OK00186</t>
        </is>
      </c>
      <c r="F1891" t="inlineStr">
        <is>
          <t>REP</t>
        </is>
      </c>
      <c r="G1891" t="inlineStr">
        <is>
          <t>07282022</t>
        </is>
      </c>
      <c r="H1891" t="n">
        <v>-2500</v>
      </c>
      <c r="I1891" t="inlineStr">
        <is>
          <t>202208199525555749</t>
        </is>
      </c>
      <c r="J1891" t="inlineStr">
        <is>
          <t>https://docquery.fec.gov/cgi-bin/fecimg/?202208199525555749</t>
        </is>
      </c>
    </row>
    <row r="1892">
      <c r="A1892" t="inlineStr">
        <is>
          <t>2022</t>
        </is>
      </c>
      <c r="B1892" t="inlineStr">
        <is>
          <t>C00109546</t>
        </is>
      </c>
      <c r="C1892" t="inlineStr">
        <is>
          <t>Valero Energy Corp PAC</t>
        </is>
      </c>
      <c r="D1892" t="inlineStr">
        <is>
          <t>FRIENDS OF GLENN THOMPSON</t>
        </is>
      </c>
      <c r="E1892" t="inlineStr">
        <is>
          <t>H8PA05071</t>
        </is>
      </c>
      <c r="F1892" t="inlineStr">
        <is>
          <t>REP</t>
        </is>
      </c>
      <c r="G1892" t="inlineStr">
        <is>
          <t>08162022</t>
        </is>
      </c>
      <c r="H1892" t="n">
        <v>2500</v>
      </c>
      <c r="I1892" t="inlineStr">
        <is>
          <t>202209209528693619</t>
        </is>
      </c>
      <c r="J1892" t="inlineStr">
        <is>
          <t>https://docquery.fec.gov/cgi-bin/fecimg/?202209209528693619</t>
        </is>
      </c>
    </row>
    <row r="1893">
      <c r="A1893" t="inlineStr">
        <is>
          <t>2022</t>
        </is>
      </c>
      <c r="B1893" t="inlineStr">
        <is>
          <t>C00109546</t>
        </is>
      </c>
      <c r="C1893" t="inlineStr">
        <is>
          <t>Valero Energy Corp PAC</t>
        </is>
      </c>
      <c r="D1893" t="inlineStr">
        <is>
          <t>FRIX FOR CONGRESS</t>
        </is>
      </c>
      <c r="E1893" t="inlineStr">
        <is>
          <t>H2OK02257</t>
        </is>
      </c>
      <c r="F1893" t="inlineStr">
        <is>
          <t>REP</t>
        </is>
      </c>
      <c r="G1893" t="inlineStr">
        <is>
          <t>08162022</t>
        </is>
      </c>
      <c r="H1893" t="n">
        <v>5000</v>
      </c>
      <c r="I1893" t="inlineStr">
        <is>
          <t>202209209528693619</t>
        </is>
      </c>
      <c r="J1893" t="inlineStr">
        <is>
          <t>https://docquery.fec.gov/cgi-bin/fecimg/?202209209528693619</t>
        </is>
      </c>
    </row>
    <row r="1894">
      <c r="A1894" t="inlineStr">
        <is>
          <t>2022</t>
        </is>
      </c>
      <c r="B1894" t="inlineStr">
        <is>
          <t>C00109546</t>
        </is>
      </c>
      <c r="C1894" t="inlineStr">
        <is>
          <t>Valero Energy Corp PAC</t>
        </is>
      </c>
      <c r="D1894" t="inlineStr">
        <is>
          <t>JD VANCE FOR SENATE INC.</t>
        </is>
      </c>
      <c r="E1894" t="inlineStr">
        <is>
          <t>S2OH00436</t>
        </is>
      </c>
      <c r="F1894" t="inlineStr">
        <is>
          <t>REP</t>
        </is>
      </c>
      <c r="G1894" t="inlineStr">
        <is>
          <t>08162022</t>
        </is>
      </c>
      <c r="H1894" t="n">
        <v>5000</v>
      </c>
      <c r="I1894" t="inlineStr">
        <is>
          <t>202209209528693619</t>
        </is>
      </c>
      <c r="J1894" t="inlineStr">
        <is>
          <t>https://docquery.fec.gov/cgi-bin/fecimg/?202209209528693619</t>
        </is>
      </c>
    </row>
    <row r="1895">
      <c r="A1895" t="inlineStr">
        <is>
          <t>2022</t>
        </is>
      </c>
      <c r="B1895" t="inlineStr">
        <is>
          <t>C00109546</t>
        </is>
      </c>
      <c r="C1895" t="inlineStr">
        <is>
          <t>Valero Energy Corp PAC</t>
        </is>
      </c>
      <c r="D1895" t="inlineStr">
        <is>
          <t>JOHN JAMES FOR CONGRESS, INC.</t>
        </is>
      </c>
      <c r="E1895" t="inlineStr">
        <is>
          <t>H2MI10150</t>
        </is>
      </c>
      <c r="F1895" t="inlineStr">
        <is>
          <t>REP</t>
        </is>
      </c>
      <c r="G1895" t="inlineStr">
        <is>
          <t>08162022</t>
        </is>
      </c>
      <c r="H1895" t="n">
        <v>5000</v>
      </c>
      <c r="I1895" t="inlineStr">
        <is>
          <t>202209209528693620</t>
        </is>
      </c>
      <c r="J1895" t="inlineStr">
        <is>
          <t>https://docquery.fec.gov/cgi-bin/fecimg/?202209209528693620</t>
        </is>
      </c>
    </row>
    <row r="1896">
      <c r="A1896" t="inlineStr">
        <is>
          <t>2022</t>
        </is>
      </c>
      <c r="B1896" t="inlineStr">
        <is>
          <t>C00109546</t>
        </is>
      </c>
      <c r="C1896" t="inlineStr">
        <is>
          <t>Valero Energy Corp PAC</t>
        </is>
      </c>
      <c r="D1896" t="inlineStr">
        <is>
          <t>ANDY BARR FOR CONGRESS, INC.</t>
        </is>
      </c>
      <c r="E1896" t="inlineStr">
        <is>
          <t>H0KY06104</t>
        </is>
      </c>
      <c r="F1896" t="inlineStr">
        <is>
          <t>REP</t>
        </is>
      </c>
      <c r="G1896" t="inlineStr">
        <is>
          <t>08162022</t>
        </is>
      </c>
      <c r="H1896" t="n">
        <v>5000</v>
      </c>
      <c r="I1896" t="inlineStr">
        <is>
          <t>202209209528693618</t>
        </is>
      </c>
      <c r="J1896" t="inlineStr">
        <is>
          <t>https://docquery.fec.gov/cgi-bin/fecimg/?202209209528693618</t>
        </is>
      </c>
    </row>
    <row r="1897">
      <c r="A1897" t="inlineStr">
        <is>
          <t>2022</t>
        </is>
      </c>
      <c r="B1897" t="inlineStr">
        <is>
          <t>C00109546</t>
        </is>
      </c>
      <c r="C1897" t="inlineStr">
        <is>
          <t>Valero Energy Corp PAC</t>
        </is>
      </c>
      <c r="D1897" t="inlineStr">
        <is>
          <t>COMER FOR CONGRESS</t>
        </is>
      </c>
      <c r="E1897" t="inlineStr">
        <is>
          <t>H6KY01110</t>
        </is>
      </c>
      <c r="F1897" t="inlineStr">
        <is>
          <t>REP</t>
        </is>
      </c>
      <c r="G1897" t="inlineStr">
        <is>
          <t>08162022</t>
        </is>
      </c>
      <c r="H1897" t="n">
        <v>2500</v>
      </c>
      <c r="I1897" t="inlineStr">
        <is>
          <t>202209209528693618</t>
        </is>
      </c>
      <c r="J1897" t="inlineStr">
        <is>
          <t>https://docquery.fec.gov/cgi-bin/fecimg/?202209209528693618</t>
        </is>
      </c>
    </row>
    <row r="1898">
      <c r="A1898" t="inlineStr">
        <is>
          <t>2022</t>
        </is>
      </c>
      <c r="B1898" t="inlineStr">
        <is>
          <t>C00109546</t>
        </is>
      </c>
      <c r="C1898" t="inlineStr">
        <is>
          <t>Valero Energy Corp PAC</t>
        </is>
      </c>
      <c r="D1898" t="inlineStr">
        <is>
          <t>FEENSTRA FOR CONGRESS</t>
        </is>
      </c>
      <c r="E1898" t="inlineStr">
        <is>
          <t>H0IA04145</t>
        </is>
      </c>
      <c r="F1898" t="inlineStr">
        <is>
          <t>REP</t>
        </is>
      </c>
      <c r="G1898" t="inlineStr">
        <is>
          <t>08162022</t>
        </is>
      </c>
      <c r="H1898" t="n">
        <v>2500</v>
      </c>
      <c r="I1898" t="inlineStr">
        <is>
          <t>202209209528693618</t>
        </is>
      </c>
      <c r="J1898" t="inlineStr">
        <is>
          <t>https://docquery.fec.gov/cgi-bin/fecimg/?202209209528693618</t>
        </is>
      </c>
    </row>
    <row r="1899">
      <c r="A1899" t="inlineStr">
        <is>
          <t>2022</t>
        </is>
      </c>
      <c r="B1899" t="inlineStr">
        <is>
          <t>C00109546</t>
        </is>
      </c>
      <c r="C1899" t="inlineStr">
        <is>
          <t>Valero Energy Corp PAC</t>
        </is>
      </c>
      <c r="D1899" t="inlineStr">
        <is>
          <t>RON ESTES FOR CONGRESS</t>
        </is>
      </c>
      <c r="E1899" t="inlineStr">
        <is>
          <t>H8KS04112</t>
        </is>
      </c>
      <c r="F1899" t="inlineStr">
        <is>
          <t>REP</t>
        </is>
      </c>
      <c r="G1899" t="inlineStr">
        <is>
          <t>08162022</t>
        </is>
      </c>
      <c r="H1899" t="n">
        <v>5000</v>
      </c>
      <c r="I1899" t="inlineStr">
        <is>
          <t>202209209528693620</t>
        </is>
      </c>
      <c r="J1899" t="inlineStr">
        <is>
          <t>https://docquery.fec.gov/cgi-bin/fecimg/?202209209528693620</t>
        </is>
      </c>
    </row>
    <row r="1900">
      <c r="A1900" t="inlineStr">
        <is>
          <t>2022</t>
        </is>
      </c>
      <c r="B1900" t="inlineStr">
        <is>
          <t>C00109546</t>
        </is>
      </c>
      <c r="C1900" t="inlineStr">
        <is>
          <t>Valero Energy Corp PAC</t>
        </is>
      </c>
      <c r="D1900" t="inlineStr">
        <is>
          <t>CLOUD FOR CONGRESS</t>
        </is>
      </c>
      <c r="E1900" t="inlineStr">
        <is>
          <t>H8TX27049</t>
        </is>
      </c>
      <c r="F1900" t="inlineStr">
        <is>
          <t>REP</t>
        </is>
      </c>
      <c r="G1900" t="inlineStr">
        <is>
          <t>08262021</t>
        </is>
      </c>
      <c r="H1900" t="n">
        <v>2500</v>
      </c>
      <c r="I1900" t="inlineStr">
        <is>
          <t>202109209466782757</t>
        </is>
      </c>
      <c r="J1900" t="inlineStr">
        <is>
          <t>https://docquery.fec.gov/cgi-bin/fecimg/?202109209466782757</t>
        </is>
      </c>
    </row>
    <row r="1901">
      <c r="A1901" t="inlineStr">
        <is>
          <t>2022</t>
        </is>
      </c>
      <c r="B1901" t="inlineStr">
        <is>
          <t>C00109546</t>
        </is>
      </c>
      <c r="C1901" t="inlineStr">
        <is>
          <t>Valero Energy Corp PAC</t>
        </is>
      </c>
      <c r="D1901" t="inlineStr">
        <is>
          <t>MIKE KELLY FOR CONGRESS</t>
        </is>
      </c>
      <c r="E1901" t="inlineStr">
        <is>
          <t>H0PA03271</t>
        </is>
      </c>
      <c r="F1901" t="inlineStr">
        <is>
          <t>REP</t>
        </is>
      </c>
      <c r="G1901" t="inlineStr">
        <is>
          <t>08262021</t>
        </is>
      </c>
      <c r="H1901" t="n">
        <v>2500</v>
      </c>
      <c r="I1901" t="inlineStr">
        <is>
          <t>202109209466782758</t>
        </is>
      </c>
      <c r="J1901" t="inlineStr">
        <is>
          <t>https://docquery.fec.gov/cgi-bin/fecimg/?202109209466782758</t>
        </is>
      </c>
    </row>
    <row r="1902">
      <c r="A1902" t="inlineStr">
        <is>
          <t>2022</t>
        </is>
      </c>
      <c r="B1902" t="inlineStr">
        <is>
          <t>C00109546</t>
        </is>
      </c>
      <c r="C1902" t="inlineStr">
        <is>
          <t>Valero Energy Corp PAC</t>
        </is>
      </c>
      <c r="D1902" t="inlineStr">
        <is>
          <t>MULLIN FOR CONGRESS</t>
        </is>
      </c>
      <c r="E1902" t="inlineStr">
        <is>
          <t>H2OK02083</t>
        </is>
      </c>
      <c r="F1902" t="inlineStr">
        <is>
          <t>REP</t>
        </is>
      </c>
      <c r="G1902" t="inlineStr">
        <is>
          <t>08262021</t>
        </is>
      </c>
      <c r="H1902" t="n">
        <v>2500</v>
      </c>
      <c r="I1902" t="inlineStr">
        <is>
          <t>202109209466782758</t>
        </is>
      </c>
      <c r="J1902" t="inlineStr">
        <is>
          <t>https://docquery.fec.gov/cgi-bin/fecimg/?202109209466782758</t>
        </is>
      </c>
    </row>
    <row r="1903">
      <c r="A1903" t="inlineStr">
        <is>
          <t>2022</t>
        </is>
      </c>
      <c r="B1903" t="inlineStr">
        <is>
          <t>C00109546</t>
        </is>
      </c>
      <c r="C1903" t="inlineStr">
        <is>
          <t>Valero Energy Corp PAC</t>
        </is>
      </c>
      <c r="D1903" t="inlineStr">
        <is>
          <t>PETE STAUBER FOR CONGRESS</t>
        </is>
      </c>
      <c r="E1903" t="inlineStr">
        <is>
          <t>H8MN08043</t>
        </is>
      </c>
      <c r="F1903" t="inlineStr">
        <is>
          <t>REP</t>
        </is>
      </c>
      <c r="G1903" t="inlineStr">
        <is>
          <t>08262021</t>
        </is>
      </c>
      <c r="H1903" t="n">
        <v>2500</v>
      </c>
      <c r="I1903" t="inlineStr">
        <is>
          <t>202109209466782759</t>
        </is>
      </c>
      <c r="J1903" t="inlineStr">
        <is>
          <t>https://docquery.fec.gov/cgi-bin/fecimg/?202109209466782759</t>
        </is>
      </c>
    </row>
    <row r="1904">
      <c r="A1904" t="inlineStr">
        <is>
          <t>2022</t>
        </is>
      </c>
      <c r="B1904" t="inlineStr">
        <is>
          <t>C00109546</t>
        </is>
      </c>
      <c r="C1904" t="inlineStr">
        <is>
          <t>Valero Energy Corp PAC</t>
        </is>
      </c>
      <c r="D1904" t="inlineStr">
        <is>
          <t>WENSTRUP FOR CONGRESS</t>
        </is>
      </c>
      <c r="E1904" t="inlineStr">
        <is>
          <t>H2OH02085</t>
        </is>
      </c>
      <c r="F1904" t="inlineStr">
        <is>
          <t>REP</t>
        </is>
      </c>
      <c r="G1904" t="inlineStr">
        <is>
          <t>08262021</t>
        </is>
      </c>
      <c r="H1904" t="n">
        <v>2500</v>
      </c>
      <c r="I1904" t="inlineStr">
        <is>
          <t>202109209466782759</t>
        </is>
      </c>
      <c r="J1904" t="inlineStr">
        <is>
          <t>https://docquery.fec.gov/cgi-bin/fecimg/?202109209466782759</t>
        </is>
      </c>
    </row>
    <row r="1905">
      <c r="A1905" t="inlineStr">
        <is>
          <t>2022</t>
        </is>
      </c>
      <c r="B1905" t="inlineStr">
        <is>
          <t>C00109546</t>
        </is>
      </c>
      <c r="C1905" t="inlineStr">
        <is>
          <t>Valero Energy Corp PAC</t>
        </is>
      </c>
      <c r="D1905" t="inlineStr">
        <is>
          <t>ARMSTRONG FOR CONGRESS</t>
        </is>
      </c>
      <c r="E1905" t="inlineStr">
        <is>
          <t>H8ND00096</t>
        </is>
      </c>
      <c r="F1905" t="inlineStr">
        <is>
          <t>REP</t>
        </is>
      </c>
      <c r="G1905" t="inlineStr">
        <is>
          <t>09142022</t>
        </is>
      </c>
      <c r="H1905" t="n">
        <v>5000</v>
      </c>
      <c r="I1905" t="inlineStr">
        <is>
          <t>202210199537586426</t>
        </is>
      </c>
      <c r="J1905" t="inlineStr">
        <is>
          <t>https://docquery.fec.gov/cgi-bin/fecimg/?202210199537586426</t>
        </is>
      </c>
    </row>
    <row r="1906">
      <c r="A1906" t="inlineStr">
        <is>
          <t>2022</t>
        </is>
      </c>
      <c r="B1906" t="inlineStr">
        <is>
          <t>C00109546</t>
        </is>
      </c>
      <c r="C1906" t="inlineStr">
        <is>
          <t>Valero Energy Corp PAC</t>
        </is>
      </c>
      <c r="D1906" t="inlineStr">
        <is>
          <t>ASHLEY HINSON FOR CONGRESS</t>
        </is>
      </c>
      <c r="E1906" t="inlineStr">
        <is>
          <t>H0IA01174</t>
        </is>
      </c>
      <c r="F1906" t="inlineStr">
        <is>
          <t>REP</t>
        </is>
      </c>
      <c r="G1906" t="inlineStr">
        <is>
          <t>09142022</t>
        </is>
      </c>
      <c r="H1906" t="n">
        <v>2500</v>
      </c>
      <c r="I1906" t="inlineStr">
        <is>
          <t>202210199537586426</t>
        </is>
      </c>
      <c r="J1906" t="inlineStr">
        <is>
          <t>https://docquery.fec.gov/cgi-bin/fecimg/?202210199537586426</t>
        </is>
      </c>
    </row>
    <row r="1907">
      <c r="A1907" t="inlineStr">
        <is>
          <t>2022</t>
        </is>
      </c>
      <c r="B1907" t="inlineStr">
        <is>
          <t>C00109546</t>
        </is>
      </c>
      <c r="C1907" t="inlineStr">
        <is>
          <t>Valero Energy Corp PAC</t>
        </is>
      </c>
      <c r="D1907" t="inlineStr">
        <is>
          <t>BETH VAN DUYNE FOR CONGRESS</t>
        </is>
      </c>
      <c r="E1907" t="inlineStr">
        <is>
          <t>H0TX24209</t>
        </is>
      </c>
      <c r="F1907" t="inlineStr">
        <is>
          <t>REP</t>
        </is>
      </c>
      <c r="G1907" t="inlineStr">
        <is>
          <t>09142022</t>
        </is>
      </c>
      <c r="H1907" t="n">
        <v>2500</v>
      </c>
      <c r="I1907" t="inlineStr">
        <is>
          <t>202210199537586426</t>
        </is>
      </c>
      <c r="J1907" t="inlineStr">
        <is>
          <t>https://docquery.fec.gov/cgi-bin/fecimg/?202210199537586426</t>
        </is>
      </c>
    </row>
    <row r="1908">
      <c r="A1908" t="inlineStr">
        <is>
          <t>2022</t>
        </is>
      </c>
      <c r="B1908" t="inlineStr">
        <is>
          <t>C00109546</t>
        </is>
      </c>
      <c r="C1908" t="inlineStr">
        <is>
          <t>Valero Energy Corp PAC</t>
        </is>
      </c>
      <c r="D1908" t="inlineStr">
        <is>
          <t>CATHY MCMORRIS RODGERS FOR CONGRESS</t>
        </is>
      </c>
      <c r="E1908" t="inlineStr">
        <is>
          <t>H4WA05077</t>
        </is>
      </c>
      <c r="F1908" t="inlineStr">
        <is>
          <t>REP</t>
        </is>
      </c>
      <c r="G1908" t="inlineStr">
        <is>
          <t>09142022</t>
        </is>
      </c>
      <c r="H1908" t="n">
        <v>2500</v>
      </c>
      <c r="I1908" t="inlineStr">
        <is>
          <t>202210199537586427</t>
        </is>
      </c>
      <c r="J1908" t="inlineStr">
        <is>
          <t>https://docquery.fec.gov/cgi-bin/fecimg/?202210199537586427</t>
        </is>
      </c>
    </row>
    <row r="1909">
      <c r="A1909" t="inlineStr">
        <is>
          <t>2022</t>
        </is>
      </c>
      <c r="B1909" t="inlineStr">
        <is>
          <t>C00109546</t>
        </is>
      </c>
      <c r="C1909" t="inlineStr">
        <is>
          <t>Valero Energy Corp PAC</t>
        </is>
      </c>
      <c r="D1909" t="inlineStr">
        <is>
          <t>COLE FOR CONGRESS</t>
        </is>
      </c>
      <c r="E1909" t="inlineStr">
        <is>
          <t>H2OK04055</t>
        </is>
      </c>
      <c r="F1909" t="inlineStr">
        <is>
          <t>REP</t>
        </is>
      </c>
      <c r="G1909" t="inlineStr">
        <is>
          <t>09142022</t>
        </is>
      </c>
      <c r="H1909" t="n">
        <v>5000</v>
      </c>
      <c r="I1909" t="inlineStr">
        <is>
          <t>202210199537586427</t>
        </is>
      </c>
      <c r="J1909" t="inlineStr">
        <is>
          <t>https://docquery.fec.gov/cgi-bin/fecimg/?202210199537586427</t>
        </is>
      </c>
    </row>
    <row r="1910">
      <c r="A1910" t="inlineStr">
        <is>
          <t>2022</t>
        </is>
      </c>
      <c r="B1910" t="inlineStr">
        <is>
          <t>C00109546</t>
        </is>
      </c>
      <c r="C1910" t="inlineStr">
        <is>
          <t>Valero Energy Corp PAC</t>
        </is>
      </c>
      <c r="D1910" t="inlineStr">
        <is>
          <t>DAN CRENSHAW FOR CONGRESS</t>
        </is>
      </c>
      <c r="E1910" t="inlineStr">
        <is>
          <t>H8TX02166</t>
        </is>
      </c>
      <c r="F1910" t="inlineStr">
        <is>
          <t>REP</t>
        </is>
      </c>
      <c r="G1910" t="inlineStr">
        <is>
          <t>09142022</t>
        </is>
      </c>
      <c r="H1910" t="n">
        <v>5000</v>
      </c>
      <c r="I1910" t="inlineStr">
        <is>
          <t>202210199537586428</t>
        </is>
      </c>
      <c r="J1910" t="inlineStr">
        <is>
          <t>https://docquery.fec.gov/cgi-bin/fecimg/?202210199537586428</t>
        </is>
      </c>
    </row>
    <row r="1911">
      <c r="A1911" t="inlineStr">
        <is>
          <t>2022</t>
        </is>
      </c>
      <c r="B1911" t="inlineStr">
        <is>
          <t>C00109546</t>
        </is>
      </c>
      <c r="C1911" t="inlineStr">
        <is>
          <t>Valero Energy Corp PAC</t>
        </is>
      </c>
      <c r="D1911" t="inlineStr">
        <is>
          <t>JOE WILSON FOR CONGRESS</t>
        </is>
      </c>
      <c r="E1911" t="inlineStr">
        <is>
          <t>H2SC02059</t>
        </is>
      </c>
      <c r="F1911" t="inlineStr">
        <is>
          <t>REP</t>
        </is>
      </c>
      <c r="G1911" t="inlineStr">
        <is>
          <t>09142022</t>
        </is>
      </c>
      <c r="H1911" t="n">
        <v>2500</v>
      </c>
      <c r="I1911" t="inlineStr">
        <is>
          <t>202210199537586431</t>
        </is>
      </c>
      <c r="J1911" t="inlineStr">
        <is>
          <t>https://docquery.fec.gov/cgi-bin/fecimg/?202210199537586431</t>
        </is>
      </c>
    </row>
    <row r="1912">
      <c r="A1912" t="inlineStr">
        <is>
          <t>2022</t>
        </is>
      </c>
      <c r="B1912" t="inlineStr">
        <is>
          <t>C00109546</t>
        </is>
      </c>
      <c r="C1912" t="inlineStr">
        <is>
          <t>Valero Energy Corp PAC</t>
        </is>
      </c>
      <c r="D1912" t="inlineStr">
        <is>
          <t>LANCE GOODEN FOR CONGRESS COMMITTEE</t>
        </is>
      </c>
      <c r="E1912" t="inlineStr">
        <is>
          <t>H8TX05144</t>
        </is>
      </c>
      <c r="F1912" t="inlineStr">
        <is>
          <t>REP</t>
        </is>
      </c>
      <c r="G1912" t="inlineStr">
        <is>
          <t>09142022</t>
        </is>
      </c>
      <c r="H1912" t="n">
        <v>5000</v>
      </c>
      <c r="I1912" t="inlineStr">
        <is>
          <t>202210199537586432</t>
        </is>
      </c>
      <c r="J1912" t="inlineStr">
        <is>
          <t>https://docquery.fec.gov/cgi-bin/fecimg/?202210199537586432</t>
        </is>
      </c>
    </row>
    <row r="1913">
      <c r="A1913" t="inlineStr">
        <is>
          <t>2022</t>
        </is>
      </c>
      <c r="B1913" t="inlineStr">
        <is>
          <t>C00109546</t>
        </is>
      </c>
      <c r="C1913" t="inlineStr">
        <is>
          <t>Valero Energy Corp PAC</t>
        </is>
      </c>
      <c r="D1913" t="inlineStr">
        <is>
          <t>MCCAUL FOR CONGRESS, INC</t>
        </is>
      </c>
      <c r="E1913" t="inlineStr">
        <is>
          <t>H4TX10093</t>
        </is>
      </c>
      <c r="F1913" t="inlineStr">
        <is>
          <t>REP</t>
        </is>
      </c>
      <c r="G1913" t="inlineStr">
        <is>
          <t>09142022</t>
        </is>
      </c>
      <c r="H1913" t="n">
        <v>5000</v>
      </c>
      <c r="I1913" t="inlineStr">
        <is>
          <t>202210199537586432</t>
        </is>
      </c>
      <c r="J1913" t="inlineStr">
        <is>
          <t>https://docquery.fec.gov/cgi-bin/fecimg/?202210199537586432</t>
        </is>
      </c>
    </row>
    <row r="1914">
      <c r="A1914" t="inlineStr">
        <is>
          <t>2022</t>
        </is>
      </c>
      <c r="B1914" t="inlineStr">
        <is>
          <t>C00109546</t>
        </is>
      </c>
      <c r="C1914" t="inlineStr">
        <is>
          <t>Valero Energy Corp PAC</t>
        </is>
      </c>
      <c r="D1914" t="inlineStr">
        <is>
          <t>MIKE JOHNSON FOR LOUISIANA</t>
        </is>
      </c>
      <c r="E1914" t="inlineStr">
        <is>
          <t>H6LA04138</t>
        </is>
      </c>
      <c r="F1914" t="inlineStr">
        <is>
          <t>REP</t>
        </is>
      </c>
      <c r="G1914" t="inlineStr">
        <is>
          <t>09142022</t>
        </is>
      </c>
      <c r="H1914" t="n">
        <v>5000</v>
      </c>
      <c r="I1914" t="inlineStr">
        <is>
          <t>202210199537586432</t>
        </is>
      </c>
      <c r="J1914" t="inlineStr">
        <is>
          <t>https://docquery.fec.gov/cgi-bin/fecimg/?202210199537586432</t>
        </is>
      </c>
    </row>
    <row r="1915">
      <c r="A1915" t="inlineStr">
        <is>
          <t>2022</t>
        </is>
      </c>
      <c r="B1915" t="inlineStr">
        <is>
          <t>C00109546</t>
        </is>
      </c>
      <c r="C1915" t="inlineStr">
        <is>
          <t>Valero Energy Corp PAC</t>
        </is>
      </c>
      <c r="D1915" t="inlineStr">
        <is>
          <t>MILLER-MEEKS FOR CONGRESS</t>
        </is>
      </c>
      <c r="E1915" t="inlineStr">
        <is>
          <t>H8IA02043</t>
        </is>
      </c>
      <c r="F1915" t="inlineStr">
        <is>
          <t>REP</t>
        </is>
      </c>
      <c r="G1915" t="inlineStr">
        <is>
          <t>09142022</t>
        </is>
      </c>
      <c r="H1915" t="n">
        <v>2500</v>
      </c>
      <c r="I1915" t="inlineStr">
        <is>
          <t>202210199537586433</t>
        </is>
      </c>
      <c r="J1915" t="inlineStr">
        <is>
          <t>https://docquery.fec.gov/cgi-bin/fecimg/?202210199537586433</t>
        </is>
      </c>
    </row>
    <row r="1916">
      <c r="A1916" t="inlineStr">
        <is>
          <t>2022</t>
        </is>
      </c>
      <c r="B1916" t="inlineStr">
        <is>
          <t>C00109546</t>
        </is>
      </c>
      <c r="C1916" t="inlineStr">
        <is>
          <t>Valero Energy Corp PAC</t>
        </is>
      </c>
      <c r="D1916" t="inlineStr">
        <is>
          <t>MORGAN GRIFFITH FOR CONGRESS</t>
        </is>
      </c>
      <c r="E1916" t="inlineStr">
        <is>
          <t>H0VA09055</t>
        </is>
      </c>
      <c r="F1916" t="inlineStr">
        <is>
          <t>REP</t>
        </is>
      </c>
      <c r="G1916" t="inlineStr">
        <is>
          <t>09142022</t>
        </is>
      </c>
      <c r="H1916" t="n">
        <v>5000</v>
      </c>
      <c r="I1916" t="inlineStr">
        <is>
          <t>202210199537586433</t>
        </is>
      </c>
      <c r="J1916" t="inlineStr">
        <is>
          <t>https://docquery.fec.gov/cgi-bin/fecimg/?202210199537586433</t>
        </is>
      </c>
    </row>
    <row r="1917">
      <c r="A1917" t="inlineStr">
        <is>
          <t>2022</t>
        </is>
      </c>
      <c r="B1917" t="inlineStr">
        <is>
          <t>C00109546</t>
        </is>
      </c>
      <c r="C1917" t="inlineStr">
        <is>
          <t>Valero Energy Corp PAC</t>
        </is>
      </c>
      <c r="D1917" t="inlineStr">
        <is>
          <t>MULLIN FOR AMERICA</t>
        </is>
      </c>
      <c r="E1917" t="inlineStr">
        <is>
          <t>S2OK00186</t>
        </is>
      </c>
      <c r="F1917" t="inlineStr">
        <is>
          <t>REP</t>
        </is>
      </c>
      <c r="G1917" t="inlineStr">
        <is>
          <t>09142022</t>
        </is>
      </c>
      <c r="H1917" t="n">
        <v>5000</v>
      </c>
      <c r="I1917" t="inlineStr">
        <is>
          <t>202210199537586433</t>
        </is>
      </c>
      <c r="J1917" t="inlineStr">
        <is>
          <t>https://docquery.fec.gov/cgi-bin/fecimg/?202210199537586433</t>
        </is>
      </c>
    </row>
    <row r="1918">
      <c r="A1918" t="inlineStr">
        <is>
          <t>2022</t>
        </is>
      </c>
      <c r="B1918" t="inlineStr">
        <is>
          <t>C00109546</t>
        </is>
      </c>
      <c r="C1918" t="inlineStr">
        <is>
          <t>Valero Energy Corp PAC</t>
        </is>
      </c>
      <c r="D1918" t="inlineStr">
        <is>
          <t>NEHLS FOR CONGRESS</t>
        </is>
      </c>
      <c r="E1918" t="inlineStr">
        <is>
          <t>H0TX22302</t>
        </is>
      </c>
      <c r="F1918" t="inlineStr">
        <is>
          <t>REP</t>
        </is>
      </c>
      <c r="G1918" t="inlineStr">
        <is>
          <t>09142022</t>
        </is>
      </c>
      <c r="H1918" t="n">
        <v>2500</v>
      </c>
      <c r="I1918" t="inlineStr">
        <is>
          <t>202210199537586434</t>
        </is>
      </c>
      <c r="J1918" t="inlineStr">
        <is>
          <t>https://docquery.fec.gov/cgi-bin/fecimg/?202210199537586434</t>
        </is>
      </c>
    </row>
    <row r="1919">
      <c r="A1919" t="inlineStr">
        <is>
          <t>2022</t>
        </is>
      </c>
      <c r="B1919" t="inlineStr">
        <is>
          <t>C00109546</t>
        </is>
      </c>
      <c r="C1919" t="inlineStr">
        <is>
          <t>Valero Energy Corp PAC</t>
        </is>
      </c>
      <c r="D1919" t="inlineStr">
        <is>
          <t>FALLON FOR CONGRESS</t>
        </is>
      </c>
      <c r="E1919" t="inlineStr">
        <is>
          <t>H0TX04219</t>
        </is>
      </c>
      <c r="F1919" t="inlineStr">
        <is>
          <t>REP</t>
        </is>
      </c>
      <c r="G1919" t="inlineStr">
        <is>
          <t>09142022</t>
        </is>
      </c>
      <c r="H1919" t="n">
        <v>5000</v>
      </c>
      <c r="I1919" t="inlineStr">
        <is>
          <t>202210199537586429</t>
        </is>
      </c>
      <c r="J1919" t="inlineStr">
        <is>
          <t>https://docquery.fec.gov/cgi-bin/fecimg/?202210199537586429</t>
        </is>
      </c>
    </row>
    <row r="1920">
      <c r="A1920" t="inlineStr">
        <is>
          <t>2022</t>
        </is>
      </c>
      <c r="B1920" t="inlineStr">
        <is>
          <t>C00109546</t>
        </is>
      </c>
      <c r="C1920" t="inlineStr">
        <is>
          <t>Valero Energy Corp PAC</t>
        </is>
      </c>
      <c r="D1920" t="inlineStr">
        <is>
          <t>DIANA FOR CONGRESS</t>
        </is>
      </c>
      <c r="E1920" t="inlineStr">
        <is>
          <t>H0TN01118</t>
        </is>
      </c>
      <c r="F1920" t="inlineStr">
        <is>
          <t>REP</t>
        </is>
      </c>
      <c r="G1920" t="inlineStr">
        <is>
          <t>09142022</t>
        </is>
      </c>
      <c r="H1920" t="n">
        <v>2500</v>
      </c>
      <c r="I1920" t="inlineStr">
        <is>
          <t>202210199537586428</t>
        </is>
      </c>
      <c r="J1920" t="inlineStr">
        <is>
          <t>https://docquery.fec.gov/cgi-bin/fecimg/?202210199537586428</t>
        </is>
      </c>
    </row>
    <row r="1921">
      <c r="A1921" t="inlineStr">
        <is>
          <t>2022</t>
        </is>
      </c>
      <c r="B1921" t="inlineStr">
        <is>
          <t>C00109546</t>
        </is>
      </c>
      <c r="C1921" t="inlineStr">
        <is>
          <t>Valero Energy Corp PAC</t>
        </is>
      </c>
      <c r="D1921" t="inlineStr">
        <is>
          <t>ELECT JIM BAIRD FOR CONGRESS</t>
        </is>
      </c>
      <c r="E1921" t="inlineStr">
        <is>
          <t>H8IN04199</t>
        </is>
      </c>
      <c r="F1921" t="inlineStr">
        <is>
          <t>REP</t>
        </is>
      </c>
      <c r="G1921" t="inlineStr">
        <is>
          <t>09142022</t>
        </is>
      </c>
      <c r="H1921" t="n">
        <v>2500</v>
      </c>
      <c r="I1921" t="inlineStr">
        <is>
          <t>202210199537586429</t>
        </is>
      </c>
      <c r="J1921" t="inlineStr">
        <is>
          <t>https://docquery.fec.gov/cgi-bin/fecimg/?202210199537586429</t>
        </is>
      </c>
    </row>
    <row r="1922">
      <c r="A1922" t="inlineStr">
        <is>
          <t>2022</t>
        </is>
      </c>
      <c r="B1922" t="inlineStr">
        <is>
          <t>C00109546</t>
        </is>
      </c>
      <c r="C1922" t="inlineStr">
        <is>
          <t>Valero Energy Corp PAC</t>
        </is>
      </c>
      <c r="D1922" t="inlineStr">
        <is>
          <t>PETE STAUBER FOR CONGRESS</t>
        </is>
      </c>
      <c r="E1922" t="inlineStr">
        <is>
          <t>H8MN08043</t>
        </is>
      </c>
      <c r="F1922" t="inlineStr">
        <is>
          <t>REP</t>
        </is>
      </c>
      <c r="G1922" t="inlineStr">
        <is>
          <t>09142022</t>
        </is>
      </c>
      <c r="H1922" t="n">
        <v>2500</v>
      </c>
      <c r="I1922" t="inlineStr">
        <is>
          <t>202210199537586434</t>
        </is>
      </c>
      <c r="J1922" t="inlineStr">
        <is>
          <t>https://docquery.fec.gov/cgi-bin/fecimg/?202210199537586434</t>
        </is>
      </c>
    </row>
    <row r="1923">
      <c r="A1923" t="inlineStr">
        <is>
          <t>2022</t>
        </is>
      </c>
      <c r="B1923" t="inlineStr">
        <is>
          <t>C00109546</t>
        </is>
      </c>
      <c r="C1923" t="inlineStr">
        <is>
          <t>Valero Energy Corp PAC</t>
        </is>
      </c>
      <c r="D1923" t="inlineStr">
        <is>
          <t>ROGER WILLIAMS FOR U S CONGRESS COMMITTEE</t>
        </is>
      </c>
      <c r="E1923" t="inlineStr">
        <is>
          <t>H2TX33040</t>
        </is>
      </c>
      <c r="F1923" t="inlineStr">
        <is>
          <t>REP</t>
        </is>
      </c>
      <c r="G1923" t="inlineStr">
        <is>
          <t>09142022</t>
        </is>
      </c>
      <c r="H1923" t="n">
        <v>5000</v>
      </c>
      <c r="I1923" t="inlineStr">
        <is>
          <t>202210199537586435</t>
        </is>
      </c>
      <c r="J1923" t="inlineStr">
        <is>
          <t>https://docquery.fec.gov/cgi-bin/fecimg/?202210199537586435</t>
        </is>
      </c>
    </row>
    <row r="1924">
      <c r="A1924" t="inlineStr">
        <is>
          <t>2022</t>
        </is>
      </c>
      <c r="B1924" t="inlineStr">
        <is>
          <t>C00109546</t>
        </is>
      </c>
      <c r="C1924" t="inlineStr">
        <is>
          <t>Valero Energy Corp PAC</t>
        </is>
      </c>
      <c r="D1924" t="inlineStr">
        <is>
          <t>STEIL FOR WISCONSIN, INC.</t>
        </is>
      </c>
      <c r="E1924" t="inlineStr">
        <is>
          <t>H8WI01156</t>
        </is>
      </c>
      <c r="F1924" t="inlineStr">
        <is>
          <t>REP</t>
        </is>
      </c>
      <c r="G1924" t="inlineStr">
        <is>
          <t>09142022</t>
        </is>
      </c>
      <c r="H1924" t="n">
        <v>2500</v>
      </c>
      <c r="I1924" t="inlineStr">
        <is>
          <t>202210199537586435</t>
        </is>
      </c>
      <c r="J1924" t="inlineStr">
        <is>
          <t>https://docquery.fec.gov/cgi-bin/fecimg/?202210199537586435</t>
        </is>
      </c>
    </row>
    <row r="1925">
      <c r="A1925" t="inlineStr">
        <is>
          <t>2022</t>
        </is>
      </c>
      <c r="B1925" t="inlineStr">
        <is>
          <t>C00109546</t>
        </is>
      </c>
      <c r="C1925" t="inlineStr">
        <is>
          <t>Valero Energy Corp PAC</t>
        </is>
      </c>
      <c r="D1925" t="inlineStr">
        <is>
          <t>GUY FOR CONGRESS</t>
        </is>
      </c>
      <c r="E1925" t="inlineStr">
        <is>
          <t>H8PA18199</t>
        </is>
      </c>
      <c r="F1925" t="inlineStr">
        <is>
          <t>REP</t>
        </is>
      </c>
      <c r="G1925" t="inlineStr">
        <is>
          <t>09142022</t>
        </is>
      </c>
      <c r="H1925" t="n">
        <v>5000</v>
      </c>
      <c r="I1925" t="inlineStr">
        <is>
          <t>202210199537586430</t>
        </is>
      </c>
      <c r="J1925" t="inlineStr">
        <is>
          <t>https://docquery.fec.gov/cgi-bin/fecimg/?202210199537586430</t>
        </is>
      </c>
    </row>
    <row r="1926">
      <c r="A1926" t="inlineStr">
        <is>
          <t>2022</t>
        </is>
      </c>
      <c r="B1926" t="inlineStr">
        <is>
          <t>C00109546</t>
        </is>
      </c>
      <c r="C1926" t="inlineStr">
        <is>
          <t>Valero Energy Corp PAC</t>
        </is>
      </c>
      <c r="D1926" t="inlineStr">
        <is>
          <t>HERN FOR CONGRESS</t>
        </is>
      </c>
      <c r="E1926" t="inlineStr">
        <is>
          <t>H8OK01157</t>
        </is>
      </c>
      <c r="F1926" t="inlineStr">
        <is>
          <t>REP</t>
        </is>
      </c>
      <c r="G1926" t="inlineStr">
        <is>
          <t>09142022</t>
        </is>
      </c>
      <c r="H1926" t="n">
        <v>2500</v>
      </c>
      <c r="I1926" t="inlineStr">
        <is>
          <t>202210199537586430</t>
        </is>
      </c>
      <c r="J1926" t="inlineStr">
        <is>
          <t>https://docquery.fec.gov/cgi-bin/fecimg/?202210199537586430</t>
        </is>
      </c>
    </row>
    <row r="1927">
      <c r="A1927" t="inlineStr">
        <is>
          <t>2022</t>
        </is>
      </c>
      <c r="B1927" t="inlineStr">
        <is>
          <t>C00109546</t>
        </is>
      </c>
      <c r="C1927" t="inlineStr">
        <is>
          <t>Valero Energy Corp PAC</t>
        </is>
      </c>
      <c r="D1927" t="inlineStr">
        <is>
          <t>JEFF DUNCAN FOR CONGRESS</t>
        </is>
      </c>
      <c r="E1927" t="inlineStr">
        <is>
          <t>H0SC03077</t>
        </is>
      </c>
      <c r="F1927" t="inlineStr">
        <is>
          <t>REP</t>
        </is>
      </c>
      <c r="G1927" t="inlineStr">
        <is>
          <t>09142022</t>
        </is>
      </c>
      <c r="H1927" t="n">
        <v>5000</v>
      </c>
      <c r="I1927" t="inlineStr">
        <is>
          <t>202210199537586431</t>
        </is>
      </c>
      <c r="J1927" t="inlineStr">
        <is>
          <t>https://docquery.fec.gov/cgi-bin/fecimg/?202210199537586431</t>
        </is>
      </c>
    </row>
    <row r="1928">
      <c r="A1928" t="inlineStr">
        <is>
          <t>2022</t>
        </is>
      </c>
      <c r="B1928" t="inlineStr">
        <is>
          <t>C00109546</t>
        </is>
      </c>
      <c r="C1928" t="inlineStr">
        <is>
          <t>Valero Energy Corp PAC</t>
        </is>
      </c>
      <c r="D1928" t="inlineStr">
        <is>
          <t>TEXANS FOR MORGAN LUTTRELL</t>
        </is>
      </c>
      <c r="E1928" t="inlineStr">
        <is>
          <t>H2TX08182</t>
        </is>
      </c>
      <c r="F1928" t="inlineStr">
        <is>
          <t>REP</t>
        </is>
      </c>
      <c r="G1928" t="inlineStr">
        <is>
          <t>09142022</t>
        </is>
      </c>
      <c r="H1928" t="n">
        <v>5000</v>
      </c>
      <c r="I1928" t="inlineStr">
        <is>
          <t>202210199537586442</t>
        </is>
      </c>
      <c r="J1928" t="inlineStr">
        <is>
          <t>https://docquery.fec.gov/cgi-bin/fecimg/?202210199537586442</t>
        </is>
      </c>
    </row>
    <row r="1929">
      <c r="A1929" t="inlineStr">
        <is>
          <t>2022</t>
        </is>
      </c>
      <c r="B1929" t="inlineStr">
        <is>
          <t>C00109546</t>
        </is>
      </c>
      <c r="C1929" t="inlineStr">
        <is>
          <t>Valero Energy Corp PAC</t>
        </is>
      </c>
      <c r="D1929" t="inlineStr">
        <is>
          <t>VERN BUCHANAN FOR CONGRESS</t>
        </is>
      </c>
      <c r="E1929" t="inlineStr">
        <is>
          <t>H6FL13148</t>
        </is>
      </c>
      <c r="F1929" t="inlineStr">
        <is>
          <t>REP</t>
        </is>
      </c>
      <c r="G1929" t="inlineStr">
        <is>
          <t>09142022</t>
        </is>
      </c>
      <c r="H1929" t="n">
        <v>5000</v>
      </c>
      <c r="I1929" t="inlineStr">
        <is>
          <t>202210199537586443</t>
        </is>
      </c>
      <c r="J1929" t="inlineStr">
        <is>
          <t>https://docquery.fec.gov/cgi-bin/fecimg/?202210199537586443</t>
        </is>
      </c>
    </row>
    <row r="1930">
      <c r="A1930" t="inlineStr">
        <is>
          <t>2022</t>
        </is>
      </c>
      <c r="B1930" t="inlineStr">
        <is>
          <t>C00109546</t>
        </is>
      </c>
      <c r="C1930" t="inlineStr">
        <is>
          <t>Valero Energy Corp PAC</t>
        </is>
      </c>
      <c r="D1930" t="inlineStr">
        <is>
          <t>WALBERG FOR CONGRESS</t>
        </is>
      </c>
      <c r="E1930" t="inlineStr">
        <is>
          <t>H4MI07103</t>
        </is>
      </c>
      <c r="F1930" t="inlineStr">
        <is>
          <t>REP</t>
        </is>
      </c>
      <c r="G1930" t="inlineStr">
        <is>
          <t>09142022</t>
        </is>
      </c>
      <c r="H1930" t="n">
        <v>2500</v>
      </c>
      <c r="I1930" t="inlineStr">
        <is>
          <t>202210199537586444</t>
        </is>
      </c>
      <c r="J1930" t="inlineStr">
        <is>
          <t>https://docquery.fec.gov/cgi-bin/fecimg/?202210199537586444</t>
        </is>
      </c>
    </row>
    <row r="1931">
      <c r="A1931" t="inlineStr">
        <is>
          <t>2022</t>
        </is>
      </c>
      <c r="B1931" t="inlineStr">
        <is>
          <t>C00109546</t>
        </is>
      </c>
      <c r="C1931" t="inlineStr">
        <is>
          <t>Valero Energy Corp PAC</t>
        </is>
      </c>
      <c r="D1931" t="inlineStr">
        <is>
          <t>WEBER FOR CONGRESS</t>
        </is>
      </c>
      <c r="E1931" t="inlineStr">
        <is>
          <t>H2TX14149</t>
        </is>
      </c>
      <c r="F1931" t="inlineStr">
        <is>
          <t>REP</t>
        </is>
      </c>
      <c r="G1931" t="inlineStr">
        <is>
          <t>09142022</t>
        </is>
      </c>
      <c r="H1931" t="n">
        <v>2500</v>
      </c>
      <c r="I1931" t="inlineStr">
        <is>
          <t>202210199537586444</t>
        </is>
      </c>
      <c r="J1931" t="inlineStr">
        <is>
          <t>https://docquery.fec.gov/cgi-bin/fecimg/?202210199537586444</t>
        </is>
      </c>
    </row>
    <row r="1932">
      <c r="A1932" t="inlineStr">
        <is>
          <t>2022</t>
        </is>
      </c>
      <c r="B1932" t="inlineStr">
        <is>
          <t>C00109546</t>
        </is>
      </c>
      <c r="C1932" t="inlineStr">
        <is>
          <t>Valero Energy Corp PAC</t>
        </is>
      </c>
      <c r="D1932" t="inlineStr">
        <is>
          <t>YOUNG KIM FOR CONGRESS</t>
        </is>
      </c>
      <c r="E1932" t="inlineStr">
        <is>
          <t>H8CA39240</t>
        </is>
      </c>
      <c r="F1932" t="inlineStr">
        <is>
          <t>REP</t>
        </is>
      </c>
      <c r="G1932" t="inlineStr">
        <is>
          <t>09142022</t>
        </is>
      </c>
      <c r="H1932" t="n">
        <v>2500</v>
      </c>
      <c r="I1932" t="inlineStr">
        <is>
          <t>202210199537586445</t>
        </is>
      </c>
      <c r="J1932" t="inlineStr">
        <is>
          <t>https://docquery.fec.gov/cgi-bin/fecimg/?202210199537586445</t>
        </is>
      </c>
    </row>
    <row r="1933">
      <c r="A1933" t="inlineStr">
        <is>
          <t>2022</t>
        </is>
      </c>
      <c r="B1933" t="inlineStr">
        <is>
          <t>C00109546</t>
        </is>
      </c>
      <c r="C1933" t="inlineStr">
        <is>
          <t>Valero Energy Corp PAC</t>
        </is>
      </c>
      <c r="D1933" t="inlineStr">
        <is>
          <t>ANDY BARR FOR CONGRESS, INC.</t>
        </is>
      </c>
      <c r="E1933" t="inlineStr">
        <is>
          <t>H0KY06104</t>
        </is>
      </c>
      <c r="F1933" t="inlineStr">
        <is>
          <t>REP</t>
        </is>
      </c>
      <c r="G1933" t="inlineStr">
        <is>
          <t>09272021</t>
        </is>
      </c>
      <c r="H1933" t="n">
        <v>2500</v>
      </c>
      <c r="I1933" t="inlineStr">
        <is>
          <t>202110209468051082</t>
        </is>
      </c>
      <c r="J1933" t="inlineStr">
        <is>
          <t>https://docquery.fec.gov/cgi-bin/fecimg/?202110209468051082</t>
        </is>
      </c>
    </row>
    <row r="1934">
      <c r="A1934" t="inlineStr">
        <is>
          <t>2022</t>
        </is>
      </c>
      <c r="B1934" t="inlineStr">
        <is>
          <t>C00109546</t>
        </is>
      </c>
      <c r="C1934" t="inlineStr">
        <is>
          <t>Valero Energy Corp PAC</t>
        </is>
      </c>
      <c r="D1934" t="inlineStr">
        <is>
          <t>ARMSTRONG FOR CONGRESS</t>
        </is>
      </c>
      <c r="E1934" t="inlineStr">
        <is>
          <t>H8ND00096</t>
        </is>
      </c>
      <c r="F1934" t="inlineStr">
        <is>
          <t>REP</t>
        </is>
      </c>
      <c r="G1934" t="inlineStr">
        <is>
          <t>09272021</t>
        </is>
      </c>
      <c r="H1934" t="n">
        <v>2500</v>
      </c>
      <c r="I1934" t="inlineStr">
        <is>
          <t>202110209468051082</t>
        </is>
      </c>
      <c r="J1934" t="inlineStr">
        <is>
          <t>https://docquery.fec.gov/cgi-bin/fecimg/?202110209468051082</t>
        </is>
      </c>
    </row>
    <row r="1935">
      <c r="A1935" t="inlineStr">
        <is>
          <t>2022</t>
        </is>
      </c>
      <c r="B1935" t="inlineStr">
        <is>
          <t>C00109546</t>
        </is>
      </c>
      <c r="C1935" t="inlineStr">
        <is>
          <t>Valero Energy Corp PAC</t>
        </is>
      </c>
      <c r="D1935" t="inlineStr">
        <is>
          <t>AUGUST PFLUGER FOR CONGRESS</t>
        </is>
      </c>
      <c r="E1935" t="inlineStr">
        <is>
          <t>H0TX11230</t>
        </is>
      </c>
      <c r="F1935" t="inlineStr">
        <is>
          <t>REP</t>
        </is>
      </c>
      <c r="G1935" t="inlineStr">
        <is>
          <t>09272021</t>
        </is>
      </c>
      <c r="H1935" t="n">
        <v>2500</v>
      </c>
      <c r="I1935" t="inlineStr">
        <is>
          <t>202110209468051082</t>
        </is>
      </c>
      <c r="J1935" t="inlineStr">
        <is>
          <t>https://docquery.fec.gov/cgi-bin/fecimg/?202110209468051082</t>
        </is>
      </c>
    </row>
    <row r="1936">
      <c r="A1936" t="inlineStr">
        <is>
          <t>2022</t>
        </is>
      </c>
      <c r="B1936" t="inlineStr">
        <is>
          <t>C00109546</t>
        </is>
      </c>
      <c r="C1936" t="inlineStr">
        <is>
          <t>Valero Energy Corp PAC</t>
        </is>
      </c>
      <c r="D1936" t="inlineStr">
        <is>
          <t>BICE FOR CONGRESS</t>
        </is>
      </c>
      <c r="E1936" t="inlineStr">
        <is>
          <t>H0OK05205</t>
        </is>
      </c>
      <c r="F1936" t="inlineStr">
        <is>
          <t>REP</t>
        </is>
      </c>
      <c r="G1936" t="inlineStr">
        <is>
          <t>09272021</t>
        </is>
      </c>
      <c r="H1936" t="n">
        <v>2500</v>
      </c>
      <c r="I1936" t="inlineStr">
        <is>
          <t>202110209468051083</t>
        </is>
      </c>
      <c r="J1936" t="inlineStr">
        <is>
          <t>https://docquery.fec.gov/cgi-bin/fecimg/?202110209468051083</t>
        </is>
      </c>
    </row>
    <row r="1937">
      <c r="A1937" t="inlineStr">
        <is>
          <t>2022</t>
        </is>
      </c>
      <c r="B1937" t="inlineStr">
        <is>
          <t>C00109546</t>
        </is>
      </c>
      <c r="C1937" t="inlineStr">
        <is>
          <t>Valero Energy Corp PAC</t>
        </is>
      </c>
      <c r="D1937" t="inlineStr">
        <is>
          <t>BICE FOR CONGRESS</t>
        </is>
      </c>
      <c r="E1937" t="inlineStr">
        <is>
          <t>H0OK05205</t>
        </is>
      </c>
      <c r="F1937" t="inlineStr">
        <is>
          <t>REP</t>
        </is>
      </c>
      <c r="G1937" t="inlineStr">
        <is>
          <t>09272021</t>
        </is>
      </c>
      <c r="H1937" t="n">
        <v>2500</v>
      </c>
      <c r="I1937" t="inlineStr">
        <is>
          <t>202110209468051083</t>
        </is>
      </c>
      <c r="J1937" t="inlineStr">
        <is>
          <t>https://docquery.fec.gov/cgi-bin/fecimg/?202110209468051083</t>
        </is>
      </c>
    </row>
    <row r="1938">
      <c r="A1938" t="inlineStr">
        <is>
          <t>2022</t>
        </is>
      </c>
      <c r="B1938" t="inlineStr">
        <is>
          <t>C00109546</t>
        </is>
      </c>
      <c r="C1938" t="inlineStr">
        <is>
          <t>Valero Energy Corp PAC</t>
        </is>
      </c>
      <c r="D1938" t="inlineStr">
        <is>
          <t>MARC VEASEY CONGRESSIONAL CAMPAIGN COMMITTEE</t>
        </is>
      </c>
      <c r="E1938" t="inlineStr">
        <is>
          <t>H2TX33073</t>
        </is>
      </c>
      <c r="F1938" t="inlineStr">
        <is>
          <t>DEM</t>
        </is>
      </c>
      <c r="G1938" t="inlineStr">
        <is>
          <t>09272021</t>
        </is>
      </c>
      <c r="H1938" t="n">
        <v>1000</v>
      </c>
      <c r="I1938" t="inlineStr">
        <is>
          <t>202110209468051087</t>
        </is>
      </c>
      <c r="J1938" t="inlineStr">
        <is>
          <t>https://docquery.fec.gov/cgi-bin/fecimg/?202110209468051087</t>
        </is>
      </c>
    </row>
    <row r="1939">
      <c r="A1939" t="inlineStr">
        <is>
          <t>2022</t>
        </is>
      </c>
      <c r="B1939" t="inlineStr">
        <is>
          <t>C00109546</t>
        </is>
      </c>
      <c r="C1939" t="inlineStr">
        <is>
          <t>Valero Energy Corp PAC</t>
        </is>
      </c>
      <c r="D1939" t="inlineStr">
        <is>
          <t>CURTIS FOR CONGRESS</t>
        </is>
      </c>
      <c r="E1939" t="inlineStr">
        <is>
          <t>H8UT03238</t>
        </is>
      </c>
      <c r="F1939" t="inlineStr">
        <is>
          <t>REP</t>
        </is>
      </c>
      <c r="G1939" t="inlineStr">
        <is>
          <t>09272021</t>
        </is>
      </c>
      <c r="H1939" t="n">
        <v>2500</v>
      </c>
      <c r="I1939" t="inlineStr">
        <is>
          <t>202110209468051084</t>
        </is>
      </c>
      <c r="J1939" t="inlineStr">
        <is>
          <t>https://docquery.fec.gov/cgi-bin/fecimg/?202110209468051084</t>
        </is>
      </c>
    </row>
    <row r="1940">
      <c r="A1940" t="inlineStr">
        <is>
          <t>2022</t>
        </is>
      </c>
      <c r="B1940" t="inlineStr">
        <is>
          <t>C00109546</t>
        </is>
      </c>
      <c r="C1940" t="inlineStr">
        <is>
          <t>Valero Energy Corp PAC</t>
        </is>
      </c>
      <c r="D1940" t="inlineStr">
        <is>
          <t>DR. BRIAN BABIN FOR CONGRESS</t>
        </is>
      </c>
      <c r="E1940" t="inlineStr">
        <is>
          <t>H6TX02079</t>
        </is>
      </c>
      <c r="F1940" t="inlineStr">
        <is>
          <t>REP</t>
        </is>
      </c>
      <c r="G1940" t="inlineStr">
        <is>
          <t>09272021</t>
        </is>
      </c>
      <c r="H1940" t="n">
        <v>5000</v>
      </c>
      <c r="I1940" t="inlineStr">
        <is>
          <t>202110209468051084</t>
        </is>
      </c>
      <c r="J1940" t="inlineStr">
        <is>
          <t>https://docquery.fec.gov/cgi-bin/fecimg/?202110209468051084</t>
        </is>
      </c>
    </row>
    <row r="1941">
      <c r="A1941" t="inlineStr">
        <is>
          <t>2022</t>
        </is>
      </c>
      <c r="B1941" t="inlineStr">
        <is>
          <t>C00109546</t>
        </is>
      </c>
      <c r="C1941" t="inlineStr">
        <is>
          <t>Valero Energy Corp PAC</t>
        </is>
      </c>
      <c r="D1941" t="inlineStr">
        <is>
          <t>ELIZABETH PANNILL FLETCHER FOR CONGRESS</t>
        </is>
      </c>
      <c r="E1941" t="inlineStr">
        <is>
          <t>H8TX07140</t>
        </is>
      </c>
      <c r="F1941" t="inlineStr">
        <is>
          <t>DEM</t>
        </is>
      </c>
      <c r="G1941" t="inlineStr">
        <is>
          <t>09272021</t>
        </is>
      </c>
      <c r="H1941" t="n">
        <v>1000</v>
      </c>
      <c r="I1941" t="inlineStr">
        <is>
          <t>202110209468051084</t>
        </is>
      </c>
      <c r="J1941" t="inlineStr">
        <is>
          <t>https://docquery.fec.gov/cgi-bin/fecimg/?202110209468051084</t>
        </is>
      </c>
    </row>
    <row r="1942">
      <c r="A1942" t="inlineStr">
        <is>
          <t>2022</t>
        </is>
      </c>
      <c r="B1942" t="inlineStr">
        <is>
          <t>C00109546</t>
        </is>
      </c>
      <c r="C1942" t="inlineStr">
        <is>
          <t>Valero Energy Corp PAC</t>
        </is>
      </c>
      <c r="D1942" t="inlineStr">
        <is>
          <t>FRIENDS OF DUSTY JOHNSON</t>
        </is>
      </c>
      <c r="E1942" t="inlineStr">
        <is>
          <t>H8SD01055</t>
        </is>
      </c>
      <c r="F1942" t="inlineStr">
        <is>
          <t>REP</t>
        </is>
      </c>
      <c r="G1942" t="inlineStr">
        <is>
          <t>09272021</t>
        </is>
      </c>
      <c r="H1942" t="n">
        <v>2500</v>
      </c>
      <c r="I1942" t="inlineStr">
        <is>
          <t>202110209468051085</t>
        </is>
      </c>
      <c r="J1942" t="inlineStr">
        <is>
          <t>https://docquery.fec.gov/cgi-bin/fecimg/?202110209468051085</t>
        </is>
      </c>
    </row>
    <row r="1943">
      <c r="A1943" t="inlineStr">
        <is>
          <t>2022</t>
        </is>
      </c>
      <c r="B1943" t="inlineStr">
        <is>
          <t>C00109546</t>
        </is>
      </c>
      <c r="C1943" t="inlineStr">
        <is>
          <t>Valero Energy Corp PAC</t>
        </is>
      </c>
      <c r="D1943" t="inlineStr">
        <is>
          <t>HUDSON FOR CONGRESS</t>
        </is>
      </c>
      <c r="E1943" t="inlineStr">
        <is>
          <t>H2NC08185</t>
        </is>
      </c>
      <c r="F1943" t="inlineStr">
        <is>
          <t>REP</t>
        </is>
      </c>
      <c r="G1943" t="inlineStr">
        <is>
          <t>09272021</t>
        </is>
      </c>
      <c r="H1943" t="n">
        <v>2500</v>
      </c>
      <c r="I1943" t="inlineStr">
        <is>
          <t>202110209468051085</t>
        </is>
      </c>
      <c r="J1943" t="inlineStr">
        <is>
          <t>https://docquery.fec.gov/cgi-bin/fecimg/?202110209468051085</t>
        </is>
      </c>
    </row>
    <row r="1944">
      <c r="A1944" t="inlineStr">
        <is>
          <t>2022</t>
        </is>
      </c>
      <c r="B1944" t="inlineStr">
        <is>
          <t>C00109546</t>
        </is>
      </c>
      <c r="C1944" t="inlineStr">
        <is>
          <t>Valero Energy Corp PAC</t>
        </is>
      </c>
      <c r="D1944" t="inlineStr">
        <is>
          <t>MIKE CRAPO FOR US SENATE</t>
        </is>
      </c>
      <c r="E1944" t="inlineStr">
        <is>
          <t>S8ID00027</t>
        </is>
      </c>
      <c r="F1944" t="inlineStr">
        <is>
          <t>REP</t>
        </is>
      </c>
      <c r="G1944" t="inlineStr">
        <is>
          <t>09272021</t>
        </is>
      </c>
      <c r="H1944" t="n">
        <v>2500</v>
      </c>
      <c r="I1944" t="inlineStr">
        <is>
          <t>202110209468051088</t>
        </is>
      </c>
      <c r="J1944" t="inlineStr">
        <is>
          <t>https://docquery.fec.gov/cgi-bin/fecimg/?202110209468051088</t>
        </is>
      </c>
    </row>
    <row r="1945">
      <c r="A1945" t="inlineStr">
        <is>
          <t>2022</t>
        </is>
      </c>
      <c r="B1945" t="inlineStr">
        <is>
          <t>C00109546</t>
        </is>
      </c>
      <c r="C1945" t="inlineStr">
        <is>
          <t>Valero Energy Corp PAC</t>
        </is>
      </c>
      <c r="D1945" t="inlineStr">
        <is>
          <t>MIKE KELLY FOR CONGRESS</t>
        </is>
      </c>
      <c r="E1945" t="inlineStr">
        <is>
          <t>H0PA03271</t>
        </is>
      </c>
      <c r="F1945" t="inlineStr">
        <is>
          <t>REP</t>
        </is>
      </c>
      <c r="G1945" t="inlineStr">
        <is>
          <t>09272021</t>
        </is>
      </c>
      <c r="H1945" t="n">
        <v>2500</v>
      </c>
      <c r="I1945" t="inlineStr">
        <is>
          <t>202110209468051088</t>
        </is>
      </c>
      <c r="J1945" t="inlineStr">
        <is>
          <t>https://docquery.fec.gov/cgi-bin/fecimg/?202110209468051088</t>
        </is>
      </c>
    </row>
    <row r="1946">
      <c r="A1946" t="inlineStr">
        <is>
          <t>2022</t>
        </is>
      </c>
      <c r="B1946" t="inlineStr">
        <is>
          <t>C00109546</t>
        </is>
      </c>
      <c r="C1946" t="inlineStr">
        <is>
          <t>Valero Energy Corp PAC</t>
        </is>
      </c>
      <c r="D1946" t="inlineStr">
        <is>
          <t>MILLER-MEEKS FOR CONGRESS</t>
        </is>
      </c>
      <c r="E1946" t="inlineStr">
        <is>
          <t>H8IA02043</t>
        </is>
      </c>
      <c r="F1946" t="inlineStr">
        <is>
          <t>REP</t>
        </is>
      </c>
      <c r="G1946" t="inlineStr">
        <is>
          <t>09272021</t>
        </is>
      </c>
      <c r="H1946" t="n">
        <v>2500</v>
      </c>
      <c r="I1946" t="inlineStr">
        <is>
          <t>202110209468051088</t>
        </is>
      </c>
      <c r="J1946" t="inlineStr">
        <is>
          <t>https://docquery.fec.gov/cgi-bin/fecimg/?202110209468051088</t>
        </is>
      </c>
    </row>
    <row r="1947">
      <c r="A1947" t="inlineStr">
        <is>
          <t>2022</t>
        </is>
      </c>
      <c r="B1947" t="inlineStr">
        <is>
          <t>C00109546</t>
        </is>
      </c>
      <c r="C1947" t="inlineStr">
        <is>
          <t>Valero Energy Corp PAC</t>
        </is>
      </c>
      <c r="D1947" t="inlineStr">
        <is>
          <t>PETE STAUBER FOR CONGRESS</t>
        </is>
      </c>
      <c r="E1947" t="inlineStr">
        <is>
          <t>H8MN08043</t>
        </is>
      </c>
      <c r="F1947" t="inlineStr">
        <is>
          <t>REP</t>
        </is>
      </c>
      <c r="G1947" t="inlineStr">
        <is>
          <t>09272021</t>
        </is>
      </c>
      <c r="H1947" t="n">
        <v>2500</v>
      </c>
      <c r="I1947" t="inlineStr">
        <is>
          <t>202110209468051089</t>
        </is>
      </c>
      <c r="J1947" t="inlineStr">
        <is>
          <t>https://docquery.fec.gov/cgi-bin/fecimg/?202110209468051089</t>
        </is>
      </c>
    </row>
    <row r="1948">
      <c r="A1948" t="inlineStr">
        <is>
          <t>2022</t>
        </is>
      </c>
      <c r="B1948" t="inlineStr">
        <is>
          <t>C00109546</t>
        </is>
      </c>
      <c r="C1948" t="inlineStr">
        <is>
          <t>Valero Energy Corp PAC</t>
        </is>
      </c>
      <c r="D1948" t="inlineStr">
        <is>
          <t>PETE STAUBER FOR CONGRESS</t>
        </is>
      </c>
      <c r="E1948" t="inlineStr">
        <is>
          <t>H8MN08043</t>
        </is>
      </c>
      <c r="F1948" t="inlineStr">
        <is>
          <t>REP</t>
        </is>
      </c>
      <c r="G1948" t="inlineStr">
        <is>
          <t>09272021</t>
        </is>
      </c>
      <c r="H1948" t="n">
        <v>2500</v>
      </c>
      <c r="I1948" t="inlineStr">
        <is>
          <t>202110209468051089</t>
        </is>
      </c>
      <c r="J1948" t="inlineStr">
        <is>
          <t>https://docquery.fec.gov/cgi-bin/fecimg/?202110209468051089</t>
        </is>
      </c>
    </row>
    <row r="1949">
      <c r="A1949" t="inlineStr">
        <is>
          <t>2022</t>
        </is>
      </c>
      <c r="B1949" t="inlineStr">
        <is>
          <t>C00109546</t>
        </is>
      </c>
      <c r="C1949" t="inlineStr">
        <is>
          <t>Valero Energy Corp PAC</t>
        </is>
      </c>
      <c r="D1949" t="inlineStr">
        <is>
          <t>SYLVIA GARCIA FOR CONGRESS</t>
        </is>
      </c>
      <c r="E1949" t="inlineStr">
        <is>
          <t>H8TX29052</t>
        </is>
      </c>
      <c r="F1949" t="inlineStr">
        <is>
          <t>DEM</t>
        </is>
      </c>
      <c r="G1949" t="inlineStr">
        <is>
          <t>09272021</t>
        </is>
      </c>
      <c r="H1949" t="n">
        <v>3500</v>
      </c>
      <c r="I1949" t="inlineStr">
        <is>
          <t>202110209468051090</t>
        </is>
      </c>
      <c r="J1949" t="inlineStr">
        <is>
          <t>https://docquery.fec.gov/cgi-bin/fecimg/?202110209468051090</t>
        </is>
      </c>
    </row>
    <row r="1950">
      <c r="A1950" t="inlineStr">
        <is>
          <t>2022</t>
        </is>
      </c>
      <c r="B1950" t="inlineStr">
        <is>
          <t>C00109546</t>
        </is>
      </c>
      <c r="C1950" t="inlineStr">
        <is>
          <t>Valero Energy Corp PAC</t>
        </is>
      </c>
      <c r="D1950" t="inlineStr">
        <is>
          <t>TEXANS FOR HENRY CUELLAR CONGRESSIONAL CAMPAIGN</t>
        </is>
      </c>
      <c r="E1950" t="inlineStr">
        <is>
          <t>H2TX23082</t>
        </is>
      </c>
      <c r="F1950" t="inlineStr">
        <is>
          <t>DEM</t>
        </is>
      </c>
      <c r="G1950" t="inlineStr">
        <is>
          <t>09272021</t>
        </is>
      </c>
      <c r="H1950" t="n">
        <v>2500</v>
      </c>
      <c r="I1950" t="inlineStr">
        <is>
          <t>202110209468051090</t>
        </is>
      </c>
      <c r="J1950" t="inlineStr">
        <is>
          <t>https://docquery.fec.gov/cgi-bin/fecimg/?202110209468051090</t>
        </is>
      </c>
    </row>
    <row r="1951">
      <c r="A1951" t="inlineStr">
        <is>
          <t>2022</t>
        </is>
      </c>
      <c r="B1951" t="inlineStr">
        <is>
          <t>C00109546</t>
        </is>
      </c>
      <c r="C1951" t="inlineStr">
        <is>
          <t>Valero Energy Corp PAC</t>
        </is>
      </c>
      <c r="D1951" t="inlineStr">
        <is>
          <t>TEXANS FOR RONNY JACKSON</t>
        </is>
      </c>
      <c r="E1951" t="inlineStr">
        <is>
          <t>H0TX13228</t>
        </is>
      </c>
      <c r="F1951" t="inlineStr">
        <is>
          <t>REP</t>
        </is>
      </c>
      <c r="G1951" t="inlineStr">
        <is>
          <t>09272021</t>
        </is>
      </c>
      <c r="H1951" t="n">
        <v>2500</v>
      </c>
      <c r="I1951" t="inlineStr">
        <is>
          <t>202110209468051090</t>
        </is>
      </c>
      <c r="J1951" t="inlineStr">
        <is>
          <t>https://docquery.fec.gov/cgi-bin/fecimg/?202110209468051090</t>
        </is>
      </c>
    </row>
    <row r="1952">
      <c r="A1952" t="inlineStr">
        <is>
          <t>2022</t>
        </is>
      </c>
      <c r="B1952" t="inlineStr">
        <is>
          <t>C00109546</t>
        </is>
      </c>
      <c r="C1952" t="inlineStr">
        <is>
          <t>Valero Energy Corp PAC</t>
        </is>
      </c>
      <c r="D1952" t="inlineStr">
        <is>
          <t>VICENTE GONZALEZ FOR CONGRESS</t>
        </is>
      </c>
      <c r="E1952" t="inlineStr">
        <is>
          <t>H6TX15162</t>
        </is>
      </c>
      <c r="F1952" t="inlineStr">
        <is>
          <t>DEM</t>
        </is>
      </c>
      <c r="G1952" t="inlineStr">
        <is>
          <t>09272021</t>
        </is>
      </c>
      <c r="H1952" t="n">
        <v>1000</v>
      </c>
      <c r="I1952" t="inlineStr">
        <is>
          <t>202110209468051091</t>
        </is>
      </c>
      <c r="J1952" t="inlineStr">
        <is>
          <t>https://docquery.fec.gov/cgi-bin/fecimg/?202110209468051091</t>
        </is>
      </c>
    </row>
    <row r="1953">
      <c r="A1953" t="inlineStr">
        <is>
          <t>2022</t>
        </is>
      </c>
      <c r="B1953" t="inlineStr">
        <is>
          <t>C00109546</t>
        </is>
      </c>
      <c r="C1953" t="inlineStr">
        <is>
          <t>Valero Energy Corp PAC</t>
        </is>
      </c>
      <c r="D1953" t="inlineStr">
        <is>
          <t>HUDSON FOR CONGRESS</t>
        </is>
      </c>
      <c r="E1953" t="inlineStr">
        <is>
          <t>H2NC08185</t>
        </is>
      </c>
      <c r="F1953" t="inlineStr">
        <is>
          <t>REP</t>
        </is>
      </c>
      <c r="G1953" t="inlineStr">
        <is>
          <t>09272021</t>
        </is>
      </c>
      <c r="H1953" t="n">
        <v>2500</v>
      </c>
      <c r="I1953" t="inlineStr">
        <is>
          <t>202110209468051085</t>
        </is>
      </c>
      <c r="J1953" t="inlineStr">
        <is>
          <t>https://docquery.fec.gov/cgi-bin/fecimg/?202110209468051085</t>
        </is>
      </c>
    </row>
    <row r="1954">
      <c r="A1954" t="inlineStr">
        <is>
          <t>2022</t>
        </is>
      </c>
      <c r="B1954" t="inlineStr">
        <is>
          <t>C00109546</t>
        </is>
      </c>
      <c r="C1954" t="inlineStr">
        <is>
          <t>Valero Energy Corp PAC</t>
        </is>
      </c>
      <c r="D1954" t="inlineStr">
        <is>
          <t>JAKE ELLZEY FOR CONGRESS</t>
        </is>
      </c>
      <c r="E1954" t="inlineStr">
        <is>
          <t>H8TX06266</t>
        </is>
      </c>
      <c r="F1954" t="inlineStr">
        <is>
          <t>REP</t>
        </is>
      </c>
      <c r="G1954" t="inlineStr">
        <is>
          <t>09272021</t>
        </is>
      </c>
      <c r="H1954" t="n">
        <v>2500</v>
      </c>
      <c r="I1954" t="inlineStr">
        <is>
          <t>202110209468051086</t>
        </is>
      </c>
      <c r="J1954" t="inlineStr">
        <is>
          <t>https://docquery.fec.gov/cgi-bin/fecimg/?202110209468051086</t>
        </is>
      </c>
    </row>
    <row r="1955">
      <c r="A1955" t="inlineStr">
        <is>
          <t>2022</t>
        </is>
      </c>
      <c r="B1955" t="inlineStr">
        <is>
          <t>C00109546</t>
        </is>
      </c>
      <c r="C1955" t="inlineStr">
        <is>
          <t>Valero Energy Corp PAC</t>
        </is>
      </c>
      <c r="D1955" t="inlineStr">
        <is>
          <t>JIM COSTA FOR CONGRESS</t>
        </is>
      </c>
      <c r="E1955" t="inlineStr">
        <is>
          <t>H4CA20082</t>
        </is>
      </c>
      <c r="F1955" t="inlineStr">
        <is>
          <t>DEM</t>
        </is>
      </c>
      <c r="G1955" t="inlineStr">
        <is>
          <t>09272021</t>
        </is>
      </c>
      <c r="H1955" t="n">
        <v>2500</v>
      </c>
      <c r="I1955" t="inlineStr">
        <is>
          <t>202110209468051086</t>
        </is>
      </c>
      <c r="J1955" t="inlineStr">
        <is>
          <t>https://docquery.fec.gov/cgi-bin/fecimg/?202110209468051086</t>
        </is>
      </c>
    </row>
    <row r="1956">
      <c r="A1956" t="inlineStr">
        <is>
          <t>2022</t>
        </is>
      </c>
      <c r="B1956" t="inlineStr">
        <is>
          <t>C00109546</t>
        </is>
      </c>
      <c r="C1956" t="inlineStr">
        <is>
          <t>Valero Energy Corp PAC</t>
        </is>
      </c>
      <c r="D1956" t="inlineStr">
        <is>
          <t>KURT SCHRADER FOR CONGRESS</t>
        </is>
      </c>
      <c r="E1956" t="inlineStr">
        <is>
          <t>H8OR05107</t>
        </is>
      </c>
      <c r="F1956" t="inlineStr">
        <is>
          <t>DEM</t>
        </is>
      </c>
      <c r="G1956" t="inlineStr">
        <is>
          <t>09272021</t>
        </is>
      </c>
      <c r="H1956" t="n">
        <v>1000</v>
      </c>
      <c r="I1956" t="inlineStr">
        <is>
          <t>202110209468051086</t>
        </is>
      </c>
      <c r="J1956" t="inlineStr">
        <is>
          <t>https://docquery.fec.gov/cgi-bin/fecimg/?202110209468051086</t>
        </is>
      </c>
    </row>
    <row r="1957">
      <c r="A1957" t="inlineStr">
        <is>
          <t>2022</t>
        </is>
      </c>
      <c r="B1957" t="inlineStr">
        <is>
          <t>C00109546</t>
        </is>
      </c>
      <c r="C1957" t="inlineStr">
        <is>
          <t>Valero Energy Corp PAC</t>
        </is>
      </c>
      <c r="D1957" t="inlineStr">
        <is>
          <t>DOCTOR OZ FOR SENATE</t>
        </is>
      </c>
      <c r="E1957" t="inlineStr">
        <is>
          <t>S2PA00638</t>
        </is>
      </c>
      <c r="F1957" t="inlineStr">
        <is>
          <t>REP</t>
        </is>
      </c>
      <c r="G1957" t="inlineStr">
        <is>
          <t>10132022</t>
        </is>
      </c>
      <c r="H1957" t="n">
        <v>-5000</v>
      </c>
      <c r="I1957" t="inlineStr">
        <is>
          <t>202210279542006512</t>
        </is>
      </c>
      <c r="J1957" t="inlineStr">
        <is>
          <t>https://docquery.fec.gov/cgi-bin/fecimg/?202210279542006512</t>
        </is>
      </c>
    </row>
    <row r="1958">
      <c r="A1958" t="inlineStr">
        <is>
          <t>2022</t>
        </is>
      </c>
      <c r="B1958" t="inlineStr">
        <is>
          <t>C00109546</t>
        </is>
      </c>
      <c r="C1958" t="inlineStr">
        <is>
          <t>Valero Energy Corp PAC</t>
        </is>
      </c>
      <c r="D1958" t="inlineStr">
        <is>
          <t>GRAVES FOR CONGRESS</t>
        </is>
      </c>
      <c r="E1958" t="inlineStr">
        <is>
          <t>H0MO06073</t>
        </is>
      </c>
      <c r="F1958" t="inlineStr">
        <is>
          <t>REP</t>
        </is>
      </c>
      <c r="G1958" t="inlineStr">
        <is>
          <t>10262022</t>
        </is>
      </c>
      <c r="H1958" t="n">
        <v>2500</v>
      </c>
      <c r="I1958" t="inlineStr">
        <is>
          <t>202212089550109562</t>
        </is>
      </c>
      <c r="J1958" t="inlineStr">
        <is>
          <t>https://docquery.fec.gov/cgi-bin/fecimg/?202212089550109562</t>
        </is>
      </c>
    </row>
    <row r="1959">
      <c r="A1959" t="inlineStr">
        <is>
          <t>2022</t>
        </is>
      </c>
      <c r="B1959" t="inlineStr">
        <is>
          <t>C00109546</t>
        </is>
      </c>
      <c r="C1959" t="inlineStr">
        <is>
          <t>Valero Energy Corp PAC</t>
        </is>
      </c>
      <c r="D1959" t="inlineStr">
        <is>
          <t>GREG PENCE FOR CONGRESS</t>
        </is>
      </c>
      <c r="E1959" t="inlineStr">
        <is>
          <t>H8IN06129</t>
        </is>
      </c>
      <c r="F1959" t="inlineStr">
        <is>
          <t>REP</t>
        </is>
      </c>
      <c r="G1959" t="inlineStr">
        <is>
          <t>10262022</t>
        </is>
      </c>
      <c r="H1959" t="n">
        <v>5000</v>
      </c>
      <c r="I1959" t="inlineStr">
        <is>
          <t>202212089550109562</t>
        </is>
      </c>
      <c r="J1959" t="inlineStr">
        <is>
          <t>https://docquery.fec.gov/cgi-bin/fecimg/?202212089550109562</t>
        </is>
      </c>
    </row>
    <row r="1960">
      <c r="A1960" t="inlineStr">
        <is>
          <t>2022</t>
        </is>
      </c>
      <c r="B1960" t="inlineStr">
        <is>
          <t>C00109546</t>
        </is>
      </c>
      <c r="C1960" t="inlineStr">
        <is>
          <t>Valero Energy Corp PAC</t>
        </is>
      </c>
      <c r="D1960" t="inlineStr">
        <is>
          <t>CAROL FOR CONGRESS</t>
        </is>
      </c>
      <c r="E1960" t="inlineStr">
        <is>
          <t>H8WV03097</t>
        </is>
      </c>
      <c r="F1960" t="inlineStr">
        <is>
          <t>REP</t>
        </is>
      </c>
      <c r="G1960" t="inlineStr">
        <is>
          <t>10262022</t>
        </is>
      </c>
      <c r="H1960" t="n">
        <v>2500</v>
      </c>
      <c r="I1960" t="inlineStr">
        <is>
          <t>202212089550109561</t>
        </is>
      </c>
      <c r="J1960" t="inlineStr">
        <is>
          <t>https://docquery.fec.gov/cgi-bin/fecimg/?202212089550109561</t>
        </is>
      </c>
    </row>
    <row r="1961">
      <c r="A1961" t="inlineStr">
        <is>
          <t>2022</t>
        </is>
      </c>
      <c r="B1961" t="inlineStr">
        <is>
          <t>C00109546</t>
        </is>
      </c>
      <c r="C1961" t="inlineStr">
        <is>
          <t>Valero Energy Corp PAC</t>
        </is>
      </c>
      <c r="D1961" t="inlineStr">
        <is>
          <t>EMMER FOR CONGRESS</t>
        </is>
      </c>
      <c r="E1961" t="inlineStr">
        <is>
          <t>H4MN06087</t>
        </is>
      </c>
      <c r="F1961" t="inlineStr">
        <is>
          <t>REP</t>
        </is>
      </c>
      <c r="G1961" t="inlineStr">
        <is>
          <t>11022021</t>
        </is>
      </c>
      <c r="H1961" t="n">
        <v>5000</v>
      </c>
      <c r="I1961" t="inlineStr">
        <is>
          <t>202112179469880265</t>
        </is>
      </c>
      <c r="J1961" t="inlineStr">
        <is>
          <t>https://docquery.fec.gov/cgi-bin/fecimg/?202112179469880265</t>
        </is>
      </c>
    </row>
    <row r="1962">
      <c r="A1962" t="inlineStr">
        <is>
          <t>2022</t>
        </is>
      </c>
      <c r="B1962" t="inlineStr">
        <is>
          <t>C00109546</t>
        </is>
      </c>
      <c r="C1962" t="inlineStr">
        <is>
          <t>Valero Energy Corp PAC</t>
        </is>
      </c>
      <c r="D1962" t="inlineStr">
        <is>
          <t>CATHY MCMORRIS RODGERS FOR CONGRESS</t>
        </is>
      </c>
      <c r="E1962" t="inlineStr">
        <is>
          <t>H4WA05077</t>
        </is>
      </c>
      <c r="F1962" t="inlineStr">
        <is>
          <t>REP</t>
        </is>
      </c>
      <c r="G1962" t="inlineStr">
        <is>
          <t>11022021</t>
        </is>
      </c>
      <c r="H1962" t="n">
        <v>2500</v>
      </c>
      <c r="I1962" t="inlineStr">
        <is>
          <t>202112179469880262</t>
        </is>
      </c>
      <c r="J1962" t="inlineStr">
        <is>
          <t>https://docquery.fec.gov/cgi-bin/fecimg/?202112179469880262</t>
        </is>
      </c>
    </row>
    <row r="1963">
      <c r="A1963" t="inlineStr">
        <is>
          <t>2022</t>
        </is>
      </c>
      <c r="B1963" t="inlineStr">
        <is>
          <t>C00109546</t>
        </is>
      </c>
      <c r="C1963" t="inlineStr">
        <is>
          <t>Valero Energy Corp PAC</t>
        </is>
      </c>
      <c r="D1963" t="inlineStr">
        <is>
          <t>BETH VAN DUYNE FOR CONGRESS</t>
        </is>
      </c>
      <c r="E1963" t="inlineStr">
        <is>
          <t>H0TX24209</t>
        </is>
      </c>
      <c r="F1963" t="inlineStr">
        <is>
          <t>REP</t>
        </is>
      </c>
      <c r="G1963" t="inlineStr">
        <is>
          <t>11022021</t>
        </is>
      </c>
      <c r="H1963" t="n">
        <v>5000</v>
      </c>
      <c r="I1963" t="inlineStr">
        <is>
          <t>202112179469880262</t>
        </is>
      </c>
      <c r="J1963" t="inlineStr">
        <is>
          <t>https://docquery.fec.gov/cgi-bin/fecimg/?202112179469880262</t>
        </is>
      </c>
    </row>
    <row r="1964">
      <c r="A1964" t="inlineStr">
        <is>
          <t>2022</t>
        </is>
      </c>
      <c r="B1964" t="inlineStr">
        <is>
          <t>C00109546</t>
        </is>
      </c>
      <c r="C1964" t="inlineStr">
        <is>
          <t>Valero Energy Corp PAC</t>
        </is>
      </c>
      <c r="D1964" t="inlineStr">
        <is>
          <t>CATHY MCMORRIS RODGERS FOR CONGRESS</t>
        </is>
      </c>
      <c r="E1964" t="inlineStr">
        <is>
          <t>H4WA05077</t>
        </is>
      </c>
      <c r="F1964" t="inlineStr">
        <is>
          <t>REP</t>
        </is>
      </c>
      <c r="G1964" t="inlineStr">
        <is>
          <t>11022021</t>
        </is>
      </c>
      <c r="H1964" t="n">
        <v>2500</v>
      </c>
      <c r="I1964" t="inlineStr">
        <is>
          <t>202112179469880263</t>
        </is>
      </c>
      <c r="J1964" t="inlineStr">
        <is>
          <t>https://docquery.fec.gov/cgi-bin/fecimg/?202112179469880263</t>
        </is>
      </c>
    </row>
    <row r="1965">
      <c r="A1965" t="inlineStr">
        <is>
          <t>2022</t>
        </is>
      </c>
      <c r="B1965" t="inlineStr">
        <is>
          <t>C00109546</t>
        </is>
      </c>
      <c r="C1965" t="inlineStr">
        <is>
          <t>Valero Energy Corp PAC</t>
        </is>
      </c>
      <c r="D1965" t="inlineStr">
        <is>
          <t>GREG PENCE FOR CONGRESS</t>
        </is>
      </c>
      <c r="E1965" t="inlineStr">
        <is>
          <t>H8IN06129</t>
        </is>
      </c>
      <c r="F1965" t="inlineStr">
        <is>
          <t>REP</t>
        </is>
      </c>
      <c r="G1965" t="inlineStr">
        <is>
          <t>11022021</t>
        </is>
      </c>
      <c r="H1965" t="n">
        <v>2500</v>
      </c>
      <c r="I1965" t="inlineStr">
        <is>
          <t>202112179469880267</t>
        </is>
      </c>
      <c r="J1965" t="inlineStr">
        <is>
          <t>https://docquery.fec.gov/cgi-bin/fecimg/?202112179469880267</t>
        </is>
      </c>
    </row>
    <row r="1966">
      <c r="A1966" t="inlineStr">
        <is>
          <t>2022</t>
        </is>
      </c>
      <c r="B1966" t="inlineStr">
        <is>
          <t>C00109546</t>
        </is>
      </c>
      <c r="C1966" t="inlineStr">
        <is>
          <t>Valero Energy Corp PAC</t>
        </is>
      </c>
      <c r="D1966" t="inlineStr">
        <is>
          <t>GUTHRIE FOR CONGRESS</t>
        </is>
      </c>
      <c r="E1966" t="inlineStr">
        <is>
          <t>H8KY02031</t>
        </is>
      </c>
      <c r="F1966" t="inlineStr">
        <is>
          <t>REP</t>
        </is>
      </c>
      <c r="G1966" t="inlineStr">
        <is>
          <t>11022021</t>
        </is>
      </c>
      <c r="H1966" t="n">
        <v>5000</v>
      </c>
      <c r="I1966" t="inlineStr">
        <is>
          <t>202112179469880267</t>
        </is>
      </c>
      <c r="J1966" t="inlineStr">
        <is>
          <t>https://docquery.fec.gov/cgi-bin/fecimg/?202112179469880267</t>
        </is>
      </c>
    </row>
    <row r="1967">
      <c r="A1967" t="inlineStr">
        <is>
          <t>2022</t>
        </is>
      </c>
      <c r="B1967" t="inlineStr">
        <is>
          <t>C00109546</t>
        </is>
      </c>
      <c r="C1967" t="inlineStr">
        <is>
          <t>Valero Energy Corp PAC</t>
        </is>
      </c>
      <c r="D1967" t="inlineStr">
        <is>
          <t>HUNT FOR CONGRESS</t>
        </is>
      </c>
      <c r="E1967" t="inlineStr">
        <is>
          <t>H0TX07170</t>
        </is>
      </c>
      <c r="F1967" t="inlineStr">
        <is>
          <t>REP</t>
        </is>
      </c>
      <c r="G1967" t="inlineStr">
        <is>
          <t>11022021</t>
        </is>
      </c>
      <c r="H1967" t="n">
        <v>5000</v>
      </c>
      <c r="I1967" t="inlineStr">
        <is>
          <t>202112179469880268</t>
        </is>
      </c>
      <c r="J1967" t="inlineStr">
        <is>
          <t>https://docquery.fec.gov/cgi-bin/fecimg/?202112179469880268</t>
        </is>
      </c>
    </row>
    <row r="1968">
      <c r="A1968" t="inlineStr">
        <is>
          <t>2022</t>
        </is>
      </c>
      <c r="B1968" t="inlineStr">
        <is>
          <t>C00109546</t>
        </is>
      </c>
      <c r="C1968" t="inlineStr">
        <is>
          <t>Valero Energy Corp PAC</t>
        </is>
      </c>
      <c r="D1968" t="inlineStr">
        <is>
          <t>JOHNSON FOR CONGRESS</t>
        </is>
      </c>
      <c r="E1968" t="inlineStr">
        <is>
          <t>H0OH06189</t>
        </is>
      </c>
      <c r="F1968" t="inlineStr">
        <is>
          <t>REP</t>
        </is>
      </c>
      <c r="G1968" t="inlineStr">
        <is>
          <t>11022021</t>
        </is>
      </c>
      <c r="H1968" t="n">
        <v>2500</v>
      </c>
      <c r="I1968" t="inlineStr">
        <is>
          <t>202112179469880268</t>
        </is>
      </c>
      <c r="J1968" t="inlineStr">
        <is>
          <t>https://docquery.fec.gov/cgi-bin/fecimg/?202112179469880268</t>
        </is>
      </c>
    </row>
    <row r="1969">
      <c r="A1969" t="inlineStr">
        <is>
          <t>2022</t>
        </is>
      </c>
      <c r="B1969" t="inlineStr">
        <is>
          <t>C00109546</t>
        </is>
      </c>
      <c r="C1969" t="inlineStr">
        <is>
          <t>Valero Energy Corp PAC</t>
        </is>
      </c>
      <c r="D1969" t="inlineStr">
        <is>
          <t>MIKE KELLY FOR CONGRESS</t>
        </is>
      </c>
      <c r="E1969" t="inlineStr">
        <is>
          <t>H0PA03271</t>
        </is>
      </c>
      <c r="F1969" t="inlineStr">
        <is>
          <t>REP</t>
        </is>
      </c>
      <c r="G1969" t="inlineStr">
        <is>
          <t>11022021</t>
        </is>
      </c>
      <c r="H1969" t="n">
        <v>2500</v>
      </c>
      <c r="I1969" t="inlineStr">
        <is>
          <t>202112179469880270</t>
        </is>
      </c>
      <c r="J1969" t="inlineStr">
        <is>
          <t>https://docquery.fec.gov/cgi-bin/fecimg/?202112179469880270</t>
        </is>
      </c>
    </row>
    <row r="1970">
      <c r="A1970" t="inlineStr">
        <is>
          <t>2022</t>
        </is>
      </c>
      <c r="B1970" t="inlineStr">
        <is>
          <t>C00109546</t>
        </is>
      </c>
      <c r="C1970" t="inlineStr">
        <is>
          <t>Valero Energy Corp PAC</t>
        </is>
      </c>
      <c r="D1970" t="inlineStr">
        <is>
          <t>MULLIN FOR CONGRESS</t>
        </is>
      </c>
      <c r="E1970" t="inlineStr">
        <is>
          <t>H2OK02083</t>
        </is>
      </c>
      <c r="F1970" t="inlineStr">
        <is>
          <t>REP</t>
        </is>
      </c>
      <c r="G1970" t="inlineStr">
        <is>
          <t>11022021</t>
        </is>
      </c>
      <c r="H1970" t="n">
        <v>2500</v>
      </c>
      <c r="I1970" t="inlineStr">
        <is>
          <t>202112179469880270</t>
        </is>
      </c>
      <c r="J1970" t="inlineStr">
        <is>
          <t>https://docquery.fec.gov/cgi-bin/fecimg/?202112179469880270</t>
        </is>
      </c>
    </row>
    <row r="1971">
      <c r="A1971" t="inlineStr">
        <is>
          <t>2022</t>
        </is>
      </c>
      <c r="B1971" t="inlineStr">
        <is>
          <t>C00109546</t>
        </is>
      </c>
      <c r="C1971" t="inlineStr">
        <is>
          <t>Valero Energy Corp PAC</t>
        </is>
      </c>
      <c r="D1971" t="inlineStr">
        <is>
          <t>MULLIN FOR CONGRESS</t>
        </is>
      </c>
      <c r="E1971" t="inlineStr">
        <is>
          <t>H2OK02083</t>
        </is>
      </c>
      <c r="F1971" t="inlineStr">
        <is>
          <t>REP</t>
        </is>
      </c>
      <c r="G1971" t="inlineStr">
        <is>
          <t>11022021</t>
        </is>
      </c>
      <c r="H1971" t="n">
        <v>2500</v>
      </c>
      <c r="I1971" t="inlineStr">
        <is>
          <t>202112179469880271</t>
        </is>
      </c>
      <c r="J1971" t="inlineStr">
        <is>
          <t>https://docquery.fec.gov/cgi-bin/fecimg/?202112179469880271</t>
        </is>
      </c>
    </row>
    <row r="1972">
      <c r="A1972" t="inlineStr">
        <is>
          <t>2022</t>
        </is>
      </c>
      <c r="B1972" t="inlineStr">
        <is>
          <t>C00109546</t>
        </is>
      </c>
      <c r="C1972" t="inlineStr">
        <is>
          <t>Valero Energy Corp PAC</t>
        </is>
      </c>
      <c r="D1972" t="inlineStr">
        <is>
          <t>CURTIS FOR CONGRESS</t>
        </is>
      </c>
      <c r="E1972" t="inlineStr">
        <is>
          <t>H8UT03238</t>
        </is>
      </c>
      <c r="F1972" t="inlineStr">
        <is>
          <t>REP</t>
        </is>
      </c>
      <c r="G1972" t="inlineStr">
        <is>
          <t>11232021</t>
        </is>
      </c>
      <c r="H1972" t="n">
        <v>2500</v>
      </c>
      <c r="I1972" t="inlineStr">
        <is>
          <t>202112179469880264</t>
        </is>
      </c>
      <c r="J1972" t="inlineStr">
        <is>
          <t>https://docquery.fec.gov/cgi-bin/fecimg/?202112179469880264</t>
        </is>
      </c>
    </row>
    <row r="1973">
      <c r="A1973" t="inlineStr">
        <is>
          <t>2022</t>
        </is>
      </c>
      <c r="B1973" t="inlineStr">
        <is>
          <t>C00109546</t>
        </is>
      </c>
      <c r="C1973" t="inlineStr">
        <is>
          <t>Valero Energy Corp PAC</t>
        </is>
      </c>
      <c r="D1973" t="inlineStr">
        <is>
          <t>CLOUD FOR CONGRESS</t>
        </is>
      </c>
      <c r="E1973" t="inlineStr">
        <is>
          <t>H8TX27049</t>
        </is>
      </c>
      <c r="F1973" t="inlineStr">
        <is>
          <t>REP</t>
        </is>
      </c>
      <c r="G1973" t="inlineStr">
        <is>
          <t>11232021</t>
        </is>
      </c>
      <c r="H1973" t="n">
        <v>2500</v>
      </c>
      <c r="I1973" t="inlineStr">
        <is>
          <t>202112179469880263</t>
        </is>
      </c>
      <c r="J1973" t="inlineStr">
        <is>
          <t>https://docquery.fec.gov/cgi-bin/fecimg/?202112179469880263</t>
        </is>
      </c>
    </row>
    <row r="1974">
      <c r="A1974" t="inlineStr">
        <is>
          <t>2022</t>
        </is>
      </c>
      <c r="B1974" t="inlineStr">
        <is>
          <t>C00109546</t>
        </is>
      </c>
      <c r="C1974" t="inlineStr">
        <is>
          <t>Valero Energy Corp PAC</t>
        </is>
      </c>
      <c r="D1974" t="inlineStr">
        <is>
          <t>GRAVES FOR CONGRESS</t>
        </is>
      </c>
      <c r="E1974" t="inlineStr">
        <is>
          <t>H0MO06073</t>
        </is>
      </c>
      <c r="F1974" t="inlineStr">
        <is>
          <t>REP</t>
        </is>
      </c>
      <c r="G1974" t="inlineStr">
        <is>
          <t>11232021</t>
        </is>
      </c>
      <c r="H1974" t="n">
        <v>2500</v>
      </c>
      <c r="I1974" t="inlineStr">
        <is>
          <t>202112179469880267</t>
        </is>
      </c>
      <c r="J1974" t="inlineStr">
        <is>
          <t>https://docquery.fec.gov/cgi-bin/fecimg/?202112179469880267</t>
        </is>
      </c>
    </row>
    <row r="1975">
      <c r="A1975" t="inlineStr">
        <is>
          <t>2022</t>
        </is>
      </c>
      <c r="B1975" t="inlineStr">
        <is>
          <t>C00109546</t>
        </is>
      </c>
      <c r="C1975" t="inlineStr">
        <is>
          <t>Valero Energy Corp PAC</t>
        </is>
      </c>
      <c r="D1975" t="inlineStr">
        <is>
          <t>JOHNSON FOR CONGRESS</t>
        </is>
      </c>
      <c r="E1975" t="inlineStr">
        <is>
          <t>H0OH06189</t>
        </is>
      </c>
      <c r="F1975" t="inlineStr">
        <is>
          <t>REP</t>
        </is>
      </c>
      <c r="G1975" t="inlineStr">
        <is>
          <t>11232021</t>
        </is>
      </c>
      <c r="H1975" t="n">
        <v>2500</v>
      </c>
      <c r="I1975" t="inlineStr">
        <is>
          <t>202112179469880269</t>
        </is>
      </c>
      <c r="J1975" t="inlineStr">
        <is>
          <t>https://docquery.fec.gov/cgi-bin/fecimg/?202112179469880269</t>
        </is>
      </c>
    </row>
    <row r="1976">
      <c r="A1976" t="inlineStr">
        <is>
          <t>2022</t>
        </is>
      </c>
      <c r="B1976" t="inlineStr">
        <is>
          <t>C00109546</t>
        </is>
      </c>
      <c r="C1976" t="inlineStr">
        <is>
          <t>Valero Energy Corp PAC</t>
        </is>
      </c>
      <c r="D1976" t="inlineStr">
        <is>
          <t>MCHENRY FOR CONGRESS</t>
        </is>
      </c>
      <c r="E1976" t="inlineStr">
        <is>
          <t>H4NC10047</t>
        </is>
      </c>
      <c r="F1976" t="inlineStr">
        <is>
          <t>REP</t>
        </is>
      </c>
      <c r="G1976" t="inlineStr">
        <is>
          <t>11232021</t>
        </is>
      </c>
      <c r="H1976" t="n">
        <v>2500</v>
      </c>
      <c r="I1976" t="inlineStr">
        <is>
          <t>202112179469880269</t>
        </is>
      </c>
      <c r="J1976" t="inlineStr">
        <is>
          <t>https://docquery.fec.gov/cgi-bin/fecimg/?202112179469880269</t>
        </is>
      </c>
    </row>
    <row r="1977">
      <c r="A1977" t="inlineStr">
        <is>
          <t>2022</t>
        </is>
      </c>
      <c r="B1977" t="inlineStr">
        <is>
          <t>C00109546</t>
        </is>
      </c>
      <c r="C1977" t="inlineStr">
        <is>
          <t>Valero Energy Corp PAC</t>
        </is>
      </c>
      <c r="D1977" t="inlineStr">
        <is>
          <t>MIKE JOHNSON FOR LOUISIANA</t>
        </is>
      </c>
      <c r="E1977" t="inlineStr">
        <is>
          <t>H6LA04138</t>
        </is>
      </c>
      <c r="F1977" t="inlineStr">
        <is>
          <t>REP</t>
        </is>
      </c>
      <c r="G1977" t="inlineStr">
        <is>
          <t>11232021</t>
        </is>
      </c>
      <c r="H1977" t="n">
        <v>2500</v>
      </c>
      <c r="I1977" t="inlineStr">
        <is>
          <t>202112179469880270</t>
        </is>
      </c>
      <c r="J1977" t="inlineStr">
        <is>
          <t>https://docquery.fec.gov/cgi-bin/fecimg/?202112179469880270</t>
        </is>
      </c>
    </row>
    <row r="1978">
      <c r="A1978" t="inlineStr">
        <is>
          <t>2022</t>
        </is>
      </c>
      <c r="B1978" t="inlineStr">
        <is>
          <t>C00109546</t>
        </is>
      </c>
      <c r="C1978" t="inlineStr">
        <is>
          <t>Valero Energy Corp PAC</t>
        </is>
      </c>
      <c r="D1978" t="inlineStr">
        <is>
          <t>NEHLS FOR CONGRESS</t>
        </is>
      </c>
      <c r="E1978" t="inlineStr">
        <is>
          <t>H0TX22302</t>
        </is>
      </c>
      <c r="F1978" t="inlineStr">
        <is>
          <t>REP</t>
        </is>
      </c>
      <c r="G1978" t="inlineStr">
        <is>
          <t>11232021</t>
        </is>
      </c>
      <c r="H1978" t="n">
        <v>2500</v>
      </c>
      <c r="I1978" t="inlineStr">
        <is>
          <t>202112179469880271</t>
        </is>
      </c>
      <c r="J1978" t="inlineStr">
        <is>
          <t>https://docquery.fec.gov/cgi-bin/fecimg/?202112179469880271</t>
        </is>
      </c>
    </row>
    <row r="1979">
      <c r="A1979" t="inlineStr">
        <is>
          <t>2022</t>
        </is>
      </c>
      <c r="B1979" t="inlineStr">
        <is>
          <t>C00109546</t>
        </is>
      </c>
      <c r="C1979" t="inlineStr">
        <is>
          <t>Valero Energy Corp PAC</t>
        </is>
      </c>
      <c r="D1979" t="inlineStr">
        <is>
          <t>STEIL FOR WISCONSIN, INC.</t>
        </is>
      </c>
      <c r="E1979" t="inlineStr">
        <is>
          <t>H8WI01156</t>
        </is>
      </c>
      <c r="F1979" t="inlineStr">
        <is>
          <t>REP</t>
        </is>
      </c>
      <c r="G1979" t="inlineStr">
        <is>
          <t>11232021</t>
        </is>
      </c>
      <c r="H1979" t="n">
        <v>2500</v>
      </c>
      <c r="I1979" t="inlineStr">
        <is>
          <t>202112179469880272</t>
        </is>
      </c>
      <c r="J1979" t="inlineStr">
        <is>
          <t>https://docquery.fec.gov/cgi-bin/fecimg/?202112179469880272</t>
        </is>
      </c>
    </row>
    <row r="1980">
      <c r="A1980" t="inlineStr">
        <is>
          <t>2022</t>
        </is>
      </c>
      <c r="B1980" t="inlineStr">
        <is>
          <t>C00109546</t>
        </is>
      </c>
      <c r="C1980" t="inlineStr">
        <is>
          <t>Valero Energy Corp PAC</t>
        </is>
      </c>
      <c r="D1980" t="inlineStr">
        <is>
          <t>TEXANS FOR JODEY ARRINGTON</t>
        </is>
      </c>
      <c r="E1980" t="inlineStr">
        <is>
          <t>H6TX19099</t>
        </is>
      </c>
      <c r="F1980" t="inlineStr">
        <is>
          <t>REP</t>
        </is>
      </c>
      <c r="G1980" t="inlineStr">
        <is>
          <t>11232021</t>
        </is>
      </c>
      <c r="H1980" t="n">
        <v>5000</v>
      </c>
      <c r="I1980" t="inlineStr">
        <is>
          <t>202112179469880272</t>
        </is>
      </c>
      <c r="J1980" t="inlineStr">
        <is>
          <t>https://docquery.fec.gov/cgi-bin/fecimg/?202112179469880272</t>
        </is>
      </c>
    </row>
    <row r="1981">
      <c r="A1981" t="inlineStr">
        <is>
          <t>2022</t>
        </is>
      </c>
      <c r="B1981" t="inlineStr">
        <is>
          <t>C00109546</t>
        </is>
      </c>
      <c r="C1981" t="inlineStr">
        <is>
          <t>Valero Energy Corp PAC</t>
        </is>
      </c>
      <c r="D1981" t="inlineStr">
        <is>
          <t>TIM SCOTT FOR SENATE</t>
        </is>
      </c>
      <c r="E1981" t="inlineStr">
        <is>
          <t>S4SC00240</t>
        </is>
      </c>
      <c r="F1981" t="inlineStr">
        <is>
          <t>REP</t>
        </is>
      </c>
      <c r="G1981" t="inlineStr">
        <is>
          <t>11232021</t>
        </is>
      </c>
      <c r="H1981" t="n">
        <v>2500</v>
      </c>
      <c r="I1981" t="inlineStr">
        <is>
          <t>202112179469880273</t>
        </is>
      </c>
      <c r="J1981" t="inlineStr">
        <is>
          <t>https://docquery.fec.gov/cgi-bin/fecimg/?202112179469880273</t>
        </is>
      </c>
    </row>
    <row r="1982">
      <c r="A1982" t="inlineStr">
        <is>
          <t>2022</t>
        </is>
      </c>
      <c r="B1982" t="inlineStr">
        <is>
          <t>C00109546</t>
        </is>
      </c>
      <c r="C1982" t="inlineStr">
        <is>
          <t>Valero Energy Corp PAC</t>
        </is>
      </c>
      <c r="D1982" t="inlineStr">
        <is>
          <t>VAN TAYLOR CAMPAIGN</t>
        </is>
      </c>
      <c r="E1982" t="inlineStr">
        <is>
          <t>H8TX03123</t>
        </is>
      </c>
      <c r="F1982" t="inlineStr">
        <is>
          <t>REP</t>
        </is>
      </c>
      <c r="G1982" t="inlineStr">
        <is>
          <t>11232021</t>
        </is>
      </c>
      <c r="H1982" t="n">
        <v>2500</v>
      </c>
      <c r="I1982" t="inlineStr">
        <is>
          <t>202112179469880273</t>
        </is>
      </c>
      <c r="J1982" t="inlineStr">
        <is>
          <t>https://docquery.fec.gov/cgi-bin/fecimg/?202112179469880273</t>
        </is>
      </c>
    </row>
    <row r="1983">
      <c r="A1983" t="inlineStr">
        <is>
          <t>2022</t>
        </is>
      </c>
      <c r="B1983" t="inlineStr">
        <is>
          <t>C00109546</t>
        </is>
      </c>
      <c r="C1983" t="inlineStr">
        <is>
          <t>Valero Energy Corp PAC</t>
        </is>
      </c>
      <c r="D1983" t="inlineStr">
        <is>
          <t>YOUNG KIM FOR CONGRESS</t>
        </is>
      </c>
      <c r="E1983" t="inlineStr">
        <is>
          <t>H8CA39240</t>
        </is>
      </c>
      <c r="F1983" t="inlineStr">
        <is>
          <t>REP</t>
        </is>
      </c>
      <c r="G1983" t="inlineStr">
        <is>
          <t>11232021</t>
        </is>
      </c>
      <c r="H1983" t="n">
        <v>2500</v>
      </c>
      <c r="I1983" t="inlineStr">
        <is>
          <t>202112179469880273</t>
        </is>
      </c>
      <c r="J1983" t="inlineStr">
        <is>
          <t>https://docquery.fec.gov/cgi-bin/fecimg/?202112179469880273</t>
        </is>
      </c>
    </row>
    <row r="1984">
      <c r="A1984" t="inlineStr">
        <is>
          <t>2022</t>
        </is>
      </c>
      <c r="B1984" t="inlineStr">
        <is>
          <t>C00109546</t>
        </is>
      </c>
      <c r="C1984" t="inlineStr">
        <is>
          <t>Valero Energy Corp PAC</t>
        </is>
      </c>
      <c r="D1984" t="inlineStr">
        <is>
          <t>ASHLEY HINSON FOR CONGRESS</t>
        </is>
      </c>
      <c r="E1984" t="inlineStr">
        <is>
          <t>H0IA01174</t>
        </is>
      </c>
      <c r="F1984" t="inlineStr">
        <is>
          <t>REP</t>
        </is>
      </c>
      <c r="G1984" t="inlineStr">
        <is>
          <t>12172021</t>
        </is>
      </c>
      <c r="H1984" t="n">
        <v>2500</v>
      </c>
      <c r="I1984" t="inlineStr">
        <is>
          <t>202201279475244960</t>
        </is>
      </c>
      <c r="J1984" t="inlineStr">
        <is>
          <t>https://docquery.fec.gov/cgi-bin/fecimg/?202201279475244960</t>
        </is>
      </c>
    </row>
    <row r="1985">
      <c r="A1985" t="inlineStr">
        <is>
          <t>2022</t>
        </is>
      </c>
      <c r="B1985" t="inlineStr">
        <is>
          <t>C00109546</t>
        </is>
      </c>
      <c r="C1985" t="inlineStr">
        <is>
          <t>Valero Energy Corp PAC</t>
        </is>
      </c>
      <c r="D1985" t="inlineStr">
        <is>
          <t>CAROL FOR CONGRESS</t>
        </is>
      </c>
      <c r="E1985" t="inlineStr">
        <is>
          <t>H8WV03097</t>
        </is>
      </c>
      <c r="F1985" t="inlineStr">
        <is>
          <t>REP</t>
        </is>
      </c>
      <c r="G1985" t="inlineStr">
        <is>
          <t>12172021</t>
        </is>
      </c>
      <c r="H1985" t="n">
        <v>2500</v>
      </c>
      <c r="I1985" t="inlineStr">
        <is>
          <t>202201279475244960</t>
        </is>
      </c>
      <c r="J1985" t="inlineStr">
        <is>
          <t>https://docquery.fec.gov/cgi-bin/fecimg/?202201279475244960</t>
        </is>
      </c>
    </row>
    <row r="1986">
      <c r="A1986" t="inlineStr">
        <is>
          <t>2022</t>
        </is>
      </c>
      <c r="B1986" t="inlineStr">
        <is>
          <t>C00109546</t>
        </is>
      </c>
      <c r="C1986" t="inlineStr">
        <is>
          <t>Valero Energy Corp PAC</t>
        </is>
      </c>
      <c r="D1986" t="inlineStr">
        <is>
          <t>KAT FOR CONGRESS</t>
        </is>
      </c>
      <c r="E1986" t="inlineStr">
        <is>
          <t>H0FL03175</t>
        </is>
      </c>
      <c r="F1986" t="inlineStr">
        <is>
          <t>REP</t>
        </is>
      </c>
      <c r="G1986" t="inlineStr">
        <is>
          <t>12172021</t>
        </is>
      </c>
      <c r="H1986" t="n">
        <v>2500</v>
      </c>
      <c r="I1986" t="inlineStr">
        <is>
          <t>202201279475244961</t>
        </is>
      </c>
      <c r="J1986" t="inlineStr">
        <is>
          <t>https://docquery.fec.gov/cgi-bin/fecimg/?202201279475244961</t>
        </is>
      </c>
    </row>
    <row r="1987">
      <c r="A1987" t="inlineStr">
        <is>
          <t>2022</t>
        </is>
      </c>
      <c r="B1987" t="inlineStr">
        <is>
          <t>C00109546</t>
        </is>
      </c>
      <c r="C1987" t="inlineStr">
        <is>
          <t>Valero Energy Corp PAC</t>
        </is>
      </c>
      <c r="D1987" t="inlineStr">
        <is>
          <t>TEXANS FOR HENRY CUELLAR CONGRESSIONAL CAMPAIGN</t>
        </is>
      </c>
      <c r="E1987" t="inlineStr">
        <is>
          <t>H2TX23082</t>
        </is>
      </c>
      <c r="F1987" t="inlineStr">
        <is>
          <t>DEM</t>
        </is>
      </c>
      <c r="G1987" t="inlineStr">
        <is>
          <t>12172021</t>
        </is>
      </c>
      <c r="H1987" t="n">
        <v>2500</v>
      </c>
      <c r="I1987" t="inlineStr">
        <is>
          <t>202201279475244963</t>
        </is>
      </c>
      <c r="J1987" t="inlineStr">
        <is>
          <t>https://docquery.fec.gov/cgi-bin/fecimg/?202201279475244963</t>
        </is>
      </c>
    </row>
    <row r="1988">
      <c r="A1988" t="inlineStr">
        <is>
          <t>2024</t>
        </is>
      </c>
      <c r="B1988" t="inlineStr">
        <is>
          <t>C00415026</t>
        </is>
      </c>
      <c r="C1988" t="inlineStr">
        <is>
          <t>American Fuel &amp; Petrochemical Manufacturers PAC (AFPM PAC)</t>
        </is>
      </c>
      <c r="D1988" t="inlineStr">
        <is>
          <t>BICE FOR CONGRESS</t>
        </is>
      </c>
      <c r="E1988" t="inlineStr">
        <is>
          <t>H0OK05205</t>
        </is>
      </c>
      <c r="F1988" t="inlineStr">
        <is>
          <t>REP</t>
        </is>
      </c>
      <c r="G1988" t="inlineStr">
        <is>
          <t>01262023</t>
        </is>
      </c>
      <c r="H1988" t="n">
        <v>-1500</v>
      </c>
      <c r="I1988" t="inlineStr">
        <is>
          <t>202302169578644785</t>
        </is>
      </c>
      <c r="J1988" t="inlineStr">
        <is>
          <t>https://docquery.fec.gov/cgi-bin/fecimg/?202302169578644785</t>
        </is>
      </c>
    </row>
    <row r="1989">
      <c r="A1989" t="inlineStr">
        <is>
          <t>2024</t>
        </is>
      </c>
      <c r="B1989" t="inlineStr">
        <is>
          <t>C00415026</t>
        </is>
      </c>
      <c r="C1989" t="inlineStr">
        <is>
          <t>American Fuel &amp; Petrochemical Manufacturers PAC (AFPM PAC)</t>
        </is>
      </c>
      <c r="D1989" t="inlineStr">
        <is>
          <t>CURTIS FOR CONGRESS</t>
        </is>
      </c>
      <c r="E1989" t="inlineStr">
        <is>
          <t>H8UT03238</t>
        </is>
      </c>
      <c r="F1989" t="inlineStr">
        <is>
          <t>REP</t>
        </is>
      </c>
      <c r="G1989" t="inlineStr">
        <is>
          <t>01262023</t>
        </is>
      </c>
      <c r="H1989" t="n">
        <v>-2500</v>
      </c>
      <c r="I1989" t="inlineStr">
        <is>
          <t>202302169578644785</t>
        </is>
      </c>
      <c r="J1989" t="inlineStr">
        <is>
          <t>https://docquery.fec.gov/cgi-bin/fecimg/?202302169578644785</t>
        </is>
      </c>
    </row>
    <row r="1990">
      <c r="A1990" t="inlineStr">
        <is>
          <t>2024</t>
        </is>
      </c>
      <c r="B1990" t="inlineStr">
        <is>
          <t>C00415026</t>
        </is>
      </c>
      <c r="C1990" t="inlineStr">
        <is>
          <t>American Fuel &amp; Petrochemical Manufacturers PAC (AFPM PAC)</t>
        </is>
      </c>
      <c r="D1990" t="inlineStr">
        <is>
          <t>SYLVIA GARCIA FOR CONGRESS</t>
        </is>
      </c>
      <c r="E1990" t="inlineStr">
        <is>
          <t>H8TX29052</t>
        </is>
      </c>
      <c r="F1990" t="inlineStr">
        <is>
          <t>DEM</t>
        </is>
      </c>
      <c r="G1990" t="inlineStr">
        <is>
          <t>01262023</t>
        </is>
      </c>
      <c r="H1990" t="n">
        <v>-1000</v>
      </c>
      <c r="I1990" t="inlineStr">
        <is>
          <t>202302169578644785</t>
        </is>
      </c>
      <c r="J1990" t="inlineStr">
        <is>
          <t>https://docquery.fec.gov/cgi-bin/fecimg/?202302169578644785</t>
        </is>
      </c>
    </row>
    <row r="1991">
      <c r="A1991" t="inlineStr">
        <is>
          <t>2024</t>
        </is>
      </c>
      <c r="B1991" t="inlineStr">
        <is>
          <t>C00415026</t>
        </is>
      </c>
      <c r="C1991" t="inlineStr">
        <is>
          <t>American Fuel &amp; Petrochemical Manufacturers PAC (AFPM PAC)</t>
        </is>
      </c>
      <c r="D1991" t="inlineStr">
        <is>
          <t>BILIRAKIS FOR CONGRESS</t>
        </is>
      </c>
      <c r="E1991" t="inlineStr">
        <is>
          <t>H6FL09070</t>
        </is>
      </c>
      <c r="F1991" t="inlineStr">
        <is>
          <t>REP</t>
        </is>
      </c>
      <c r="G1991" t="inlineStr">
        <is>
          <t>02052024</t>
        </is>
      </c>
      <c r="H1991" t="n">
        <v>2500</v>
      </c>
      <c r="I1991" t="inlineStr">
        <is>
          <t>202403149622412973</t>
        </is>
      </c>
      <c r="J1991" t="inlineStr">
        <is>
          <t>https://docquery.fec.gov/cgi-bin/fecimg/?202403149622412973</t>
        </is>
      </c>
    </row>
    <row r="1992">
      <c r="A1992" t="inlineStr">
        <is>
          <t>2024</t>
        </is>
      </c>
      <c r="B1992" t="inlineStr">
        <is>
          <t>C00415026</t>
        </is>
      </c>
      <c r="C1992" t="inlineStr">
        <is>
          <t>American Fuel &amp; Petrochemical Manufacturers PAC (AFPM PAC)</t>
        </is>
      </c>
      <c r="D1992" t="inlineStr">
        <is>
          <t>DR JOHN JOYCE FOR CONGRESS</t>
        </is>
      </c>
      <c r="E1992" t="inlineStr">
        <is>
          <t>H8PA13125</t>
        </is>
      </c>
      <c r="F1992" t="inlineStr">
        <is>
          <t>REP</t>
        </is>
      </c>
      <c r="G1992" t="inlineStr">
        <is>
          <t>02052024</t>
        </is>
      </c>
      <c r="H1992" t="n">
        <v>2500</v>
      </c>
      <c r="I1992" t="inlineStr">
        <is>
          <t>202403149622412973</t>
        </is>
      </c>
      <c r="J1992" t="inlineStr">
        <is>
          <t>https://docquery.fec.gov/cgi-bin/fecimg/?202403149622412973</t>
        </is>
      </c>
    </row>
    <row r="1993">
      <c r="A1993" t="inlineStr">
        <is>
          <t>2024</t>
        </is>
      </c>
      <c r="B1993" t="inlineStr">
        <is>
          <t>C00415026</t>
        </is>
      </c>
      <c r="C1993" t="inlineStr">
        <is>
          <t>American Fuel &amp; Petrochemical Manufacturers PAC (AFPM PAC)</t>
        </is>
      </c>
      <c r="D1993" t="inlineStr">
        <is>
          <t>EMMER FOR CONGRESS</t>
        </is>
      </c>
      <c r="E1993" t="inlineStr">
        <is>
          <t>H4MN06087</t>
        </is>
      </c>
      <c r="F1993" t="inlineStr">
        <is>
          <t>REP</t>
        </is>
      </c>
      <c r="G1993" t="inlineStr">
        <is>
          <t>02052024</t>
        </is>
      </c>
      <c r="H1993" t="n">
        <v>2500</v>
      </c>
      <c r="I1993" t="inlineStr">
        <is>
          <t>202403149622412973</t>
        </is>
      </c>
      <c r="J1993" t="inlineStr">
        <is>
          <t>https://docquery.fec.gov/cgi-bin/fecimg/?202403149622412973</t>
        </is>
      </c>
    </row>
    <row r="1994">
      <c r="A1994" t="inlineStr">
        <is>
          <t>2024</t>
        </is>
      </c>
      <c r="B1994" t="inlineStr">
        <is>
          <t>C00415026</t>
        </is>
      </c>
      <c r="C1994" t="inlineStr">
        <is>
          <t>American Fuel &amp; Petrochemical Manufacturers PAC (AFPM PAC)</t>
        </is>
      </c>
      <c r="D1994" t="inlineStr">
        <is>
          <t>LISA MCCLAIN FOR CONGRESS</t>
        </is>
      </c>
      <c r="E1994" t="inlineStr">
        <is>
          <t>H0MI10287</t>
        </is>
      </c>
      <c r="F1994" t="inlineStr">
        <is>
          <t>REP</t>
        </is>
      </c>
      <c r="G1994" t="inlineStr">
        <is>
          <t>02052024</t>
        </is>
      </c>
      <c r="H1994" t="n">
        <v>1000</v>
      </c>
      <c r="I1994" t="inlineStr">
        <is>
          <t>202403149622412974</t>
        </is>
      </c>
      <c r="J1994" t="inlineStr">
        <is>
          <t>https://docquery.fec.gov/cgi-bin/fecimg/?202403149622412974</t>
        </is>
      </c>
    </row>
    <row r="1995">
      <c r="A1995" t="inlineStr">
        <is>
          <t>2024</t>
        </is>
      </c>
      <c r="B1995" t="inlineStr">
        <is>
          <t>C00415026</t>
        </is>
      </c>
      <c r="C1995" t="inlineStr">
        <is>
          <t>American Fuel &amp; Petrochemical Manufacturers PAC (AFPM PAC)</t>
        </is>
      </c>
      <c r="D1995" t="inlineStr">
        <is>
          <t>HUDSON FOR CONGRESS</t>
        </is>
      </c>
      <c r="E1995" t="inlineStr">
        <is>
          <t>H2NC08185</t>
        </is>
      </c>
      <c r="F1995" t="inlineStr">
        <is>
          <t>REP</t>
        </is>
      </c>
      <c r="G1995" t="inlineStr">
        <is>
          <t>02082024</t>
        </is>
      </c>
      <c r="H1995" t="n">
        <v>2500</v>
      </c>
      <c r="I1995" t="inlineStr">
        <is>
          <t>202403149622412974</t>
        </is>
      </c>
      <c r="J1995" t="inlineStr">
        <is>
          <t>https://docquery.fec.gov/cgi-bin/fecimg/?202403149622412974</t>
        </is>
      </c>
    </row>
    <row r="1996">
      <c r="A1996" t="inlineStr">
        <is>
          <t>2024</t>
        </is>
      </c>
      <c r="B1996" t="inlineStr">
        <is>
          <t>C00415026</t>
        </is>
      </c>
      <c r="C1996" t="inlineStr">
        <is>
          <t>American Fuel &amp; Petrochemical Manufacturers PAC (AFPM PAC)</t>
        </is>
      </c>
      <c r="D1996" t="inlineStr">
        <is>
          <t>VICENTE GONZALEZ FOR CONGRESS</t>
        </is>
      </c>
      <c r="E1996" t="inlineStr">
        <is>
          <t>H6TX15162</t>
        </is>
      </c>
      <c r="F1996" t="inlineStr">
        <is>
          <t>DEM</t>
        </is>
      </c>
      <c r="G1996" t="inlineStr">
        <is>
          <t>02202024</t>
        </is>
      </c>
      <c r="H1996" t="n">
        <v>1500</v>
      </c>
      <c r="I1996" t="inlineStr">
        <is>
          <t>202403149622412974</t>
        </is>
      </c>
      <c r="J1996" t="inlineStr">
        <is>
          <t>https://docquery.fec.gov/cgi-bin/fecimg/?202403149622412974</t>
        </is>
      </c>
    </row>
    <row r="1997">
      <c r="A1997" t="inlineStr">
        <is>
          <t>2024</t>
        </is>
      </c>
      <c r="B1997" t="inlineStr">
        <is>
          <t>C00415026</t>
        </is>
      </c>
      <c r="C1997" t="inlineStr">
        <is>
          <t>American Fuel &amp; Petrochemical Manufacturers PAC (AFPM PAC)</t>
        </is>
      </c>
      <c r="D1997" t="inlineStr">
        <is>
          <t>CATHY MCMORRIS RODGERS FOR CONGRESS</t>
        </is>
      </c>
      <c r="E1997" t="inlineStr">
        <is>
          <t>H4WA05077</t>
        </is>
      </c>
      <c r="F1997" t="inlineStr">
        <is>
          <t>REP</t>
        </is>
      </c>
      <c r="G1997" t="inlineStr">
        <is>
          <t>03122024</t>
        </is>
      </c>
      <c r="H1997" t="n">
        <v>-2500</v>
      </c>
      <c r="I1997" t="inlineStr">
        <is>
          <t>202404199633495500</t>
        </is>
      </c>
      <c r="J1997" t="inlineStr">
        <is>
          <t>https://docquery.fec.gov/cgi-bin/fecimg/?202404199633495500</t>
        </is>
      </c>
    </row>
    <row r="1998">
      <c r="A1998" t="inlineStr">
        <is>
          <t>2024</t>
        </is>
      </c>
      <c r="B1998" t="inlineStr">
        <is>
          <t>C00415026</t>
        </is>
      </c>
      <c r="C1998" t="inlineStr">
        <is>
          <t>American Fuel &amp; Petrochemical Manufacturers PAC (AFPM PAC)</t>
        </is>
      </c>
      <c r="D1998" t="inlineStr">
        <is>
          <t>DR JOHN JOYCE FOR CONGRESS</t>
        </is>
      </c>
      <c r="E1998" t="inlineStr">
        <is>
          <t>H8PA13125</t>
        </is>
      </c>
      <c r="F1998" t="inlineStr">
        <is>
          <t>REP</t>
        </is>
      </c>
      <c r="G1998" t="inlineStr">
        <is>
          <t>03142023</t>
        </is>
      </c>
      <c r="H1998" t="n">
        <v>1000</v>
      </c>
      <c r="I1998" t="inlineStr">
        <is>
          <t>202304179581022711</t>
        </is>
      </c>
      <c r="J1998" t="inlineStr">
        <is>
          <t>https://docquery.fec.gov/cgi-bin/fecimg/?202304179581022711</t>
        </is>
      </c>
    </row>
    <row r="1999">
      <c r="A1999" t="inlineStr">
        <is>
          <t>2024</t>
        </is>
      </c>
      <c r="B1999" t="inlineStr">
        <is>
          <t>C00415026</t>
        </is>
      </c>
      <c r="C1999" t="inlineStr">
        <is>
          <t>American Fuel &amp; Petrochemical Manufacturers PAC (AFPM PAC)</t>
        </is>
      </c>
      <c r="D1999" t="inlineStr">
        <is>
          <t>AUGUST PFLUGER FOR CONGRESS</t>
        </is>
      </c>
      <c r="E1999" t="inlineStr">
        <is>
          <t>H0TX11230</t>
        </is>
      </c>
      <c r="F1999" t="inlineStr">
        <is>
          <t>REP</t>
        </is>
      </c>
      <c r="G1999" t="inlineStr">
        <is>
          <t>03142023</t>
        </is>
      </c>
      <c r="H1999" t="n">
        <v>2500</v>
      </c>
      <c r="I1999" t="inlineStr">
        <is>
          <t>202304179581022710</t>
        </is>
      </c>
      <c r="J1999" t="inlineStr">
        <is>
          <t>https://docquery.fec.gov/cgi-bin/fecimg/?202304179581022710</t>
        </is>
      </c>
    </row>
    <row r="2000">
      <c r="A2000" t="inlineStr">
        <is>
          <t>2024</t>
        </is>
      </c>
      <c r="B2000" t="inlineStr">
        <is>
          <t>C00415026</t>
        </is>
      </c>
      <c r="C2000" t="inlineStr">
        <is>
          <t>American Fuel &amp; Petrochemical Manufacturers PAC (AFPM PAC)</t>
        </is>
      </c>
      <c r="D2000" t="inlineStr">
        <is>
          <t>BICE FOR CONGRESS</t>
        </is>
      </c>
      <c r="E2000" t="inlineStr">
        <is>
          <t>H0OK05205</t>
        </is>
      </c>
      <c r="F2000" t="inlineStr">
        <is>
          <t>REP</t>
        </is>
      </c>
      <c r="G2000" t="inlineStr">
        <is>
          <t>03142023</t>
        </is>
      </c>
      <c r="H2000" t="n">
        <v>1000</v>
      </c>
      <c r="I2000" t="inlineStr">
        <is>
          <t>202304179581022711</t>
        </is>
      </c>
      <c r="J2000" t="inlineStr">
        <is>
          <t>https://docquery.fec.gov/cgi-bin/fecimg/?202304179581022711</t>
        </is>
      </c>
    </row>
    <row r="2001">
      <c r="A2001" t="inlineStr">
        <is>
          <t>2024</t>
        </is>
      </c>
      <c r="B2001" t="inlineStr">
        <is>
          <t>C00415026</t>
        </is>
      </c>
      <c r="C2001" t="inlineStr">
        <is>
          <t>American Fuel &amp; Petrochemical Manufacturers PAC (AFPM PAC)</t>
        </is>
      </c>
      <c r="D2001" t="inlineStr">
        <is>
          <t>CATHY MCMORRIS RODGERS FOR CONGRESS</t>
        </is>
      </c>
      <c r="E2001" t="inlineStr">
        <is>
          <t>H4WA05077</t>
        </is>
      </c>
      <c r="F2001" t="inlineStr">
        <is>
          <t>REP</t>
        </is>
      </c>
      <c r="G2001" t="inlineStr">
        <is>
          <t>03142023</t>
        </is>
      </c>
      <c r="H2001" t="n">
        <v>5000</v>
      </c>
      <c r="I2001" t="inlineStr">
        <is>
          <t>202304179581022711</t>
        </is>
      </c>
      <c r="J2001" t="inlineStr">
        <is>
          <t>https://docquery.fec.gov/cgi-bin/fecimg/?202304179581022711</t>
        </is>
      </c>
    </row>
    <row r="2002">
      <c r="A2002" t="inlineStr">
        <is>
          <t>2024</t>
        </is>
      </c>
      <c r="B2002" t="inlineStr">
        <is>
          <t>C00415026</t>
        </is>
      </c>
      <c r="C2002" t="inlineStr">
        <is>
          <t>American Fuel &amp; Petrochemical Manufacturers PAC (AFPM PAC)</t>
        </is>
      </c>
      <c r="D2002" t="inlineStr">
        <is>
          <t>HUDSON FOR CONGRESS</t>
        </is>
      </c>
      <c r="E2002" t="inlineStr">
        <is>
          <t>H2NC08185</t>
        </is>
      </c>
      <c r="F2002" t="inlineStr">
        <is>
          <t>REP</t>
        </is>
      </c>
      <c r="G2002" t="inlineStr">
        <is>
          <t>03142023</t>
        </is>
      </c>
      <c r="H2002" t="n">
        <v>2500</v>
      </c>
      <c r="I2002" t="inlineStr">
        <is>
          <t>202304179581022712</t>
        </is>
      </c>
      <c r="J2002" t="inlineStr">
        <is>
          <t>https://docquery.fec.gov/cgi-bin/fecimg/?202304179581022712</t>
        </is>
      </c>
    </row>
    <row r="2003">
      <c r="A2003" t="inlineStr">
        <is>
          <t>2024</t>
        </is>
      </c>
      <c r="B2003" t="inlineStr">
        <is>
          <t>C00415026</t>
        </is>
      </c>
      <c r="C2003" t="inlineStr">
        <is>
          <t>American Fuel &amp; Petrochemical Manufacturers PAC (AFPM PAC)</t>
        </is>
      </c>
      <c r="D2003" t="inlineStr">
        <is>
          <t>JASON SMITH FOR CONGRESS</t>
        </is>
      </c>
      <c r="E2003" t="inlineStr">
        <is>
          <t>H4MO08162</t>
        </is>
      </c>
      <c r="F2003" t="inlineStr">
        <is>
          <t>REP</t>
        </is>
      </c>
      <c r="G2003" t="inlineStr">
        <is>
          <t>03142023</t>
        </is>
      </c>
      <c r="H2003" t="n">
        <v>2500</v>
      </c>
      <c r="I2003" t="inlineStr">
        <is>
          <t>202304179581022712</t>
        </is>
      </c>
      <c r="J2003" t="inlineStr">
        <is>
          <t>https://docquery.fec.gov/cgi-bin/fecimg/?202304179581022712</t>
        </is>
      </c>
    </row>
    <row r="2004">
      <c r="A2004" t="inlineStr">
        <is>
          <t>2024</t>
        </is>
      </c>
      <c r="B2004" t="inlineStr">
        <is>
          <t>C00415026</t>
        </is>
      </c>
      <c r="C2004" t="inlineStr">
        <is>
          <t>American Fuel &amp; Petrochemical Manufacturers PAC (AFPM PAC)</t>
        </is>
      </c>
      <c r="D2004" t="inlineStr">
        <is>
          <t>TEXANS FOR JODEY ARRINGTON</t>
        </is>
      </c>
      <c r="E2004" t="inlineStr">
        <is>
          <t>H6TX19099</t>
        </is>
      </c>
      <c r="F2004" t="inlineStr">
        <is>
          <t>REP</t>
        </is>
      </c>
      <c r="G2004" t="inlineStr">
        <is>
          <t>03142023</t>
        </is>
      </c>
      <c r="H2004" t="n">
        <v>1000</v>
      </c>
      <c r="I2004" t="inlineStr">
        <is>
          <t>202304179581022713</t>
        </is>
      </c>
      <c r="J2004" t="inlineStr">
        <is>
          <t>https://docquery.fec.gov/cgi-bin/fecimg/?202304179581022713</t>
        </is>
      </c>
    </row>
    <row r="2005">
      <c r="A2005" t="inlineStr">
        <is>
          <t>2024</t>
        </is>
      </c>
      <c r="B2005" t="inlineStr">
        <is>
          <t>C00415026</t>
        </is>
      </c>
      <c r="C2005" t="inlineStr">
        <is>
          <t>American Fuel &amp; Petrochemical Manufacturers PAC (AFPM PAC)</t>
        </is>
      </c>
      <c r="D2005" t="inlineStr">
        <is>
          <t>TONY GONZALES FOR CONGRESS</t>
        </is>
      </c>
      <c r="E2005" t="inlineStr">
        <is>
          <t>H0TX35015</t>
        </is>
      </c>
      <c r="F2005" t="inlineStr">
        <is>
          <t>REP</t>
        </is>
      </c>
      <c r="G2005" t="inlineStr">
        <is>
          <t>03142023</t>
        </is>
      </c>
      <c r="H2005" t="n">
        <v>1000</v>
      </c>
      <c r="I2005" t="inlineStr">
        <is>
          <t>202304179581022714</t>
        </is>
      </c>
      <c r="J2005" t="inlineStr">
        <is>
          <t>https://docquery.fec.gov/cgi-bin/fecimg/?202304179581022714</t>
        </is>
      </c>
    </row>
    <row r="2006">
      <c r="A2006" t="inlineStr">
        <is>
          <t>2024</t>
        </is>
      </c>
      <c r="B2006" t="inlineStr">
        <is>
          <t>C00415026</t>
        </is>
      </c>
      <c r="C2006" t="inlineStr">
        <is>
          <t>American Fuel &amp; Petrochemical Manufacturers PAC (AFPM PAC)</t>
        </is>
      </c>
      <c r="D2006" t="inlineStr">
        <is>
          <t>WEBER FOR CONGRESS</t>
        </is>
      </c>
      <c r="E2006" t="inlineStr">
        <is>
          <t>H2TX14149</t>
        </is>
      </c>
      <c r="F2006" t="inlineStr">
        <is>
          <t>REP</t>
        </is>
      </c>
      <c r="G2006" t="inlineStr">
        <is>
          <t>03142023</t>
        </is>
      </c>
      <c r="H2006" t="n">
        <v>1000</v>
      </c>
      <c r="I2006" t="inlineStr">
        <is>
          <t>202304179581022714</t>
        </is>
      </c>
      <c r="J2006" t="inlineStr">
        <is>
          <t>https://docquery.fec.gov/cgi-bin/fecimg/?202304179581022714</t>
        </is>
      </c>
    </row>
    <row r="2007">
      <c r="A2007" t="inlineStr">
        <is>
          <t>2024</t>
        </is>
      </c>
      <c r="B2007" t="inlineStr">
        <is>
          <t>C00415026</t>
        </is>
      </c>
      <c r="C2007" t="inlineStr">
        <is>
          <t>American Fuel &amp; Petrochemical Manufacturers PAC (AFPM PAC)</t>
        </is>
      </c>
      <c r="D2007" t="inlineStr">
        <is>
          <t>ARMSTRONG FOR CONGRESS</t>
        </is>
      </c>
      <c r="E2007" t="inlineStr">
        <is>
          <t>H8ND00096</t>
        </is>
      </c>
      <c r="F2007" t="inlineStr">
        <is>
          <t>REP</t>
        </is>
      </c>
      <c r="G2007" t="inlineStr">
        <is>
          <t>03142023</t>
        </is>
      </c>
      <c r="H2007" t="n">
        <v>1000</v>
      </c>
      <c r="I2007" t="inlineStr">
        <is>
          <t>202304179581022710</t>
        </is>
      </c>
      <c r="J2007" t="inlineStr">
        <is>
          <t>https://docquery.fec.gov/cgi-bin/fecimg/?202304179581022710</t>
        </is>
      </c>
    </row>
    <row r="2008">
      <c r="A2008" t="inlineStr">
        <is>
          <t>2024</t>
        </is>
      </c>
      <c r="B2008" t="inlineStr">
        <is>
          <t>C00415026</t>
        </is>
      </c>
      <c r="C2008" t="inlineStr">
        <is>
          <t>American Fuel &amp; Petrochemical Manufacturers PAC (AFPM PAC)</t>
        </is>
      </c>
      <c r="D2008" t="inlineStr">
        <is>
          <t>ASHLEY HINSON FOR CONGRESS</t>
        </is>
      </c>
      <c r="E2008" t="inlineStr">
        <is>
          <t>H0IA01174</t>
        </is>
      </c>
      <c r="F2008" t="inlineStr">
        <is>
          <t>REP</t>
        </is>
      </c>
      <c r="G2008" t="inlineStr">
        <is>
          <t>03142023</t>
        </is>
      </c>
      <c r="H2008" t="n">
        <v>1000</v>
      </c>
      <c r="I2008" t="inlineStr">
        <is>
          <t>202304179581022710</t>
        </is>
      </c>
      <c r="J2008" t="inlineStr">
        <is>
          <t>https://docquery.fec.gov/cgi-bin/fecimg/?202304179581022710</t>
        </is>
      </c>
    </row>
    <row r="2009">
      <c r="A2009" t="inlineStr">
        <is>
          <t>2024</t>
        </is>
      </c>
      <c r="B2009" t="inlineStr">
        <is>
          <t>C00415026</t>
        </is>
      </c>
      <c r="C2009" t="inlineStr">
        <is>
          <t>American Fuel &amp; Petrochemical Manufacturers PAC (AFPM PAC)</t>
        </is>
      </c>
      <c r="D2009" t="inlineStr">
        <is>
          <t>AUGUST PFLUGER FOR CONGRESS</t>
        </is>
      </c>
      <c r="E2009" t="inlineStr">
        <is>
          <t>H0TX11230</t>
        </is>
      </c>
      <c r="F2009" t="inlineStr">
        <is>
          <t>REP</t>
        </is>
      </c>
      <c r="G2009" t="inlineStr">
        <is>
          <t>03192024</t>
        </is>
      </c>
      <c r="H2009" t="n">
        <v>1000</v>
      </c>
      <c r="I2009" t="inlineStr">
        <is>
          <t>202404199633495501</t>
        </is>
      </c>
      <c r="J2009" t="inlineStr">
        <is>
          <t>https://docquery.fec.gov/cgi-bin/fecimg/?202404199633495501</t>
        </is>
      </c>
    </row>
    <row r="2010">
      <c r="A2010" t="inlineStr">
        <is>
          <t>2024</t>
        </is>
      </c>
      <c r="B2010" t="inlineStr">
        <is>
          <t>C00415026</t>
        </is>
      </c>
      <c r="C2010" t="inlineStr">
        <is>
          <t>American Fuel &amp; Petrochemical Manufacturers PAC (AFPM PAC)</t>
        </is>
      </c>
      <c r="D2010" t="inlineStr">
        <is>
          <t>BICE FOR CONGRESS</t>
        </is>
      </c>
      <c r="E2010" t="inlineStr">
        <is>
          <t>H0OK05205</t>
        </is>
      </c>
      <c r="F2010" t="inlineStr">
        <is>
          <t>REP</t>
        </is>
      </c>
      <c r="G2010" t="inlineStr">
        <is>
          <t>03192024</t>
        </is>
      </c>
      <c r="H2010" t="n">
        <v>2500</v>
      </c>
      <c r="I2010" t="inlineStr">
        <is>
          <t>202404199633495501</t>
        </is>
      </c>
      <c r="J2010" t="inlineStr">
        <is>
          <t>https://docquery.fec.gov/cgi-bin/fecimg/?202404199633495501</t>
        </is>
      </c>
    </row>
    <row r="2011">
      <c r="A2011" t="inlineStr">
        <is>
          <t>2024</t>
        </is>
      </c>
      <c r="B2011" t="inlineStr">
        <is>
          <t>C00415026</t>
        </is>
      </c>
      <c r="C2011" t="inlineStr">
        <is>
          <t>American Fuel &amp; Petrochemical Manufacturers PAC (AFPM PAC)</t>
        </is>
      </c>
      <c r="D2011" t="inlineStr">
        <is>
          <t>GUY FOR CONGRESS</t>
        </is>
      </c>
      <c r="E2011" t="inlineStr">
        <is>
          <t>H8PA18199</t>
        </is>
      </c>
      <c r="F2011" t="inlineStr">
        <is>
          <t>REP</t>
        </is>
      </c>
      <c r="G2011" t="inlineStr">
        <is>
          <t>03192024</t>
        </is>
      </c>
      <c r="H2011" t="n">
        <v>2500</v>
      </c>
      <c r="I2011" t="inlineStr">
        <is>
          <t>202404199633495501</t>
        </is>
      </c>
      <c r="J2011" t="inlineStr">
        <is>
          <t>https://docquery.fec.gov/cgi-bin/fecimg/?202404199633495501</t>
        </is>
      </c>
    </row>
    <row r="2012">
      <c r="A2012" t="inlineStr">
        <is>
          <t>2024</t>
        </is>
      </c>
      <c r="B2012" t="inlineStr">
        <is>
          <t>C00415026</t>
        </is>
      </c>
      <c r="C2012" t="inlineStr">
        <is>
          <t>American Fuel &amp; Petrochemical Manufacturers PAC (AFPM PAC)</t>
        </is>
      </c>
      <c r="D2012" t="inlineStr">
        <is>
          <t>HUDSON FOR CONGRESS</t>
        </is>
      </c>
      <c r="E2012" t="inlineStr">
        <is>
          <t>H2NC08185</t>
        </is>
      </c>
      <c r="F2012" t="inlineStr">
        <is>
          <t>REP</t>
        </is>
      </c>
      <c r="G2012" t="inlineStr">
        <is>
          <t>03192024</t>
        </is>
      </c>
      <c r="H2012" t="n">
        <v>2500</v>
      </c>
      <c r="I2012" t="inlineStr">
        <is>
          <t>202404199633495502</t>
        </is>
      </c>
      <c r="J2012" t="inlineStr">
        <is>
          <t>https://docquery.fec.gov/cgi-bin/fecimg/?202404199633495502</t>
        </is>
      </c>
    </row>
    <row r="2013">
      <c r="A2013" t="inlineStr">
        <is>
          <t>2024</t>
        </is>
      </c>
      <c r="B2013" t="inlineStr">
        <is>
          <t>C00415026</t>
        </is>
      </c>
      <c r="C2013" t="inlineStr">
        <is>
          <t>American Fuel &amp; Petrochemical Manufacturers PAC (AFPM PAC)</t>
        </is>
      </c>
      <c r="D2013" t="inlineStr">
        <is>
          <t>TIM SHEEHY FOR MONTANA</t>
        </is>
      </c>
      <c r="E2013" t="inlineStr">
        <is>
          <t>S4MT00183</t>
        </is>
      </c>
      <c r="F2013" t="inlineStr">
        <is>
          <t>REP</t>
        </is>
      </c>
      <c r="G2013" t="inlineStr">
        <is>
          <t>03192024</t>
        </is>
      </c>
      <c r="H2013" t="n">
        <v>2500</v>
      </c>
      <c r="I2013" t="inlineStr">
        <is>
          <t>202404199633495504</t>
        </is>
      </c>
      <c r="J2013" t="inlineStr">
        <is>
          <t>https://docquery.fec.gov/cgi-bin/fecimg/?202404199633495504</t>
        </is>
      </c>
    </row>
    <row r="2014">
      <c r="A2014" t="inlineStr">
        <is>
          <t>2024</t>
        </is>
      </c>
      <c r="B2014" t="inlineStr">
        <is>
          <t>C00415026</t>
        </is>
      </c>
      <c r="C2014" t="inlineStr">
        <is>
          <t>American Fuel &amp; Petrochemical Manufacturers PAC (AFPM PAC)</t>
        </is>
      </c>
      <c r="D2014" t="inlineStr">
        <is>
          <t>STEVE DAINES FOR MONTANA</t>
        </is>
      </c>
      <c r="E2014" t="inlineStr">
        <is>
          <t>S2MT00096</t>
        </is>
      </c>
      <c r="F2014" t="inlineStr">
        <is>
          <t>REP</t>
        </is>
      </c>
      <c r="G2014" t="inlineStr">
        <is>
          <t>03192024</t>
        </is>
      </c>
      <c r="H2014" t="n">
        <v>5000</v>
      </c>
      <c r="I2014" t="inlineStr">
        <is>
          <t>202404199633495504</t>
        </is>
      </c>
      <c r="J2014" t="inlineStr">
        <is>
          <t>https://docquery.fec.gov/cgi-bin/fecimg/?202404199633495504</t>
        </is>
      </c>
    </row>
    <row r="2015">
      <c r="A2015" t="inlineStr">
        <is>
          <t>2024</t>
        </is>
      </c>
      <c r="B2015" t="inlineStr">
        <is>
          <t>C00415026</t>
        </is>
      </c>
      <c r="C2015" t="inlineStr">
        <is>
          <t>American Fuel &amp; Petrochemical Manufacturers PAC (AFPM PAC)</t>
        </is>
      </c>
      <c r="D2015" t="inlineStr">
        <is>
          <t>HERN FOR CONGRESS</t>
        </is>
      </c>
      <c r="E2015" t="inlineStr">
        <is>
          <t>H8OK01157</t>
        </is>
      </c>
      <c r="F2015" t="inlineStr">
        <is>
          <t>REP</t>
        </is>
      </c>
      <c r="G2015" t="inlineStr">
        <is>
          <t>03292023</t>
        </is>
      </c>
      <c r="H2015" t="n">
        <v>2500</v>
      </c>
      <c r="I2015" t="inlineStr">
        <is>
          <t>202304179581022712</t>
        </is>
      </c>
      <c r="J2015" t="inlineStr">
        <is>
          <t>https://docquery.fec.gov/cgi-bin/fecimg/?202304179581022712</t>
        </is>
      </c>
    </row>
    <row r="2016">
      <c r="A2016" t="inlineStr">
        <is>
          <t>2024</t>
        </is>
      </c>
      <c r="B2016" t="inlineStr">
        <is>
          <t>C00415026</t>
        </is>
      </c>
      <c r="C2016" t="inlineStr">
        <is>
          <t>American Fuel &amp; Petrochemical Manufacturers PAC (AFPM PAC)</t>
        </is>
      </c>
      <c r="D2016" t="inlineStr">
        <is>
          <t>BUDDY CARTER FOR CONGRESS</t>
        </is>
      </c>
      <c r="E2016" t="inlineStr">
        <is>
          <t>H4GA01039</t>
        </is>
      </c>
      <c r="F2016" t="inlineStr">
        <is>
          <t>REP</t>
        </is>
      </c>
      <c r="G2016" t="inlineStr">
        <is>
          <t>05032024</t>
        </is>
      </c>
      <c r="H2016" t="n">
        <v>2500</v>
      </c>
      <c r="I2016" t="inlineStr">
        <is>
          <t>202406179649036182</t>
        </is>
      </c>
      <c r="J2016" t="inlineStr">
        <is>
          <t>https://docquery.fec.gov/cgi-bin/fecimg/?202406179649036182</t>
        </is>
      </c>
    </row>
    <row r="2017">
      <c r="A2017" t="inlineStr">
        <is>
          <t>2024</t>
        </is>
      </c>
      <c r="B2017" t="inlineStr">
        <is>
          <t>C00415026</t>
        </is>
      </c>
      <c r="C2017" t="inlineStr">
        <is>
          <t>American Fuel &amp; Petrochemical Manufacturers PAC (AFPM PAC)</t>
        </is>
      </c>
      <c r="D2017" t="inlineStr">
        <is>
          <t>HUNT FOR CONGRESS</t>
        </is>
      </c>
      <c r="E2017" t="inlineStr">
        <is>
          <t>H0TX07170</t>
        </is>
      </c>
      <c r="F2017" t="inlineStr">
        <is>
          <t>REP</t>
        </is>
      </c>
      <c r="G2017" t="inlineStr">
        <is>
          <t>05032024</t>
        </is>
      </c>
      <c r="H2017" t="n">
        <v>1000</v>
      </c>
      <c r="I2017" t="inlineStr">
        <is>
          <t>202406179649036183</t>
        </is>
      </c>
      <c r="J2017" t="inlineStr">
        <is>
          <t>https://docquery.fec.gov/cgi-bin/fecimg/?202406179649036183</t>
        </is>
      </c>
    </row>
    <row r="2018">
      <c r="A2018" t="inlineStr">
        <is>
          <t>2024</t>
        </is>
      </c>
      <c r="B2018" t="inlineStr">
        <is>
          <t>C00415026</t>
        </is>
      </c>
      <c r="C2018" t="inlineStr">
        <is>
          <t>American Fuel &amp; Petrochemical Manufacturers PAC (AFPM PAC)</t>
        </is>
      </c>
      <c r="D2018" t="inlineStr">
        <is>
          <t>MESSMER FOR CONGRESS</t>
        </is>
      </c>
      <c r="E2018" t="inlineStr">
        <is>
          <t>H4IN08249</t>
        </is>
      </c>
      <c r="F2018" t="inlineStr">
        <is>
          <t>REP</t>
        </is>
      </c>
      <c r="G2018" t="inlineStr">
        <is>
          <t>05032024</t>
        </is>
      </c>
      <c r="H2018" t="n">
        <v>2500</v>
      </c>
      <c r="I2018" t="inlineStr">
        <is>
          <t>202406179649036184</t>
        </is>
      </c>
      <c r="J2018" t="inlineStr">
        <is>
          <t>https://docquery.fec.gov/cgi-bin/fecimg/?202406179649036184</t>
        </is>
      </c>
    </row>
    <row r="2019">
      <c r="A2019" t="inlineStr">
        <is>
          <t>2024</t>
        </is>
      </c>
      <c r="B2019" t="inlineStr">
        <is>
          <t>C00415026</t>
        </is>
      </c>
      <c r="C2019" t="inlineStr">
        <is>
          <t>American Fuel &amp; Petrochemical Manufacturers PAC (AFPM PAC)</t>
        </is>
      </c>
      <c r="D2019" t="inlineStr">
        <is>
          <t>ELISE FOR CONGRESS</t>
        </is>
      </c>
      <c r="E2019" t="inlineStr">
        <is>
          <t>H4NY21079</t>
        </is>
      </c>
      <c r="F2019" t="inlineStr">
        <is>
          <t>REP</t>
        </is>
      </c>
      <c r="G2019" t="inlineStr">
        <is>
          <t>05092024</t>
        </is>
      </c>
      <c r="H2019" t="n">
        <v>2500</v>
      </c>
      <c r="I2019" t="inlineStr">
        <is>
          <t>202406179649036182</t>
        </is>
      </c>
      <c r="J2019" t="inlineStr">
        <is>
          <t>https://docquery.fec.gov/cgi-bin/fecimg/?202406179649036182</t>
        </is>
      </c>
    </row>
    <row r="2020">
      <c r="A2020" t="inlineStr">
        <is>
          <t>2024</t>
        </is>
      </c>
      <c r="B2020" t="inlineStr">
        <is>
          <t>C00415026</t>
        </is>
      </c>
      <c r="C2020" t="inlineStr">
        <is>
          <t>American Fuel &amp; Petrochemical Manufacturers PAC (AFPM PAC)</t>
        </is>
      </c>
      <c r="D2020" t="inlineStr">
        <is>
          <t>FEENSTRA FOR CONGRESS</t>
        </is>
      </c>
      <c r="E2020" t="inlineStr">
        <is>
          <t>H0IA04145</t>
        </is>
      </c>
      <c r="F2020" t="inlineStr">
        <is>
          <t>REP</t>
        </is>
      </c>
      <c r="G2020" t="inlineStr">
        <is>
          <t>05092024</t>
        </is>
      </c>
      <c r="H2020" t="n">
        <v>2500</v>
      </c>
      <c r="I2020" t="inlineStr">
        <is>
          <t>202406179649036182</t>
        </is>
      </c>
      <c r="J2020" t="inlineStr">
        <is>
          <t>https://docquery.fec.gov/cgi-bin/fecimg/?202406179649036182</t>
        </is>
      </c>
    </row>
    <row r="2021">
      <c r="A2021" t="inlineStr">
        <is>
          <t>2024</t>
        </is>
      </c>
      <c r="B2021" t="inlineStr">
        <is>
          <t>C00415026</t>
        </is>
      </c>
      <c r="C2021" t="inlineStr">
        <is>
          <t>American Fuel &amp; Petrochemical Manufacturers PAC (AFPM PAC)</t>
        </is>
      </c>
      <c r="D2021" t="inlineStr">
        <is>
          <t>LATTA FOR CONGRESS</t>
        </is>
      </c>
      <c r="E2021" t="inlineStr">
        <is>
          <t>H8OH05036</t>
        </is>
      </c>
      <c r="F2021" t="inlineStr">
        <is>
          <t>REP</t>
        </is>
      </c>
      <c r="G2021" t="inlineStr">
        <is>
          <t>05092024</t>
        </is>
      </c>
      <c r="H2021" t="n">
        <v>1000</v>
      </c>
      <c r="I2021" t="inlineStr">
        <is>
          <t>202406179649036183</t>
        </is>
      </c>
      <c r="J2021" t="inlineStr">
        <is>
          <t>https://docquery.fec.gov/cgi-bin/fecimg/?202406179649036183</t>
        </is>
      </c>
    </row>
    <row r="2022">
      <c r="A2022" t="inlineStr">
        <is>
          <t>2024</t>
        </is>
      </c>
      <c r="B2022" t="inlineStr">
        <is>
          <t>C00415026</t>
        </is>
      </c>
      <c r="C2022" t="inlineStr">
        <is>
          <t>American Fuel &amp; Petrochemical Manufacturers PAC (AFPM PAC)</t>
        </is>
      </c>
      <c r="D2022" t="inlineStr">
        <is>
          <t>MARY PELTOLA FOR ALASKA</t>
        </is>
      </c>
      <c r="E2022" t="inlineStr">
        <is>
          <t>H2AK01158</t>
        </is>
      </c>
      <c r="F2022" t="inlineStr">
        <is>
          <t>DEM</t>
        </is>
      </c>
      <c r="G2022" t="inlineStr">
        <is>
          <t>05092024</t>
        </is>
      </c>
      <c r="H2022" t="n">
        <v>2500</v>
      </c>
      <c r="I2022" t="inlineStr">
        <is>
          <t>202406179649036184</t>
        </is>
      </c>
      <c r="J2022" t="inlineStr">
        <is>
          <t>https://docquery.fec.gov/cgi-bin/fecimg/?202406179649036184</t>
        </is>
      </c>
    </row>
    <row r="2023">
      <c r="A2023" t="inlineStr">
        <is>
          <t>2024</t>
        </is>
      </c>
      <c r="B2023" t="inlineStr">
        <is>
          <t>C00415026</t>
        </is>
      </c>
      <c r="C2023" t="inlineStr">
        <is>
          <t>American Fuel &amp; Petrochemical Manufacturers PAC (AFPM PAC)</t>
        </is>
      </c>
      <c r="D2023" t="inlineStr">
        <is>
          <t>PETE STAUBER FOR CONGRESS</t>
        </is>
      </c>
      <c r="E2023" t="inlineStr">
        <is>
          <t>H8MN08043</t>
        </is>
      </c>
      <c r="F2023" t="inlineStr">
        <is>
          <t>REP</t>
        </is>
      </c>
      <c r="G2023" t="inlineStr">
        <is>
          <t>05092024</t>
        </is>
      </c>
      <c r="H2023" t="n">
        <v>1000</v>
      </c>
      <c r="I2023" t="inlineStr">
        <is>
          <t>202406179649036184</t>
        </is>
      </c>
      <c r="J2023" t="inlineStr">
        <is>
          <t>https://docquery.fec.gov/cgi-bin/fecimg/?202406179649036184</t>
        </is>
      </c>
    </row>
    <row r="2024">
      <c r="A2024" t="inlineStr">
        <is>
          <t>2024</t>
        </is>
      </c>
      <c r="B2024" t="inlineStr">
        <is>
          <t>C00415026</t>
        </is>
      </c>
      <c r="C2024" t="inlineStr">
        <is>
          <t>American Fuel &amp; Petrochemical Manufacturers PAC (AFPM PAC)</t>
        </is>
      </c>
      <c r="D2024" t="inlineStr">
        <is>
          <t>MULLIN FOR AMERICA</t>
        </is>
      </c>
      <c r="E2024" t="inlineStr">
        <is>
          <t>S2OK00186</t>
        </is>
      </c>
      <c r="F2024" t="inlineStr">
        <is>
          <t>REP</t>
        </is>
      </c>
      <c r="G2024" t="inlineStr">
        <is>
          <t>05152023</t>
        </is>
      </c>
      <c r="H2024" t="n">
        <v>1500</v>
      </c>
      <c r="I2024" t="inlineStr">
        <is>
          <t>202306159582158829</t>
        </is>
      </c>
      <c r="J2024" t="inlineStr">
        <is>
          <t>https://docquery.fec.gov/cgi-bin/fecimg/?202306159582158829</t>
        </is>
      </c>
    </row>
    <row r="2025">
      <c r="A2025" t="inlineStr">
        <is>
          <t>2024</t>
        </is>
      </c>
      <c r="B2025" t="inlineStr">
        <is>
          <t>C00415026</t>
        </is>
      </c>
      <c r="C2025" t="inlineStr">
        <is>
          <t>American Fuel &amp; Petrochemical Manufacturers PAC (AFPM PAC)</t>
        </is>
      </c>
      <c r="D2025" t="inlineStr">
        <is>
          <t>LATTA FOR CONGRESS</t>
        </is>
      </c>
      <c r="E2025" t="inlineStr">
        <is>
          <t>H8OH05036</t>
        </is>
      </c>
      <c r="F2025" t="inlineStr">
        <is>
          <t>REP</t>
        </is>
      </c>
      <c r="G2025" t="inlineStr">
        <is>
          <t>05312023</t>
        </is>
      </c>
      <c r="H2025" t="n">
        <v>2500</v>
      </c>
      <c r="I2025" t="inlineStr">
        <is>
          <t>202306159582158828</t>
        </is>
      </c>
      <c r="J2025" t="inlineStr">
        <is>
          <t>https://docquery.fec.gov/cgi-bin/fecimg/?202306159582158828</t>
        </is>
      </c>
    </row>
    <row r="2026">
      <c r="A2026" t="inlineStr">
        <is>
          <t>2024</t>
        </is>
      </c>
      <c r="B2026" t="inlineStr">
        <is>
          <t>C00415026</t>
        </is>
      </c>
      <c r="C2026" t="inlineStr">
        <is>
          <t>American Fuel &amp; Petrochemical Manufacturers PAC (AFPM PAC)</t>
        </is>
      </c>
      <c r="D2026" t="inlineStr">
        <is>
          <t>MORGAN GRIFFITH FOR CONGRESS</t>
        </is>
      </c>
      <c r="E2026" t="inlineStr">
        <is>
          <t>H0VA09055</t>
        </is>
      </c>
      <c r="F2026" t="inlineStr">
        <is>
          <t>REP</t>
        </is>
      </c>
      <c r="G2026" t="inlineStr">
        <is>
          <t>05312023</t>
        </is>
      </c>
      <c r="H2026" t="n">
        <v>1500</v>
      </c>
      <c r="I2026" t="inlineStr">
        <is>
          <t>202306159582158828</t>
        </is>
      </c>
      <c r="J2026" t="inlineStr">
        <is>
          <t>https://docquery.fec.gov/cgi-bin/fecimg/?202306159582158828</t>
        </is>
      </c>
    </row>
    <row r="2027">
      <c r="A2027" t="inlineStr">
        <is>
          <t>2024</t>
        </is>
      </c>
      <c r="B2027" t="inlineStr">
        <is>
          <t>C00415026</t>
        </is>
      </c>
      <c r="C2027" t="inlineStr">
        <is>
          <t>American Fuel &amp; Petrochemical Manufacturers PAC (AFPM PAC)</t>
        </is>
      </c>
      <c r="D2027" t="inlineStr">
        <is>
          <t>NEHLS FOR CONGRESS</t>
        </is>
      </c>
      <c r="E2027" t="inlineStr">
        <is>
          <t>H0TX22302</t>
        </is>
      </c>
      <c r="F2027" t="inlineStr">
        <is>
          <t>REP</t>
        </is>
      </c>
      <c r="G2027" t="inlineStr">
        <is>
          <t>05312023</t>
        </is>
      </c>
      <c r="H2027" t="n">
        <v>1500</v>
      </c>
      <c r="I2027" t="inlineStr">
        <is>
          <t>202306159582158829</t>
        </is>
      </c>
      <c r="J2027" t="inlineStr">
        <is>
          <t>https://docquery.fec.gov/cgi-bin/fecimg/?202306159582158829</t>
        </is>
      </c>
    </row>
    <row r="2028">
      <c r="A2028" t="inlineStr">
        <is>
          <t>2024</t>
        </is>
      </c>
      <c r="B2028" t="inlineStr">
        <is>
          <t>C00415026</t>
        </is>
      </c>
      <c r="C2028" t="inlineStr">
        <is>
          <t>American Fuel &amp; Petrochemical Manufacturers PAC (AFPM PAC)</t>
        </is>
      </c>
      <c r="D2028" t="inlineStr">
        <is>
          <t>BICE FOR CONGRESS</t>
        </is>
      </c>
      <c r="E2028" t="inlineStr">
        <is>
          <t>H0OK05205</t>
        </is>
      </c>
      <c r="F2028" t="inlineStr">
        <is>
          <t>REP</t>
        </is>
      </c>
      <c r="G2028" t="inlineStr">
        <is>
          <t>05312023</t>
        </is>
      </c>
      <c r="H2028" t="n">
        <v>-1000</v>
      </c>
      <c r="I2028" t="inlineStr">
        <is>
          <t>202306159582158827</t>
        </is>
      </c>
      <c r="J2028" t="inlineStr">
        <is>
          <t>https://docquery.fec.gov/cgi-bin/fecimg/?202306159582158827</t>
        </is>
      </c>
    </row>
    <row r="2029">
      <c r="A2029" t="inlineStr">
        <is>
          <t>2024</t>
        </is>
      </c>
      <c r="B2029" t="inlineStr">
        <is>
          <t>C00415026</t>
        </is>
      </c>
      <c r="C2029" t="inlineStr">
        <is>
          <t>American Fuel &amp; Petrochemical Manufacturers PAC (AFPM PAC)</t>
        </is>
      </c>
      <c r="D2029" t="inlineStr">
        <is>
          <t>BICE FOR CONGRESS</t>
        </is>
      </c>
      <c r="E2029" t="inlineStr">
        <is>
          <t>H0OK05205</t>
        </is>
      </c>
      <c r="F2029" t="inlineStr">
        <is>
          <t>REP</t>
        </is>
      </c>
      <c r="G2029" t="inlineStr">
        <is>
          <t>05312023</t>
        </is>
      </c>
      <c r="H2029" t="n">
        <v>1000</v>
      </c>
      <c r="I2029" t="inlineStr">
        <is>
          <t>202306159582158827</t>
        </is>
      </c>
      <c r="J2029" t="inlineStr">
        <is>
          <t>https://docquery.fec.gov/cgi-bin/fecimg/?202306159582158827</t>
        </is>
      </c>
    </row>
    <row r="2030">
      <c r="A2030" t="inlineStr">
        <is>
          <t>2024</t>
        </is>
      </c>
      <c r="B2030" t="inlineStr">
        <is>
          <t>C00415026</t>
        </is>
      </c>
      <c r="C2030" t="inlineStr">
        <is>
          <t>American Fuel &amp; Petrochemical Manufacturers PAC (AFPM PAC)</t>
        </is>
      </c>
      <c r="D2030" t="inlineStr">
        <is>
          <t>GRAVES FOR CONGRESS</t>
        </is>
      </c>
      <c r="E2030" t="inlineStr">
        <is>
          <t>H0MO06073</t>
        </is>
      </c>
      <c r="F2030" t="inlineStr">
        <is>
          <t>REP</t>
        </is>
      </c>
      <c r="G2030" t="inlineStr">
        <is>
          <t>05312023</t>
        </is>
      </c>
      <c r="H2030" t="n">
        <v>2500</v>
      </c>
      <c r="I2030" t="inlineStr">
        <is>
          <t>202306159582158827</t>
        </is>
      </c>
      <c r="J2030" t="inlineStr">
        <is>
          <t>https://docquery.fec.gov/cgi-bin/fecimg/?202306159582158827</t>
        </is>
      </c>
    </row>
    <row r="2031">
      <c r="A2031" t="inlineStr">
        <is>
          <t>2024</t>
        </is>
      </c>
      <c r="B2031" t="inlineStr">
        <is>
          <t>C00415026</t>
        </is>
      </c>
      <c r="C2031" t="inlineStr">
        <is>
          <t>American Fuel &amp; Petrochemical Manufacturers PAC (AFPM PAC)</t>
        </is>
      </c>
      <c r="D2031" t="inlineStr">
        <is>
          <t>COLLINS FOR CONGRESS</t>
        </is>
      </c>
      <c r="E2031" t="inlineStr">
        <is>
          <t>H4GA10071</t>
        </is>
      </c>
      <c r="F2031" t="inlineStr">
        <is>
          <t>REP</t>
        </is>
      </c>
      <c r="G2031" t="inlineStr">
        <is>
          <t>06212024</t>
        </is>
      </c>
      <c r="H2031" t="n">
        <v>1000</v>
      </c>
      <c r="I2031" t="inlineStr">
        <is>
          <t>202407189661224309</t>
        </is>
      </c>
      <c r="J2031" t="inlineStr">
        <is>
          <t>https://docquery.fec.gov/cgi-bin/fecimg/?202407189661224309</t>
        </is>
      </c>
    </row>
    <row r="2032">
      <c r="A2032" t="inlineStr">
        <is>
          <t>2024</t>
        </is>
      </c>
      <c r="B2032" t="inlineStr">
        <is>
          <t>C00415026</t>
        </is>
      </c>
      <c r="C2032" t="inlineStr">
        <is>
          <t>American Fuel &amp; Petrochemical Manufacturers PAC (AFPM PAC)</t>
        </is>
      </c>
      <c r="D2032" t="inlineStr">
        <is>
          <t>COMER FOR CONGRESS</t>
        </is>
      </c>
      <c r="E2032" t="inlineStr">
        <is>
          <t>H6KY01110</t>
        </is>
      </c>
      <c r="F2032" t="inlineStr">
        <is>
          <t>REP</t>
        </is>
      </c>
      <c r="G2032" t="inlineStr">
        <is>
          <t>06212024</t>
        </is>
      </c>
      <c r="H2032" t="n">
        <v>2500</v>
      </c>
      <c r="I2032" t="inlineStr">
        <is>
          <t>202407189661224310</t>
        </is>
      </c>
      <c r="J2032" t="inlineStr">
        <is>
          <t>https://docquery.fec.gov/cgi-bin/fecimg/?202407189661224310</t>
        </is>
      </c>
    </row>
    <row r="2033">
      <c r="A2033" t="inlineStr">
        <is>
          <t>2024</t>
        </is>
      </c>
      <c r="B2033" t="inlineStr">
        <is>
          <t>C00415026</t>
        </is>
      </c>
      <c r="C2033" t="inlineStr">
        <is>
          <t>American Fuel &amp; Petrochemical Manufacturers PAC (AFPM PAC)</t>
        </is>
      </c>
      <c r="D2033" t="inlineStr">
        <is>
          <t>CRAIG GOLDMAN FOR CONGRESS</t>
        </is>
      </c>
      <c r="E2033" t="inlineStr">
        <is>
          <t>H4TX12065</t>
        </is>
      </c>
      <c r="F2033" t="inlineStr">
        <is>
          <t>REP</t>
        </is>
      </c>
      <c r="G2033" t="inlineStr">
        <is>
          <t>06212024</t>
        </is>
      </c>
      <c r="H2033" t="n">
        <v>1000</v>
      </c>
      <c r="I2033" t="inlineStr">
        <is>
          <t>202407189661224310</t>
        </is>
      </c>
      <c r="J2033" t="inlineStr">
        <is>
          <t>https://docquery.fec.gov/cgi-bin/fecimg/?202407189661224310</t>
        </is>
      </c>
    </row>
    <row r="2034">
      <c r="A2034" t="inlineStr">
        <is>
          <t>2024</t>
        </is>
      </c>
      <c r="B2034" t="inlineStr">
        <is>
          <t>C00415026</t>
        </is>
      </c>
      <c r="C2034" t="inlineStr">
        <is>
          <t>American Fuel &amp; Petrochemical Manufacturers PAC (AFPM PAC)</t>
        </is>
      </c>
      <c r="D2034" t="inlineStr">
        <is>
          <t>GRAVES FOR CONGRESS</t>
        </is>
      </c>
      <c r="E2034" t="inlineStr">
        <is>
          <t>H0MO06073</t>
        </is>
      </c>
      <c r="F2034" t="inlineStr">
        <is>
          <t>REP</t>
        </is>
      </c>
      <c r="G2034" t="inlineStr">
        <is>
          <t>06212024</t>
        </is>
      </c>
      <c r="H2034" t="n">
        <v>1000</v>
      </c>
      <c r="I2034" t="inlineStr">
        <is>
          <t>202407189661224310</t>
        </is>
      </c>
      <c r="J2034" t="inlineStr">
        <is>
          <t>https://docquery.fec.gov/cgi-bin/fecimg/?202407189661224310</t>
        </is>
      </c>
    </row>
    <row r="2035">
      <c r="A2035" t="inlineStr">
        <is>
          <t>2024</t>
        </is>
      </c>
      <c r="B2035" t="inlineStr">
        <is>
          <t>C00415026</t>
        </is>
      </c>
      <c r="C2035" t="inlineStr">
        <is>
          <t>American Fuel &amp; Petrochemical Manufacturers PAC (AFPM PAC)</t>
        </is>
      </c>
      <c r="D2035" t="inlineStr">
        <is>
          <t>HERN FOR CONGRESS</t>
        </is>
      </c>
      <c r="E2035" t="inlineStr">
        <is>
          <t>H8OK01157</t>
        </is>
      </c>
      <c r="F2035" t="inlineStr">
        <is>
          <t>REP</t>
        </is>
      </c>
      <c r="G2035" t="inlineStr">
        <is>
          <t>06212024</t>
        </is>
      </c>
      <c r="H2035" t="n">
        <v>1000</v>
      </c>
      <c r="I2035" t="inlineStr">
        <is>
          <t>202407189661224311</t>
        </is>
      </c>
      <c r="J2035" t="inlineStr">
        <is>
          <t>https://docquery.fec.gov/cgi-bin/fecimg/?202407189661224311</t>
        </is>
      </c>
    </row>
    <row r="2036">
      <c r="A2036" t="inlineStr">
        <is>
          <t>2024</t>
        </is>
      </c>
      <c r="B2036" t="inlineStr">
        <is>
          <t>C00415026</t>
        </is>
      </c>
      <c r="C2036" t="inlineStr">
        <is>
          <t>American Fuel &amp; Petrochemical Manufacturers PAC (AFPM PAC)</t>
        </is>
      </c>
      <c r="D2036" t="inlineStr">
        <is>
          <t>JOHN KENNEDY FOR US</t>
        </is>
      </c>
      <c r="E2036" t="inlineStr">
        <is>
          <t>S4LA00065</t>
        </is>
      </c>
      <c r="F2036" t="inlineStr">
        <is>
          <t>REP</t>
        </is>
      </c>
      <c r="G2036" t="inlineStr">
        <is>
          <t>06212024</t>
        </is>
      </c>
      <c r="H2036" t="n">
        <v>2500</v>
      </c>
      <c r="I2036" t="inlineStr">
        <is>
          <t>202407189661224311</t>
        </is>
      </c>
      <c r="J2036" t="inlineStr">
        <is>
          <t>https://docquery.fec.gov/cgi-bin/fecimg/?202407189661224311</t>
        </is>
      </c>
    </row>
    <row r="2037">
      <c r="A2037" t="inlineStr">
        <is>
          <t>2024</t>
        </is>
      </c>
      <c r="B2037" t="inlineStr">
        <is>
          <t>C00415026</t>
        </is>
      </c>
      <c r="C2037" t="inlineStr">
        <is>
          <t>American Fuel &amp; Petrochemical Manufacturers PAC (AFPM PAC)</t>
        </is>
      </c>
      <c r="D2037" t="inlineStr">
        <is>
          <t>KEAN FOR CONGRESS INC</t>
        </is>
      </c>
      <c r="E2037" t="inlineStr">
        <is>
          <t>H0NJ07261</t>
        </is>
      </c>
      <c r="F2037" t="inlineStr">
        <is>
          <t>REP</t>
        </is>
      </c>
      <c r="G2037" t="inlineStr">
        <is>
          <t>06212024</t>
        </is>
      </c>
      <c r="H2037" t="n">
        <v>1000</v>
      </c>
      <c r="I2037" t="inlineStr">
        <is>
          <t>202407189661224312</t>
        </is>
      </c>
      <c r="J2037" t="inlineStr">
        <is>
          <t>https://docquery.fec.gov/cgi-bin/fecimg/?202407189661224312</t>
        </is>
      </c>
    </row>
    <row r="2038">
      <c r="A2038" t="inlineStr">
        <is>
          <t>2024</t>
        </is>
      </c>
      <c r="B2038" t="inlineStr">
        <is>
          <t>C00415026</t>
        </is>
      </c>
      <c r="C2038" t="inlineStr">
        <is>
          <t>American Fuel &amp; Petrochemical Manufacturers PAC (AFPM PAC)</t>
        </is>
      </c>
      <c r="D2038" t="inlineStr">
        <is>
          <t>MILLER-MEEKS FOR CONGRESS</t>
        </is>
      </c>
      <c r="E2038" t="inlineStr">
        <is>
          <t>H8IA02043</t>
        </is>
      </c>
      <c r="F2038" t="inlineStr">
        <is>
          <t>REP</t>
        </is>
      </c>
      <c r="G2038" t="inlineStr">
        <is>
          <t>06212024</t>
        </is>
      </c>
      <c r="H2038" t="n">
        <v>1000</v>
      </c>
      <c r="I2038" t="inlineStr">
        <is>
          <t>202407189661224312</t>
        </is>
      </c>
      <c r="J2038" t="inlineStr">
        <is>
          <t>https://docquery.fec.gov/cgi-bin/fecimg/?202407189661224312</t>
        </is>
      </c>
    </row>
    <row r="2039">
      <c r="A2039" t="inlineStr">
        <is>
          <t>2024</t>
        </is>
      </c>
      <c r="B2039" t="inlineStr">
        <is>
          <t>C00415026</t>
        </is>
      </c>
      <c r="C2039" t="inlineStr">
        <is>
          <t>American Fuel &amp; Petrochemical Manufacturers PAC (AFPM PAC)</t>
        </is>
      </c>
      <c r="D2039" t="inlineStr">
        <is>
          <t>MORGAN GRIFFITH FOR CONGRESS</t>
        </is>
      </c>
      <c r="E2039" t="inlineStr">
        <is>
          <t>H0VA09055</t>
        </is>
      </c>
      <c r="F2039" t="inlineStr">
        <is>
          <t>REP</t>
        </is>
      </c>
      <c r="G2039" t="inlineStr">
        <is>
          <t>06212024</t>
        </is>
      </c>
      <c r="H2039" t="n">
        <v>2500</v>
      </c>
      <c r="I2039" t="inlineStr">
        <is>
          <t>202407189661224312</t>
        </is>
      </c>
      <c r="J2039" t="inlineStr">
        <is>
          <t>https://docquery.fec.gov/cgi-bin/fecimg/?202407189661224312</t>
        </is>
      </c>
    </row>
    <row r="2040">
      <c r="A2040" t="inlineStr">
        <is>
          <t>2024</t>
        </is>
      </c>
      <c r="B2040" t="inlineStr">
        <is>
          <t>C00415026</t>
        </is>
      </c>
      <c r="C2040" t="inlineStr">
        <is>
          <t>American Fuel &amp; Petrochemical Manufacturers PAC (AFPM PAC)</t>
        </is>
      </c>
      <c r="D2040" t="inlineStr">
        <is>
          <t>ROB FOR PA</t>
        </is>
      </c>
      <c r="E2040" t="inlineStr">
        <is>
          <t>H4PA08124</t>
        </is>
      </c>
      <c r="F2040" t="inlineStr">
        <is>
          <t>REP</t>
        </is>
      </c>
      <c r="G2040" t="inlineStr">
        <is>
          <t>06212024</t>
        </is>
      </c>
      <c r="H2040" t="n">
        <v>1000</v>
      </c>
      <c r="I2040" t="inlineStr">
        <is>
          <t>202407189661224313</t>
        </is>
      </c>
      <c r="J2040" t="inlineStr">
        <is>
          <t>https://docquery.fec.gov/cgi-bin/fecimg/?202407189661224313</t>
        </is>
      </c>
    </row>
    <row r="2041">
      <c r="A2041" t="inlineStr">
        <is>
          <t>2024</t>
        </is>
      </c>
      <c r="B2041" t="inlineStr">
        <is>
          <t>C00415026</t>
        </is>
      </c>
      <c r="C2041" t="inlineStr">
        <is>
          <t>American Fuel &amp; Petrochemical Manufacturers PAC (AFPM PAC)</t>
        </is>
      </c>
      <c r="D2041" t="inlineStr">
        <is>
          <t>WESTERMAN FOR CONGRESS</t>
        </is>
      </c>
      <c r="E2041" t="inlineStr">
        <is>
          <t>H4AR04048</t>
        </is>
      </c>
      <c r="F2041" t="inlineStr">
        <is>
          <t>REP</t>
        </is>
      </c>
      <c r="G2041" t="inlineStr">
        <is>
          <t>06212024</t>
        </is>
      </c>
      <c r="H2041" t="n">
        <v>2500</v>
      </c>
      <c r="I2041" t="inlineStr">
        <is>
          <t>202407189661224313</t>
        </is>
      </c>
      <c r="J2041" t="inlineStr">
        <is>
          <t>https://docquery.fec.gov/cgi-bin/fecimg/?202407189661224313</t>
        </is>
      </c>
    </row>
    <row r="2042">
      <c r="A2042" t="inlineStr">
        <is>
          <t>2024</t>
        </is>
      </c>
      <c r="B2042" t="inlineStr">
        <is>
          <t>C00415026</t>
        </is>
      </c>
      <c r="C2042" t="inlineStr">
        <is>
          <t>American Fuel &amp; Petrochemical Manufacturers PAC (AFPM PAC)</t>
        </is>
      </c>
      <c r="D2042" t="inlineStr">
        <is>
          <t>ASHLEY HINSON FOR CONGRESS</t>
        </is>
      </c>
      <c r="E2042" t="inlineStr">
        <is>
          <t>H0IA01174</t>
        </is>
      </c>
      <c r="F2042" t="inlineStr">
        <is>
          <t>REP</t>
        </is>
      </c>
      <c r="G2042" t="inlineStr">
        <is>
          <t>06212024</t>
        </is>
      </c>
      <c r="H2042" t="n">
        <v>1000</v>
      </c>
      <c r="I2042" t="inlineStr">
        <is>
          <t>202407189661224309</t>
        </is>
      </c>
      <c r="J2042" t="inlineStr">
        <is>
          <t>https://docquery.fec.gov/cgi-bin/fecimg/?202407189661224309</t>
        </is>
      </c>
    </row>
    <row r="2043">
      <c r="A2043" t="inlineStr">
        <is>
          <t>2024</t>
        </is>
      </c>
      <c r="B2043" t="inlineStr">
        <is>
          <t>C00415026</t>
        </is>
      </c>
      <c r="C2043" t="inlineStr">
        <is>
          <t>American Fuel &amp; Petrochemical Manufacturers PAC (AFPM PAC)</t>
        </is>
      </c>
      <c r="D2043" t="inlineStr">
        <is>
          <t>BALDERSON FOR CONGRESS</t>
        </is>
      </c>
      <c r="E2043" t="inlineStr">
        <is>
          <t>H8OH12180</t>
        </is>
      </c>
      <c r="F2043" t="inlineStr">
        <is>
          <t>REP</t>
        </is>
      </c>
      <c r="G2043" t="inlineStr">
        <is>
          <t>06212024</t>
        </is>
      </c>
      <c r="H2043" t="n">
        <v>1000</v>
      </c>
      <c r="I2043" t="inlineStr">
        <is>
          <t>202407189661224309</t>
        </is>
      </c>
      <c r="J2043" t="inlineStr">
        <is>
          <t>https://docquery.fec.gov/cgi-bin/fecimg/?202407189661224309</t>
        </is>
      </c>
    </row>
    <row r="2044">
      <c r="A2044" t="inlineStr">
        <is>
          <t>2024</t>
        </is>
      </c>
      <c r="B2044" t="inlineStr">
        <is>
          <t>C00415026</t>
        </is>
      </c>
      <c r="C2044" t="inlineStr">
        <is>
          <t>American Fuel &amp; Petrochemical Manufacturers PAC (AFPM PAC)</t>
        </is>
      </c>
      <c r="D2044" t="inlineStr">
        <is>
          <t>FEENSTRA FOR CONGRESS</t>
        </is>
      </c>
      <c r="E2044" t="inlineStr">
        <is>
          <t>H0IA04145</t>
        </is>
      </c>
      <c r="F2044" t="inlineStr">
        <is>
          <t>REP</t>
        </is>
      </c>
      <c r="G2044" t="inlineStr">
        <is>
          <t>06232023</t>
        </is>
      </c>
      <c r="H2044" t="n">
        <v>2500</v>
      </c>
      <c r="I2044" t="inlineStr">
        <is>
          <t>202307199583817349</t>
        </is>
      </c>
      <c r="J2044" t="inlineStr">
        <is>
          <t>https://docquery.fec.gov/cgi-bin/fecimg/?202307199583817349</t>
        </is>
      </c>
    </row>
    <row r="2045">
      <c r="A2045" t="inlineStr">
        <is>
          <t>2024</t>
        </is>
      </c>
      <c r="B2045" t="inlineStr">
        <is>
          <t>C00415026</t>
        </is>
      </c>
      <c r="C2045" t="inlineStr">
        <is>
          <t>American Fuel &amp; Petrochemical Manufacturers PAC (AFPM PAC)</t>
        </is>
      </c>
      <c r="D2045" t="inlineStr">
        <is>
          <t>CRAMER FOR SENATE</t>
        </is>
      </c>
      <c r="E2045" t="inlineStr">
        <is>
          <t>S8ND00120</t>
        </is>
      </c>
      <c r="F2045" t="inlineStr">
        <is>
          <t>REP</t>
        </is>
      </c>
      <c r="G2045" t="inlineStr">
        <is>
          <t>06262023</t>
        </is>
      </c>
      <c r="H2045" t="n">
        <v>2500</v>
      </c>
      <c r="I2045" t="inlineStr">
        <is>
          <t>202307199583817348</t>
        </is>
      </c>
      <c r="J2045" t="inlineStr">
        <is>
          <t>https://docquery.fec.gov/cgi-bin/fecimg/?202307199583817348</t>
        </is>
      </c>
    </row>
    <row r="2046">
      <c r="A2046" t="inlineStr">
        <is>
          <t>2024</t>
        </is>
      </c>
      <c r="B2046" t="inlineStr">
        <is>
          <t>C00415026</t>
        </is>
      </c>
      <c r="C2046" t="inlineStr">
        <is>
          <t>American Fuel &amp; Petrochemical Manufacturers PAC (AFPM PAC)</t>
        </is>
      </c>
      <c r="D2046" t="inlineStr">
        <is>
          <t>COMER FOR CONGRESS</t>
        </is>
      </c>
      <c r="E2046" t="inlineStr">
        <is>
          <t>H6KY01110</t>
        </is>
      </c>
      <c r="F2046" t="inlineStr">
        <is>
          <t>REP</t>
        </is>
      </c>
      <c r="G2046" t="inlineStr">
        <is>
          <t>06272023</t>
        </is>
      </c>
      <c r="H2046" t="n">
        <v>2500</v>
      </c>
      <c r="I2046" t="inlineStr">
        <is>
          <t>202307199583817348</t>
        </is>
      </c>
      <c r="J2046" t="inlineStr">
        <is>
          <t>https://docquery.fec.gov/cgi-bin/fecimg/?202307199583817348</t>
        </is>
      </c>
    </row>
    <row r="2047">
      <c r="A2047" t="inlineStr">
        <is>
          <t>2024</t>
        </is>
      </c>
      <c r="B2047" t="inlineStr">
        <is>
          <t>C00415026</t>
        </is>
      </c>
      <c r="C2047" t="inlineStr">
        <is>
          <t>American Fuel &amp; Petrochemical Manufacturers PAC (AFPM PAC)</t>
        </is>
      </c>
      <c r="D2047" t="inlineStr">
        <is>
          <t>EMMER FOR CONGRESS</t>
        </is>
      </c>
      <c r="E2047" t="inlineStr">
        <is>
          <t>H4MN06087</t>
        </is>
      </c>
      <c r="F2047" t="inlineStr">
        <is>
          <t>REP</t>
        </is>
      </c>
      <c r="G2047" t="inlineStr">
        <is>
          <t>06272023</t>
        </is>
      </c>
      <c r="H2047" t="n">
        <v>5000</v>
      </c>
      <c r="I2047" t="inlineStr">
        <is>
          <t>202307199583817349</t>
        </is>
      </c>
      <c r="J2047" t="inlineStr">
        <is>
          <t>https://docquery.fec.gov/cgi-bin/fecimg/?202307199583817349</t>
        </is>
      </c>
    </row>
    <row r="2048">
      <c r="A2048" t="inlineStr">
        <is>
          <t>2024</t>
        </is>
      </c>
      <c r="B2048" t="inlineStr">
        <is>
          <t>C00415026</t>
        </is>
      </c>
      <c r="C2048" t="inlineStr">
        <is>
          <t>American Fuel &amp; Petrochemical Manufacturers PAC (AFPM PAC)</t>
        </is>
      </c>
      <c r="D2048" t="inlineStr">
        <is>
          <t>HUNT FOR CONGRESS</t>
        </is>
      </c>
      <c r="E2048" t="inlineStr">
        <is>
          <t>H0TX07170</t>
        </is>
      </c>
      <c r="F2048" t="inlineStr">
        <is>
          <t>REP</t>
        </is>
      </c>
      <c r="G2048" t="inlineStr">
        <is>
          <t>06272023</t>
        </is>
      </c>
      <c r="H2048" t="n">
        <v>2500</v>
      </c>
      <c r="I2048" t="inlineStr">
        <is>
          <t>202307199583817349</t>
        </is>
      </c>
      <c r="J2048" t="inlineStr">
        <is>
          <t>https://docquery.fec.gov/cgi-bin/fecimg/?202307199583817349</t>
        </is>
      </c>
    </row>
    <row r="2049">
      <c r="A2049" t="inlineStr">
        <is>
          <t>2024</t>
        </is>
      </c>
      <c r="B2049" t="inlineStr">
        <is>
          <t>C00415026</t>
        </is>
      </c>
      <c r="C2049" t="inlineStr">
        <is>
          <t>American Fuel &amp; Petrochemical Manufacturers PAC (AFPM PAC)</t>
        </is>
      </c>
      <c r="D2049" t="inlineStr">
        <is>
          <t>WESTERMAN FOR CONGRESS</t>
        </is>
      </c>
      <c r="E2049" t="inlineStr">
        <is>
          <t>H4AR04048</t>
        </is>
      </c>
      <c r="F2049" t="inlineStr">
        <is>
          <t>REP</t>
        </is>
      </c>
      <c r="G2049" t="inlineStr">
        <is>
          <t>06272023</t>
        </is>
      </c>
      <c r="H2049" t="n">
        <v>2500</v>
      </c>
      <c r="I2049" t="inlineStr">
        <is>
          <t>202307199583817351</t>
        </is>
      </c>
      <c r="J2049" t="inlineStr">
        <is>
          <t>https://docquery.fec.gov/cgi-bin/fecimg/?202307199583817351</t>
        </is>
      </c>
    </row>
    <row r="2050">
      <c r="A2050" t="inlineStr">
        <is>
          <t>2024</t>
        </is>
      </c>
      <c r="B2050" t="inlineStr">
        <is>
          <t>C00415026</t>
        </is>
      </c>
      <c r="C2050" t="inlineStr">
        <is>
          <t>American Fuel &amp; Petrochemical Manufacturers PAC (AFPM PAC)</t>
        </is>
      </c>
      <c r="D2050" t="inlineStr">
        <is>
          <t>JAY OBERNOLTE FOR CONGRESS</t>
        </is>
      </c>
      <c r="E2050" t="inlineStr">
        <is>
          <t>H0CA08135</t>
        </is>
      </c>
      <c r="F2050" t="inlineStr">
        <is>
          <t>REP</t>
        </is>
      </c>
      <c r="G2050" t="inlineStr">
        <is>
          <t>06272023</t>
        </is>
      </c>
      <c r="H2050" t="n">
        <v>1500</v>
      </c>
      <c r="I2050" t="inlineStr">
        <is>
          <t>202307199583817350</t>
        </is>
      </c>
      <c r="J2050" t="inlineStr">
        <is>
          <t>https://docquery.fec.gov/cgi-bin/fecimg/?202307199583817350</t>
        </is>
      </c>
    </row>
    <row r="2051">
      <c r="A2051" t="inlineStr">
        <is>
          <t>2024</t>
        </is>
      </c>
      <c r="B2051" t="inlineStr">
        <is>
          <t>C00415026</t>
        </is>
      </c>
      <c r="C2051" t="inlineStr">
        <is>
          <t>American Fuel &amp; Petrochemical Manufacturers PAC (AFPM PAC)</t>
        </is>
      </c>
      <c r="D2051" t="inlineStr">
        <is>
          <t>JEFF DUNCAN FOR CONGRESS</t>
        </is>
      </c>
      <c r="E2051" t="inlineStr">
        <is>
          <t>H0SC03077</t>
        </is>
      </c>
      <c r="F2051" t="inlineStr">
        <is>
          <t>REP</t>
        </is>
      </c>
      <c r="G2051" t="inlineStr">
        <is>
          <t>06272023</t>
        </is>
      </c>
      <c r="H2051" t="n">
        <v>2500</v>
      </c>
      <c r="I2051" t="inlineStr">
        <is>
          <t>202307199583817350</t>
        </is>
      </c>
      <c r="J2051" t="inlineStr">
        <is>
          <t>https://docquery.fec.gov/cgi-bin/fecimg/?202307199583817350</t>
        </is>
      </c>
    </row>
    <row r="2052">
      <c r="A2052" t="inlineStr">
        <is>
          <t>2024</t>
        </is>
      </c>
      <c r="B2052" t="inlineStr">
        <is>
          <t>C00415026</t>
        </is>
      </c>
      <c r="C2052" t="inlineStr">
        <is>
          <t>American Fuel &amp; Petrochemical Manufacturers PAC (AFPM PAC)</t>
        </is>
      </c>
      <c r="D2052" t="inlineStr">
        <is>
          <t>MILLER-MEEKS FOR CONGRESS</t>
        </is>
      </c>
      <c r="E2052" t="inlineStr">
        <is>
          <t>H8IA02043</t>
        </is>
      </c>
      <c r="F2052" t="inlineStr">
        <is>
          <t>REP</t>
        </is>
      </c>
      <c r="G2052" t="inlineStr">
        <is>
          <t>06272023</t>
        </is>
      </c>
      <c r="H2052" t="n">
        <v>1000</v>
      </c>
      <c r="I2052" t="inlineStr">
        <is>
          <t>202307199583817350</t>
        </is>
      </c>
      <c r="J2052" t="inlineStr">
        <is>
          <t>https://docquery.fec.gov/cgi-bin/fecimg/?202307199583817350</t>
        </is>
      </c>
    </row>
    <row r="2053">
      <c r="A2053" t="inlineStr">
        <is>
          <t>2024</t>
        </is>
      </c>
      <c r="B2053" t="inlineStr">
        <is>
          <t>C00415026</t>
        </is>
      </c>
      <c r="C2053" t="inlineStr">
        <is>
          <t>American Fuel &amp; Petrochemical Manufacturers PAC (AFPM PAC)</t>
        </is>
      </c>
      <c r="D2053" t="inlineStr">
        <is>
          <t>GUTHRIE FOR CONGRESS</t>
        </is>
      </c>
      <c r="E2053" t="inlineStr">
        <is>
          <t>H8KY02031</t>
        </is>
      </c>
      <c r="F2053" t="inlineStr">
        <is>
          <t>REP</t>
        </is>
      </c>
      <c r="G2053" t="inlineStr">
        <is>
          <t>06282024</t>
        </is>
      </c>
      <c r="H2053" t="n">
        <v>5000</v>
      </c>
      <c r="I2053" t="inlineStr">
        <is>
          <t>202407189661224311</t>
        </is>
      </c>
      <c r="J2053" t="inlineStr">
        <is>
          <t>https://docquery.fec.gov/cgi-bin/fecimg/?202407189661224311</t>
        </is>
      </c>
    </row>
    <row r="2054">
      <c r="A2054" t="inlineStr">
        <is>
          <t>2024</t>
        </is>
      </c>
      <c r="B2054" t="inlineStr">
        <is>
          <t>C00415026</t>
        </is>
      </c>
      <c r="C2054" t="inlineStr">
        <is>
          <t>American Fuel &amp; Petrochemical Manufacturers PAC (AFPM PAC)</t>
        </is>
      </c>
      <c r="D2054" t="inlineStr">
        <is>
          <t>BYRON DONALDS FOR CONGRESS</t>
        </is>
      </c>
      <c r="E2054" t="inlineStr">
        <is>
          <t>H2FL14186</t>
        </is>
      </c>
      <c r="F2054" t="inlineStr">
        <is>
          <t>REP</t>
        </is>
      </c>
      <c r="G2054" t="inlineStr">
        <is>
          <t>07292024</t>
        </is>
      </c>
      <c r="H2054" t="n">
        <v>1500</v>
      </c>
      <c r="I2054" t="inlineStr">
        <is>
          <t>202408169666374549</t>
        </is>
      </c>
      <c r="J2054" t="inlineStr">
        <is>
          <t>https://docquery.fec.gov/cgi-bin/fecimg/?202408169666374549</t>
        </is>
      </c>
    </row>
    <row r="2055">
      <c r="A2055" t="inlineStr">
        <is>
          <t>2024</t>
        </is>
      </c>
      <c r="B2055" t="inlineStr">
        <is>
          <t>C00415026</t>
        </is>
      </c>
      <c r="C2055" t="inlineStr">
        <is>
          <t>American Fuel &amp; Petrochemical Manufacturers PAC (AFPM PAC)</t>
        </is>
      </c>
      <c r="D2055" t="inlineStr">
        <is>
          <t>FRIENDS OF JOHN BARRASSO</t>
        </is>
      </c>
      <c r="E2055" t="inlineStr">
        <is>
          <t>S6WY00068</t>
        </is>
      </c>
      <c r="F2055" t="inlineStr">
        <is>
          <t>REP</t>
        </is>
      </c>
      <c r="G2055" t="inlineStr">
        <is>
          <t>07292024</t>
        </is>
      </c>
      <c r="H2055" t="n">
        <v>2500</v>
      </c>
      <c r="I2055" t="inlineStr">
        <is>
          <t>202408169666374549</t>
        </is>
      </c>
      <c r="J2055" t="inlineStr">
        <is>
          <t>https://docquery.fec.gov/cgi-bin/fecimg/?202408169666374549</t>
        </is>
      </c>
    </row>
    <row r="2056">
      <c r="A2056" t="inlineStr">
        <is>
          <t>2024</t>
        </is>
      </c>
      <c r="B2056" t="inlineStr">
        <is>
          <t>C00415026</t>
        </is>
      </c>
      <c r="C2056" t="inlineStr">
        <is>
          <t>American Fuel &amp; Petrochemical Manufacturers PAC (AFPM PAC)</t>
        </is>
      </c>
      <c r="D2056" t="inlineStr">
        <is>
          <t>FRIENDS OF JOHN BARRASSO</t>
        </is>
      </c>
      <c r="E2056" t="inlineStr">
        <is>
          <t>S6WY00068</t>
        </is>
      </c>
      <c r="F2056" t="inlineStr">
        <is>
          <t>REP</t>
        </is>
      </c>
      <c r="G2056" t="inlineStr">
        <is>
          <t>07292024</t>
        </is>
      </c>
      <c r="H2056" t="n">
        <v>2500</v>
      </c>
      <c r="I2056" t="inlineStr">
        <is>
          <t>202408169666374550</t>
        </is>
      </c>
      <c r="J2056" t="inlineStr">
        <is>
          <t>https://docquery.fec.gov/cgi-bin/fecimg/?202408169666374550</t>
        </is>
      </c>
    </row>
    <row r="2057">
      <c r="A2057" t="inlineStr">
        <is>
          <t>2024</t>
        </is>
      </c>
      <c r="B2057" t="inlineStr">
        <is>
          <t>C00415026</t>
        </is>
      </c>
      <c r="C2057" t="inlineStr">
        <is>
          <t>American Fuel &amp; Petrochemical Manufacturers PAC (AFPM PAC)</t>
        </is>
      </c>
      <c r="D2057" t="inlineStr">
        <is>
          <t>TEXANS FOR JODEY ARRINGTON</t>
        </is>
      </c>
      <c r="E2057" t="inlineStr">
        <is>
          <t>H6TX19099</t>
        </is>
      </c>
      <c r="F2057" t="inlineStr">
        <is>
          <t>REP</t>
        </is>
      </c>
      <c r="G2057" t="inlineStr">
        <is>
          <t>07292024</t>
        </is>
      </c>
      <c r="H2057" t="n">
        <v>1000</v>
      </c>
      <c r="I2057" t="inlineStr">
        <is>
          <t>202408169666374550</t>
        </is>
      </c>
      <c r="J2057" t="inlineStr">
        <is>
          <t>https://docquery.fec.gov/cgi-bin/fecimg/?202408169666374550</t>
        </is>
      </c>
    </row>
    <row r="2058">
      <c r="A2058" t="inlineStr">
        <is>
          <t>2024</t>
        </is>
      </c>
      <c r="B2058" t="inlineStr">
        <is>
          <t>C00415026</t>
        </is>
      </c>
      <c r="C2058" t="inlineStr">
        <is>
          <t>American Fuel &amp; Petrochemical Manufacturers PAC (AFPM PAC)</t>
        </is>
      </c>
      <c r="D2058" t="inlineStr">
        <is>
          <t>PETE STAUBER FOR CONGRESS</t>
        </is>
      </c>
      <c r="E2058" t="inlineStr">
        <is>
          <t>H8MN08043</t>
        </is>
      </c>
      <c r="F2058" t="inlineStr">
        <is>
          <t>REP</t>
        </is>
      </c>
      <c r="G2058" t="inlineStr">
        <is>
          <t>08082023</t>
        </is>
      </c>
      <c r="H2058" t="n">
        <v>1000</v>
      </c>
      <c r="I2058" t="inlineStr">
        <is>
          <t>202309189597069355</t>
        </is>
      </c>
      <c r="J2058" t="inlineStr">
        <is>
          <t>https://docquery.fec.gov/cgi-bin/fecimg/?202309189597069355</t>
        </is>
      </c>
    </row>
    <row r="2059">
      <c r="A2059" t="inlineStr">
        <is>
          <t>2024</t>
        </is>
      </c>
      <c r="B2059" t="inlineStr">
        <is>
          <t>C00415026</t>
        </is>
      </c>
      <c r="C2059" t="inlineStr">
        <is>
          <t>American Fuel &amp; Petrochemical Manufacturers PAC (AFPM PAC)</t>
        </is>
      </c>
      <c r="D2059" t="inlineStr">
        <is>
          <t>TEXANS FOR HENRY CUELLAR CONGRESSIONAL CAMPAIGN</t>
        </is>
      </c>
      <c r="E2059" t="inlineStr">
        <is>
          <t>H2TX23082</t>
        </is>
      </c>
      <c r="F2059" t="inlineStr">
        <is>
          <t>DEM</t>
        </is>
      </c>
      <c r="G2059" t="inlineStr">
        <is>
          <t>08082023</t>
        </is>
      </c>
      <c r="H2059" t="n">
        <v>2500</v>
      </c>
      <c r="I2059" t="inlineStr">
        <is>
          <t>202309189597069356</t>
        </is>
      </c>
      <c r="J2059" t="inlineStr">
        <is>
          <t>https://docquery.fec.gov/cgi-bin/fecimg/?202309189597069356</t>
        </is>
      </c>
    </row>
    <row r="2060">
      <c r="A2060" t="inlineStr">
        <is>
          <t>2024</t>
        </is>
      </c>
      <c r="B2060" t="inlineStr">
        <is>
          <t>C00415026</t>
        </is>
      </c>
      <c r="C2060" t="inlineStr">
        <is>
          <t>American Fuel &amp; Petrochemical Manufacturers PAC (AFPM PAC)</t>
        </is>
      </c>
      <c r="D2060" t="inlineStr">
        <is>
          <t>BALDERSON FOR CONGRESS</t>
        </is>
      </c>
      <c r="E2060" t="inlineStr">
        <is>
          <t>H8OH12180</t>
        </is>
      </c>
      <c r="F2060" t="inlineStr">
        <is>
          <t>REP</t>
        </is>
      </c>
      <c r="G2060" t="inlineStr">
        <is>
          <t>08082023</t>
        </is>
      </c>
      <c r="H2060" t="n">
        <v>1500</v>
      </c>
      <c r="I2060" t="inlineStr">
        <is>
          <t>202309189597069354</t>
        </is>
      </c>
      <c r="J2060" t="inlineStr">
        <is>
          <t>https://docquery.fec.gov/cgi-bin/fecimg/?202309189597069354</t>
        </is>
      </c>
    </row>
    <row r="2061">
      <c r="A2061" t="inlineStr">
        <is>
          <t>2024</t>
        </is>
      </c>
      <c r="B2061" t="inlineStr">
        <is>
          <t>C00415026</t>
        </is>
      </c>
      <c r="C2061" t="inlineStr">
        <is>
          <t>American Fuel &amp; Petrochemical Manufacturers PAC (AFPM PAC)</t>
        </is>
      </c>
      <c r="D2061" t="inlineStr">
        <is>
          <t>BUCSHON FOR CONGRESS</t>
        </is>
      </c>
      <c r="E2061" t="inlineStr">
        <is>
          <t>H0IN08114</t>
        </is>
      </c>
      <c r="F2061" t="inlineStr">
        <is>
          <t>REP</t>
        </is>
      </c>
      <c r="G2061" t="inlineStr">
        <is>
          <t>08082023</t>
        </is>
      </c>
      <c r="H2061" t="n">
        <v>2500</v>
      </c>
      <c r="I2061" t="inlineStr">
        <is>
          <t>202309189597069354</t>
        </is>
      </c>
      <c r="J2061" t="inlineStr">
        <is>
          <t>https://docquery.fec.gov/cgi-bin/fecimg/?202309189597069354</t>
        </is>
      </c>
    </row>
    <row r="2062">
      <c r="A2062" t="inlineStr">
        <is>
          <t>2024</t>
        </is>
      </c>
      <c r="B2062" t="inlineStr">
        <is>
          <t>C00415026</t>
        </is>
      </c>
      <c r="C2062" t="inlineStr">
        <is>
          <t>American Fuel &amp; Petrochemical Manufacturers PAC (AFPM PAC)</t>
        </is>
      </c>
      <c r="D2062" t="inlineStr">
        <is>
          <t>FRIENDS OF JOHN BARRASSO</t>
        </is>
      </c>
      <c r="E2062" t="inlineStr">
        <is>
          <t>S6WY00068</t>
        </is>
      </c>
      <c r="F2062" t="inlineStr">
        <is>
          <t>REP</t>
        </is>
      </c>
      <c r="G2062" t="inlineStr">
        <is>
          <t>08082023</t>
        </is>
      </c>
      <c r="H2062" t="n">
        <v>2500</v>
      </c>
      <c r="I2062" t="inlineStr">
        <is>
          <t>202309189597069354</t>
        </is>
      </c>
      <c r="J2062" t="inlineStr">
        <is>
          <t>https://docquery.fec.gov/cgi-bin/fecimg/?202309189597069354</t>
        </is>
      </c>
    </row>
    <row r="2063">
      <c r="A2063" t="inlineStr">
        <is>
          <t>2024</t>
        </is>
      </c>
      <c r="B2063" t="inlineStr">
        <is>
          <t>C00415026</t>
        </is>
      </c>
      <c r="C2063" t="inlineStr">
        <is>
          <t>American Fuel &amp; Petrochemical Manufacturers PAC (AFPM PAC)</t>
        </is>
      </c>
      <c r="D2063" t="inlineStr">
        <is>
          <t>GUY FOR CONGRESS</t>
        </is>
      </c>
      <c r="E2063" t="inlineStr">
        <is>
          <t>H8PA18199</t>
        </is>
      </c>
      <c r="F2063" t="inlineStr">
        <is>
          <t>REP</t>
        </is>
      </c>
      <c r="G2063" t="inlineStr">
        <is>
          <t>08082023</t>
        </is>
      </c>
      <c r="H2063" t="n">
        <v>1000</v>
      </c>
      <c r="I2063" t="inlineStr">
        <is>
          <t>202309189597069355</t>
        </is>
      </c>
      <c r="J2063" t="inlineStr">
        <is>
          <t>https://docquery.fec.gov/cgi-bin/fecimg/?202309189597069355</t>
        </is>
      </c>
    </row>
    <row r="2064">
      <c r="A2064" t="inlineStr">
        <is>
          <t>2024</t>
        </is>
      </c>
      <c r="B2064" t="inlineStr">
        <is>
          <t>C00415026</t>
        </is>
      </c>
      <c r="C2064" t="inlineStr">
        <is>
          <t>American Fuel &amp; Petrochemical Manufacturers PAC (AFPM PAC)</t>
        </is>
      </c>
      <c r="D2064" t="inlineStr">
        <is>
          <t>KAT FOR CONGRESS</t>
        </is>
      </c>
      <c r="E2064" t="inlineStr">
        <is>
          <t>H0FL03175</t>
        </is>
      </c>
      <c r="F2064" t="inlineStr">
        <is>
          <t>REP</t>
        </is>
      </c>
      <c r="G2064" t="inlineStr">
        <is>
          <t>09222023</t>
        </is>
      </c>
      <c r="H2064" t="n">
        <v>1000</v>
      </c>
      <c r="I2064" t="inlineStr">
        <is>
          <t>202310209598656835</t>
        </is>
      </c>
      <c r="J2064" t="inlineStr">
        <is>
          <t>https://docquery.fec.gov/cgi-bin/fecimg/?202310209598656835</t>
        </is>
      </c>
    </row>
    <row r="2065">
      <c r="A2065" t="inlineStr">
        <is>
          <t>2024</t>
        </is>
      </c>
      <c r="B2065" t="inlineStr">
        <is>
          <t>C00415026</t>
        </is>
      </c>
      <c r="C2065" t="inlineStr">
        <is>
          <t>American Fuel &amp; Petrochemical Manufacturers PAC (AFPM PAC)</t>
        </is>
      </c>
      <c r="D2065" t="inlineStr">
        <is>
          <t>ANDY BARR FOR CONGRESS, INC.</t>
        </is>
      </c>
      <c r="E2065" t="inlineStr">
        <is>
          <t>H0KY06104</t>
        </is>
      </c>
      <c r="F2065" t="inlineStr">
        <is>
          <t>REP</t>
        </is>
      </c>
      <c r="G2065" t="inlineStr">
        <is>
          <t>09222023</t>
        </is>
      </c>
      <c r="H2065" t="n">
        <v>1000</v>
      </c>
      <c r="I2065" t="inlineStr">
        <is>
          <t>202310209598656834</t>
        </is>
      </c>
      <c r="J2065" t="inlineStr">
        <is>
          <t>https://docquery.fec.gov/cgi-bin/fecimg/?202310209598656834</t>
        </is>
      </c>
    </row>
    <row r="2066">
      <c r="A2066" t="inlineStr">
        <is>
          <t>2024</t>
        </is>
      </c>
      <c r="B2066" t="inlineStr">
        <is>
          <t>C00415026</t>
        </is>
      </c>
      <c r="C2066" t="inlineStr">
        <is>
          <t>American Fuel &amp; Petrochemical Manufacturers PAC (AFPM PAC)</t>
        </is>
      </c>
      <c r="D2066" t="inlineStr">
        <is>
          <t>CATHY MCMORRIS RODGERS FOR CONGRESS</t>
        </is>
      </c>
      <c r="E2066" t="inlineStr">
        <is>
          <t>H4WA05077</t>
        </is>
      </c>
      <c r="F2066" t="inlineStr">
        <is>
          <t>REP</t>
        </is>
      </c>
      <c r="G2066" t="inlineStr">
        <is>
          <t>09222023</t>
        </is>
      </c>
      <c r="H2066" t="n">
        <v>2500</v>
      </c>
      <c r="I2066" t="inlineStr">
        <is>
          <t>202310209598656834</t>
        </is>
      </c>
      <c r="J2066" t="inlineStr">
        <is>
          <t>https://docquery.fec.gov/cgi-bin/fecimg/?202310209598656834</t>
        </is>
      </c>
    </row>
    <row r="2067">
      <c r="A2067" t="inlineStr">
        <is>
          <t>2024</t>
        </is>
      </c>
      <c r="B2067" t="inlineStr">
        <is>
          <t>C00415026</t>
        </is>
      </c>
      <c r="C2067" t="inlineStr">
        <is>
          <t>American Fuel &amp; Petrochemical Manufacturers PAC (AFPM PAC)</t>
        </is>
      </c>
      <c r="D2067" t="inlineStr">
        <is>
          <t>RON ESTES FOR CONGRESS</t>
        </is>
      </c>
      <c r="E2067" t="inlineStr">
        <is>
          <t>H8KS04112</t>
        </is>
      </c>
      <c r="F2067" t="inlineStr">
        <is>
          <t>REP</t>
        </is>
      </c>
      <c r="G2067" t="inlineStr">
        <is>
          <t>09222023</t>
        </is>
      </c>
      <c r="H2067" t="n">
        <v>1000</v>
      </c>
      <c r="I2067" t="inlineStr">
        <is>
          <t>202310209598656835</t>
        </is>
      </c>
      <c r="J2067" t="inlineStr">
        <is>
          <t>https://docquery.fec.gov/cgi-bin/fecimg/?202310209598656835</t>
        </is>
      </c>
    </row>
    <row r="2068">
      <c r="A2068" t="inlineStr">
        <is>
          <t>2024</t>
        </is>
      </c>
      <c r="B2068" t="inlineStr">
        <is>
          <t>C00415026</t>
        </is>
      </c>
      <c r="C2068" t="inlineStr">
        <is>
          <t>American Fuel &amp; Petrochemical Manufacturers PAC (AFPM PAC)</t>
        </is>
      </c>
      <c r="D2068" t="inlineStr">
        <is>
          <t>RUSS FULCHER FOR IDAHO</t>
        </is>
      </c>
      <c r="E2068" t="inlineStr">
        <is>
          <t>H8ID01124</t>
        </is>
      </c>
      <c r="F2068" t="inlineStr">
        <is>
          <t>REP</t>
        </is>
      </c>
      <c r="G2068" t="inlineStr">
        <is>
          <t>09252024</t>
        </is>
      </c>
      <c r="H2068" t="n">
        <v>1000</v>
      </c>
      <c r="I2068" t="inlineStr">
        <is>
          <t>202410169698554087</t>
        </is>
      </c>
      <c r="J2068" t="inlineStr">
        <is>
          <t>https://docquery.fec.gov/cgi-bin/fecimg/?202410169698554087</t>
        </is>
      </c>
    </row>
    <row r="2069">
      <c r="A2069" t="inlineStr">
        <is>
          <t>2024</t>
        </is>
      </c>
      <c r="B2069" t="inlineStr">
        <is>
          <t>C00415026</t>
        </is>
      </c>
      <c r="C2069" t="inlineStr">
        <is>
          <t>American Fuel &amp; Petrochemical Manufacturers PAC (AFPM PAC)</t>
        </is>
      </c>
      <c r="D2069" t="inlineStr">
        <is>
          <t>VINCE FONG FOR CONGRESS</t>
        </is>
      </c>
      <c r="E2069" t="inlineStr">
        <is>
          <t>H4CA20181</t>
        </is>
      </c>
      <c r="F2069" t="inlineStr">
        <is>
          <t>REP</t>
        </is>
      </c>
      <c r="G2069" t="inlineStr">
        <is>
          <t>09252024</t>
        </is>
      </c>
      <c r="H2069" t="n">
        <v>1000</v>
      </c>
      <c r="I2069" t="inlineStr">
        <is>
          <t>202410169698554087</t>
        </is>
      </c>
      <c r="J2069" t="inlineStr">
        <is>
          <t>https://docquery.fec.gov/cgi-bin/fecimg/?202410169698554087</t>
        </is>
      </c>
    </row>
    <row r="2070">
      <c r="A2070" t="inlineStr">
        <is>
          <t>2024</t>
        </is>
      </c>
      <c r="B2070" t="inlineStr">
        <is>
          <t>C00415026</t>
        </is>
      </c>
      <c r="C2070" t="inlineStr">
        <is>
          <t>American Fuel &amp; Petrochemical Manufacturers PAC (AFPM PAC)</t>
        </is>
      </c>
      <c r="D2070" t="inlineStr">
        <is>
          <t>CAREY FOR CONGRESS</t>
        </is>
      </c>
      <c r="E2070" t="inlineStr">
        <is>
          <t>H2OH15228</t>
        </is>
      </c>
      <c r="F2070" t="inlineStr">
        <is>
          <t>REP</t>
        </is>
      </c>
      <c r="G2070" t="inlineStr">
        <is>
          <t>09252024</t>
        </is>
      </c>
      <c r="H2070" t="n">
        <v>1000</v>
      </c>
      <c r="I2070" t="inlineStr">
        <is>
          <t>202410169698554085</t>
        </is>
      </c>
      <c r="J2070" t="inlineStr">
        <is>
          <t>https://docquery.fec.gov/cgi-bin/fecimg/?202410169698554085</t>
        </is>
      </c>
    </row>
    <row r="2071">
      <c r="A2071" t="inlineStr">
        <is>
          <t>2024</t>
        </is>
      </c>
      <c r="B2071" t="inlineStr">
        <is>
          <t>C00415026</t>
        </is>
      </c>
      <c r="C2071" t="inlineStr">
        <is>
          <t>American Fuel &amp; Petrochemical Manufacturers PAC (AFPM PAC)</t>
        </is>
      </c>
      <c r="D2071" t="inlineStr">
        <is>
          <t>COLE FOR CONGRESS</t>
        </is>
      </c>
      <c r="E2071" t="inlineStr">
        <is>
          <t>H2OK04055</t>
        </is>
      </c>
      <c r="F2071" t="inlineStr">
        <is>
          <t>REP</t>
        </is>
      </c>
      <c r="G2071" t="inlineStr">
        <is>
          <t>09252024</t>
        </is>
      </c>
      <c r="H2071" t="n">
        <v>2500</v>
      </c>
      <c r="I2071" t="inlineStr">
        <is>
          <t>202410169698554085</t>
        </is>
      </c>
      <c r="J2071" t="inlineStr">
        <is>
          <t>https://docquery.fec.gov/cgi-bin/fecimg/?202410169698554085</t>
        </is>
      </c>
    </row>
    <row r="2072">
      <c r="A2072" t="inlineStr">
        <is>
          <t>2024</t>
        </is>
      </c>
      <c r="B2072" t="inlineStr">
        <is>
          <t>C00415026</t>
        </is>
      </c>
      <c r="C2072" t="inlineStr">
        <is>
          <t>American Fuel &amp; Petrochemical Manufacturers PAC (AFPM PAC)</t>
        </is>
      </c>
      <c r="D2072" t="inlineStr">
        <is>
          <t>FAMILIES FOR JAMES LANKFORD</t>
        </is>
      </c>
      <c r="E2072" t="inlineStr">
        <is>
          <t>S4OK00232</t>
        </is>
      </c>
      <c r="F2072" t="inlineStr">
        <is>
          <t>REP</t>
        </is>
      </c>
      <c r="G2072" t="inlineStr">
        <is>
          <t>09252024</t>
        </is>
      </c>
      <c r="H2072" t="n">
        <v>1500</v>
      </c>
      <c r="I2072" t="inlineStr">
        <is>
          <t>202410169698554085</t>
        </is>
      </c>
      <c r="J2072" t="inlineStr">
        <is>
          <t>https://docquery.fec.gov/cgi-bin/fecimg/?202410169698554085</t>
        </is>
      </c>
    </row>
    <row r="2073">
      <c r="A2073" t="inlineStr">
        <is>
          <t>2024</t>
        </is>
      </c>
      <c r="B2073" t="inlineStr">
        <is>
          <t>C00415026</t>
        </is>
      </c>
      <c r="C2073" t="inlineStr">
        <is>
          <t>American Fuel &amp; Petrochemical Manufacturers PAC (AFPM PAC)</t>
        </is>
      </c>
      <c r="D2073" t="inlineStr">
        <is>
          <t>YVETTE4CONGRESS</t>
        </is>
      </c>
      <c r="E2073" t="inlineStr">
        <is>
          <t>H8NM02156</t>
        </is>
      </c>
      <c r="F2073" t="inlineStr">
        <is>
          <t>REP</t>
        </is>
      </c>
      <c r="G2073" t="inlineStr">
        <is>
          <t>09252024</t>
        </is>
      </c>
      <c r="H2073" t="n">
        <v>1000</v>
      </c>
      <c r="I2073" t="inlineStr">
        <is>
          <t>202410169698554087</t>
        </is>
      </c>
      <c r="J2073" t="inlineStr">
        <is>
          <t>https://docquery.fec.gov/cgi-bin/fecimg/?202410169698554087</t>
        </is>
      </c>
    </row>
    <row r="2074">
      <c r="A2074" t="inlineStr">
        <is>
          <t>2024</t>
        </is>
      </c>
      <c r="B2074" t="inlineStr">
        <is>
          <t>C00415026</t>
        </is>
      </c>
      <c r="C2074" t="inlineStr">
        <is>
          <t>American Fuel &amp; Petrochemical Manufacturers PAC (AFPM PAC)</t>
        </is>
      </c>
      <c r="D2074" t="inlineStr">
        <is>
          <t>LAUREL LEE FOR CONGRESS, INC.</t>
        </is>
      </c>
      <c r="E2074" t="inlineStr">
        <is>
          <t>H2FL15241</t>
        </is>
      </c>
      <c r="F2074" t="inlineStr">
        <is>
          <t>REP</t>
        </is>
      </c>
      <c r="G2074" t="inlineStr">
        <is>
          <t>09252024</t>
        </is>
      </c>
      <c r="H2074" t="n">
        <v>1000</v>
      </c>
      <c r="I2074" t="inlineStr">
        <is>
          <t>202410169698554086</t>
        </is>
      </c>
      <c r="J2074" t="inlineStr">
        <is>
          <t>https://docquery.fec.gov/cgi-bin/fecimg/?202410169698554086</t>
        </is>
      </c>
    </row>
    <row r="2075">
      <c r="A2075" t="inlineStr">
        <is>
          <t>2024</t>
        </is>
      </c>
      <c r="B2075" t="inlineStr">
        <is>
          <t>C00415026</t>
        </is>
      </c>
      <c r="C2075" t="inlineStr">
        <is>
          <t>American Fuel &amp; Petrochemical Manufacturers PAC (AFPM PAC)</t>
        </is>
      </c>
      <c r="D2075" t="inlineStr">
        <is>
          <t>MARC FOR US INC.</t>
        </is>
      </c>
      <c r="E2075" t="inlineStr">
        <is>
          <t>H2NY19127</t>
        </is>
      </c>
      <c r="F2075" t="inlineStr">
        <is>
          <t>REP</t>
        </is>
      </c>
      <c r="G2075" t="inlineStr">
        <is>
          <t>09252024</t>
        </is>
      </c>
      <c r="H2075" t="n">
        <v>1000</v>
      </c>
      <c r="I2075" t="inlineStr">
        <is>
          <t>202410169698554086</t>
        </is>
      </c>
      <c r="J2075" t="inlineStr">
        <is>
          <t>https://docquery.fec.gov/cgi-bin/fecimg/?202410169698554086</t>
        </is>
      </c>
    </row>
    <row r="2076">
      <c r="A2076" t="inlineStr">
        <is>
          <t>2024</t>
        </is>
      </c>
      <c r="B2076" t="inlineStr">
        <is>
          <t>C00415026</t>
        </is>
      </c>
      <c r="C2076" t="inlineStr">
        <is>
          <t>American Fuel &amp; Petrochemical Manufacturers PAC (AFPM PAC)</t>
        </is>
      </c>
      <c r="D2076" t="inlineStr">
        <is>
          <t>MONICA FOR CONGRESS</t>
        </is>
      </c>
      <c r="E2076" t="inlineStr">
        <is>
          <t>H0TX15124</t>
        </is>
      </c>
      <c r="F2076" t="inlineStr">
        <is>
          <t>REP</t>
        </is>
      </c>
      <c r="G2076" t="inlineStr">
        <is>
          <t>09252024</t>
        </is>
      </c>
      <c r="H2076" t="n">
        <v>1000</v>
      </c>
      <c r="I2076" t="inlineStr">
        <is>
          <t>202410169698554086</t>
        </is>
      </c>
      <c r="J2076" t="inlineStr">
        <is>
          <t>https://docquery.fec.gov/cgi-bin/fecimg/?202410169698554086</t>
        </is>
      </c>
    </row>
    <row r="2077">
      <c r="A2077" t="inlineStr">
        <is>
          <t>2024</t>
        </is>
      </c>
      <c r="B2077" t="inlineStr">
        <is>
          <t>C00415026</t>
        </is>
      </c>
      <c r="C2077" t="inlineStr">
        <is>
          <t>American Fuel &amp; Petrochemical Manufacturers PAC (AFPM PAC)</t>
        </is>
      </c>
      <c r="D2077" t="inlineStr">
        <is>
          <t>CAREY FOR CONGRESS</t>
        </is>
      </c>
      <c r="E2077" t="inlineStr">
        <is>
          <t>H2OH15228</t>
        </is>
      </c>
      <c r="F2077" t="inlineStr">
        <is>
          <t>REP</t>
        </is>
      </c>
      <c r="G2077" t="inlineStr">
        <is>
          <t>09262023</t>
        </is>
      </c>
      <c r="H2077" t="n">
        <v>2500</v>
      </c>
      <c r="I2077" t="inlineStr">
        <is>
          <t>202310209598656834</t>
        </is>
      </c>
      <c r="J2077" t="inlineStr">
        <is>
          <t>https://docquery.fec.gov/cgi-bin/fecimg/?202310209598656834</t>
        </is>
      </c>
    </row>
    <row r="2078">
      <c r="A2078" t="inlineStr">
        <is>
          <t>2024</t>
        </is>
      </c>
      <c r="B2078" t="inlineStr">
        <is>
          <t>C00415026</t>
        </is>
      </c>
      <c r="C2078" t="inlineStr">
        <is>
          <t>American Fuel &amp; Petrochemical Manufacturers PAC (AFPM PAC)</t>
        </is>
      </c>
      <c r="D2078" t="inlineStr">
        <is>
          <t>MONICA FOR CONGRESS</t>
        </is>
      </c>
      <c r="E2078" t="inlineStr">
        <is>
          <t>H0TX15124</t>
        </is>
      </c>
      <c r="F2078" t="inlineStr">
        <is>
          <t>REP</t>
        </is>
      </c>
      <c r="G2078" t="inlineStr">
        <is>
          <t>10302023</t>
        </is>
      </c>
      <c r="H2078" t="n">
        <v>1000</v>
      </c>
      <c r="I2078" t="inlineStr">
        <is>
          <t>202311159599112836</t>
        </is>
      </c>
      <c r="J2078" t="inlineStr">
        <is>
          <t>https://docquery.fec.gov/cgi-bin/fecimg/?202311159599112836</t>
        </is>
      </c>
    </row>
    <row r="2079">
      <c r="A2079" t="inlineStr">
        <is>
          <t>2024</t>
        </is>
      </c>
      <c r="B2079" t="inlineStr">
        <is>
          <t>C00415026</t>
        </is>
      </c>
      <c r="C2079" t="inlineStr">
        <is>
          <t>American Fuel &amp; Petrochemical Manufacturers PAC (AFPM PAC)</t>
        </is>
      </c>
      <c r="D2079" t="inlineStr">
        <is>
          <t>COLE FOR CONGRESS</t>
        </is>
      </c>
      <c r="E2079" t="inlineStr">
        <is>
          <t>H2OK04055</t>
        </is>
      </c>
      <c r="F2079" t="inlineStr">
        <is>
          <t>REP</t>
        </is>
      </c>
      <c r="G2079" t="inlineStr">
        <is>
          <t>12042023</t>
        </is>
      </c>
      <c r="H2079" t="n">
        <v>2500</v>
      </c>
      <c r="I2079" t="inlineStr">
        <is>
          <t>202401199600120992</t>
        </is>
      </c>
      <c r="J2079" t="inlineStr">
        <is>
          <t>https://docquery.fec.gov/cgi-bin/fecimg/?202401199600120992</t>
        </is>
      </c>
    </row>
    <row r="2080">
      <c r="A2080" t="inlineStr">
        <is>
          <t>2024</t>
        </is>
      </c>
      <c r="B2080" t="inlineStr">
        <is>
          <t>C00415026</t>
        </is>
      </c>
      <c r="C2080" t="inlineStr">
        <is>
          <t>American Fuel &amp; Petrochemical Manufacturers PAC (AFPM PAC)</t>
        </is>
      </c>
      <c r="D2080" t="inlineStr">
        <is>
          <t>DAN CRENSHAW FOR CONGRESS</t>
        </is>
      </c>
      <c r="E2080" t="inlineStr">
        <is>
          <t>H8TX02166</t>
        </is>
      </c>
      <c r="F2080" t="inlineStr">
        <is>
          <t>REP</t>
        </is>
      </c>
      <c r="G2080" t="inlineStr">
        <is>
          <t>12042023</t>
        </is>
      </c>
      <c r="H2080" t="n">
        <v>2500</v>
      </c>
      <c r="I2080" t="inlineStr">
        <is>
          <t>202401199600120993</t>
        </is>
      </c>
      <c r="J2080" t="inlineStr">
        <is>
          <t>https://docquery.fec.gov/cgi-bin/fecimg/?202401199600120993</t>
        </is>
      </c>
    </row>
    <row r="2081">
      <c r="A2081" t="inlineStr">
        <is>
          <t>2024</t>
        </is>
      </c>
      <c r="B2081" t="inlineStr">
        <is>
          <t>C00415026</t>
        </is>
      </c>
      <c r="C2081" t="inlineStr">
        <is>
          <t>American Fuel &amp; Petrochemical Manufacturers PAC (AFPM PAC)</t>
        </is>
      </c>
      <c r="D2081" t="inlineStr">
        <is>
          <t>FRIENDS OF DUSTY JOHNSON</t>
        </is>
      </c>
      <c r="E2081" t="inlineStr">
        <is>
          <t>H8SD01055</t>
        </is>
      </c>
      <c r="F2081" t="inlineStr">
        <is>
          <t>REP</t>
        </is>
      </c>
      <c r="G2081" t="inlineStr">
        <is>
          <t>12042023</t>
        </is>
      </c>
      <c r="H2081" t="n">
        <v>1000</v>
      </c>
      <c r="I2081" t="inlineStr">
        <is>
          <t>202401199600120993</t>
        </is>
      </c>
      <c r="J2081" t="inlineStr">
        <is>
          <t>https://docquery.fec.gov/cgi-bin/fecimg/?202401199600120993</t>
        </is>
      </c>
    </row>
    <row r="2082">
      <c r="A2082" t="inlineStr">
        <is>
          <t>2024</t>
        </is>
      </c>
      <c r="B2082" t="inlineStr">
        <is>
          <t>C00415026</t>
        </is>
      </c>
      <c r="C2082" t="inlineStr">
        <is>
          <t>American Fuel &amp; Petrochemical Manufacturers PAC (AFPM PAC)</t>
        </is>
      </c>
      <c r="D2082" t="inlineStr">
        <is>
          <t>GREG PENCE FOR CONGRESS</t>
        </is>
      </c>
      <c r="E2082" t="inlineStr">
        <is>
          <t>H8IN06129</t>
        </is>
      </c>
      <c r="F2082" t="inlineStr">
        <is>
          <t>REP</t>
        </is>
      </c>
      <c r="G2082" t="inlineStr">
        <is>
          <t>12042023</t>
        </is>
      </c>
      <c r="H2082" t="n">
        <v>2500</v>
      </c>
      <c r="I2082" t="inlineStr">
        <is>
          <t>202401199600120994</t>
        </is>
      </c>
      <c r="J2082" t="inlineStr">
        <is>
          <t>https://docquery.fec.gov/cgi-bin/fecimg/?202401199600120994</t>
        </is>
      </c>
    </row>
    <row r="2083">
      <c r="A2083" t="inlineStr">
        <is>
          <t>2024</t>
        </is>
      </c>
      <c r="B2083" t="inlineStr">
        <is>
          <t>C00415026</t>
        </is>
      </c>
      <c r="C2083" t="inlineStr">
        <is>
          <t>American Fuel &amp; Petrochemical Manufacturers PAC (AFPM PAC)</t>
        </is>
      </c>
      <c r="D2083" t="inlineStr">
        <is>
          <t>WALBERG FOR CONGRESS</t>
        </is>
      </c>
      <c r="E2083" t="inlineStr">
        <is>
          <t>H4MI07103</t>
        </is>
      </c>
      <c r="F2083" t="inlineStr">
        <is>
          <t>REP</t>
        </is>
      </c>
      <c r="G2083" t="inlineStr">
        <is>
          <t>12042023</t>
        </is>
      </c>
      <c r="H2083" t="n">
        <v>2500</v>
      </c>
      <c r="I2083" t="inlineStr">
        <is>
          <t>202401199600120994</t>
        </is>
      </c>
      <c r="J2083" t="inlineStr">
        <is>
          <t>https://docquery.fec.gov/cgi-bin/fecimg/?202401199600120994</t>
        </is>
      </c>
    </row>
    <row r="2084">
      <c r="A2084" t="inlineStr">
        <is>
          <t>2024</t>
        </is>
      </c>
      <c r="B2084" t="inlineStr">
        <is>
          <t>C00415026</t>
        </is>
      </c>
      <c r="C2084" t="inlineStr">
        <is>
          <t>American Fuel &amp; Petrochemical Manufacturers PAC (AFPM PAC)</t>
        </is>
      </c>
      <c r="D2084" t="inlineStr">
        <is>
          <t>ELISE FOR CONGRESS</t>
        </is>
      </c>
      <c r="E2084" t="inlineStr">
        <is>
          <t>H4NY21079</t>
        </is>
      </c>
      <c r="F2084" t="inlineStr">
        <is>
          <t>REP</t>
        </is>
      </c>
      <c r="G2084" t="inlineStr">
        <is>
          <t>12112023</t>
        </is>
      </c>
      <c r="H2084" t="n">
        <v>2500</v>
      </c>
      <c r="I2084" t="inlineStr">
        <is>
          <t>202401199600120993</t>
        </is>
      </c>
      <c r="J2084" t="inlineStr">
        <is>
          <t>https://docquery.fec.gov/cgi-bin/fecimg/?202401199600120993</t>
        </is>
      </c>
    </row>
    <row r="2085">
      <c r="A2085" t="inlineStr">
        <is>
          <t>2024</t>
        </is>
      </c>
      <c r="B2085" t="inlineStr">
        <is>
          <t>C00415026</t>
        </is>
      </c>
      <c r="C2085" t="inlineStr">
        <is>
          <t>American Fuel &amp; Petrochemical Manufacturers PAC (AFPM PAC)</t>
        </is>
      </c>
      <c r="D2085" t="inlineStr">
        <is>
          <t>BYRON DONALDS FOR CONGRESS</t>
        </is>
      </c>
      <c r="E2085" t="inlineStr">
        <is>
          <t>H2FL14186</t>
        </is>
      </c>
      <c r="F2085" t="inlineStr">
        <is>
          <t>REP</t>
        </is>
      </c>
      <c r="G2085" t="inlineStr">
        <is>
          <t>12202023</t>
        </is>
      </c>
      <c r="H2085" t="n">
        <v>1000</v>
      </c>
      <c r="I2085" t="inlineStr">
        <is>
          <t>202401199600120992</t>
        </is>
      </c>
      <c r="J2085" t="inlineStr">
        <is>
          <t>https://docquery.fec.gov/cgi-bin/fecimg/?202401199600120992</t>
        </is>
      </c>
    </row>
    <row r="2086">
      <c r="A2086" t="inlineStr">
        <is>
          <t>2024</t>
        </is>
      </c>
      <c r="B2086" t="inlineStr">
        <is>
          <t>C00415026</t>
        </is>
      </c>
      <c r="C2086" t="inlineStr">
        <is>
          <t>American Fuel &amp; Petrochemical Manufacturers PAC (AFPM PAC)</t>
        </is>
      </c>
      <c r="D2086" t="inlineStr">
        <is>
          <t>JAKE ELLZEY FOR CONGRESS</t>
        </is>
      </c>
      <c r="E2086" t="inlineStr">
        <is>
          <t>H8TX06266</t>
        </is>
      </c>
      <c r="F2086" t="inlineStr">
        <is>
          <t>REP</t>
        </is>
      </c>
      <c r="G2086" t="inlineStr">
        <is>
          <t>12202023</t>
        </is>
      </c>
      <c r="H2086" t="n">
        <v>1000</v>
      </c>
      <c r="I2086" t="inlineStr">
        <is>
          <t>202401199600120994</t>
        </is>
      </c>
      <c r="J2086" t="inlineStr">
        <is>
          <t>https://docquery.fec.gov/cgi-bin/fecimg/?202401199600120994</t>
        </is>
      </c>
    </row>
    <row r="2087">
      <c r="A2087" t="inlineStr">
        <is>
          <t>2024</t>
        </is>
      </c>
      <c r="B2087" t="inlineStr">
        <is>
          <t>C00483677</t>
        </is>
      </c>
      <c r="C2087" t="inlineStr">
        <is>
          <t>American Petroleum Institute PAC (API PAC)</t>
        </is>
      </c>
      <c r="D2087" t="inlineStr">
        <is>
          <t>DAN CRENSHAW FOR CONGRESS</t>
        </is>
      </c>
      <c r="E2087" t="inlineStr">
        <is>
          <t>H8TX02166</t>
        </is>
      </c>
      <c r="F2087" t="inlineStr">
        <is>
          <t>REP</t>
        </is>
      </c>
      <c r="G2087" t="inlineStr">
        <is>
          <t>01172024</t>
        </is>
      </c>
      <c r="H2087" t="n">
        <v>1000</v>
      </c>
      <c r="I2087" t="inlineStr">
        <is>
          <t>202402209619828528</t>
        </is>
      </c>
      <c r="J2087" t="inlineStr">
        <is>
          <t>https://docquery.fec.gov/cgi-bin/fecimg/?202402209619828528</t>
        </is>
      </c>
    </row>
    <row r="2088">
      <c r="A2088" t="inlineStr">
        <is>
          <t>2024</t>
        </is>
      </c>
      <c r="B2088" t="inlineStr">
        <is>
          <t>C00483677</t>
        </is>
      </c>
      <c r="C2088" t="inlineStr">
        <is>
          <t>American Petroleum Institute PAC (API PAC)</t>
        </is>
      </c>
      <c r="D2088" t="inlineStr">
        <is>
          <t>FRIENDS OF JOHN BARRASSO</t>
        </is>
      </c>
      <c r="E2088" t="inlineStr">
        <is>
          <t>S6WY00068</t>
        </is>
      </c>
      <c r="F2088" t="inlineStr">
        <is>
          <t>REP</t>
        </is>
      </c>
      <c r="G2088" t="inlineStr">
        <is>
          <t>01232024</t>
        </is>
      </c>
      <c r="H2088" t="n">
        <v>5000</v>
      </c>
      <c r="I2088" t="inlineStr">
        <is>
          <t>202402209619828528</t>
        </is>
      </c>
      <c r="J2088" t="inlineStr">
        <is>
          <t>https://docquery.fec.gov/cgi-bin/fecimg/?202402209619828528</t>
        </is>
      </c>
    </row>
    <row r="2089">
      <c r="A2089" t="inlineStr">
        <is>
          <t>2024</t>
        </is>
      </c>
      <c r="B2089" t="inlineStr">
        <is>
          <t>C00483677</t>
        </is>
      </c>
      <c r="C2089" t="inlineStr">
        <is>
          <t>American Petroleum Institute PAC (API PAC)</t>
        </is>
      </c>
      <c r="D2089" t="inlineStr">
        <is>
          <t>MARTIN HEINRICH FOR SENATE</t>
        </is>
      </c>
      <c r="E2089" t="inlineStr">
        <is>
          <t>S2NM00088</t>
        </is>
      </c>
      <c r="F2089" t="inlineStr">
        <is>
          <t>DEM</t>
        </is>
      </c>
      <c r="G2089" t="inlineStr">
        <is>
          <t>01242024</t>
        </is>
      </c>
      <c r="H2089" t="n">
        <v>3500</v>
      </c>
      <c r="I2089" t="inlineStr">
        <is>
          <t>202402209619828529</t>
        </is>
      </c>
      <c r="J2089" t="inlineStr">
        <is>
          <t>https://docquery.fec.gov/cgi-bin/fecimg/?202402209619828529</t>
        </is>
      </c>
    </row>
    <row r="2090">
      <c r="A2090" t="inlineStr">
        <is>
          <t>2024</t>
        </is>
      </c>
      <c r="B2090" t="inlineStr">
        <is>
          <t>C00483677</t>
        </is>
      </c>
      <c r="C2090" t="inlineStr">
        <is>
          <t>American Petroleum Institute PAC (API PAC)</t>
        </is>
      </c>
      <c r="D2090" t="inlineStr">
        <is>
          <t>MARC VEASEY CONGRESSIONAL CAMPAIGN COMMITTEE</t>
        </is>
      </c>
      <c r="E2090" t="inlineStr">
        <is>
          <t>H2TX33073</t>
        </is>
      </c>
      <c r="F2090" t="inlineStr">
        <is>
          <t>DEM</t>
        </is>
      </c>
      <c r="G2090" t="inlineStr">
        <is>
          <t>01292024</t>
        </is>
      </c>
      <c r="H2090" t="n">
        <v>2500</v>
      </c>
      <c r="I2090" t="inlineStr">
        <is>
          <t>202402209619828529</t>
        </is>
      </c>
      <c r="J2090" t="inlineStr">
        <is>
          <t>https://docquery.fec.gov/cgi-bin/fecimg/?202402209619828529</t>
        </is>
      </c>
    </row>
    <row r="2091">
      <c r="A2091" t="inlineStr">
        <is>
          <t>2024</t>
        </is>
      </c>
      <c r="B2091" t="inlineStr">
        <is>
          <t>C00483677</t>
        </is>
      </c>
      <c r="C2091" t="inlineStr">
        <is>
          <t>American Petroleum Institute PAC (API PAC)</t>
        </is>
      </c>
      <c r="D2091" t="inlineStr">
        <is>
          <t>MIKE JOHNSON FOR LOUISIANA</t>
        </is>
      </c>
      <c r="E2091" t="inlineStr">
        <is>
          <t>H6LA04138</t>
        </is>
      </c>
      <c r="F2091" t="inlineStr">
        <is>
          <t>REP</t>
        </is>
      </c>
      <c r="G2091" t="inlineStr">
        <is>
          <t>01292024</t>
        </is>
      </c>
      <c r="H2091" t="n">
        <v>5000</v>
      </c>
      <c r="I2091" t="inlineStr">
        <is>
          <t>202402209619828529</t>
        </is>
      </c>
      <c r="J2091" t="inlineStr">
        <is>
          <t>https://docquery.fec.gov/cgi-bin/fecimg/?202402209619828529</t>
        </is>
      </c>
    </row>
    <row r="2092">
      <c r="A2092" t="inlineStr">
        <is>
          <t>2024</t>
        </is>
      </c>
      <c r="B2092" t="inlineStr">
        <is>
          <t>C00483677</t>
        </is>
      </c>
      <c r="C2092" t="inlineStr">
        <is>
          <t>American Petroleum Institute PAC (API PAC)</t>
        </is>
      </c>
      <c r="D2092" t="inlineStr">
        <is>
          <t>WESTERMAN FOR CONGRESS</t>
        </is>
      </c>
      <c r="E2092" t="inlineStr">
        <is>
          <t>H4AR04048</t>
        </is>
      </c>
      <c r="F2092" t="inlineStr">
        <is>
          <t>REP</t>
        </is>
      </c>
      <c r="G2092" t="inlineStr">
        <is>
          <t>02052024</t>
        </is>
      </c>
      <c r="H2092" t="n">
        <v>1000</v>
      </c>
      <c r="I2092" t="inlineStr">
        <is>
          <t>202403209622534288</t>
        </is>
      </c>
      <c r="J2092" t="inlineStr">
        <is>
          <t>https://docquery.fec.gov/cgi-bin/fecimg/?202403209622534288</t>
        </is>
      </c>
    </row>
    <row r="2093">
      <c r="A2093" t="inlineStr">
        <is>
          <t>2024</t>
        </is>
      </c>
      <c r="B2093" t="inlineStr">
        <is>
          <t>C00483677</t>
        </is>
      </c>
      <c r="C2093" t="inlineStr">
        <is>
          <t>American Petroleum Institute PAC (API PAC)</t>
        </is>
      </c>
      <c r="D2093" t="inlineStr">
        <is>
          <t>DR. JOHN JOYCE FOR CONGRESS</t>
        </is>
      </c>
      <c r="E2093" t="inlineStr">
        <is>
          <t>H8PA13125</t>
        </is>
      </c>
      <c r="F2093" t="inlineStr">
        <is>
          <t>REP</t>
        </is>
      </c>
      <c r="G2093" t="inlineStr">
        <is>
          <t>02052024</t>
        </is>
      </c>
      <c r="H2093" t="n">
        <v>1000</v>
      </c>
      <c r="I2093" t="inlineStr">
        <is>
          <t>202403209622534288</t>
        </is>
      </c>
      <c r="J2093" t="inlineStr">
        <is>
          <t>https://docquery.fec.gov/cgi-bin/fecimg/?202403209622534288</t>
        </is>
      </c>
    </row>
    <row r="2094">
      <c r="A2094" t="inlineStr">
        <is>
          <t>2024</t>
        </is>
      </c>
      <c r="B2094" t="inlineStr">
        <is>
          <t>C00483677</t>
        </is>
      </c>
      <c r="C2094" t="inlineStr">
        <is>
          <t>American Petroleum Institute PAC (API PAC)</t>
        </is>
      </c>
      <c r="D2094" t="inlineStr">
        <is>
          <t>LATTA FOR CONGRESS</t>
        </is>
      </c>
      <c r="E2094" t="inlineStr">
        <is>
          <t>H8OH05036</t>
        </is>
      </c>
      <c r="F2094" t="inlineStr">
        <is>
          <t>REP</t>
        </is>
      </c>
      <c r="G2094" t="inlineStr">
        <is>
          <t>02052024</t>
        </is>
      </c>
      <c r="H2094" t="n">
        <v>1000</v>
      </c>
      <c r="I2094" t="inlineStr">
        <is>
          <t>202403209622534288</t>
        </is>
      </c>
      <c r="J2094" t="inlineStr">
        <is>
          <t>https://docquery.fec.gov/cgi-bin/fecimg/?202403209622534288</t>
        </is>
      </c>
    </row>
    <row r="2095">
      <c r="A2095" t="inlineStr">
        <is>
          <t>2024</t>
        </is>
      </c>
      <c r="B2095" t="inlineStr">
        <is>
          <t>C00483677</t>
        </is>
      </c>
      <c r="C2095" t="inlineStr">
        <is>
          <t>American Petroleum Institute PAC (API PAC)</t>
        </is>
      </c>
      <c r="D2095" t="inlineStr">
        <is>
          <t>CAREY FOR CONGRESS</t>
        </is>
      </c>
      <c r="E2095" t="inlineStr">
        <is>
          <t>H2OH15228</t>
        </is>
      </c>
      <c r="F2095" t="inlineStr">
        <is>
          <t>REP</t>
        </is>
      </c>
      <c r="G2095" t="inlineStr">
        <is>
          <t>02082024</t>
        </is>
      </c>
      <c r="H2095" t="n">
        <v>1000</v>
      </c>
      <c r="I2095" t="inlineStr">
        <is>
          <t>202403209622534289</t>
        </is>
      </c>
      <c r="J2095" t="inlineStr">
        <is>
          <t>https://docquery.fec.gov/cgi-bin/fecimg/?202403209622534289</t>
        </is>
      </c>
    </row>
    <row r="2096">
      <c r="A2096" t="inlineStr">
        <is>
          <t>2024</t>
        </is>
      </c>
      <c r="B2096" t="inlineStr">
        <is>
          <t>C00483677</t>
        </is>
      </c>
      <c r="C2096" t="inlineStr">
        <is>
          <t>American Petroleum Institute PAC (API PAC)</t>
        </is>
      </c>
      <c r="D2096" t="inlineStr">
        <is>
          <t>BUDDY CARTER FOR CONGRESS</t>
        </is>
      </c>
      <c r="E2096" t="inlineStr">
        <is>
          <t>H4GA01039</t>
        </is>
      </c>
      <c r="F2096" t="inlineStr">
        <is>
          <t>REP</t>
        </is>
      </c>
      <c r="G2096" t="inlineStr">
        <is>
          <t>02122024</t>
        </is>
      </c>
      <c r="H2096" t="n">
        <v>1000</v>
      </c>
      <c r="I2096" t="inlineStr">
        <is>
          <t>202403209622534289</t>
        </is>
      </c>
      <c r="J2096" t="inlineStr">
        <is>
          <t>https://docquery.fec.gov/cgi-bin/fecimg/?202403209622534289</t>
        </is>
      </c>
    </row>
    <row r="2097">
      <c r="A2097" t="inlineStr">
        <is>
          <t>2024</t>
        </is>
      </c>
      <c r="B2097" t="inlineStr">
        <is>
          <t>C00483677</t>
        </is>
      </c>
      <c r="C2097" t="inlineStr">
        <is>
          <t>American Petroleum Institute PAC (API PAC)</t>
        </is>
      </c>
      <c r="D2097" t="inlineStr">
        <is>
          <t>JOHN JAMES FOR CONGRESS INC.</t>
        </is>
      </c>
      <c r="E2097" t="inlineStr">
        <is>
          <t>H2MI10150</t>
        </is>
      </c>
      <c r="F2097" t="inlineStr">
        <is>
          <t>REP</t>
        </is>
      </c>
      <c r="G2097" t="inlineStr">
        <is>
          <t>02122024</t>
        </is>
      </c>
      <c r="H2097" t="n">
        <v>1000</v>
      </c>
      <c r="I2097" t="inlineStr">
        <is>
          <t>202403209622534289</t>
        </is>
      </c>
      <c r="J2097" t="inlineStr">
        <is>
          <t>https://docquery.fec.gov/cgi-bin/fecimg/?202403209622534289</t>
        </is>
      </c>
    </row>
    <row r="2098">
      <c r="A2098" t="inlineStr">
        <is>
          <t>2024</t>
        </is>
      </c>
      <c r="B2098" t="inlineStr">
        <is>
          <t>C00483677</t>
        </is>
      </c>
      <c r="C2098" t="inlineStr">
        <is>
          <t>American Petroleum Institute PAC (API PAC)</t>
        </is>
      </c>
      <c r="D2098" t="inlineStr">
        <is>
          <t>DEB FISCHER FOR US SENATE</t>
        </is>
      </c>
      <c r="E2098" t="inlineStr">
        <is>
          <t>S2NE00094</t>
        </is>
      </c>
      <c r="F2098" t="inlineStr">
        <is>
          <t>REP</t>
        </is>
      </c>
      <c r="G2098" t="inlineStr">
        <is>
          <t>02232024</t>
        </is>
      </c>
      <c r="H2098" t="n">
        <v>1000</v>
      </c>
      <c r="I2098" t="inlineStr">
        <is>
          <t>202403209622534290</t>
        </is>
      </c>
      <c r="J2098" t="inlineStr">
        <is>
          <t>https://docquery.fec.gov/cgi-bin/fecimg/?202403209622534290</t>
        </is>
      </c>
    </row>
    <row r="2099">
      <c r="A2099" t="inlineStr">
        <is>
          <t>2024</t>
        </is>
      </c>
      <c r="B2099" t="inlineStr">
        <is>
          <t>C00483677</t>
        </is>
      </c>
      <c r="C2099" t="inlineStr">
        <is>
          <t>American Petroleum Institute PAC (API PAC)</t>
        </is>
      </c>
      <c r="D2099" t="inlineStr">
        <is>
          <t>NEVADANS FOR STEVEN HORSFORD</t>
        </is>
      </c>
      <c r="E2099" t="inlineStr">
        <is>
          <t>H2NV04011</t>
        </is>
      </c>
      <c r="F2099" t="inlineStr">
        <is>
          <t>DEM</t>
        </is>
      </c>
      <c r="G2099" t="inlineStr">
        <is>
          <t>02282024</t>
        </is>
      </c>
      <c r="H2099" t="n">
        <v>1000</v>
      </c>
      <c r="I2099" t="inlineStr">
        <is>
          <t>202403209622534290</t>
        </is>
      </c>
      <c r="J2099" t="inlineStr">
        <is>
          <t>https://docquery.fec.gov/cgi-bin/fecimg/?202403209622534290</t>
        </is>
      </c>
    </row>
    <row r="2100">
      <c r="A2100" t="inlineStr">
        <is>
          <t>2024</t>
        </is>
      </c>
      <c r="B2100" t="inlineStr">
        <is>
          <t>C00483677</t>
        </is>
      </c>
      <c r="C2100" t="inlineStr">
        <is>
          <t>American Petroleum Institute PAC (API PAC)</t>
        </is>
      </c>
      <c r="D2100" t="inlineStr">
        <is>
          <t>ZINKE FOR CONGRESS</t>
        </is>
      </c>
      <c r="E2100" t="inlineStr">
        <is>
          <t>H4MT01041</t>
        </is>
      </c>
      <c r="F2100" t="inlineStr">
        <is>
          <t>REP</t>
        </is>
      </c>
      <c r="G2100" t="inlineStr">
        <is>
          <t>02282024</t>
        </is>
      </c>
      <c r="H2100" t="n">
        <v>1000</v>
      </c>
      <c r="I2100" t="inlineStr">
        <is>
          <t>202403209622534291</t>
        </is>
      </c>
      <c r="J2100" t="inlineStr">
        <is>
          <t>https://docquery.fec.gov/cgi-bin/fecimg/?202403209622534291</t>
        </is>
      </c>
    </row>
    <row r="2101">
      <c r="A2101" t="inlineStr">
        <is>
          <t>2024</t>
        </is>
      </c>
      <c r="B2101" t="inlineStr">
        <is>
          <t>C00483677</t>
        </is>
      </c>
      <c r="C2101" t="inlineStr">
        <is>
          <t>American Petroleum Institute PAC (API PAC)</t>
        </is>
      </c>
      <c r="D2101" t="inlineStr">
        <is>
          <t>DAN NEWHOUSE FOR CONGRESS</t>
        </is>
      </c>
      <c r="E2101" t="inlineStr">
        <is>
          <t>H4WA04104</t>
        </is>
      </c>
      <c r="F2101" t="inlineStr">
        <is>
          <t>REP</t>
        </is>
      </c>
      <c r="G2101" t="inlineStr">
        <is>
          <t>03062024</t>
        </is>
      </c>
      <c r="H2101" t="n">
        <v>1000</v>
      </c>
      <c r="I2101" t="inlineStr">
        <is>
          <t>202404209633601387</t>
        </is>
      </c>
      <c r="J2101" t="inlineStr">
        <is>
          <t>https://docquery.fec.gov/cgi-bin/fecimg/?202404209633601387</t>
        </is>
      </c>
    </row>
    <row r="2102">
      <c r="A2102" t="inlineStr">
        <is>
          <t>2024</t>
        </is>
      </c>
      <c r="B2102" t="inlineStr">
        <is>
          <t>C00483677</t>
        </is>
      </c>
      <c r="C2102" t="inlineStr">
        <is>
          <t>American Petroleum Institute PAC (API PAC)</t>
        </is>
      </c>
      <c r="D2102" t="inlineStr">
        <is>
          <t>HOGAN FOR MARYLAND INC.</t>
        </is>
      </c>
      <c r="E2102" t="inlineStr">
        <is>
          <t>S4MD00483</t>
        </is>
      </c>
      <c r="F2102" t="inlineStr">
        <is>
          <t>REP</t>
        </is>
      </c>
      <c r="G2102" t="inlineStr">
        <is>
          <t>03062024</t>
        </is>
      </c>
      <c r="H2102" t="n">
        <v>1500</v>
      </c>
      <c r="I2102" t="inlineStr">
        <is>
          <t>202404209633601387</t>
        </is>
      </c>
      <c r="J2102" t="inlineStr">
        <is>
          <t>https://docquery.fec.gov/cgi-bin/fecimg/?202404209633601387</t>
        </is>
      </c>
    </row>
    <row r="2103">
      <c r="A2103" t="inlineStr">
        <is>
          <t>2024</t>
        </is>
      </c>
      <c r="B2103" t="inlineStr">
        <is>
          <t>C00483677</t>
        </is>
      </c>
      <c r="C2103" t="inlineStr">
        <is>
          <t>American Petroleum Institute PAC (API PAC)</t>
        </is>
      </c>
      <c r="D2103" t="inlineStr">
        <is>
          <t>PETE RICKETTS FOR SENATE</t>
        </is>
      </c>
      <c r="E2103" t="inlineStr">
        <is>
          <t>S6NE00129</t>
        </is>
      </c>
      <c r="F2103" t="inlineStr">
        <is>
          <t>REP</t>
        </is>
      </c>
      <c r="G2103" t="inlineStr">
        <is>
          <t>03062024</t>
        </is>
      </c>
      <c r="H2103" t="n">
        <v>1000</v>
      </c>
      <c r="I2103" t="inlineStr">
        <is>
          <t>202404209633601387</t>
        </is>
      </c>
      <c r="J2103" t="inlineStr">
        <is>
          <t>https://docquery.fec.gov/cgi-bin/fecimg/?202404209633601387</t>
        </is>
      </c>
    </row>
    <row r="2104">
      <c r="A2104" t="inlineStr">
        <is>
          <t>2024</t>
        </is>
      </c>
      <c r="B2104" t="inlineStr">
        <is>
          <t>C00483677</t>
        </is>
      </c>
      <c r="C2104" t="inlineStr">
        <is>
          <t>American Petroleum Institute PAC (API PAC)</t>
        </is>
      </c>
      <c r="D2104" t="inlineStr">
        <is>
          <t>SCALISE FOR CONGRESS</t>
        </is>
      </c>
      <c r="E2104" t="inlineStr">
        <is>
          <t>H0LA01087</t>
        </is>
      </c>
      <c r="F2104" t="inlineStr">
        <is>
          <t>REP</t>
        </is>
      </c>
      <c r="G2104" t="inlineStr">
        <is>
          <t>03062024</t>
        </is>
      </c>
      <c r="H2104" t="n">
        <v>2500</v>
      </c>
      <c r="I2104" t="inlineStr">
        <is>
          <t>202404209633601388</t>
        </is>
      </c>
      <c r="J2104" t="inlineStr">
        <is>
          <t>https://docquery.fec.gov/cgi-bin/fecimg/?202404209633601388</t>
        </is>
      </c>
    </row>
    <row r="2105">
      <c r="A2105" t="inlineStr">
        <is>
          <t>2024</t>
        </is>
      </c>
      <c r="B2105" t="inlineStr">
        <is>
          <t>C00483677</t>
        </is>
      </c>
      <c r="C2105" t="inlineStr">
        <is>
          <t>American Petroleum Institute PAC (API PAC)</t>
        </is>
      </c>
      <c r="D2105" t="inlineStr">
        <is>
          <t>FRIENDS OF JOHN BARRASSO</t>
        </is>
      </c>
      <c r="E2105" t="inlineStr">
        <is>
          <t>S6WY00068</t>
        </is>
      </c>
      <c r="F2105" t="inlineStr">
        <is>
          <t>REP</t>
        </is>
      </c>
      <c r="G2105" t="inlineStr">
        <is>
          <t>03082024</t>
        </is>
      </c>
      <c r="H2105" t="n">
        <v>-5000</v>
      </c>
      <c r="I2105" t="inlineStr">
        <is>
          <t>202404209633601388</t>
        </is>
      </c>
      <c r="J2105" t="inlineStr">
        <is>
          <t>https://docquery.fec.gov/cgi-bin/fecimg/?202404209633601388</t>
        </is>
      </c>
    </row>
    <row r="2106">
      <c r="A2106" t="inlineStr">
        <is>
          <t>2024</t>
        </is>
      </c>
      <c r="B2106" t="inlineStr">
        <is>
          <t>C00483677</t>
        </is>
      </c>
      <c r="C2106" t="inlineStr">
        <is>
          <t>American Petroleum Institute PAC (API PAC)</t>
        </is>
      </c>
      <c r="D2106" t="inlineStr">
        <is>
          <t>AUGUST PFLUGER FOR CONGRESS</t>
        </is>
      </c>
      <c r="E2106" t="inlineStr">
        <is>
          <t>H0TX11230</t>
        </is>
      </c>
      <c r="F2106" t="inlineStr">
        <is>
          <t>REP</t>
        </is>
      </c>
      <c r="G2106" t="inlineStr">
        <is>
          <t>03112024</t>
        </is>
      </c>
      <c r="H2106" t="n">
        <v>1000</v>
      </c>
      <c r="I2106" t="inlineStr">
        <is>
          <t>202404209633601388</t>
        </is>
      </c>
      <c r="J2106" t="inlineStr">
        <is>
          <t>https://docquery.fec.gov/cgi-bin/fecimg/?202404209633601388</t>
        </is>
      </c>
    </row>
    <row r="2107">
      <c r="A2107" t="inlineStr">
        <is>
          <t>2024</t>
        </is>
      </c>
      <c r="B2107" t="inlineStr">
        <is>
          <t>C00483677</t>
        </is>
      </c>
      <c r="C2107" t="inlineStr">
        <is>
          <t>American Petroleum Institute PAC (API PAC)</t>
        </is>
      </c>
      <c r="D2107" t="inlineStr">
        <is>
          <t>SYLVIA GARCIA FOR CONGRESS</t>
        </is>
      </c>
      <c r="E2107" t="inlineStr">
        <is>
          <t>H8TX29052</t>
        </is>
      </c>
      <c r="F2107" t="inlineStr">
        <is>
          <t>DEM</t>
        </is>
      </c>
      <c r="G2107" t="inlineStr">
        <is>
          <t>03132024</t>
        </is>
      </c>
      <c r="H2107" t="n">
        <v>1000</v>
      </c>
      <c r="I2107" t="inlineStr">
        <is>
          <t>202404209633601389</t>
        </is>
      </c>
      <c r="J2107" t="inlineStr">
        <is>
          <t>https://docquery.fec.gov/cgi-bin/fecimg/?202404209633601389</t>
        </is>
      </c>
    </row>
    <row r="2108">
      <c r="A2108" t="inlineStr">
        <is>
          <t>2024</t>
        </is>
      </c>
      <c r="B2108" t="inlineStr">
        <is>
          <t>C00483677</t>
        </is>
      </c>
      <c r="C2108" t="inlineStr">
        <is>
          <t>American Petroleum Institute PAC (API PAC)</t>
        </is>
      </c>
      <c r="D2108" t="inlineStr">
        <is>
          <t>GRAVES FOR CONGRESS</t>
        </is>
      </c>
      <c r="E2108" t="inlineStr">
        <is>
          <t>H0MO06073</t>
        </is>
      </c>
      <c r="F2108" t="inlineStr">
        <is>
          <t>REP</t>
        </is>
      </c>
      <c r="G2108" t="inlineStr">
        <is>
          <t>03132024</t>
        </is>
      </c>
      <c r="H2108" t="n">
        <v>1000</v>
      </c>
      <c r="I2108" t="inlineStr">
        <is>
          <t>202404209633601389</t>
        </is>
      </c>
      <c r="J2108" t="inlineStr">
        <is>
          <t>https://docquery.fec.gov/cgi-bin/fecimg/?202404209633601389</t>
        </is>
      </c>
    </row>
    <row r="2109">
      <c r="A2109" t="inlineStr">
        <is>
          <t>2024</t>
        </is>
      </c>
      <c r="B2109" t="inlineStr">
        <is>
          <t>C00483677</t>
        </is>
      </c>
      <c r="C2109" t="inlineStr">
        <is>
          <t>American Petroleum Institute PAC (API PAC)</t>
        </is>
      </c>
      <c r="D2109" t="inlineStr">
        <is>
          <t>AUGUST PFLUGER FOR CONGRESS</t>
        </is>
      </c>
      <c r="E2109" t="inlineStr">
        <is>
          <t>H0TX11230</t>
        </is>
      </c>
      <c r="F2109" t="inlineStr">
        <is>
          <t>REP</t>
        </is>
      </c>
      <c r="G2109" t="inlineStr">
        <is>
          <t>03182024</t>
        </is>
      </c>
      <c r="H2109" t="n">
        <v>1000</v>
      </c>
      <c r="I2109" t="inlineStr">
        <is>
          <t>202404209633601389</t>
        </is>
      </c>
      <c r="J2109" t="inlineStr">
        <is>
          <t>https://docquery.fec.gov/cgi-bin/fecimg/?202404209633601389</t>
        </is>
      </c>
    </row>
    <row r="2110">
      <c r="A2110" t="inlineStr">
        <is>
          <t>2024</t>
        </is>
      </c>
      <c r="B2110" t="inlineStr">
        <is>
          <t>C00483677</t>
        </is>
      </c>
      <c r="C2110" t="inlineStr">
        <is>
          <t>American Petroleum Institute PAC (API PAC)</t>
        </is>
      </c>
      <c r="D2110" t="inlineStr">
        <is>
          <t>NEHLS FOR CONGRESS</t>
        </is>
      </c>
      <c r="E2110" t="inlineStr">
        <is>
          <t>H0TX22302</t>
        </is>
      </c>
      <c r="F2110" t="inlineStr">
        <is>
          <t>REP</t>
        </is>
      </c>
      <c r="G2110" t="inlineStr">
        <is>
          <t>03192024</t>
        </is>
      </c>
      <c r="H2110" t="n">
        <v>1000</v>
      </c>
      <c r="I2110" t="inlineStr">
        <is>
          <t>202404209633601390</t>
        </is>
      </c>
      <c r="J2110" t="inlineStr">
        <is>
          <t>https://docquery.fec.gov/cgi-bin/fecimg/?202404209633601390</t>
        </is>
      </c>
    </row>
    <row r="2111">
      <c r="A2111" t="inlineStr">
        <is>
          <t>2024</t>
        </is>
      </c>
      <c r="B2111" t="inlineStr">
        <is>
          <t>C00483677</t>
        </is>
      </c>
      <c r="C2111" t="inlineStr">
        <is>
          <t>American Petroleum Institute PAC (API PAC)</t>
        </is>
      </c>
      <c r="D2111" t="inlineStr">
        <is>
          <t>WESTERMAN FOR CONGRESS</t>
        </is>
      </c>
      <c r="E2111" t="inlineStr">
        <is>
          <t>H4AR04048</t>
        </is>
      </c>
      <c r="F2111" t="inlineStr">
        <is>
          <t>REP</t>
        </is>
      </c>
      <c r="G2111" t="inlineStr">
        <is>
          <t>03232023</t>
        </is>
      </c>
      <c r="H2111" t="n">
        <v>5000</v>
      </c>
      <c r="I2111" t="inlineStr">
        <is>
          <t>202307319584206640</t>
        </is>
      </c>
      <c r="J2111" t="inlineStr">
        <is>
          <t>https://docquery.fec.gov/cgi-bin/fecimg/?202307319584206640</t>
        </is>
      </c>
    </row>
    <row r="2112">
      <c r="A2112" t="inlineStr">
        <is>
          <t>2024</t>
        </is>
      </c>
      <c r="B2112" t="inlineStr">
        <is>
          <t>C00483677</t>
        </is>
      </c>
      <c r="C2112" t="inlineStr">
        <is>
          <t>American Petroleum Institute PAC (API PAC)</t>
        </is>
      </c>
      <c r="D2112" t="inlineStr">
        <is>
          <t>FRIENDS OF JOHN BARRASSO</t>
        </is>
      </c>
      <c r="E2112" t="inlineStr">
        <is>
          <t>S6WY00068</t>
        </is>
      </c>
      <c r="F2112" t="inlineStr">
        <is>
          <t>REP</t>
        </is>
      </c>
      <c r="G2112" t="inlineStr">
        <is>
          <t>03282023</t>
        </is>
      </c>
      <c r="H2112" t="n">
        <v>5000</v>
      </c>
      <c r="I2112" t="inlineStr">
        <is>
          <t>202307319584206640</t>
        </is>
      </c>
      <c r="J2112" t="inlineStr">
        <is>
          <t>https://docquery.fec.gov/cgi-bin/fecimg/?202307319584206640</t>
        </is>
      </c>
    </row>
    <row r="2113">
      <c r="A2113" t="inlineStr">
        <is>
          <t>2024</t>
        </is>
      </c>
      <c r="B2113" t="inlineStr">
        <is>
          <t>C00483677</t>
        </is>
      </c>
      <c r="C2113" t="inlineStr">
        <is>
          <t>American Petroleum Institute PAC (API PAC)</t>
        </is>
      </c>
      <c r="D2113" t="inlineStr">
        <is>
          <t>VICENTE GONZALEZ FOR CONGRESS</t>
        </is>
      </c>
      <c r="E2113" t="inlineStr">
        <is>
          <t>H6TX15162</t>
        </is>
      </c>
      <c r="F2113" t="inlineStr">
        <is>
          <t>DEM</t>
        </is>
      </c>
      <c r="G2113" t="inlineStr">
        <is>
          <t>03282023</t>
        </is>
      </c>
      <c r="H2113" t="n">
        <v>5000</v>
      </c>
      <c r="I2113" t="inlineStr">
        <is>
          <t>202307319584206640</t>
        </is>
      </c>
      <c r="J2113" t="inlineStr">
        <is>
          <t>https://docquery.fec.gov/cgi-bin/fecimg/?202307319584206640</t>
        </is>
      </c>
    </row>
    <row r="2114">
      <c r="A2114" t="inlineStr">
        <is>
          <t>2024</t>
        </is>
      </c>
      <c r="B2114" t="inlineStr">
        <is>
          <t>C00483677</t>
        </is>
      </c>
      <c r="C2114" t="inlineStr">
        <is>
          <t>American Petroleum Institute PAC (API PAC)</t>
        </is>
      </c>
      <c r="D2114" t="inlineStr">
        <is>
          <t>NEHLS FOR CONGRESS</t>
        </is>
      </c>
      <c r="E2114" t="inlineStr">
        <is>
          <t>H0TX22302</t>
        </is>
      </c>
      <c r="F2114" t="inlineStr">
        <is>
          <t>REP</t>
        </is>
      </c>
      <c r="G2114" t="inlineStr">
        <is>
          <t>03292023</t>
        </is>
      </c>
      <c r="H2114" t="n">
        <v>1000</v>
      </c>
      <c r="I2114" t="inlineStr">
        <is>
          <t>202307319584206641</t>
        </is>
      </c>
      <c r="J2114" t="inlineStr">
        <is>
          <t>https://docquery.fec.gov/cgi-bin/fecimg/?202307319584206641</t>
        </is>
      </c>
    </row>
    <row r="2115">
      <c r="A2115" t="inlineStr">
        <is>
          <t>2024</t>
        </is>
      </c>
      <c r="B2115" t="inlineStr">
        <is>
          <t>C00483677</t>
        </is>
      </c>
      <c r="C2115" t="inlineStr">
        <is>
          <t>American Petroleum Institute PAC (API PAC)</t>
        </is>
      </c>
      <c r="D2115" t="inlineStr">
        <is>
          <t>TEXANS FOR HENRY CUELLAR CONGRESSIONAL CAMPAIGN</t>
        </is>
      </c>
      <c r="E2115" t="inlineStr">
        <is>
          <t>H2TX23082</t>
        </is>
      </c>
      <c r="F2115" t="inlineStr">
        <is>
          <t>DEM</t>
        </is>
      </c>
      <c r="G2115" t="inlineStr">
        <is>
          <t>03292023</t>
        </is>
      </c>
      <c r="H2115" t="n">
        <v>5000</v>
      </c>
      <c r="I2115" t="inlineStr">
        <is>
          <t>202307319584206641</t>
        </is>
      </c>
      <c r="J2115" t="inlineStr">
        <is>
          <t>https://docquery.fec.gov/cgi-bin/fecimg/?202307319584206641</t>
        </is>
      </c>
    </row>
    <row r="2116">
      <c r="A2116" t="inlineStr">
        <is>
          <t>2024</t>
        </is>
      </c>
      <c r="B2116" t="inlineStr">
        <is>
          <t>C00483677</t>
        </is>
      </c>
      <c r="C2116" t="inlineStr">
        <is>
          <t>American Petroleum Institute PAC (API PAC)</t>
        </is>
      </c>
      <c r="D2116" t="inlineStr">
        <is>
          <t>TEXANS FOR HENRY CUELLAR CONGRESSIONAL CAMPAIGN</t>
        </is>
      </c>
      <c r="E2116" t="inlineStr">
        <is>
          <t>H2TX23082</t>
        </is>
      </c>
      <c r="F2116" t="inlineStr">
        <is>
          <t>DEM</t>
        </is>
      </c>
      <c r="G2116" t="inlineStr">
        <is>
          <t>04052024</t>
        </is>
      </c>
      <c r="H2116" t="n">
        <v>1000</v>
      </c>
      <c r="I2116" t="inlineStr">
        <is>
          <t>202405209646105382</t>
        </is>
      </c>
      <c r="J2116" t="inlineStr">
        <is>
          <t>https://docquery.fec.gov/cgi-bin/fecimg/?202405209646105382</t>
        </is>
      </c>
    </row>
    <row r="2117">
      <c r="A2117" t="inlineStr">
        <is>
          <t>2024</t>
        </is>
      </c>
      <c r="B2117" t="inlineStr">
        <is>
          <t>C00483677</t>
        </is>
      </c>
      <c r="C2117" t="inlineStr">
        <is>
          <t>American Petroleum Institute PAC (API PAC)</t>
        </is>
      </c>
      <c r="D2117" t="inlineStr">
        <is>
          <t>JULIA LETLOW FOR CONGRESS</t>
        </is>
      </c>
      <c r="E2117" t="inlineStr">
        <is>
          <t>H2LA05126</t>
        </is>
      </c>
      <c r="F2117" t="inlineStr">
        <is>
          <t>REP</t>
        </is>
      </c>
      <c r="G2117" t="inlineStr">
        <is>
          <t>04082024</t>
        </is>
      </c>
      <c r="H2117" t="n">
        <v>1000</v>
      </c>
      <c r="I2117" t="inlineStr">
        <is>
          <t>202405209646105382</t>
        </is>
      </c>
      <c r="J2117" t="inlineStr">
        <is>
          <t>https://docquery.fec.gov/cgi-bin/fecimg/?202405209646105382</t>
        </is>
      </c>
    </row>
    <row r="2118">
      <c r="A2118" t="inlineStr">
        <is>
          <t>2024</t>
        </is>
      </c>
      <c r="B2118" t="inlineStr">
        <is>
          <t>C00483677</t>
        </is>
      </c>
      <c r="C2118" t="inlineStr">
        <is>
          <t>American Petroleum Institute PAC (API PAC)</t>
        </is>
      </c>
      <c r="D2118" t="inlineStr">
        <is>
          <t>CAREY FOR CONGRESS</t>
        </is>
      </c>
      <c r="E2118" t="inlineStr">
        <is>
          <t>H2OH15228</t>
        </is>
      </c>
      <c r="F2118" t="inlineStr">
        <is>
          <t>REP</t>
        </is>
      </c>
      <c r="G2118" t="inlineStr">
        <is>
          <t>04112024</t>
        </is>
      </c>
      <c r="H2118" t="n">
        <v>1000</v>
      </c>
      <c r="I2118" t="inlineStr">
        <is>
          <t>202405209646105382</t>
        </is>
      </c>
      <c r="J2118" t="inlineStr">
        <is>
          <t>https://docquery.fec.gov/cgi-bin/fecimg/?202405209646105382</t>
        </is>
      </c>
    </row>
    <row r="2119">
      <c r="A2119" t="inlineStr">
        <is>
          <t>2024</t>
        </is>
      </c>
      <c r="B2119" t="inlineStr">
        <is>
          <t>C00483677</t>
        </is>
      </c>
      <c r="C2119" t="inlineStr">
        <is>
          <t>American Petroleum Institute PAC (API PAC)</t>
        </is>
      </c>
      <c r="D2119" t="inlineStr">
        <is>
          <t>GARRET GRAVES FOR CONGRESS</t>
        </is>
      </c>
      <c r="E2119" t="inlineStr">
        <is>
          <t>H4LA06153</t>
        </is>
      </c>
      <c r="F2119" t="inlineStr">
        <is>
          <t>REP</t>
        </is>
      </c>
      <c r="G2119" t="inlineStr">
        <is>
          <t>04112024</t>
        </is>
      </c>
      <c r="H2119" t="n">
        <v>1000</v>
      </c>
      <c r="I2119" t="inlineStr">
        <is>
          <t>202405209646105383</t>
        </is>
      </c>
      <c r="J2119" t="inlineStr">
        <is>
          <t>https://docquery.fec.gov/cgi-bin/fecimg/?202405209646105383</t>
        </is>
      </c>
    </row>
    <row r="2120">
      <c r="A2120" t="inlineStr">
        <is>
          <t>2024</t>
        </is>
      </c>
      <c r="B2120" t="inlineStr">
        <is>
          <t>C00483677</t>
        </is>
      </c>
      <c r="C2120" t="inlineStr">
        <is>
          <t>American Petroleum Institute PAC (API PAC)</t>
        </is>
      </c>
      <c r="D2120" t="inlineStr">
        <is>
          <t>ELIZABETH PANNILL FLETCHER FOR CONGRESS</t>
        </is>
      </c>
      <c r="E2120" t="inlineStr">
        <is>
          <t>H8TX07140</t>
        </is>
      </c>
      <c r="F2120" t="inlineStr">
        <is>
          <t>DEM</t>
        </is>
      </c>
      <c r="G2120" t="inlineStr">
        <is>
          <t>04172023</t>
        </is>
      </c>
      <c r="H2120" t="n">
        <v>1000</v>
      </c>
      <c r="I2120" t="inlineStr">
        <is>
          <t>202307319584206641</t>
        </is>
      </c>
      <c r="J2120" t="inlineStr">
        <is>
          <t>https://docquery.fec.gov/cgi-bin/fecimg/?202307319584206641</t>
        </is>
      </c>
    </row>
    <row r="2121">
      <c r="A2121" t="inlineStr">
        <is>
          <t>2024</t>
        </is>
      </c>
      <c r="B2121" t="inlineStr">
        <is>
          <t>C00483677</t>
        </is>
      </c>
      <c r="C2121" t="inlineStr">
        <is>
          <t>American Petroleum Institute PAC (API PAC)</t>
        </is>
      </c>
      <c r="D2121" t="inlineStr">
        <is>
          <t>EMMER FOR CONGRESS</t>
        </is>
      </c>
      <c r="E2121" t="inlineStr">
        <is>
          <t>H4MN06087</t>
        </is>
      </c>
      <c r="F2121" t="inlineStr">
        <is>
          <t>REP</t>
        </is>
      </c>
      <c r="G2121" t="inlineStr">
        <is>
          <t>04172023</t>
        </is>
      </c>
      <c r="H2121" t="n">
        <v>1000</v>
      </c>
      <c r="I2121" t="inlineStr">
        <is>
          <t>202307319584206642</t>
        </is>
      </c>
      <c r="J2121" t="inlineStr">
        <is>
          <t>https://docquery.fec.gov/cgi-bin/fecimg/?202307319584206642</t>
        </is>
      </c>
    </row>
    <row r="2122">
      <c r="A2122" t="inlineStr">
        <is>
          <t>2024</t>
        </is>
      </c>
      <c r="B2122" t="inlineStr">
        <is>
          <t>C00483677</t>
        </is>
      </c>
      <c r="C2122" t="inlineStr">
        <is>
          <t>American Petroleum Institute PAC (API PAC)</t>
        </is>
      </c>
      <c r="D2122" t="inlineStr">
        <is>
          <t>GARRET GRAVES FOR CONGRESS</t>
        </is>
      </c>
      <c r="E2122" t="inlineStr">
        <is>
          <t>H4LA06153</t>
        </is>
      </c>
      <c r="F2122" t="inlineStr">
        <is>
          <t>REP</t>
        </is>
      </c>
      <c r="G2122" t="inlineStr">
        <is>
          <t>04172023</t>
        </is>
      </c>
      <c r="H2122" t="n">
        <v>1000</v>
      </c>
      <c r="I2122" t="inlineStr">
        <is>
          <t>202307319584206642</t>
        </is>
      </c>
      <c r="J2122" t="inlineStr">
        <is>
          <t>https://docquery.fec.gov/cgi-bin/fecimg/?202307319584206642</t>
        </is>
      </c>
    </row>
    <row r="2123">
      <c r="A2123" t="inlineStr">
        <is>
          <t>2024</t>
        </is>
      </c>
      <c r="B2123" t="inlineStr">
        <is>
          <t>C00483677</t>
        </is>
      </c>
      <c r="C2123" t="inlineStr">
        <is>
          <t>American Petroleum Institute PAC (API PAC)</t>
        </is>
      </c>
      <c r="D2123" t="inlineStr">
        <is>
          <t>SYLVIA GARCIA FOR CONGRESS</t>
        </is>
      </c>
      <c r="E2123" t="inlineStr">
        <is>
          <t>H8TX29052</t>
        </is>
      </c>
      <c r="F2123" t="inlineStr">
        <is>
          <t>DEM</t>
        </is>
      </c>
      <c r="G2123" t="inlineStr">
        <is>
          <t>04172023</t>
        </is>
      </c>
      <c r="H2123" t="n">
        <v>1000</v>
      </c>
      <c r="I2123" t="inlineStr">
        <is>
          <t>202307319584206642</t>
        </is>
      </c>
      <c r="J2123" t="inlineStr">
        <is>
          <t>https://docquery.fec.gov/cgi-bin/fecimg/?202307319584206642</t>
        </is>
      </c>
    </row>
    <row r="2124">
      <c r="A2124" t="inlineStr">
        <is>
          <t>2024</t>
        </is>
      </c>
      <c r="B2124" t="inlineStr">
        <is>
          <t>C00483677</t>
        </is>
      </c>
      <c r="C2124" t="inlineStr">
        <is>
          <t>American Petroleum Institute PAC (API PAC)</t>
        </is>
      </c>
      <c r="D2124" t="inlineStr">
        <is>
          <t>ZINKE FOR CONGRESS</t>
        </is>
      </c>
      <c r="E2124" t="inlineStr">
        <is>
          <t>H4MT01041</t>
        </is>
      </c>
      <c r="F2124" t="inlineStr">
        <is>
          <t>REP</t>
        </is>
      </c>
      <c r="G2124" t="inlineStr">
        <is>
          <t>04172023</t>
        </is>
      </c>
      <c r="H2124" t="n">
        <v>1500</v>
      </c>
      <c r="I2124" t="inlineStr">
        <is>
          <t>202307319584206643</t>
        </is>
      </c>
      <c r="J2124" t="inlineStr">
        <is>
          <t>https://docquery.fec.gov/cgi-bin/fecimg/?202307319584206643</t>
        </is>
      </c>
    </row>
    <row r="2125">
      <c r="A2125" t="inlineStr">
        <is>
          <t>2024</t>
        </is>
      </c>
      <c r="B2125" t="inlineStr">
        <is>
          <t>C00483677</t>
        </is>
      </c>
      <c r="C2125" t="inlineStr">
        <is>
          <t>American Petroleum Institute PAC (API PAC)</t>
        </is>
      </c>
      <c r="D2125" t="inlineStr">
        <is>
          <t>ARMSTRONG FOR CONGRESS</t>
        </is>
      </c>
      <c r="E2125" t="inlineStr">
        <is>
          <t>H8ND00096</t>
        </is>
      </c>
      <c r="F2125" t="inlineStr">
        <is>
          <t>REP</t>
        </is>
      </c>
      <c r="G2125" t="inlineStr">
        <is>
          <t>04182023</t>
        </is>
      </c>
      <c r="H2125" t="n">
        <v>1000</v>
      </c>
      <c r="I2125" t="inlineStr">
        <is>
          <t>202307319584206643</t>
        </is>
      </c>
      <c r="J2125" t="inlineStr">
        <is>
          <t>https://docquery.fec.gov/cgi-bin/fecimg/?202307319584206643</t>
        </is>
      </c>
    </row>
    <row r="2126">
      <c r="A2126" t="inlineStr">
        <is>
          <t>2024</t>
        </is>
      </c>
      <c r="B2126" t="inlineStr">
        <is>
          <t>C00483677</t>
        </is>
      </c>
      <c r="C2126" t="inlineStr">
        <is>
          <t>American Petroleum Institute PAC (API PAC)</t>
        </is>
      </c>
      <c r="D2126" t="inlineStr">
        <is>
          <t>HUNT FOR CONGRESS</t>
        </is>
      </c>
      <c r="E2126" t="inlineStr">
        <is>
          <t>H0TX07170</t>
        </is>
      </c>
      <c r="F2126" t="inlineStr">
        <is>
          <t>REP</t>
        </is>
      </c>
      <c r="G2126" t="inlineStr">
        <is>
          <t>04182023</t>
        </is>
      </c>
      <c r="H2126" t="n">
        <v>2500</v>
      </c>
      <c r="I2126" t="inlineStr">
        <is>
          <t>202307319584206643</t>
        </is>
      </c>
      <c r="J2126" t="inlineStr">
        <is>
          <t>https://docquery.fec.gov/cgi-bin/fecimg/?202307319584206643</t>
        </is>
      </c>
    </row>
    <row r="2127">
      <c r="A2127" t="inlineStr">
        <is>
          <t>2024</t>
        </is>
      </c>
      <c r="B2127" t="inlineStr">
        <is>
          <t>C00483677</t>
        </is>
      </c>
      <c r="C2127" t="inlineStr">
        <is>
          <t>American Petroleum Institute PAC (API PAC)</t>
        </is>
      </c>
      <c r="D2127" t="inlineStr">
        <is>
          <t>TEXANS FOR JODEY ARRINGTON</t>
        </is>
      </c>
      <c r="E2127" t="inlineStr">
        <is>
          <t>H6TX19099</t>
        </is>
      </c>
      <c r="F2127" t="inlineStr">
        <is>
          <t>REP</t>
        </is>
      </c>
      <c r="G2127" t="inlineStr">
        <is>
          <t>04182023</t>
        </is>
      </c>
      <c r="H2127" t="n">
        <v>1000</v>
      </c>
      <c r="I2127" t="inlineStr">
        <is>
          <t>202307319584206644</t>
        </is>
      </c>
      <c r="J2127" t="inlineStr">
        <is>
          <t>https://docquery.fec.gov/cgi-bin/fecimg/?202307319584206644</t>
        </is>
      </c>
    </row>
    <row r="2128">
      <c r="A2128" t="inlineStr">
        <is>
          <t>2024</t>
        </is>
      </c>
      <c r="B2128" t="inlineStr">
        <is>
          <t>C00483677</t>
        </is>
      </c>
      <c r="C2128" t="inlineStr">
        <is>
          <t>American Petroleum Institute PAC (API PAC)</t>
        </is>
      </c>
      <c r="D2128" t="inlineStr">
        <is>
          <t>LAWLER FOR CONGRESS</t>
        </is>
      </c>
      <c r="E2128" t="inlineStr">
        <is>
          <t>H2NY17162</t>
        </is>
      </c>
      <c r="F2128" t="inlineStr">
        <is>
          <t>REP</t>
        </is>
      </c>
      <c r="G2128" t="inlineStr">
        <is>
          <t>04262023</t>
        </is>
      </c>
      <c r="H2128" t="n">
        <v>2000</v>
      </c>
      <c r="I2128" t="inlineStr">
        <is>
          <t>202307319584206644</t>
        </is>
      </c>
      <c r="J2128" t="inlineStr">
        <is>
          <t>https://docquery.fec.gov/cgi-bin/fecimg/?202307319584206644</t>
        </is>
      </c>
    </row>
    <row r="2129">
      <c r="A2129" t="inlineStr">
        <is>
          <t>2024</t>
        </is>
      </c>
      <c r="B2129" t="inlineStr">
        <is>
          <t>C00483677</t>
        </is>
      </c>
      <c r="C2129" t="inlineStr">
        <is>
          <t>American Petroleum Institute PAC (API PAC)</t>
        </is>
      </c>
      <c r="D2129" t="inlineStr">
        <is>
          <t>SCALISE FOR CONGRESS</t>
        </is>
      </c>
      <c r="E2129" t="inlineStr">
        <is>
          <t>H0LA01087</t>
        </is>
      </c>
      <c r="F2129" t="inlineStr">
        <is>
          <t>REP</t>
        </is>
      </c>
      <c r="G2129" t="inlineStr">
        <is>
          <t>04262023</t>
        </is>
      </c>
      <c r="H2129" t="n">
        <v>5000</v>
      </c>
      <c r="I2129" t="inlineStr">
        <is>
          <t>202307319584206644</t>
        </is>
      </c>
      <c r="J2129" t="inlineStr">
        <is>
          <t>https://docquery.fec.gov/cgi-bin/fecimg/?202307319584206644</t>
        </is>
      </c>
    </row>
    <row r="2130">
      <c r="A2130" t="inlineStr">
        <is>
          <t>2024</t>
        </is>
      </c>
      <c r="B2130" t="inlineStr">
        <is>
          <t>C00483677</t>
        </is>
      </c>
      <c r="C2130" t="inlineStr">
        <is>
          <t>American Petroleum Institute PAC (API PAC)</t>
        </is>
      </c>
      <c r="D2130" t="inlineStr">
        <is>
          <t>JOHN JAMES FOR CONGRESS INC.</t>
        </is>
      </c>
      <c r="E2130" t="inlineStr">
        <is>
          <t>H2MI10150</t>
        </is>
      </c>
      <c r="F2130" t="inlineStr">
        <is>
          <t>REP</t>
        </is>
      </c>
      <c r="G2130" t="inlineStr">
        <is>
          <t>04262024</t>
        </is>
      </c>
      <c r="H2130" t="n">
        <v>1000</v>
      </c>
      <c r="I2130" t="inlineStr">
        <is>
          <t>202405209646105383</t>
        </is>
      </c>
      <c r="J2130" t="inlineStr">
        <is>
          <t>https://docquery.fec.gov/cgi-bin/fecimg/?202405209646105383</t>
        </is>
      </c>
    </row>
    <row r="2131">
      <c r="A2131" t="inlineStr">
        <is>
          <t>2024</t>
        </is>
      </c>
      <c r="B2131" t="inlineStr">
        <is>
          <t>C00483677</t>
        </is>
      </c>
      <c r="C2131" t="inlineStr">
        <is>
          <t>American Petroleum Institute PAC (API PAC)</t>
        </is>
      </c>
      <c r="D2131" t="inlineStr">
        <is>
          <t>MARY PELTOLA FOR ALASKA</t>
        </is>
      </c>
      <c r="E2131" t="inlineStr">
        <is>
          <t>H2AK01158</t>
        </is>
      </c>
      <c r="F2131" t="inlineStr">
        <is>
          <t>DEM</t>
        </is>
      </c>
      <c r="G2131" t="inlineStr">
        <is>
          <t>04262024</t>
        </is>
      </c>
      <c r="H2131" t="n">
        <v>1000</v>
      </c>
      <c r="I2131" t="inlineStr">
        <is>
          <t>202405209646105383</t>
        </is>
      </c>
      <c r="J2131" t="inlineStr">
        <is>
          <t>https://docquery.fec.gov/cgi-bin/fecimg/?202405209646105383</t>
        </is>
      </c>
    </row>
    <row r="2132">
      <c r="A2132" t="inlineStr">
        <is>
          <t>2024</t>
        </is>
      </c>
      <c r="B2132" t="inlineStr">
        <is>
          <t>C00483677</t>
        </is>
      </c>
      <c r="C2132" t="inlineStr">
        <is>
          <t>American Petroleum Institute PAC (API PAC)</t>
        </is>
      </c>
      <c r="D2132" t="inlineStr">
        <is>
          <t>HUDSON FOR CONGRESS</t>
        </is>
      </c>
      <c r="E2132" t="inlineStr">
        <is>
          <t>H2NC08185</t>
        </is>
      </c>
      <c r="F2132" t="inlineStr">
        <is>
          <t>REP</t>
        </is>
      </c>
      <c r="G2132" t="inlineStr">
        <is>
          <t>05012023</t>
        </is>
      </c>
      <c r="H2132" t="n">
        <v>1000</v>
      </c>
      <c r="I2132" t="inlineStr">
        <is>
          <t>202307319584206645</t>
        </is>
      </c>
      <c r="J2132" t="inlineStr">
        <is>
          <t>https://docquery.fec.gov/cgi-bin/fecimg/?202307319584206645</t>
        </is>
      </c>
    </row>
    <row r="2133">
      <c r="A2133" t="inlineStr">
        <is>
          <t>2024</t>
        </is>
      </c>
      <c r="B2133" t="inlineStr">
        <is>
          <t>C00483677</t>
        </is>
      </c>
      <c r="C2133" t="inlineStr">
        <is>
          <t>American Petroleum Institute PAC (API PAC)</t>
        </is>
      </c>
      <c r="D2133" t="inlineStr">
        <is>
          <t>COMMITTEE TO ELECT JARED GOLDEN</t>
        </is>
      </c>
      <c r="E2133" t="inlineStr">
        <is>
          <t>H8ME02185</t>
        </is>
      </c>
      <c r="F2133" t="inlineStr">
        <is>
          <t>DEM</t>
        </is>
      </c>
      <c r="G2133" t="inlineStr">
        <is>
          <t>05062024</t>
        </is>
      </c>
      <c r="H2133" t="n">
        <v>1000</v>
      </c>
      <c r="I2133" t="inlineStr">
        <is>
          <t>202406209649284218</t>
        </is>
      </c>
      <c r="J2133" t="inlineStr">
        <is>
          <t>https://docquery.fec.gov/cgi-bin/fecimg/?202406209649284218</t>
        </is>
      </c>
    </row>
    <row r="2134">
      <c r="A2134" t="inlineStr">
        <is>
          <t>2024</t>
        </is>
      </c>
      <c r="B2134" t="inlineStr">
        <is>
          <t>C00483677</t>
        </is>
      </c>
      <c r="C2134" t="inlineStr">
        <is>
          <t>American Petroleum Institute PAC (API PAC)</t>
        </is>
      </c>
      <c r="D2134" t="inlineStr">
        <is>
          <t>MILLER-MEEKS FOR CONGRESS</t>
        </is>
      </c>
      <c r="E2134" t="inlineStr">
        <is>
          <t>H8IA02043</t>
        </is>
      </c>
      <c r="F2134" t="inlineStr">
        <is>
          <t>REP</t>
        </is>
      </c>
      <c r="G2134" t="inlineStr">
        <is>
          <t>05062024</t>
        </is>
      </c>
      <c r="H2134" t="n">
        <v>1000</v>
      </c>
      <c r="I2134" t="inlineStr">
        <is>
          <t>202406209649284218</t>
        </is>
      </c>
      <c r="J2134" t="inlineStr">
        <is>
          <t>https://docquery.fec.gov/cgi-bin/fecimg/?202406209649284218</t>
        </is>
      </c>
    </row>
    <row r="2135">
      <c r="A2135" t="inlineStr">
        <is>
          <t>2024</t>
        </is>
      </c>
      <c r="B2135" t="inlineStr">
        <is>
          <t>C00483677</t>
        </is>
      </c>
      <c r="C2135" t="inlineStr">
        <is>
          <t>American Petroleum Institute PAC (API PAC)</t>
        </is>
      </c>
      <c r="D2135" t="inlineStr">
        <is>
          <t>AUGUST PFLUGER FOR CONGRESS</t>
        </is>
      </c>
      <c r="E2135" t="inlineStr">
        <is>
          <t>H0TX11230</t>
        </is>
      </c>
      <c r="F2135" t="inlineStr">
        <is>
          <t>REP</t>
        </is>
      </c>
      <c r="G2135" t="inlineStr">
        <is>
          <t>05082023</t>
        </is>
      </c>
      <c r="H2135" t="n">
        <v>1000</v>
      </c>
      <c r="I2135" t="inlineStr">
        <is>
          <t>202307319584206645</t>
        </is>
      </c>
      <c r="J2135" t="inlineStr">
        <is>
          <t>https://docquery.fec.gov/cgi-bin/fecimg/?202307319584206645</t>
        </is>
      </c>
    </row>
    <row r="2136">
      <c r="A2136" t="inlineStr">
        <is>
          <t>2024</t>
        </is>
      </c>
      <c r="B2136" t="inlineStr">
        <is>
          <t>C00483677</t>
        </is>
      </c>
      <c r="C2136" t="inlineStr">
        <is>
          <t>American Petroleum Institute PAC (API PAC)</t>
        </is>
      </c>
      <c r="D2136" t="inlineStr">
        <is>
          <t>KAT FOR CONGRESS</t>
        </is>
      </c>
      <c r="E2136" t="inlineStr">
        <is>
          <t>H0FL03175</t>
        </is>
      </c>
      <c r="F2136" t="inlineStr">
        <is>
          <t>REP</t>
        </is>
      </c>
      <c r="G2136" t="inlineStr">
        <is>
          <t>05112023</t>
        </is>
      </c>
      <c r="H2136" t="n">
        <v>1000</v>
      </c>
      <c r="I2136" t="inlineStr">
        <is>
          <t>202307319584206646</t>
        </is>
      </c>
      <c r="J2136" t="inlineStr">
        <is>
          <t>https://docquery.fec.gov/cgi-bin/fecimg/?202307319584206646</t>
        </is>
      </c>
    </row>
    <row r="2137">
      <c r="A2137" t="inlineStr">
        <is>
          <t>2024</t>
        </is>
      </c>
      <c r="B2137" t="inlineStr">
        <is>
          <t>C00483677</t>
        </is>
      </c>
      <c r="C2137" t="inlineStr">
        <is>
          <t>American Petroleum Institute PAC (API PAC)</t>
        </is>
      </c>
      <c r="D2137" t="inlineStr">
        <is>
          <t>THOM TILLIS COMMITTEE</t>
        </is>
      </c>
      <c r="E2137" t="inlineStr">
        <is>
          <t>S4NC00162</t>
        </is>
      </c>
      <c r="F2137" t="inlineStr">
        <is>
          <t>REP</t>
        </is>
      </c>
      <c r="G2137" t="inlineStr">
        <is>
          <t>05112023</t>
        </is>
      </c>
      <c r="H2137" t="n">
        <v>1000</v>
      </c>
      <c r="I2137" t="inlineStr">
        <is>
          <t>202307319584206646</t>
        </is>
      </c>
      <c r="J2137" t="inlineStr">
        <is>
          <t>https://docquery.fec.gov/cgi-bin/fecimg/?202307319584206646</t>
        </is>
      </c>
    </row>
    <row r="2138">
      <c r="A2138" t="inlineStr">
        <is>
          <t>2024</t>
        </is>
      </c>
      <c r="B2138" t="inlineStr">
        <is>
          <t>C00483677</t>
        </is>
      </c>
      <c r="C2138" t="inlineStr">
        <is>
          <t>American Petroleum Institute PAC (API PAC)</t>
        </is>
      </c>
      <c r="D2138" t="inlineStr">
        <is>
          <t>ALASKANS FOR DAN SULLIVAN</t>
        </is>
      </c>
      <c r="E2138" t="inlineStr">
        <is>
          <t>S4AK00214</t>
        </is>
      </c>
      <c r="F2138" t="inlineStr">
        <is>
          <t>REP</t>
        </is>
      </c>
      <c r="G2138" t="inlineStr">
        <is>
          <t>05152024</t>
        </is>
      </c>
      <c r="H2138" t="n">
        <v>1000</v>
      </c>
      <c r="I2138" t="inlineStr">
        <is>
          <t>202406209649284218</t>
        </is>
      </c>
      <c r="J2138" t="inlineStr">
        <is>
          <t>https://docquery.fec.gov/cgi-bin/fecimg/?202406209649284218</t>
        </is>
      </c>
    </row>
    <row r="2139">
      <c r="A2139" t="inlineStr">
        <is>
          <t>2024</t>
        </is>
      </c>
      <c r="B2139" t="inlineStr">
        <is>
          <t>C00483677</t>
        </is>
      </c>
      <c r="C2139" t="inlineStr">
        <is>
          <t>American Petroleum Institute PAC (API PAC)</t>
        </is>
      </c>
      <c r="D2139" t="inlineStr">
        <is>
          <t>BICE FOR CONGRESS</t>
        </is>
      </c>
      <c r="E2139" t="inlineStr">
        <is>
          <t>H0OK05205</t>
        </is>
      </c>
      <c r="F2139" t="inlineStr">
        <is>
          <t>REP</t>
        </is>
      </c>
      <c r="G2139" t="inlineStr">
        <is>
          <t>05152024</t>
        </is>
      </c>
      <c r="H2139" t="n">
        <v>1000</v>
      </c>
      <c r="I2139" t="inlineStr">
        <is>
          <t>202406209649284219</t>
        </is>
      </c>
      <c r="J2139" t="inlineStr">
        <is>
          <t>https://docquery.fec.gov/cgi-bin/fecimg/?202406209649284219</t>
        </is>
      </c>
    </row>
    <row r="2140">
      <c r="A2140" t="inlineStr">
        <is>
          <t>2024</t>
        </is>
      </c>
      <c r="B2140" t="inlineStr">
        <is>
          <t>C00483677</t>
        </is>
      </c>
      <c r="C2140" t="inlineStr">
        <is>
          <t>American Petroleum Institute PAC (API PAC)</t>
        </is>
      </c>
      <c r="D2140" t="inlineStr">
        <is>
          <t>NEVADANS FOR STEVEN HORSFORD</t>
        </is>
      </c>
      <c r="E2140" t="inlineStr">
        <is>
          <t>H2NV04011</t>
        </is>
      </c>
      <c r="F2140" t="inlineStr">
        <is>
          <t>DEM</t>
        </is>
      </c>
      <c r="G2140" t="inlineStr">
        <is>
          <t>05152024</t>
        </is>
      </c>
      <c r="H2140" t="n">
        <v>1000</v>
      </c>
      <c r="I2140" t="inlineStr">
        <is>
          <t>202406209649284219</t>
        </is>
      </c>
      <c r="J2140" t="inlineStr">
        <is>
          <t>https://docquery.fec.gov/cgi-bin/fecimg/?202406209649284219</t>
        </is>
      </c>
    </row>
    <row r="2141">
      <c r="A2141" t="inlineStr">
        <is>
          <t>2024</t>
        </is>
      </c>
      <c r="B2141" t="inlineStr">
        <is>
          <t>C00483677</t>
        </is>
      </c>
      <c r="C2141" t="inlineStr">
        <is>
          <t>American Petroleum Institute PAC (API PAC)</t>
        </is>
      </c>
      <c r="D2141" t="inlineStr">
        <is>
          <t>TEXANS FOR JODEY ARRINGTON</t>
        </is>
      </c>
      <c r="E2141" t="inlineStr">
        <is>
          <t>H6TX19099</t>
        </is>
      </c>
      <c r="F2141" t="inlineStr">
        <is>
          <t>REP</t>
        </is>
      </c>
      <c r="G2141" t="inlineStr">
        <is>
          <t>05152024</t>
        </is>
      </c>
      <c r="H2141" t="n">
        <v>1000</v>
      </c>
      <c r="I2141" t="inlineStr">
        <is>
          <t>202406209649284219</t>
        </is>
      </c>
      <c r="J2141" t="inlineStr">
        <is>
          <t>https://docquery.fec.gov/cgi-bin/fecimg/?202406209649284219</t>
        </is>
      </c>
    </row>
    <row r="2142">
      <c r="A2142" t="inlineStr">
        <is>
          <t>2024</t>
        </is>
      </c>
      <c r="B2142" t="inlineStr">
        <is>
          <t>C00483677</t>
        </is>
      </c>
      <c r="C2142" t="inlineStr">
        <is>
          <t>American Petroleum Institute PAC (API PAC)</t>
        </is>
      </c>
      <c r="D2142" t="inlineStr">
        <is>
          <t>VICENTE GONZALEZ FOR CONGRESS</t>
        </is>
      </c>
      <c r="E2142" t="inlineStr">
        <is>
          <t>H6TX15162</t>
        </is>
      </c>
      <c r="F2142" t="inlineStr">
        <is>
          <t>DEM</t>
        </is>
      </c>
      <c r="G2142" t="inlineStr">
        <is>
          <t>05152024</t>
        </is>
      </c>
      <c r="H2142" t="n">
        <v>1000</v>
      </c>
      <c r="I2142" t="inlineStr">
        <is>
          <t>202406209649284220</t>
        </is>
      </c>
      <c r="J2142" t="inlineStr">
        <is>
          <t>https://docquery.fec.gov/cgi-bin/fecimg/?202406209649284220</t>
        </is>
      </c>
    </row>
    <row r="2143">
      <c r="A2143" t="inlineStr">
        <is>
          <t>2024</t>
        </is>
      </c>
      <c r="B2143" t="inlineStr">
        <is>
          <t>C00483677</t>
        </is>
      </c>
      <c r="C2143" t="inlineStr">
        <is>
          <t>American Petroleum Institute PAC (API PAC)</t>
        </is>
      </c>
      <c r="D2143" t="inlineStr">
        <is>
          <t>CHRIS COONS FOR DELAWARE</t>
        </is>
      </c>
      <c r="E2143" t="inlineStr">
        <is>
          <t>S0DE00092</t>
        </is>
      </c>
      <c r="F2143" t="inlineStr">
        <is>
          <t>DEM</t>
        </is>
      </c>
      <c r="G2143" t="inlineStr">
        <is>
          <t>05282024</t>
        </is>
      </c>
      <c r="H2143" t="n">
        <v>1000</v>
      </c>
      <c r="I2143" t="inlineStr">
        <is>
          <t>202406209649284220</t>
        </is>
      </c>
      <c r="J2143" t="inlineStr">
        <is>
          <t>https://docquery.fec.gov/cgi-bin/fecimg/?202406209649284220</t>
        </is>
      </c>
    </row>
    <row r="2144">
      <c r="A2144" t="inlineStr">
        <is>
          <t>2024</t>
        </is>
      </c>
      <c r="B2144" t="inlineStr">
        <is>
          <t>C00483677</t>
        </is>
      </c>
      <c r="C2144" t="inlineStr">
        <is>
          <t>American Petroleum Institute PAC (API PAC)</t>
        </is>
      </c>
      <c r="D2144" t="inlineStr">
        <is>
          <t>COLE FOR CONGRESS</t>
        </is>
      </c>
      <c r="E2144" t="inlineStr">
        <is>
          <t>H2OK04055</t>
        </is>
      </c>
      <c r="F2144" t="inlineStr">
        <is>
          <t>REP</t>
        </is>
      </c>
      <c r="G2144" t="inlineStr">
        <is>
          <t>05282024</t>
        </is>
      </c>
      <c r="H2144" t="n">
        <v>2500</v>
      </c>
      <c r="I2144" t="inlineStr">
        <is>
          <t>202406209649284221</t>
        </is>
      </c>
      <c r="J2144" t="inlineStr">
        <is>
          <t>https://docquery.fec.gov/cgi-bin/fecimg/?202406209649284221</t>
        </is>
      </c>
    </row>
    <row r="2145">
      <c r="A2145" t="inlineStr">
        <is>
          <t>2024</t>
        </is>
      </c>
      <c r="B2145" t="inlineStr">
        <is>
          <t>C00483677</t>
        </is>
      </c>
      <c r="C2145" t="inlineStr">
        <is>
          <t>American Petroleum Institute PAC (API PAC)</t>
        </is>
      </c>
      <c r="D2145" t="inlineStr">
        <is>
          <t>MARTIN HEINRICH FOR SENATE</t>
        </is>
      </c>
      <c r="E2145" t="inlineStr">
        <is>
          <t>S2NM00088</t>
        </is>
      </c>
      <c r="F2145" t="inlineStr">
        <is>
          <t>DEM</t>
        </is>
      </c>
      <c r="G2145" t="inlineStr">
        <is>
          <t>05282024</t>
        </is>
      </c>
      <c r="H2145" t="n">
        <v>1500</v>
      </c>
      <c r="I2145" t="inlineStr">
        <is>
          <t>202406209649284221</t>
        </is>
      </c>
      <c r="J2145" t="inlineStr">
        <is>
          <t>https://docquery.fec.gov/cgi-bin/fecimg/?202406209649284221</t>
        </is>
      </c>
    </row>
    <row r="2146">
      <c r="A2146" t="inlineStr">
        <is>
          <t>2024</t>
        </is>
      </c>
      <c r="B2146" t="inlineStr">
        <is>
          <t>C00483677</t>
        </is>
      </c>
      <c r="C2146" t="inlineStr">
        <is>
          <t>American Petroleum Institute PAC (API PAC)</t>
        </is>
      </c>
      <c r="D2146" t="inlineStr">
        <is>
          <t>MIKE CRAPO FOR US SENATE</t>
        </is>
      </c>
      <c r="E2146" t="inlineStr">
        <is>
          <t>S8ID00027</t>
        </is>
      </c>
      <c r="F2146" t="inlineStr">
        <is>
          <t>REP</t>
        </is>
      </c>
      <c r="G2146" t="inlineStr">
        <is>
          <t>05282024</t>
        </is>
      </c>
      <c r="H2146" t="n">
        <v>1000</v>
      </c>
      <c r="I2146" t="inlineStr">
        <is>
          <t>202406209649284221</t>
        </is>
      </c>
      <c r="J2146" t="inlineStr">
        <is>
          <t>https://docquery.fec.gov/cgi-bin/fecimg/?202406209649284221</t>
        </is>
      </c>
    </row>
    <row r="2147">
      <c r="A2147" t="inlineStr">
        <is>
          <t>2024</t>
        </is>
      </c>
      <c r="B2147" t="inlineStr">
        <is>
          <t>C00483677</t>
        </is>
      </c>
      <c r="C2147" t="inlineStr">
        <is>
          <t>American Petroleum Institute PAC (API PAC)</t>
        </is>
      </c>
      <c r="D2147" t="inlineStr">
        <is>
          <t>MULLIN FOR AMERICA</t>
        </is>
      </c>
      <c r="E2147" t="inlineStr">
        <is>
          <t>S2OK00186</t>
        </is>
      </c>
      <c r="F2147" t="inlineStr">
        <is>
          <t>REP</t>
        </is>
      </c>
      <c r="G2147" t="inlineStr">
        <is>
          <t>05282024</t>
        </is>
      </c>
      <c r="H2147" t="n">
        <v>1000</v>
      </c>
      <c r="I2147" t="inlineStr">
        <is>
          <t>202406209649284222</t>
        </is>
      </c>
      <c r="J2147" t="inlineStr">
        <is>
          <t>https://docquery.fec.gov/cgi-bin/fecimg/?202406209649284222</t>
        </is>
      </c>
    </row>
    <row r="2148">
      <c r="A2148" t="inlineStr">
        <is>
          <t>2024</t>
        </is>
      </c>
      <c r="B2148" t="inlineStr">
        <is>
          <t>C00483677</t>
        </is>
      </c>
      <c r="C2148" t="inlineStr">
        <is>
          <t>American Petroleum Institute PAC (API PAC)</t>
        </is>
      </c>
      <c r="D2148" t="inlineStr">
        <is>
          <t>AUGUST PFLUGER FOR CONGRESS</t>
        </is>
      </c>
      <c r="E2148" t="inlineStr">
        <is>
          <t>H0TX11230</t>
        </is>
      </c>
      <c r="F2148" t="inlineStr">
        <is>
          <t>REP</t>
        </is>
      </c>
      <c r="G2148" t="inlineStr">
        <is>
          <t>05292024</t>
        </is>
      </c>
      <c r="H2148" t="n">
        <v>3000</v>
      </c>
      <c r="I2148" t="inlineStr">
        <is>
          <t>202406209649284222</t>
        </is>
      </c>
      <c r="J2148" t="inlineStr">
        <is>
          <t>https://docquery.fec.gov/cgi-bin/fecimg/?202406209649284222</t>
        </is>
      </c>
    </row>
    <row r="2149">
      <c r="A2149" t="inlineStr">
        <is>
          <t>2024</t>
        </is>
      </c>
      <c r="B2149" t="inlineStr">
        <is>
          <t>C00483677</t>
        </is>
      </c>
      <c r="C2149" t="inlineStr">
        <is>
          <t>American Petroleum Institute PAC (API PAC)</t>
        </is>
      </c>
      <c r="D2149" t="inlineStr">
        <is>
          <t>CELESTE FOR CONGRESS</t>
        </is>
      </c>
      <c r="E2149" t="inlineStr">
        <is>
          <t>H4UT02296</t>
        </is>
      </c>
      <c r="F2149" t="inlineStr">
        <is>
          <t>REP</t>
        </is>
      </c>
      <c r="G2149" t="inlineStr">
        <is>
          <t>06052024</t>
        </is>
      </c>
      <c r="H2149" t="n">
        <v>2500</v>
      </c>
      <c r="I2149" t="inlineStr">
        <is>
          <t>202407199661318519</t>
        </is>
      </c>
      <c r="J2149" t="inlineStr">
        <is>
          <t>https://docquery.fec.gov/cgi-bin/fecimg/?202407199661318519</t>
        </is>
      </c>
    </row>
    <row r="2150">
      <c r="A2150" t="inlineStr">
        <is>
          <t>2024</t>
        </is>
      </c>
      <c r="B2150" t="inlineStr">
        <is>
          <t>C00483677</t>
        </is>
      </c>
      <c r="C2150" t="inlineStr">
        <is>
          <t>American Petroleum Institute PAC (API PAC)</t>
        </is>
      </c>
      <c r="D2150" t="inlineStr">
        <is>
          <t>ELIZABETH PANNILL FLETCHER FOR CONGRESS</t>
        </is>
      </c>
      <c r="E2150" t="inlineStr">
        <is>
          <t>H8TX07140</t>
        </is>
      </c>
      <c r="F2150" t="inlineStr">
        <is>
          <t>DEM</t>
        </is>
      </c>
      <c r="G2150" t="inlineStr">
        <is>
          <t>06052024</t>
        </is>
      </c>
      <c r="H2150" t="n">
        <v>1000</v>
      </c>
      <c r="I2150" t="inlineStr">
        <is>
          <t>202407199661318519</t>
        </is>
      </c>
      <c r="J2150" t="inlineStr">
        <is>
          <t>https://docquery.fec.gov/cgi-bin/fecimg/?202407199661318519</t>
        </is>
      </c>
    </row>
    <row r="2151">
      <c r="A2151" t="inlineStr">
        <is>
          <t>2024</t>
        </is>
      </c>
      <c r="B2151" t="inlineStr">
        <is>
          <t>C00483677</t>
        </is>
      </c>
      <c r="C2151" t="inlineStr">
        <is>
          <t>American Petroleum Institute PAC (API PAC)</t>
        </is>
      </c>
      <c r="D2151" t="inlineStr">
        <is>
          <t>MARY PELTOLA FOR ALASKA</t>
        </is>
      </c>
      <c r="E2151" t="inlineStr">
        <is>
          <t>H2AK01158</t>
        </is>
      </c>
      <c r="F2151" t="inlineStr">
        <is>
          <t>DEM</t>
        </is>
      </c>
      <c r="G2151" t="inlineStr">
        <is>
          <t>06052024</t>
        </is>
      </c>
      <c r="H2151" t="n">
        <v>2500</v>
      </c>
      <c r="I2151" t="inlineStr">
        <is>
          <t>202407199661318519</t>
        </is>
      </c>
      <c r="J2151" t="inlineStr">
        <is>
          <t>https://docquery.fec.gov/cgi-bin/fecimg/?202407199661318519</t>
        </is>
      </c>
    </row>
    <row r="2152">
      <c r="A2152" t="inlineStr">
        <is>
          <t>2024</t>
        </is>
      </c>
      <c r="B2152" t="inlineStr">
        <is>
          <t>C00483677</t>
        </is>
      </c>
      <c r="C2152" t="inlineStr">
        <is>
          <t>American Petroleum Institute PAC (API PAC)</t>
        </is>
      </c>
      <c r="D2152" t="inlineStr">
        <is>
          <t>PEOPLE FOR BEN</t>
        </is>
      </c>
      <c r="E2152" t="inlineStr">
        <is>
          <t>S0NM00058</t>
        </is>
      </c>
      <c r="F2152" t="inlineStr">
        <is>
          <t>DEM</t>
        </is>
      </c>
      <c r="G2152" t="inlineStr">
        <is>
          <t>06052024</t>
        </is>
      </c>
      <c r="H2152" t="n">
        <v>1000</v>
      </c>
      <c r="I2152" t="inlineStr">
        <is>
          <t>202407199661318520</t>
        </is>
      </c>
      <c r="J2152" t="inlineStr">
        <is>
          <t>https://docquery.fec.gov/cgi-bin/fecimg/?202407199661318520</t>
        </is>
      </c>
    </row>
    <row r="2153">
      <c r="A2153" t="inlineStr">
        <is>
          <t>2024</t>
        </is>
      </c>
      <c r="B2153" t="inlineStr">
        <is>
          <t>C00483677</t>
        </is>
      </c>
      <c r="C2153" t="inlineStr">
        <is>
          <t>American Petroleum Institute PAC (API PAC)</t>
        </is>
      </c>
      <c r="D2153" t="inlineStr">
        <is>
          <t>HICKENLOOPER FOR COLORADO</t>
        </is>
      </c>
      <c r="E2153" t="inlineStr">
        <is>
          <t>S0CO00575</t>
        </is>
      </c>
      <c r="F2153" t="inlineStr">
        <is>
          <t>DEM</t>
        </is>
      </c>
      <c r="G2153" t="inlineStr">
        <is>
          <t>06102024</t>
        </is>
      </c>
      <c r="H2153" t="n">
        <v>1000</v>
      </c>
      <c r="I2153" t="inlineStr">
        <is>
          <t>202407199661318520</t>
        </is>
      </c>
      <c r="J2153" t="inlineStr">
        <is>
          <t>https://docquery.fec.gov/cgi-bin/fecimg/?202407199661318520</t>
        </is>
      </c>
    </row>
    <row r="2154">
      <c r="A2154" t="inlineStr">
        <is>
          <t>2024</t>
        </is>
      </c>
      <c r="B2154" t="inlineStr">
        <is>
          <t>C00483677</t>
        </is>
      </c>
      <c r="C2154" t="inlineStr">
        <is>
          <t>American Petroleum Institute PAC (API PAC)</t>
        </is>
      </c>
      <c r="D2154" t="inlineStr">
        <is>
          <t>MICHAEL BURGESS FOR CONGRESS</t>
        </is>
      </c>
      <c r="E2154" t="inlineStr">
        <is>
          <t>H2TX26093</t>
        </is>
      </c>
      <c r="F2154" t="inlineStr">
        <is>
          <t>REP</t>
        </is>
      </c>
      <c r="G2154" t="inlineStr">
        <is>
          <t>06172024</t>
        </is>
      </c>
      <c r="H2154" t="n">
        <v>1000</v>
      </c>
      <c r="I2154" t="inlineStr">
        <is>
          <t>202407199661318522</t>
        </is>
      </c>
      <c r="J2154" t="inlineStr">
        <is>
          <t>https://docquery.fec.gov/cgi-bin/fecimg/?202407199661318522</t>
        </is>
      </c>
    </row>
    <row r="2155">
      <c r="A2155" t="inlineStr">
        <is>
          <t>2024</t>
        </is>
      </c>
      <c r="B2155" t="inlineStr">
        <is>
          <t>C00483677</t>
        </is>
      </c>
      <c r="C2155" t="inlineStr">
        <is>
          <t>American Petroleum Institute PAC (API PAC)</t>
        </is>
      </c>
      <c r="D2155" t="inlineStr">
        <is>
          <t>DAN NEWHOUSE FOR CONGRESS</t>
        </is>
      </c>
      <c r="E2155" t="inlineStr">
        <is>
          <t>H4WA04104</t>
        </is>
      </c>
      <c r="F2155" t="inlineStr">
        <is>
          <t>REP</t>
        </is>
      </c>
      <c r="G2155" t="inlineStr">
        <is>
          <t>06172024</t>
        </is>
      </c>
      <c r="H2155" t="n">
        <v>1000</v>
      </c>
      <c r="I2155" t="inlineStr">
        <is>
          <t>202407199661318520</t>
        </is>
      </c>
      <c r="J2155" t="inlineStr">
        <is>
          <t>https://docquery.fec.gov/cgi-bin/fecimg/?202407199661318520</t>
        </is>
      </c>
    </row>
    <row r="2156">
      <c r="A2156" t="inlineStr">
        <is>
          <t>2024</t>
        </is>
      </c>
      <c r="B2156" t="inlineStr">
        <is>
          <t>C00483677</t>
        </is>
      </c>
      <c r="C2156" t="inlineStr">
        <is>
          <t>American Petroleum Institute PAC (API PAC)</t>
        </is>
      </c>
      <c r="D2156" t="inlineStr">
        <is>
          <t>GUY FOR CONGRESS</t>
        </is>
      </c>
      <c r="E2156" t="inlineStr">
        <is>
          <t>H8PA18199</t>
        </is>
      </c>
      <c r="F2156" t="inlineStr">
        <is>
          <t>REP</t>
        </is>
      </c>
      <c r="G2156" t="inlineStr">
        <is>
          <t>06172024</t>
        </is>
      </c>
      <c r="H2156" t="n">
        <v>1000</v>
      </c>
      <c r="I2156" t="inlineStr">
        <is>
          <t>202407199661318521</t>
        </is>
      </c>
      <c r="J2156" t="inlineStr">
        <is>
          <t>https://docquery.fec.gov/cgi-bin/fecimg/?202407199661318521</t>
        </is>
      </c>
    </row>
    <row r="2157">
      <c r="A2157" t="inlineStr">
        <is>
          <t>2024</t>
        </is>
      </c>
      <c r="B2157" t="inlineStr">
        <is>
          <t>C00483677</t>
        </is>
      </c>
      <c r="C2157" t="inlineStr">
        <is>
          <t>American Petroleum Institute PAC (API PAC)</t>
        </is>
      </c>
      <c r="D2157" t="inlineStr">
        <is>
          <t>HUNT FOR CONGRESS</t>
        </is>
      </c>
      <c r="E2157" t="inlineStr">
        <is>
          <t>H0TX07170</t>
        </is>
      </c>
      <c r="F2157" t="inlineStr">
        <is>
          <t>REP</t>
        </is>
      </c>
      <c r="G2157" t="inlineStr">
        <is>
          <t>06172024</t>
        </is>
      </c>
      <c r="H2157" t="n">
        <v>1000</v>
      </c>
      <c r="I2157" t="inlineStr">
        <is>
          <t>202407199661318521</t>
        </is>
      </c>
      <c r="J2157" t="inlineStr">
        <is>
          <t>https://docquery.fec.gov/cgi-bin/fecimg/?202407199661318521</t>
        </is>
      </c>
    </row>
    <row r="2158">
      <c r="A2158" t="inlineStr">
        <is>
          <t>2024</t>
        </is>
      </c>
      <c r="B2158" t="inlineStr">
        <is>
          <t>C00483677</t>
        </is>
      </c>
      <c r="C2158" t="inlineStr">
        <is>
          <t>American Petroleum Institute PAC (API PAC)</t>
        </is>
      </c>
      <c r="D2158" t="inlineStr">
        <is>
          <t>LAWLER FOR CONGRESS INC.</t>
        </is>
      </c>
      <c r="E2158" t="inlineStr">
        <is>
          <t>H2NY17162</t>
        </is>
      </c>
      <c r="F2158" t="inlineStr">
        <is>
          <t>REP</t>
        </is>
      </c>
      <c r="G2158" t="inlineStr">
        <is>
          <t>06172024</t>
        </is>
      </c>
      <c r="H2158" t="n">
        <v>2500</v>
      </c>
      <c r="I2158" t="inlineStr">
        <is>
          <t>202407199661318521</t>
        </is>
      </c>
      <c r="J2158" t="inlineStr">
        <is>
          <t>https://docquery.fec.gov/cgi-bin/fecimg/?202407199661318521</t>
        </is>
      </c>
    </row>
    <row r="2159">
      <c r="A2159" t="inlineStr">
        <is>
          <t>2024</t>
        </is>
      </c>
      <c r="B2159" t="inlineStr">
        <is>
          <t>C00483677</t>
        </is>
      </c>
      <c r="C2159" t="inlineStr">
        <is>
          <t>American Petroleum Institute PAC (API PAC)</t>
        </is>
      </c>
      <c r="D2159" t="inlineStr">
        <is>
          <t>LUMMIS FOR WYOMING INC.</t>
        </is>
      </c>
      <c r="E2159" t="inlineStr">
        <is>
          <t>S0WY00137</t>
        </is>
      </c>
      <c r="F2159" t="inlineStr">
        <is>
          <t>REP</t>
        </is>
      </c>
      <c r="G2159" t="inlineStr">
        <is>
          <t>06172024</t>
        </is>
      </c>
      <c r="H2159" t="n">
        <v>1000</v>
      </c>
      <c r="I2159" t="inlineStr">
        <is>
          <t>202407199661318522</t>
        </is>
      </c>
      <c r="J2159" t="inlineStr">
        <is>
          <t>https://docquery.fec.gov/cgi-bin/fecimg/?202407199661318522</t>
        </is>
      </c>
    </row>
    <row r="2160">
      <c r="A2160" t="inlineStr">
        <is>
          <t>2024</t>
        </is>
      </c>
      <c r="B2160" t="inlineStr">
        <is>
          <t>C00483677</t>
        </is>
      </c>
      <c r="C2160" t="inlineStr">
        <is>
          <t>American Petroleum Institute PAC (API PAC)</t>
        </is>
      </c>
      <c r="D2160" t="inlineStr">
        <is>
          <t>MARIE FOR CONGRESS</t>
        </is>
      </c>
      <c r="E2160" t="inlineStr">
        <is>
          <t>H2WA03217</t>
        </is>
      </c>
      <c r="F2160" t="inlineStr">
        <is>
          <t>DEM</t>
        </is>
      </c>
      <c r="G2160" t="inlineStr">
        <is>
          <t>06172024</t>
        </is>
      </c>
      <c r="H2160" t="n">
        <v>1000</v>
      </c>
      <c r="I2160" t="inlineStr">
        <is>
          <t>202407199661318522</t>
        </is>
      </c>
      <c r="J2160" t="inlineStr">
        <is>
          <t>https://docquery.fec.gov/cgi-bin/fecimg/?202407199661318522</t>
        </is>
      </c>
    </row>
    <row r="2161">
      <c r="A2161" t="inlineStr">
        <is>
          <t>2024</t>
        </is>
      </c>
      <c r="B2161" t="inlineStr">
        <is>
          <t>C00483677</t>
        </is>
      </c>
      <c r="C2161" t="inlineStr">
        <is>
          <t>American Petroleum Institute PAC (API PAC)</t>
        </is>
      </c>
      <c r="D2161" t="inlineStr">
        <is>
          <t>CAROL FOR CONGRESS</t>
        </is>
      </c>
      <c r="E2161" t="inlineStr">
        <is>
          <t>H8WV03097</t>
        </is>
      </c>
      <c r="F2161" t="inlineStr">
        <is>
          <t>REP</t>
        </is>
      </c>
      <c r="G2161" t="inlineStr">
        <is>
          <t>06252024</t>
        </is>
      </c>
      <c r="H2161" t="n">
        <v>1000</v>
      </c>
      <c r="I2161" t="inlineStr">
        <is>
          <t>202407199661318523</t>
        </is>
      </c>
      <c r="J2161" t="inlineStr">
        <is>
          <t>https://docquery.fec.gov/cgi-bin/fecimg/?202407199661318523</t>
        </is>
      </c>
    </row>
    <row r="2162">
      <c r="A2162" t="inlineStr">
        <is>
          <t>2024</t>
        </is>
      </c>
      <c r="B2162" t="inlineStr">
        <is>
          <t>C00483677</t>
        </is>
      </c>
      <c r="C2162" t="inlineStr">
        <is>
          <t>American Petroleum Institute PAC (API PAC)</t>
        </is>
      </c>
      <c r="D2162" t="inlineStr">
        <is>
          <t>CRAMER FOR SENATE</t>
        </is>
      </c>
      <c r="E2162" t="inlineStr">
        <is>
          <t>S8ND00120</t>
        </is>
      </c>
      <c r="F2162" t="inlineStr">
        <is>
          <t>REP</t>
        </is>
      </c>
      <c r="G2162" t="inlineStr">
        <is>
          <t>06292023</t>
        </is>
      </c>
      <c r="H2162" t="n">
        <v>1000</v>
      </c>
      <c r="I2162" t="inlineStr">
        <is>
          <t>202307319584206647</t>
        </is>
      </c>
      <c r="J2162" t="inlineStr">
        <is>
          <t>https://docquery.fec.gov/cgi-bin/fecimg/?202307319584206647</t>
        </is>
      </c>
    </row>
    <row r="2163">
      <c r="A2163" t="inlineStr">
        <is>
          <t>2024</t>
        </is>
      </c>
      <c r="B2163" t="inlineStr">
        <is>
          <t>C00483677</t>
        </is>
      </c>
      <c r="C2163" t="inlineStr">
        <is>
          <t>American Petroleum Institute PAC (API PAC)</t>
        </is>
      </c>
      <c r="D2163" t="inlineStr">
        <is>
          <t>CURTIS FOR CONGRESS</t>
        </is>
      </c>
      <c r="E2163" t="inlineStr">
        <is>
          <t>H8UT03238</t>
        </is>
      </c>
      <c r="F2163" t="inlineStr">
        <is>
          <t>REP</t>
        </is>
      </c>
      <c r="G2163" t="inlineStr">
        <is>
          <t>06292023</t>
        </is>
      </c>
      <c r="H2163" t="n">
        <v>1000</v>
      </c>
      <c r="I2163" t="inlineStr">
        <is>
          <t>202307319584206647</t>
        </is>
      </c>
      <c r="J2163" t="inlineStr">
        <is>
          <t>https://docquery.fec.gov/cgi-bin/fecimg/?202307319584206647</t>
        </is>
      </c>
    </row>
    <row r="2164">
      <c r="A2164" t="inlineStr">
        <is>
          <t>2024</t>
        </is>
      </c>
      <c r="B2164" t="inlineStr">
        <is>
          <t>C00483677</t>
        </is>
      </c>
      <c r="C2164" t="inlineStr">
        <is>
          <t>American Petroleum Institute PAC (API PAC)</t>
        </is>
      </c>
      <c r="D2164" t="inlineStr">
        <is>
          <t>MARY PELTOLA FOR ALASKA</t>
        </is>
      </c>
      <c r="E2164" t="inlineStr">
        <is>
          <t>H2AK01158</t>
        </is>
      </c>
      <c r="F2164" t="inlineStr">
        <is>
          <t>DEM</t>
        </is>
      </c>
      <c r="G2164" t="inlineStr">
        <is>
          <t>06292023</t>
        </is>
      </c>
      <c r="H2164" t="n">
        <v>5000</v>
      </c>
      <c r="I2164" t="inlineStr">
        <is>
          <t>202307319584206648</t>
        </is>
      </c>
      <c r="J2164" t="inlineStr">
        <is>
          <t>https://docquery.fec.gov/cgi-bin/fecimg/?202307319584206648</t>
        </is>
      </c>
    </row>
    <row r="2165">
      <c r="A2165" t="inlineStr">
        <is>
          <t>2024</t>
        </is>
      </c>
      <c r="B2165" t="inlineStr">
        <is>
          <t>C00483677</t>
        </is>
      </c>
      <c r="C2165" t="inlineStr">
        <is>
          <t>American Petroleum Institute PAC (API PAC)</t>
        </is>
      </c>
      <c r="D2165" t="inlineStr">
        <is>
          <t>AUGUST PFLUGER FOR CONGRESS</t>
        </is>
      </c>
      <c r="E2165" t="inlineStr">
        <is>
          <t>H0TX11230</t>
        </is>
      </c>
      <c r="F2165" t="inlineStr">
        <is>
          <t>REP</t>
        </is>
      </c>
      <c r="G2165" t="inlineStr">
        <is>
          <t>06292023</t>
        </is>
      </c>
      <c r="H2165" t="n">
        <v>1500</v>
      </c>
      <c r="I2165" t="inlineStr">
        <is>
          <t>202307319584206646</t>
        </is>
      </c>
      <c r="J2165" t="inlineStr">
        <is>
          <t>https://docquery.fec.gov/cgi-bin/fecimg/?202307319584206646</t>
        </is>
      </c>
    </row>
    <row r="2166">
      <c r="A2166" t="inlineStr">
        <is>
          <t>2024</t>
        </is>
      </c>
      <c r="B2166" t="inlineStr">
        <is>
          <t>C00483677</t>
        </is>
      </c>
      <c r="C2166" t="inlineStr">
        <is>
          <t>American Petroleum Institute PAC (API PAC)</t>
        </is>
      </c>
      <c r="D2166" t="inlineStr">
        <is>
          <t>CATHY MCMORRIS RODGERS FOR CONGRESS</t>
        </is>
      </c>
      <c r="E2166" t="inlineStr">
        <is>
          <t>H4WA05077</t>
        </is>
      </c>
      <c r="F2166" t="inlineStr">
        <is>
          <t>REP</t>
        </is>
      </c>
      <c r="G2166" t="inlineStr">
        <is>
          <t>06292023</t>
        </is>
      </c>
      <c r="H2166" t="n">
        <v>5000</v>
      </c>
      <c r="I2166" t="inlineStr">
        <is>
          <t>202307319584206647</t>
        </is>
      </c>
      <c r="J2166" t="inlineStr">
        <is>
          <t>https://docquery.fec.gov/cgi-bin/fecimg/?202307319584206647</t>
        </is>
      </c>
    </row>
    <row r="2167">
      <c r="A2167" t="inlineStr">
        <is>
          <t>2024</t>
        </is>
      </c>
      <c r="B2167" t="inlineStr">
        <is>
          <t>C00483677</t>
        </is>
      </c>
      <c r="C2167" t="inlineStr">
        <is>
          <t>American Petroleum Institute PAC (API PAC)</t>
        </is>
      </c>
      <c r="D2167" t="inlineStr">
        <is>
          <t>BALDERSON FOR CONGRESS</t>
        </is>
      </c>
      <c r="E2167" t="inlineStr">
        <is>
          <t>H8OH12180</t>
        </is>
      </c>
      <c r="F2167" t="inlineStr">
        <is>
          <t>REP</t>
        </is>
      </c>
      <c r="G2167" t="inlineStr">
        <is>
          <t>07062023</t>
        </is>
      </c>
      <c r="H2167" t="n">
        <v>1500</v>
      </c>
      <c r="I2167" t="inlineStr">
        <is>
          <t>202401319601063754</t>
        </is>
      </c>
      <c r="J2167" t="inlineStr">
        <is>
          <t>https://docquery.fec.gov/cgi-bin/fecimg/?202401319601063754</t>
        </is>
      </c>
    </row>
    <row r="2168">
      <c r="A2168" t="inlineStr">
        <is>
          <t>2024</t>
        </is>
      </c>
      <c r="B2168" t="inlineStr">
        <is>
          <t>C00483677</t>
        </is>
      </c>
      <c r="C2168" t="inlineStr">
        <is>
          <t>American Petroleum Institute PAC (API PAC)</t>
        </is>
      </c>
      <c r="D2168" t="inlineStr">
        <is>
          <t>FRIENDS OF JOHN BARRASSO</t>
        </is>
      </c>
      <c r="E2168" t="inlineStr">
        <is>
          <t>S6WY00068</t>
        </is>
      </c>
      <c r="F2168" t="inlineStr">
        <is>
          <t>REP</t>
        </is>
      </c>
      <c r="G2168" t="inlineStr">
        <is>
          <t>07062023</t>
        </is>
      </c>
      <c r="H2168" t="n">
        <v>5000</v>
      </c>
      <c r="I2168" t="inlineStr">
        <is>
          <t>202401319601063754</t>
        </is>
      </c>
      <c r="J2168" t="inlineStr">
        <is>
          <t>https://docquery.fec.gov/cgi-bin/fecimg/?202401319601063754</t>
        </is>
      </c>
    </row>
    <row r="2169">
      <c r="A2169" t="inlineStr">
        <is>
          <t>2024</t>
        </is>
      </c>
      <c r="B2169" t="inlineStr">
        <is>
          <t>C00483677</t>
        </is>
      </c>
      <c r="C2169" t="inlineStr">
        <is>
          <t>American Petroleum Institute PAC (API PAC)</t>
        </is>
      </c>
      <c r="D2169" t="inlineStr">
        <is>
          <t>JASON SMITH FOR CONGRESS</t>
        </is>
      </c>
      <c r="E2169" t="inlineStr">
        <is>
          <t>H4MO08162</t>
        </is>
      </c>
      <c r="F2169" t="inlineStr">
        <is>
          <t>REP</t>
        </is>
      </c>
      <c r="G2169" t="inlineStr">
        <is>
          <t>07062023</t>
        </is>
      </c>
      <c r="H2169" t="n">
        <v>2000</v>
      </c>
      <c r="I2169" t="inlineStr">
        <is>
          <t>202401319601063754</t>
        </is>
      </c>
      <c r="J2169" t="inlineStr">
        <is>
          <t>https://docquery.fec.gov/cgi-bin/fecimg/?202401319601063754</t>
        </is>
      </c>
    </row>
    <row r="2170">
      <c r="A2170" t="inlineStr">
        <is>
          <t>2024</t>
        </is>
      </c>
      <c r="B2170" t="inlineStr">
        <is>
          <t>C00483677</t>
        </is>
      </c>
      <c r="C2170" t="inlineStr">
        <is>
          <t>American Petroleum Institute PAC (API PAC)</t>
        </is>
      </c>
      <c r="D2170" t="inlineStr">
        <is>
          <t>JEFF DUNCAN FOR CONGRESS</t>
        </is>
      </c>
      <c r="E2170" t="inlineStr">
        <is>
          <t>H0SC03077</t>
        </is>
      </c>
      <c r="F2170" t="inlineStr">
        <is>
          <t>REP</t>
        </is>
      </c>
      <c r="G2170" t="inlineStr">
        <is>
          <t>07062023</t>
        </is>
      </c>
      <c r="H2170" t="n">
        <v>2000</v>
      </c>
      <c r="I2170" t="inlineStr">
        <is>
          <t>202401319601063755</t>
        </is>
      </c>
      <c r="J2170" t="inlineStr">
        <is>
          <t>https://docquery.fec.gov/cgi-bin/fecimg/?202401319601063755</t>
        </is>
      </c>
    </row>
    <row r="2171">
      <c r="A2171" t="inlineStr">
        <is>
          <t>2024</t>
        </is>
      </c>
      <c r="B2171" t="inlineStr">
        <is>
          <t>C00483677</t>
        </is>
      </c>
      <c r="C2171" t="inlineStr">
        <is>
          <t>American Petroleum Institute PAC (API PAC)</t>
        </is>
      </c>
      <c r="D2171" t="inlineStr">
        <is>
          <t>DR. BRIAN BABIN FOR CONGRESS</t>
        </is>
      </c>
      <c r="E2171" t="inlineStr">
        <is>
          <t>H6TX02079</t>
        </is>
      </c>
      <c r="F2171" t="inlineStr">
        <is>
          <t>REP</t>
        </is>
      </c>
      <c r="G2171" t="inlineStr">
        <is>
          <t>07172024</t>
        </is>
      </c>
      <c r="H2171" t="n">
        <v>1000</v>
      </c>
      <c r="I2171" t="inlineStr">
        <is>
          <t>202408209666514213</t>
        </is>
      </c>
      <c r="J2171" t="inlineStr">
        <is>
          <t>https://docquery.fec.gov/cgi-bin/fecimg/?202408209666514213</t>
        </is>
      </c>
    </row>
    <row r="2172">
      <c r="A2172" t="inlineStr">
        <is>
          <t>2024</t>
        </is>
      </c>
      <c r="B2172" t="inlineStr">
        <is>
          <t>C00483677</t>
        </is>
      </c>
      <c r="C2172" t="inlineStr">
        <is>
          <t>American Petroleum Institute PAC (API PAC)</t>
        </is>
      </c>
      <c r="D2172" t="inlineStr">
        <is>
          <t>ELIZABETH PANNILL FLETCHER FOR CONGRESS</t>
        </is>
      </c>
      <c r="E2172" t="inlineStr">
        <is>
          <t>H8TX07140</t>
        </is>
      </c>
      <c r="F2172" t="inlineStr">
        <is>
          <t>DEM</t>
        </is>
      </c>
      <c r="G2172" t="inlineStr">
        <is>
          <t>07172024</t>
        </is>
      </c>
      <c r="H2172" t="n">
        <v>2500</v>
      </c>
      <c r="I2172" t="inlineStr">
        <is>
          <t>202408209666514213</t>
        </is>
      </c>
      <c r="J2172" t="inlineStr">
        <is>
          <t>https://docquery.fec.gov/cgi-bin/fecimg/?202408209666514213</t>
        </is>
      </c>
    </row>
    <row r="2173">
      <c r="A2173" t="inlineStr">
        <is>
          <t>2024</t>
        </is>
      </c>
      <c r="B2173" t="inlineStr">
        <is>
          <t>C00483677</t>
        </is>
      </c>
      <c r="C2173" t="inlineStr">
        <is>
          <t>American Petroleum Institute PAC (API PAC)</t>
        </is>
      </c>
      <c r="D2173" t="inlineStr">
        <is>
          <t>HERN FOR CONGRESS</t>
        </is>
      </c>
      <c r="E2173" t="inlineStr">
        <is>
          <t>H8OK01157</t>
        </is>
      </c>
      <c r="F2173" t="inlineStr">
        <is>
          <t>REP</t>
        </is>
      </c>
      <c r="G2173" t="inlineStr">
        <is>
          <t>07212023</t>
        </is>
      </c>
      <c r="H2173" t="n">
        <v>1000</v>
      </c>
      <c r="I2173" t="inlineStr">
        <is>
          <t>202401319601063755</t>
        </is>
      </c>
      <c r="J2173" t="inlineStr">
        <is>
          <t>https://docquery.fec.gov/cgi-bin/fecimg/?202401319601063755</t>
        </is>
      </c>
    </row>
    <row r="2174">
      <c r="A2174" t="inlineStr">
        <is>
          <t>2024</t>
        </is>
      </c>
      <c r="B2174" t="inlineStr">
        <is>
          <t>C00483677</t>
        </is>
      </c>
      <c r="C2174" t="inlineStr">
        <is>
          <t>American Petroleum Institute PAC (API PAC)</t>
        </is>
      </c>
      <c r="D2174" t="inlineStr">
        <is>
          <t>ANN WAGNER FOR CONGRESS</t>
        </is>
      </c>
      <c r="E2174" t="inlineStr">
        <is>
          <t>H2MO02102</t>
        </is>
      </c>
      <c r="F2174" t="inlineStr">
        <is>
          <t>REP</t>
        </is>
      </c>
      <c r="G2174" t="inlineStr">
        <is>
          <t>07222024</t>
        </is>
      </c>
      <c r="H2174" t="n">
        <v>1000</v>
      </c>
      <c r="I2174" t="inlineStr">
        <is>
          <t>202408209666514213</t>
        </is>
      </c>
      <c r="J2174" t="inlineStr">
        <is>
          <t>https://docquery.fec.gov/cgi-bin/fecimg/?202408209666514213</t>
        </is>
      </c>
    </row>
    <row r="2175">
      <c r="A2175" t="inlineStr">
        <is>
          <t>2024</t>
        </is>
      </c>
      <c r="B2175" t="inlineStr">
        <is>
          <t>C00483677</t>
        </is>
      </c>
      <c r="C2175" t="inlineStr">
        <is>
          <t>American Petroleum Institute PAC (API PAC)</t>
        </is>
      </c>
      <c r="D2175" t="inlineStr">
        <is>
          <t>LORI CHAVEZ-DEREMER FOR CONGRESS</t>
        </is>
      </c>
      <c r="E2175" t="inlineStr">
        <is>
          <t>H2OR05209</t>
        </is>
      </c>
      <c r="F2175" t="inlineStr">
        <is>
          <t>REP</t>
        </is>
      </c>
      <c r="G2175" t="inlineStr">
        <is>
          <t>07222024</t>
        </is>
      </c>
      <c r="H2175" t="n">
        <v>1000</v>
      </c>
      <c r="I2175" t="inlineStr">
        <is>
          <t>202408209666514214</t>
        </is>
      </c>
      <c r="J2175" t="inlineStr">
        <is>
          <t>https://docquery.fec.gov/cgi-bin/fecimg/?202408209666514214</t>
        </is>
      </c>
    </row>
    <row r="2176">
      <c r="A2176" t="inlineStr">
        <is>
          <t>2024</t>
        </is>
      </c>
      <c r="B2176" t="inlineStr">
        <is>
          <t>C00483677</t>
        </is>
      </c>
      <c r="C2176" t="inlineStr">
        <is>
          <t>American Petroleum Institute PAC (API PAC)</t>
        </is>
      </c>
      <c r="D2176" t="inlineStr">
        <is>
          <t>MONICA FOR CONGRESS</t>
        </is>
      </c>
      <c r="E2176" t="inlineStr">
        <is>
          <t>H0TX15124</t>
        </is>
      </c>
      <c r="F2176" t="inlineStr">
        <is>
          <t>REP</t>
        </is>
      </c>
      <c r="G2176" t="inlineStr">
        <is>
          <t>07222024</t>
        </is>
      </c>
      <c r="H2176" t="n">
        <v>1000</v>
      </c>
      <c r="I2176" t="inlineStr">
        <is>
          <t>202408209666514214</t>
        </is>
      </c>
      <c r="J2176" t="inlineStr">
        <is>
          <t>https://docquery.fec.gov/cgi-bin/fecimg/?202408209666514214</t>
        </is>
      </c>
    </row>
    <row r="2177">
      <c r="A2177" t="inlineStr">
        <is>
          <t>2024</t>
        </is>
      </c>
      <c r="B2177" t="inlineStr">
        <is>
          <t>C00483677</t>
        </is>
      </c>
      <c r="C2177" t="inlineStr">
        <is>
          <t>American Petroleum Institute PAC (API PAC)</t>
        </is>
      </c>
      <c r="D2177" t="inlineStr">
        <is>
          <t>LUCAS FOR CONGRESS</t>
        </is>
      </c>
      <c r="E2177" t="inlineStr">
        <is>
          <t>H4OK06056</t>
        </is>
      </c>
      <c r="F2177" t="inlineStr">
        <is>
          <t>REP</t>
        </is>
      </c>
      <c r="G2177" t="inlineStr">
        <is>
          <t>07232024</t>
        </is>
      </c>
      <c r="H2177" t="n">
        <v>1000</v>
      </c>
      <c r="I2177" t="inlineStr">
        <is>
          <t>202408209666514214</t>
        </is>
      </c>
      <c r="J2177" t="inlineStr">
        <is>
          <t>https://docquery.fec.gov/cgi-bin/fecimg/?202408209666514214</t>
        </is>
      </c>
    </row>
    <row r="2178">
      <c r="A2178" t="inlineStr">
        <is>
          <t>2024</t>
        </is>
      </c>
      <c r="B2178" t="inlineStr">
        <is>
          <t>C00483677</t>
        </is>
      </c>
      <c r="C2178" t="inlineStr">
        <is>
          <t>American Petroleum Institute PAC (API PAC)</t>
        </is>
      </c>
      <c r="D2178" t="inlineStr">
        <is>
          <t>MARIE FOR CONGRESS</t>
        </is>
      </c>
      <c r="E2178" t="inlineStr">
        <is>
          <t>H2WA03217</t>
        </is>
      </c>
      <c r="F2178" t="inlineStr">
        <is>
          <t>DEM</t>
        </is>
      </c>
      <c r="G2178" t="inlineStr">
        <is>
          <t>07232024</t>
        </is>
      </c>
      <c r="H2178" t="n">
        <v>1500</v>
      </c>
      <c r="I2178" t="inlineStr">
        <is>
          <t>202408209666514215</t>
        </is>
      </c>
      <c r="J2178" t="inlineStr">
        <is>
          <t>https://docquery.fec.gov/cgi-bin/fecimg/?202408209666514215</t>
        </is>
      </c>
    </row>
    <row r="2179">
      <c r="A2179" t="inlineStr">
        <is>
          <t>2024</t>
        </is>
      </c>
      <c r="B2179" t="inlineStr">
        <is>
          <t>C00483677</t>
        </is>
      </c>
      <c r="C2179" t="inlineStr">
        <is>
          <t>American Petroleum Institute PAC (API PAC)</t>
        </is>
      </c>
      <c r="D2179" t="inlineStr">
        <is>
          <t>MARIE FOR CONGRESS</t>
        </is>
      </c>
      <c r="E2179" t="inlineStr">
        <is>
          <t>H2WA03217</t>
        </is>
      </c>
      <c r="F2179" t="inlineStr">
        <is>
          <t>DEM</t>
        </is>
      </c>
      <c r="G2179" t="inlineStr">
        <is>
          <t>07232024</t>
        </is>
      </c>
      <c r="H2179" t="n">
        <v>1000</v>
      </c>
      <c r="I2179" t="inlineStr">
        <is>
          <t>202408209666514215</t>
        </is>
      </c>
      <c r="J2179" t="inlineStr">
        <is>
          <t>https://docquery.fec.gov/cgi-bin/fecimg/?202408209666514215</t>
        </is>
      </c>
    </row>
    <row r="2180">
      <c r="A2180" t="inlineStr">
        <is>
          <t>2024</t>
        </is>
      </c>
      <c r="B2180" t="inlineStr">
        <is>
          <t>C00483677</t>
        </is>
      </c>
      <c r="C2180" t="inlineStr">
        <is>
          <t>American Petroleum Institute PAC (API PAC)</t>
        </is>
      </c>
      <c r="D2180" t="inlineStr">
        <is>
          <t>MARY PELTOLA FOR ALASKA</t>
        </is>
      </c>
      <c r="E2180" t="inlineStr">
        <is>
          <t>H2AK01158</t>
        </is>
      </c>
      <c r="F2180" t="inlineStr">
        <is>
          <t>DEM</t>
        </is>
      </c>
      <c r="G2180" t="inlineStr">
        <is>
          <t>07232024</t>
        </is>
      </c>
      <c r="H2180" t="n">
        <v>1500</v>
      </c>
      <c r="I2180" t="inlineStr">
        <is>
          <t>202408209666514215</t>
        </is>
      </c>
      <c r="J2180" t="inlineStr">
        <is>
          <t>https://docquery.fec.gov/cgi-bin/fecimg/?202408209666514215</t>
        </is>
      </c>
    </row>
    <row r="2181">
      <c r="A2181" t="inlineStr">
        <is>
          <t>2024</t>
        </is>
      </c>
      <c r="B2181" t="inlineStr">
        <is>
          <t>C00483677</t>
        </is>
      </c>
      <c r="C2181" t="inlineStr">
        <is>
          <t>American Petroleum Institute PAC (API PAC)</t>
        </is>
      </c>
      <c r="D2181" t="inlineStr">
        <is>
          <t>VICENTE GONZALEZ FOR CONGRESS</t>
        </is>
      </c>
      <c r="E2181" t="inlineStr">
        <is>
          <t>H6TX15162</t>
        </is>
      </c>
      <c r="F2181" t="inlineStr">
        <is>
          <t>DEM</t>
        </is>
      </c>
      <c r="G2181" t="inlineStr">
        <is>
          <t>07232024</t>
        </is>
      </c>
      <c r="H2181" t="n">
        <v>1500</v>
      </c>
      <c r="I2181" t="inlineStr">
        <is>
          <t>202408209666514216</t>
        </is>
      </c>
      <c r="J2181" t="inlineStr">
        <is>
          <t>https://docquery.fec.gov/cgi-bin/fecimg/?202408209666514216</t>
        </is>
      </c>
    </row>
    <row r="2182">
      <c r="A2182" t="inlineStr">
        <is>
          <t>2024</t>
        </is>
      </c>
      <c r="B2182" t="inlineStr">
        <is>
          <t>C00483677</t>
        </is>
      </c>
      <c r="C2182" t="inlineStr">
        <is>
          <t>American Petroleum Institute PAC (API PAC)</t>
        </is>
      </c>
      <c r="D2182" t="inlineStr">
        <is>
          <t>FRIENDS OF MIKE LEE INC</t>
        </is>
      </c>
      <c r="E2182" t="inlineStr">
        <is>
          <t>S0UT00165</t>
        </is>
      </c>
      <c r="F2182" t="inlineStr">
        <is>
          <t>REP</t>
        </is>
      </c>
      <c r="G2182" t="inlineStr">
        <is>
          <t>07252024</t>
        </is>
      </c>
      <c r="H2182" t="n">
        <v>1500</v>
      </c>
      <c r="I2182" t="inlineStr">
        <is>
          <t>202408209666514216</t>
        </is>
      </c>
      <c r="J2182" t="inlineStr">
        <is>
          <t>https://docquery.fec.gov/cgi-bin/fecimg/?202408209666514216</t>
        </is>
      </c>
    </row>
    <row r="2183">
      <c r="A2183" t="inlineStr">
        <is>
          <t>2024</t>
        </is>
      </c>
      <c r="B2183" t="inlineStr">
        <is>
          <t>C00483677</t>
        </is>
      </c>
      <c r="C2183" t="inlineStr">
        <is>
          <t>American Petroleum Institute PAC (API PAC)</t>
        </is>
      </c>
      <c r="D2183" t="inlineStr">
        <is>
          <t>BEN CLINE FOR CONGRESS INC.</t>
        </is>
      </c>
      <c r="E2183" t="inlineStr">
        <is>
          <t>H8VA06104</t>
        </is>
      </c>
      <c r="F2183" t="inlineStr">
        <is>
          <t>REP</t>
        </is>
      </c>
      <c r="G2183" t="inlineStr">
        <is>
          <t>07312024</t>
        </is>
      </c>
      <c r="H2183" t="n">
        <v>1000</v>
      </c>
      <c r="I2183" t="inlineStr">
        <is>
          <t>202408209666514216</t>
        </is>
      </c>
      <c r="J2183" t="inlineStr">
        <is>
          <t>https://docquery.fec.gov/cgi-bin/fecimg/?202408209666514216</t>
        </is>
      </c>
    </row>
    <row r="2184">
      <c r="A2184" t="inlineStr">
        <is>
          <t>2024</t>
        </is>
      </c>
      <c r="B2184" t="inlineStr">
        <is>
          <t>C00483677</t>
        </is>
      </c>
      <c r="C2184" t="inlineStr">
        <is>
          <t>American Petroleum Institute PAC (API PAC)</t>
        </is>
      </c>
      <c r="D2184" t="inlineStr">
        <is>
          <t>EMMER FOR CONGRESS</t>
        </is>
      </c>
      <c r="E2184" t="inlineStr">
        <is>
          <t>H4MN06087</t>
        </is>
      </c>
      <c r="F2184" t="inlineStr">
        <is>
          <t>REP</t>
        </is>
      </c>
      <c r="G2184" t="inlineStr">
        <is>
          <t>07312024</t>
        </is>
      </c>
      <c r="H2184" t="n">
        <v>2500</v>
      </c>
      <c r="I2184" t="inlineStr">
        <is>
          <t>202408209666514217</t>
        </is>
      </c>
      <c r="J2184" t="inlineStr">
        <is>
          <t>https://docquery.fec.gov/cgi-bin/fecimg/?202408209666514217</t>
        </is>
      </c>
    </row>
    <row r="2185">
      <c r="A2185" t="inlineStr">
        <is>
          <t>2024</t>
        </is>
      </c>
      <c r="B2185" t="inlineStr">
        <is>
          <t>C00483677</t>
        </is>
      </c>
      <c r="C2185" t="inlineStr">
        <is>
          <t>American Petroleum Institute PAC (API PAC)</t>
        </is>
      </c>
      <c r="D2185" t="inlineStr">
        <is>
          <t>FINSTAD FOR CONGRESS</t>
        </is>
      </c>
      <c r="E2185" t="inlineStr">
        <is>
          <t>H2MN01223</t>
        </is>
      </c>
      <c r="F2185" t="inlineStr">
        <is>
          <t>REP</t>
        </is>
      </c>
      <c r="G2185" t="inlineStr">
        <is>
          <t>07312024</t>
        </is>
      </c>
      <c r="H2185" t="n">
        <v>1000</v>
      </c>
      <c r="I2185" t="inlineStr">
        <is>
          <t>202408209666514217</t>
        </is>
      </c>
      <c r="J2185" t="inlineStr">
        <is>
          <t>https://docquery.fec.gov/cgi-bin/fecimg/?202408209666514217</t>
        </is>
      </c>
    </row>
    <row r="2186">
      <c r="A2186" t="inlineStr">
        <is>
          <t>2024</t>
        </is>
      </c>
      <c r="B2186" t="inlineStr">
        <is>
          <t>C00483677</t>
        </is>
      </c>
      <c r="C2186" t="inlineStr">
        <is>
          <t>American Petroleum Institute PAC (API PAC)</t>
        </is>
      </c>
      <c r="D2186" t="inlineStr">
        <is>
          <t>FISCHBACH FOR CONGRESS</t>
        </is>
      </c>
      <c r="E2186" t="inlineStr">
        <is>
          <t>H0MN07091</t>
        </is>
      </c>
      <c r="F2186" t="inlineStr">
        <is>
          <t>REP</t>
        </is>
      </c>
      <c r="G2186" t="inlineStr">
        <is>
          <t>07312024</t>
        </is>
      </c>
      <c r="H2186" t="n">
        <v>1000</v>
      </c>
      <c r="I2186" t="inlineStr">
        <is>
          <t>202408209666514217</t>
        </is>
      </c>
      <c r="J2186" t="inlineStr">
        <is>
          <t>https://docquery.fec.gov/cgi-bin/fecimg/?202408209666514217</t>
        </is>
      </c>
    </row>
    <row r="2187">
      <c r="A2187" t="inlineStr">
        <is>
          <t>2024</t>
        </is>
      </c>
      <c r="B2187" t="inlineStr">
        <is>
          <t>C00483677</t>
        </is>
      </c>
      <c r="C2187" t="inlineStr">
        <is>
          <t>American Petroleum Institute PAC (API PAC)</t>
        </is>
      </c>
      <c r="D2187" t="inlineStr">
        <is>
          <t>PETE STAUBER FOR CONGRESS</t>
        </is>
      </c>
      <c r="E2187" t="inlineStr">
        <is>
          <t>H8MN08043</t>
        </is>
      </c>
      <c r="F2187" t="inlineStr">
        <is>
          <t>REP</t>
        </is>
      </c>
      <c r="G2187" t="inlineStr">
        <is>
          <t>07312024</t>
        </is>
      </c>
      <c r="H2187" t="n">
        <v>1000</v>
      </c>
      <c r="I2187" t="inlineStr">
        <is>
          <t>202408209666514218</t>
        </is>
      </c>
      <c r="J2187" t="inlineStr">
        <is>
          <t>https://docquery.fec.gov/cgi-bin/fecimg/?202408209666514218</t>
        </is>
      </c>
    </row>
    <row r="2188">
      <c r="A2188" t="inlineStr">
        <is>
          <t>2024</t>
        </is>
      </c>
      <c r="B2188" t="inlineStr">
        <is>
          <t>C00483677</t>
        </is>
      </c>
      <c r="C2188" t="inlineStr">
        <is>
          <t>American Petroleum Institute PAC (API PAC)</t>
        </is>
      </c>
      <c r="D2188" t="inlineStr">
        <is>
          <t>ELISE FOR CONGRESS</t>
        </is>
      </c>
      <c r="E2188" t="inlineStr">
        <is>
          <t>H4NY21079</t>
        </is>
      </c>
      <c r="F2188" t="inlineStr">
        <is>
          <t>REP</t>
        </is>
      </c>
      <c r="G2188" t="inlineStr">
        <is>
          <t>08052024</t>
        </is>
      </c>
      <c r="H2188" t="n">
        <v>5000</v>
      </c>
      <c r="I2188" t="inlineStr">
        <is>
          <t>202409209675620608</t>
        </is>
      </c>
      <c r="J2188" t="inlineStr">
        <is>
          <t>https://docquery.fec.gov/cgi-bin/fecimg/?202409209675620608</t>
        </is>
      </c>
    </row>
    <row r="2189">
      <c r="A2189" t="inlineStr">
        <is>
          <t>2024</t>
        </is>
      </c>
      <c r="B2189" t="inlineStr">
        <is>
          <t>C00483677</t>
        </is>
      </c>
      <c r="C2189" t="inlineStr">
        <is>
          <t>American Petroleum Institute PAC (API PAC)</t>
        </is>
      </c>
      <c r="D2189" t="inlineStr">
        <is>
          <t>EMMER FOR CONGRESS</t>
        </is>
      </c>
      <c r="E2189" t="inlineStr">
        <is>
          <t>H4MN06087</t>
        </is>
      </c>
      <c r="F2189" t="inlineStr">
        <is>
          <t>REP</t>
        </is>
      </c>
      <c r="G2189" t="inlineStr">
        <is>
          <t>08052024</t>
        </is>
      </c>
      <c r="H2189" t="n">
        <v>2500</v>
      </c>
      <c r="I2189" t="inlineStr">
        <is>
          <t>202409209675620608</t>
        </is>
      </c>
      <c r="J2189" t="inlineStr">
        <is>
          <t>https://docquery.fec.gov/cgi-bin/fecimg/?202409209675620608</t>
        </is>
      </c>
    </row>
    <row r="2190">
      <c r="A2190" t="inlineStr">
        <is>
          <t>2024</t>
        </is>
      </c>
      <c r="B2190" t="inlineStr">
        <is>
          <t>C00483677</t>
        </is>
      </c>
      <c r="C2190" t="inlineStr">
        <is>
          <t>American Petroleum Institute PAC (API PAC)</t>
        </is>
      </c>
      <c r="D2190" t="inlineStr">
        <is>
          <t>SCALISE FOR CONGRESS</t>
        </is>
      </c>
      <c r="E2190" t="inlineStr">
        <is>
          <t>H0LA01087</t>
        </is>
      </c>
      <c r="F2190" t="inlineStr">
        <is>
          <t>REP</t>
        </is>
      </c>
      <c r="G2190" t="inlineStr">
        <is>
          <t>08052024</t>
        </is>
      </c>
      <c r="H2190" t="n">
        <v>2500</v>
      </c>
      <c r="I2190" t="inlineStr">
        <is>
          <t>202409209675620608</t>
        </is>
      </c>
      <c r="J2190" t="inlineStr">
        <is>
          <t>https://docquery.fec.gov/cgi-bin/fecimg/?202409209675620608</t>
        </is>
      </c>
    </row>
    <row r="2191">
      <c r="A2191" t="inlineStr">
        <is>
          <t>2024</t>
        </is>
      </c>
      <c r="B2191" t="inlineStr">
        <is>
          <t>C00483677</t>
        </is>
      </c>
      <c r="C2191" t="inlineStr">
        <is>
          <t>American Petroleum Institute PAC (API PAC)</t>
        </is>
      </c>
      <c r="D2191" t="inlineStr">
        <is>
          <t>HUNT FOR CONGRESS</t>
        </is>
      </c>
      <c r="E2191" t="inlineStr">
        <is>
          <t>H0TX07170</t>
        </is>
      </c>
      <c r="F2191" t="inlineStr">
        <is>
          <t>REP</t>
        </is>
      </c>
      <c r="G2191" t="inlineStr">
        <is>
          <t>08062024</t>
        </is>
      </c>
      <c r="H2191" t="n">
        <v>4000</v>
      </c>
      <c r="I2191" t="inlineStr">
        <is>
          <t>202409209675620609</t>
        </is>
      </c>
      <c r="J2191" t="inlineStr">
        <is>
          <t>https://docquery.fec.gov/cgi-bin/fecimg/?202409209675620609</t>
        </is>
      </c>
    </row>
    <row r="2192">
      <c r="A2192" t="inlineStr">
        <is>
          <t>2024</t>
        </is>
      </c>
      <c r="B2192" t="inlineStr">
        <is>
          <t>C00483677</t>
        </is>
      </c>
      <c r="C2192" t="inlineStr">
        <is>
          <t>American Petroleum Institute PAC (API PAC)</t>
        </is>
      </c>
      <c r="D2192" t="inlineStr">
        <is>
          <t>CAPITO FOR WEST VIRGINIA</t>
        </is>
      </c>
      <c r="E2192" t="inlineStr">
        <is>
          <t>S4WV00159</t>
        </is>
      </c>
      <c r="F2192" t="inlineStr">
        <is>
          <t>REP</t>
        </is>
      </c>
      <c r="G2192" t="inlineStr">
        <is>
          <t>08132024</t>
        </is>
      </c>
      <c r="H2192" t="n">
        <v>1500</v>
      </c>
      <c r="I2192" t="inlineStr">
        <is>
          <t>202409209675620609</t>
        </is>
      </c>
      <c r="J2192" t="inlineStr">
        <is>
          <t>https://docquery.fec.gov/cgi-bin/fecimg/?202409209675620609</t>
        </is>
      </c>
    </row>
    <row r="2193">
      <c r="A2193" t="inlineStr">
        <is>
          <t>2024</t>
        </is>
      </c>
      <c r="B2193" t="inlineStr">
        <is>
          <t>C00483677</t>
        </is>
      </c>
      <c r="C2193" t="inlineStr">
        <is>
          <t>American Petroleum Institute PAC (API PAC)</t>
        </is>
      </c>
      <c r="D2193" t="inlineStr">
        <is>
          <t>COMMITTEE TO ELECT JARED GOLDEN</t>
        </is>
      </c>
      <c r="E2193" t="inlineStr">
        <is>
          <t>H8ME02185</t>
        </is>
      </c>
      <c r="F2193" t="inlineStr">
        <is>
          <t>DEM</t>
        </is>
      </c>
      <c r="G2193" t="inlineStr">
        <is>
          <t>08132024</t>
        </is>
      </c>
      <c r="H2193" t="n">
        <v>2500</v>
      </c>
      <c r="I2193" t="inlineStr">
        <is>
          <t>202409209675620609</t>
        </is>
      </c>
      <c r="J2193" t="inlineStr">
        <is>
          <t>https://docquery.fec.gov/cgi-bin/fecimg/?202409209675620609</t>
        </is>
      </c>
    </row>
    <row r="2194">
      <c r="A2194" t="inlineStr">
        <is>
          <t>2024</t>
        </is>
      </c>
      <c r="B2194" t="inlineStr">
        <is>
          <t>C00483677</t>
        </is>
      </c>
      <c r="C2194" t="inlineStr">
        <is>
          <t>American Petroleum Institute PAC (API PAC)</t>
        </is>
      </c>
      <c r="D2194" t="inlineStr">
        <is>
          <t>EMMER FOR CONGRESS</t>
        </is>
      </c>
      <c r="E2194" t="inlineStr">
        <is>
          <t>H4MN06087</t>
        </is>
      </c>
      <c r="F2194" t="inlineStr">
        <is>
          <t>REP</t>
        </is>
      </c>
      <c r="G2194" t="inlineStr">
        <is>
          <t>08132024</t>
        </is>
      </c>
      <c r="H2194" t="n">
        <v>2500</v>
      </c>
      <c r="I2194" t="inlineStr">
        <is>
          <t>202409209675620610</t>
        </is>
      </c>
      <c r="J2194" t="inlineStr">
        <is>
          <t>https://docquery.fec.gov/cgi-bin/fecimg/?202409209675620610</t>
        </is>
      </c>
    </row>
    <row r="2195">
      <c r="A2195" t="inlineStr">
        <is>
          <t>2024</t>
        </is>
      </c>
      <c r="B2195" t="inlineStr">
        <is>
          <t>C00483677</t>
        </is>
      </c>
      <c r="C2195" t="inlineStr">
        <is>
          <t>American Petroleum Institute PAC (API PAC)</t>
        </is>
      </c>
      <c r="D2195" t="inlineStr">
        <is>
          <t>GUY FOR CONGRESS</t>
        </is>
      </c>
      <c r="E2195" t="inlineStr">
        <is>
          <t>H8PA18199</t>
        </is>
      </c>
      <c r="F2195" t="inlineStr">
        <is>
          <t>REP</t>
        </is>
      </c>
      <c r="G2195" t="inlineStr">
        <is>
          <t>08132024</t>
        </is>
      </c>
      <c r="H2195" t="n">
        <v>2500</v>
      </c>
      <c r="I2195" t="inlineStr">
        <is>
          <t>202409209675620610</t>
        </is>
      </c>
      <c r="J2195" t="inlineStr">
        <is>
          <t>https://docquery.fec.gov/cgi-bin/fecimg/?202409209675620610</t>
        </is>
      </c>
    </row>
    <row r="2196">
      <c r="A2196" t="inlineStr">
        <is>
          <t>2024</t>
        </is>
      </c>
      <c r="B2196" t="inlineStr">
        <is>
          <t>C00483677</t>
        </is>
      </c>
      <c r="C2196" t="inlineStr">
        <is>
          <t>American Petroleum Institute PAC (API PAC)</t>
        </is>
      </c>
      <c r="D2196" t="inlineStr">
        <is>
          <t>JASON SMITH FOR CONGRESS</t>
        </is>
      </c>
      <c r="E2196" t="inlineStr">
        <is>
          <t>H4MO08162</t>
        </is>
      </c>
      <c r="F2196" t="inlineStr">
        <is>
          <t>REP</t>
        </is>
      </c>
      <c r="G2196" t="inlineStr">
        <is>
          <t>08132024</t>
        </is>
      </c>
      <c r="H2196" t="n">
        <v>5000</v>
      </c>
      <c r="I2196" t="inlineStr">
        <is>
          <t>202409209675620610</t>
        </is>
      </c>
      <c r="J2196" t="inlineStr">
        <is>
          <t>https://docquery.fec.gov/cgi-bin/fecimg/?202409209675620610</t>
        </is>
      </c>
    </row>
    <row r="2197">
      <c r="A2197" t="inlineStr">
        <is>
          <t>2024</t>
        </is>
      </c>
      <c r="B2197" t="inlineStr">
        <is>
          <t>C00483677</t>
        </is>
      </c>
      <c r="C2197" t="inlineStr">
        <is>
          <t>American Petroleum Institute PAC (API PAC)</t>
        </is>
      </c>
      <c r="D2197" t="inlineStr">
        <is>
          <t>JEFF HURD FOR CONGRESS</t>
        </is>
      </c>
      <c r="E2197" t="inlineStr">
        <is>
          <t>H4CO03357</t>
        </is>
      </c>
      <c r="F2197" t="inlineStr">
        <is>
          <t>REP</t>
        </is>
      </c>
      <c r="G2197" t="inlineStr">
        <is>
          <t>08132024</t>
        </is>
      </c>
      <c r="H2197" t="n">
        <v>1000</v>
      </c>
      <c r="I2197" t="inlineStr">
        <is>
          <t>202409209675620611</t>
        </is>
      </c>
      <c r="J2197" t="inlineStr">
        <is>
          <t>https://docquery.fec.gov/cgi-bin/fecimg/?202409209675620611</t>
        </is>
      </c>
    </row>
    <row r="2198">
      <c r="A2198" t="inlineStr">
        <is>
          <t>2024</t>
        </is>
      </c>
      <c r="B2198" t="inlineStr">
        <is>
          <t>C00483677</t>
        </is>
      </c>
      <c r="C2198" t="inlineStr">
        <is>
          <t>American Petroleum Institute PAC (API PAC)</t>
        </is>
      </c>
      <c r="D2198" t="inlineStr">
        <is>
          <t>MARIE FOR CONGRESS</t>
        </is>
      </c>
      <c r="E2198" t="inlineStr">
        <is>
          <t>H2WA03217</t>
        </is>
      </c>
      <c r="F2198" t="inlineStr">
        <is>
          <t>DEM</t>
        </is>
      </c>
      <c r="G2198" t="inlineStr">
        <is>
          <t>08142024</t>
        </is>
      </c>
      <c r="H2198" t="n">
        <v>4000</v>
      </c>
      <c r="I2198" t="inlineStr">
        <is>
          <t>202409209675620611</t>
        </is>
      </c>
      <c r="J2198" t="inlineStr">
        <is>
          <t>https://docquery.fec.gov/cgi-bin/fecimg/?202409209675620611</t>
        </is>
      </c>
    </row>
    <row r="2199">
      <c r="A2199" t="inlineStr">
        <is>
          <t>2024</t>
        </is>
      </c>
      <c r="B2199" t="inlineStr">
        <is>
          <t>C00483677</t>
        </is>
      </c>
      <c r="C2199" t="inlineStr">
        <is>
          <t>American Petroleum Institute PAC (API PAC)</t>
        </is>
      </c>
      <c r="D2199" t="inlineStr">
        <is>
          <t>VICENTE GONZALEZ FOR CONGRESS</t>
        </is>
      </c>
      <c r="E2199" t="inlineStr">
        <is>
          <t>H6TX15162</t>
        </is>
      </c>
      <c r="F2199" t="inlineStr">
        <is>
          <t>DEM</t>
        </is>
      </c>
      <c r="G2199" t="inlineStr">
        <is>
          <t>08142024</t>
        </is>
      </c>
      <c r="H2199" t="n">
        <v>2500</v>
      </c>
      <c r="I2199" t="inlineStr">
        <is>
          <t>202409209675620611</t>
        </is>
      </c>
      <c r="J2199" t="inlineStr">
        <is>
          <t>https://docquery.fec.gov/cgi-bin/fecimg/?202409209675620611</t>
        </is>
      </c>
    </row>
    <row r="2200">
      <c r="A2200" t="inlineStr">
        <is>
          <t>2024</t>
        </is>
      </c>
      <c r="B2200" t="inlineStr">
        <is>
          <t>C00483677</t>
        </is>
      </c>
      <c r="C2200" t="inlineStr">
        <is>
          <t>American Petroleum Institute PAC (API PAC)</t>
        </is>
      </c>
      <c r="D2200" t="inlineStr">
        <is>
          <t>VINCE FONG FOR CONGRESS</t>
        </is>
      </c>
      <c r="E2200" t="inlineStr">
        <is>
          <t>H4CA20181</t>
        </is>
      </c>
      <c r="F2200" t="inlineStr">
        <is>
          <t>REP</t>
        </is>
      </c>
      <c r="G2200" t="inlineStr">
        <is>
          <t>08142024</t>
        </is>
      </c>
      <c r="H2200" t="n">
        <v>1000</v>
      </c>
      <c r="I2200" t="inlineStr">
        <is>
          <t>202409209675620612</t>
        </is>
      </c>
      <c r="J2200" t="inlineStr">
        <is>
          <t>https://docquery.fec.gov/cgi-bin/fecimg/?202409209675620612</t>
        </is>
      </c>
    </row>
    <row r="2201">
      <c r="A2201" t="inlineStr">
        <is>
          <t>2024</t>
        </is>
      </c>
      <c r="B2201" t="inlineStr">
        <is>
          <t>C00483677</t>
        </is>
      </c>
      <c r="C2201" t="inlineStr">
        <is>
          <t>American Petroleum Institute PAC (API PAC)</t>
        </is>
      </c>
      <c r="D2201" t="inlineStr">
        <is>
          <t>ANDY BARR FOR CONGRESS INC.</t>
        </is>
      </c>
      <c r="E2201" t="inlineStr">
        <is>
          <t>H0KY06104</t>
        </is>
      </c>
      <c r="F2201" t="inlineStr">
        <is>
          <t>REP</t>
        </is>
      </c>
      <c r="G2201" t="inlineStr">
        <is>
          <t>08152023</t>
        </is>
      </c>
      <c r="H2201" t="n">
        <v>1000</v>
      </c>
      <c r="I2201" t="inlineStr">
        <is>
          <t>202401319601063756</t>
        </is>
      </c>
      <c r="J2201" t="inlineStr">
        <is>
          <t>https://docquery.fec.gov/cgi-bin/fecimg/?202401319601063756</t>
        </is>
      </c>
    </row>
    <row r="2202">
      <c r="A2202" t="inlineStr">
        <is>
          <t>2024</t>
        </is>
      </c>
      <c r="B2202" t="inlineStr">
        <is>
          <t>C00483677</t>
        </is>
      </c>
      <c r="C2202" t="inlineStr">
        <is>
          <t>American Petroleum Institute PAC (API PAC)</t>
        </is>
      </c>
      <c r="D2202" t="inlineStr">
        <is>
          <t>CAROL FOR CONGRESS</t>
        </is>
      </c>
      <c r="E2202" t="inlineStr">
        <is>
          <t>H8WV03097</t>
        </is>
      </c>
      <c r="F2202" t="inlineStr">
        <is>
          <t>REP</t>
        </is>
      </c>
      <c r="G2202" t="inlineStr">
        <is>
          <t>08152023</t>
        </is>
      </c>
      <c r="H2202" t="n">
        <v>1000</v>
      </c>
      <c r="I2202" t="inlineStr">
        <is>
          <t>202401319601063756</t>
        </is>
      </c>
      <c r="J2202" t="inlineStr">
        <is>
          <t>https://docquery.fec.gov/cgi-bin/fecimg/?202401319601063756</t>
        </is>
      </c>
    </row>
    <row r="2203">
      <c r="A2203" t="inlineStr">
        <is>
          <t>2024</t>
        </is>
      </c>
      <c r="B2203" t="inlineStr">
        <is>
          <t>C00483677</t>
        </is>
      </c>
      <c r="C2203" t="inlineStr">
        <is>
          <t>American Petroleum Institute PAC (API PAC)</t>
        </is>
      </c>
      <c r="D2203" t="inlineStr">
        <is>
          <t>CRAMER FOR SENATE</t>
        </is>
      </c>
      <c r="E2203" t="inlineStr">
        <is>
          <t>S8ND00120</t>
        </is>
      </c>
      <c r="F2203" t="inlineStr">
        <is>
          <t>REP</t>
        </is>
      </c>
      <c r="G2203" t="inlineStr">
        <is>
          <t>08152023</t>
        </is>
      </c>
      <c r="H2203" t="n">
        <v>1000</v>
      </c>
      <c r="I2203" t="inlineStr">
        <is>
          <t>202401319601063756</t>
        </is>
      </c>
      <c r="J2203" t="inlineStr">
        <is>
          <t>https://docquery.fec.gov/cgi-bin/fecimg/?202401319601063756</t>
        </is>
      </c>
    </row>
    <row r="2204">
      <c r="A2204" t="inlineStr">
        <is>
          <t>2024</t>
        </is>
      </c>
      <c r="B2204" t="inlineStr">
        <is>
          <t>C00483677</t>
        </is>
      </c>
      <c r="C2204" t="inlineStr">
        <is>
          <t>American Petroleum Institute PAC (API PAC)</t>
        </is>
      </c>
      <c r="D2204" t="inlineStr">
        <is>
          <t>GARRET GRAVES FOR CONGRESS</t>
        </is>
      </c>
      <c r="E2204" t="inlineStr">
        <is>
          <t>H4LA06153</t>
        </is>
      </c>
      <c r="F2204" t="inlineStr">
        <is>
          <t>REP</t>
        </is>
      </c>
      <c r="G2204" t="inlineStr">
        <is>
          <t>08152023</t>
        </is>
      </c>
      <c r="H2204" t="n">
        <v>1500</v>
      </c>
      <c r="I2204" t="inlineStr">
        <is>
          <t>202401319601063757</t>
        </is>
      </c>
      <c r="J2204" t="inlineStr">
        <is>
          <t>https://docquery.fec.gov/cgi-bin/fecimg/?202401319601063757</t>
        </is>
      </c>
    </row>
    <row r="2205">
      <c r="A2205" t="inlineStr">
        <is>
          <t>2024</t>
        </is>
      </c>
      <c r="B2205" t="inlineStr">
        <is>
          <t>C00483677</t>
        </is>
      </c>
      <c r="C2205" t="inlineStr">
        <is>
          <t>American Petroleum Institute PAC (API PAC)</t>
        </is>
      </c>
      <c r="D2205" t="inlineStr">
        <is>
          <t>LUCAS FOR CONGRESS</t>
        </is>
      </c>
      <c r="E2205" t="inlineStr">
        <is>
          <t>H4OK06056</t>
        </is>
      </c>
      <c r="F2205" t="inlineStr">
        <is>
          <t>REP</t>
        </is>
      </c>
      <c r="G2205" t="inlineStr">
        <is>
          <t>08152023</t>
        </is>
      </c>
      <c r="H2205" t="n">
        <v>1000</v>
      </c>
      <c r="I2205" t="inlineStr">
        <is>
          <t>202401319601063757</t>
        </is>
      </c>
      <c r="J2205" t="inlineStr">
        <is>
          <t>https://docquery.fec.gov/cgi-bin/fecimg/?202401319601063757</t>
        </is>
      </c>
    </row>
    <row r="2206">
      <c r="A2206" t="inlineStr">
        <is>
          <t>2024</t>
        </is>
      </c>
      <c r="B2206" t="inlineStr">
        <is>
          <t>C00483677</t>
        </is>
      </c>
      <c r="C2206" t="inlineStr">
        <is>
          <t>American Petroleum Institute PAC (API PAC)</t>
        </is>
      </c>
      <c r="D2206" t="inlineStr">
        <is>
          <t>MARC VEASEY CONGRESSIONAL CAMPAIGN COMMITTEE</t>
        </is>
      </c>
      <c r="E2206" t="inlineStr">
        <is>
          <t>H2TX33073</t>
        </is>
      </c>
      <c r="F2206" t="inlineStr">
        <is>
          <t>DEM</t>
        </is>
      </c>
      <c r="G2206" t="inlineStr">
        <is>
          <t>08152023</t>
        </is>
      </c>
      <c r="H2206" t="n">
        <v>1000</v>
      </c>
      <c r="I2206" t="inlineStr">
        <is>
          <t>202401319601063757</t>
        </is>
      </c>
      <c r="J2206" t="inlineStr">
        <is>
          <t>https://docquery.fec.gov/cgi-bin/fecimg/?202401319601063757</t>
        </is>
      </c>
    </row>
    <row r="2207">
      <c r="A2207" t="inlineStr">
        <is>
          <t>2024</t>
        </is>
      </c>
      <c r="B2207" t="inlineStr">
        <is>
          <t>C00483677</t>
        </is>
      </c>
      <c r="C2207" t="inlineStr">
        <is>
          <t>American Petroleum Institute PAC (API PAC)</t>
        </is>
      </c>
      <c r="D2207" t="inlineStr">
        <is>
          <t>SYLVIA GARCIA FOR CONGRESS</t>
        </is>
      </c>
      <c r="E2207" t="inlineStr">
        <is>
          <t>H8TX29052</t>
        </is>
      </c>
      <c r="F2207" t="inlineStr">
        <is>
          <t>DEM</t>
        </is>
      </c>
      <c r="G2207" t="inlineStr">
        <is>
          <t>08152023</t>
        </is>
      </c>
      <c r="H2207" t="n">
        <v>1000</v>
      </c>
      <c r="I2207" t="inlineStr">
        <is>
          <t>202401319601063758</t>
        </is>
      </c>
      <c r="J2207" t="inlineStr">
        <is>
          <t>https://docquery.fec.gov/cgi-bin/fecimg/?202401319601063758</t>
        </is>
      </c>
    </row>
    <row r="2208">
      <c r="A2208" t="inlineStr">
        <is>
          <t>2024</t>
        </is>
      </c>
      <c r="B2208" t="inlineStr">
        <is>
          <t>C00483677</t>
        </is>
      </c>
      <c r="C2208" t="inlineStr">
        <is>
          <t>American Petroleum Institute PAC (API PAC)</t>
        </is>
      </c>
      <c r="D2208" t="inlineStr">
        <is>
          <t>ALASKANS FOR DAN SULLIVAN</t>
        </is>
      </c>
      <c r="E2208" t="inlineStr">
        <is>
          <t>S4AK00214</t>
        </is>
      </c>
      <c r="F2208" t="inlineStr">
        <is>
          <t>REP</t>
        </is>
      </c>
      <c r="G2208" t="inlineStr">
        <is>
          <t>08152023</t>
        </is>
      </c>
      <c r="H2208" t="n">
        <v>1000</v>
      </c>
      <c r="I2208" t="inlineStr">
        <is>
          <t>202401319601063755</t>
        </is>
      </c>
      <c r="J2208" t="inlineStr">
        <is>
          <t>https://docquery.fec.gov/cgi-bin/fecimg/?202401319601063755</t>
        </is>
      </c>
    </row>
    <row r="2209">
      <c r="A2209" t="inlineStr">
        <is>
          <t>2024</t>
        </is>
      </c>
      <c r="B2209" t="inlineStr">
        <is>
          <t>C00483677</t>
        </is>
      </c>
      <c r="C2209" t="inlineStr">
        <is>
          <t>American Petroleum Institute PAC (API PAC)</t>
        </is>
      </c>
      <c r="D2209" t="inlineStr">
        <is>
          <t>JOHN JAMES FOR CONGRESS INC.</t>
        </is>
      </c>
      <c r="E2209" t="inlineStr">
        <is>
          <t>H2MI10150</t>
        </is>
      </c>
      <c r="F2209" t="inlineStr">
        <is>
          <t>REP</t>
        </is>
      </c>
      <c r="G2209" t="inlineStr">
        <is>
          <t>08262024</t>
        </is>
      </c>
      <c r="H2209" t="n">
        <v>5000</v>
      </c>
      <c r="I2209" t="inlineStr">
        <is>
          <t>202409209675620612</t>
        </is>
      </c>
      <c r="J2209" t="inlineStr">
        <is>
          <t>https://docquery.fec.gov/cgi-bin/fecimg/?202409209675620612</t>
        </is>
      </c>
    </row>
    <row r="2210">
      <c r="A2210" t="inlineStr">
        <is>
          <t>2024</t>
        </is>
      </c>
      <c r="B2210" t="inlineStr">
        <is>
          <t>C00483677</t>
        </is>
      </c>
      <c r="C2210" t="inlineStr">
        <is>
          <t>American Petroleum Institute PAC (API PAC)</t>
        </is>
      </c>
      <c r="D2210" t="inlineStr">
        <is>
          <t>JULIE JOHNSON FOR CONGRESS</t>
        </is>
      </c>
      <c r="E2210" t="inlineStr">
        <is>
          <t>H4TX32089</t>
        </is>
      </c>
      <c r="F2210" t="inlineStr">
        <is>
          <t>DEM</t>
        </is>
      </c>
      <c r="G2210" t="inlineStr">
        <is>
          <t>08262024</t>
        </is>
      </c>
      <c r="H2210" t="n">
        <v>2500</v>
      </c>
      <c r="I2210" t="inlineStr">
        <is>
          <t>202409209675620612</t>
        </is>
      </c>
      <c r="J2210" t="inlineStr">
        <is>
          <t>https://docquery.fec.gov/cgi-bin/fecimg/?202409209675620612</t>
        </is>
      </c>
    </row>
    <row r="2211">
      <c r="A2211" t="inlineStr">
        <is>
          <t>2024</t>
        </is>
      </c>
      <c r="B2211" t="inlineStr">
        <is>
          <t>C00483677</t>
        </is>
      </c>
      <c r="C2211" t="inlineStr">
        <is>
          <t>American Petroleum Institute PAC (API PAC)</t>
        </is>
      </c>
      <c r="D2211" t="inlineStr">
        <is>
          <t>PETE RICKETTS FOR SENATE</t>
        </is>
      </c>
      <c r="E2211" t="inlineStr">
        <is>
          <t>S6NE00129</t>
        </is>
      </c>
      <c r="F2211" t="inlineStr">
        <is>
          <t>REP</t>
        </is>
      </c>
      <c r="G2211" t="inlineStr">
        <is>
          <t>08262024</t>
        </is>
      </c>
      <c r="H2211" t="n">
        <v>1500</v>
      </c>
      <c r="I2211" t="inlineStr">
        <is>
          <t>202409209675620613</t>
        </is>
      </c>
      <c r="J2211" t="inlineStr">
        <is>
          <t>https://docquery.fec.gov/cgi-bin/fecimg/?202409209675620613</t>
        </is>
      </c>
    </row>
    <row r="2212">
      <c r="A2212" t="inlineStr">
        <is>
          <t>2024</t>
        </is>
      </c>
      <c r="B2212" t="inlineStr">
        <is>
          <t>C00483677</t>
        </is>
      </c>
      <c r="C2212" t="inlineStr">
        <is>
          <t>American Petroleum Institute PAC (API PAC)</t>
        </is>
      </c>
      <c r="D2212" t="inlineStr">
        <is>
          <t>CISCOMANI FOR CONGRESS</t>
        </is>
      </c>
      <c r="E2212" t="inlineStr">
        <is>
          <t>H2AZ02360</t>
        </is>
      </c>
      <c r="F2212" t="inlineStr">
        <is>
          <t>REP</t>
        </is>
      </c>
      <c r="G2212" t="inlineStr">
        <is>
          <t>09092024</t>
        </is>
      </c>
      <c r="H2212" t="n">
        <v>1000</v>
      </c>
      <c r="I2212" t="inlineStr">
        <is>
          <t>202410209699289160</t>
        </is>
      </c>
      <c r="J2212" t="inlineStr">
        <is>
          <t>https://docquery.fec.gov/cgi-bin/fecimg/?202410209699289160</t>
        </is>
      </c>
    </row>
    <row r="2213">
      <c r="A2213" t="inlineStr">
        <is>
          <t>2024</t>
        </is>
      </c>
      <c r="B2213" t="inlineStr">
        <is>
          <t>C00483677</t>
        </is>
      </c>
      <c r="C2213" t="inlineStr">
        <is>
          <t>American Petroleum Institute PAC (API PAC)</t>
        </is>
      </c>
      <c r="D2213" t="inlineStr">
        <is>
          <t>DAVID ROUZER FOR CONGRESS</t>
        </is>
      </c>
      <c r="E2213" t="inlineStr">
        <is>
          <t>H2NC07096</t>
        </is>
      </c>
      <c r="F2213" t="inlineStr">
        <is>
          <t>REP</t>
        </is>
      </c>
      <c r="G2213" t="inlineStr">
        <is>
          <t>09092024</t>
        </is>
      </c>
      <c r="H2213" t="n">
        <v>1500</v>
      </c>
      <c r="I2213" t="inlineStr">
        <is>
          <t>202410209699289160</t>
        </is>
      </c>
      <c r="J2213" t="inlineStr">
        <is>
          <t>https://docquery.fec.gov/cgi-bin/fecimg/?202410209699289160</t>
        </is>
      </c>
    </row>
    <row r="2214">
      <c r="A2214" t="inlineStr">
        <is>
          <t>2024</t>
        </is>
      </c>
      <c r="B2214" t="inlineStr">
        <is>
          <t>C00483677</t>
        </is>
      </c>
      <c r="C2214" t="inlineStr">
        <is>
          <t>American Petroleum Institute PAC (API PAC)</t>
        </is>
      </c>
      <c r="D2214" t="inlineStr">
        <is>
          <t>HUDSON FOR CONGRESS</t>
        </is>
      </c>
      <c r="E2214" t="inlineStr">
        <is>
          <t>H2NC08185</t>
        </is>
      </c>
      <c r="F2214" t="inlineStr">
        <is>
          <t>REP</t>
        </is>
      </c>
      <c r="G2214" t="inlineStr">
        <is>
          <t>09092024</t>
        </is>
      </c>
      <c r="H2214" t="n">
        <v>3000</v>
      </c>
      <c r="I2214" t="inlineStr">
        <is>
          <t>202410209699289160</t>
        </is>
      </c>
      <c r="J2214" t="inlineStr">
        <is>
          <t>https://docquery.fec.gov/cgi-bin/fecimg/?202410209699289160</t>
        </is>
      </c>
    </row>
    <row r="2215">
      <c r="A2215" t="inlineStr">
        <is>
          <t>2024</t>
        </is>
      </c>
      <c r="B2215" t="inlineStr">
        <is>
          <t>C00483677</t>
        </is>
      </c>
      <c r="C2215" t="inlineStr">
        <is>
          <t>American Petroleum Institute PAC (API PAC)</t>
        </is>
      </c>
      <c r="D2215" t="inlineStr">
        <is>
          <t>JONI FOR IOWA</t>
        </is>
      </c>
      <c r="E2215" t="inlineStr">
        <is>
          <t>S4IA00129</t>
        </is>
      </c>
      <c r="F2215" t="inlineStr">
        <is>
          <t>REP</t>
        </is>
      </c>
      <c r="G2215" t="inlineStr">
        <is>
          <t>09092024</t>
        </is>
      </c>
      <c r="H2215" t="n">
        <v>2500</v>
      </c>
      <c r="I2215" t="inlineStr">
        <is>
          <t>202410209699289161</t>
        </is>
      </c>
      <c r="J2215" t="inlineStr">
        <is>
          <t>https://docquery.fec.gov/cgi-bin/fecimg/?202410209699289161</t>
        </is>
      </c>
    </row>
    <row r="2216">
      <c r="A2216" t="inlineStr">
        <is>
          <t>2024</t>
        </is>
      </c>
      <c r="B2216" t="inlineStr">
        <is>
          <t>C00483677</t>
        </is>
      </c>
      <c r="C2216" t="inlineStr">
        <is>
          <t>American Petroleum Institute PAC (API PAC)</t>
        </is>
      </c>
      <c r="D2216" t="inlineStr">
        <is>
          <t>FRIENDS OF TODD YOUNG INC.</t>
        </is>
      </c>
      <c r="E2216" t="inlineStr">
        <is>
          <t>S6IN00191</t>
        </is>
      </c>
      <c r="F2216" t="inlineStr">
        <is>
          <t>REP</t>
        </is>
      </c>
      <c r="G2216" t="inlineStr">
        <is>
          <t>09102024</t>
        </is>
      </c>
      <c r="H2216" t="n">
        <v>1500</v>
      </c>
      <c r="I2216" t="inlineStr">
        <is>
          <t>202410209699289161</t>
        </is>
      </c>
      <c r="J2216" t="inlineStr">
        <is>
          <t>https://docquery.fec.gov/cgi-bin/fecimg/?202410209699289161</t>
        </is>
      </c>
    </row>
    <row r="2217">
      <c r="A2217" t="inlineStr">
        <is>
          <t>2024</t>
        </is>
      </c>
      <c r="B2217" t="inlineStr">
        <is>
          <t>C00483677</t>
        </is>
      </c>
      <c r="C2217" t="inlineStr">
        <is>
          <t>American Petroleum Institute PAC (API PAC)</t>
        </is>
      </c>
      <c r="D2217" t="inlineStr">
        <is>
          <t>GARY PALMER FOR CONGRESS</t>
        </is>
      </c>
      <c r="E2217" t="inlineStr">
        <is>
          <t>H4AL06098</t>
        </is>
      </c>
      <c r="F2217" t="inlineStr">
        <is>
          <t>REP</t>
        </is>
      </c>
      <c r="G2217" t="inlineStr">
        <is>
          <t>09102024</t>
        </is>
      </c>
      <c r="H2217" t="n">
        <v>1000</v>
      </c>
      <c r="I2217" t="inlineStr">
        <is>
          <t>202410209699289161</t>
        </is>
      </c>
      <c r="J2217" t="inlineStr">
        <is>
          <t>https://docquery.fec.gov/cgi-bin/fecimg/?202410209699289161</t>
        </is>
      </c>
    </row>
    <row r="2218">
      <c r="A2218" t="inlineStr">
        <is>
          <t>2024</t>
        </is>
      </c>
      <c r="B2218" t="inlineStr">
        <is>
          <t>C00483677</t>
        </is>
      </c>
      <c r="C2218" t="inlineStr">
        <is>
          <t>American Petroleum Institute PAC (API PAC)</t>
        </is>
      </c>
      <c r="D2218" t="inlineStr">
        <is>
          <t>COMMITTEE TO ELECT JARED GOLDEN</t>
        </is>
      </c>
      <c r="E2218" t="inlineStr">
        <is>
          <t>H8ME02185</t>
        </is>
      </c>
      <c r="F2218" t="inlineStr">
        <is>
          <t>DEM</t>
        </is>
      </c>
      <c r="G2218" t="inlineStr">
        <is>
          <t>09112024</t>
        </is>
      </c>
      <c r="H2218" t="n">
        <v>2500</v>
      </c>
      <c r="I2218" t="inlineStr">
        <is>
          <t>202410209699289162</t>
        </is>
      </c>
      <c r="J2218" t="inlineStr">
        <is>
          <t>https://docquery.fec.gov/cgi-bin/fecimg/?202410209699289162</t>
        </is>
      </c>
    </row>
    <row r="2219">
      <c r="A2219" t="inlineStr">
        <is>
          <t>2024</t>
        </is>
      </c>
      <c r="B2219" t="inlineStr">
        <is>
          <t>C00483677</t>
        </is>
      </c>
      <c r="C2219" t="inlineStr">
        <is>
          <t>American Petroleum Institute PAC (API PAC)</t>
        </is>
      </c>
      <c r="D2219" t="inlineStr">
        <is>
          <t>MARTIN HEINRICH FOR SENATE</t>
        </is>
      </c>
      <c r="E2219" t="inlineStr">
        <is>
          <t>S2NM00088</t>
        </is>
      </c>
      <c r="F2219" t="inlineStr">
        <is>
          <t>DEM</t>
        </is>
      </c>
      <c r="G2219" t="inlineStr">
        <is>
          <t>09112024</t>
        </is>
      </c>
      <c r="H2219" t="n">
        <v>5000</v>
      </c>
      <c r="I2219" t="inlineStr">
        <is>
          <t>202410209699289162</t>
        </is>
      </c>
      <c r="J2219" t="inlineStr">
        <is>
          <t>https://docquery.fec.gov/cgi-bin/fecimg/?202410209699289162</t>
        </is>
      </c>
    </row>
    <row r="2220">
      <c r="A2220" t="inlineStr">
        <is>
          <t>2024</t>
        </is>
      </c>
      <c r="B2220" t="inlineStr">
        <is>
          <t>C00483677</t>
        </is>
      </c>
      <c r="C2220" t="inlineStr">
        <is>
          <t>American Petroleum Institute PAC (API PAC)</t>
        </is>
      </c>
      <c r="D2220" t="inlineStr">
        <is>
          <t>DR. BRIAN BABIN FOR CONGRESS</t>
        </is>
      </c>
      <c r="E2220" t="inlineStr">
        <is>
          <t>H6TX02079</t>
        </is>
      </c>
      <c r="F2220" t="inlineStr">
        <is>
          <t>REP</t>
        </is>
      </c>
      <c r="G2220" t="inlineStr">
        <is>
          <t>09122024</t>
        </is>
      </c>
      <c r="H2220" t="n">
        <v>2500</v>
      </c>
      <c r="I2220" t="inlineStr">
        <is>
          <t>202410209699289162</t>
        </is>
      </c>
      <c r="J2220" t="inlineStr">
        <is>
          <t>https://docquery.fec.gov/cgi-bin/fecimg/?202410209699289162</t>
        </is>
      </c>
    </row>
    <row r="2221">
      <c r="A2221" t="inlineStr">
        <is>
          <t>2024</t>
        </is>
      </c>
      <c r="B2221" t="inlineStr">
        <is>
          <t>C00483677</t>
        </is>
      </c>
      <c r="C2221" t="inlineStr">
        <is>
          <t>American Petroleum Institute PAC (API PAC)</t>
        </is>
      </c>
      <c r="D2221" t="inlineStr">
        <is>
          <t>ELIZABETH PANNILL FLETCHER FOR CONGRESS</t>
        </is>
      </c>
      <c r="E2221" t="inlineStr">
        <is>
          <t>H8TX07140</t>
        </is>
      </c>
      <c r="F2221" t="inlineStr">
        <is>
          <t>DEM</t>
        </is>
      </c>
      <c r="G2221" t="inlineStr">
        <is>
          <t>09122024</t>
        </is>
      </c>
      <c r="H2221" t="n">
        <v>1500</v>
      </c>
      <c r="I2221" t="inlineStr">
        <is>
          <t>202410209699289163</t>
        </is>
      </c>
      <c r="J2221" t="inlineStr">
        <is>
          <t>https://docquery.fec.gov/cgi-bin/fecimg/?202410209699289163</t>
        </is>
      </c>
    </row>
    <row r="2222">
      <c r="A2222" t="inlineStr">
        <is>
          <t>2024</t>
        </is>
      </c>
      <c r="B2222" t="inlineStr">
        <is>
          <t>C00483677</t>
        </is>
      </c>
      <c r="C2222" t="inlineStr">
        <is>
          <t>American Petroleum Institute PAC (API PAC)</t>
        </is>
      </c>
      <c r="D2222" t="inlineStr">
        <is>
          <t>JIM COSTA FOR CONGRESS</t>
        </is>
      </c>
      <c r="E2222" t="inlineStr">
        <is>
          <t>H4CA20082</t>
        </is>
      </c>
      <c r="F2222" t="inlineStr">
        <is>
          <t>DEM</t>
        </is>
      </c>
      <c r="G2222" t="inlineStr">
        <is>
          <t>09122024</t>
        </is>
      </c>
      <c r="H2222" t="n">
        <v>1500</v>
      </c>
      <c r="I2222" t="inlineStr">
        <is>
          <t>202410209699289163</t>
        </is>
      </c>
      <c r="J2222" t="inlineStr">
        <is>
          <t>https://docquery.fec.gov/cgi-bin/fecimg/?202410209699289163</t>
        </is>
      </c>
    </row>
    <row r="2223">
      <c r="A2223" t="inlineStr">
        <is>
          <t>2024</t>
        </is>
      </c>
      <c r="B2223" t="inlineStr">
        <is>
          <t>C00483677</t>
        </is>
      </c>
      <c r="C2223" t="inlineStr">
        <is>
          <t>American Petroleum Institute PAC (API PAC)</t>
        </is>
      </c>
      <c r="D2223" t="inlineStr">
        <is>
          <t>MARC VEASEY CONGRESSIONAL CAMPAIGN COMMITTEE</t>
        </is>
      </c>
      <c r="E2223" t="inlineStr">
        <is>
          <t>H2TX33073</t>
        </is>
      </c>
      <c r="F2223" t="inlineStr">
        <is>
          <t>DEM</t>
        </is>
      </c>
      <c r="G2223" t="inlineStr">
        <is>
          <t>09122024</t>
        </is>
      </c>
      <c r="H2223" t="n">
        <v>2500</v>
      </c>
      <c r="I2223" t="inlineStr">
        <is>
          <t>202410209699289163</t>
        </is>
      </c>
      <c r="J2223" t="inlineStr">
        <is>
          <t>https://docquery.fec.gov/cgi-bin/fecimg/?202410209699289163</t>
        </is>
      </c>
    </row>
    <row r="2224">
      <c r="A2224" t="inlineStr">
        <is>
          <t>2024</t>
        </is>
      </c>
      <c r="B2224" t="inlineStr">
        <is>
          <t>C00483677</t>
        </is>
      </c>
      <c r="C2224" t="inlineStr">
        <is>
          <t>American Petroleum Institute PAC (API PAC)</t>
        </is>
      </c>
      <c r="D2224" t="inlineStr">
        <is>
          <t>MILLER-MEEKS FOR CONGRESS</t>
        </is>
      </c>
      <c r="E2224" t="inlineStr">
        <is>
          <t>H8IA02043</t>
        </is>
      </c>
      <c r="F2224" t="inlineStr">
        <is>
          <t>REP</t>
        </is>
      </c>
      <c r="G2224" t="inlineStr">
        <is>
          <t>09122024</t>
        </is>
      </c>
      <c r="H2224" t="n">
        <v>5000</v>
      </c>
      <c r="I2224" t="inlineStr">
        <is>
          <t>202410209699289164</t>
        </is>
      </c>
      <c r="J2224" t="inlineStr">
        <is>
          <t>https://docquery.fec.gov/cgi-bin/fecimg/?202410209699289164</t>
        </is>
      </c>
    </row>
    <row r="2225">
      <c r="A2225" t="inlineStr">
        <is>
          <t>2024</t>
        </is>
      </c>
      <c r="B2225" t="inlineStr">
        <is>
          <t>C00483677</t>
        </is>
      </c>
      <c r="C2225" t="inlineStr">
        <is>
          <t>American Petroleum Institute PAC (API PAC)</t>
        </is>
      </c>
      <c r="D2225" t="inlineStr">
        <is>
          <t>SANFORD BISHOP FOR CONGRESS</t>
        </is>
      </c>
      <c r="E2225" t="inlineStr">
        <is>
          <t>H2GA02031</t>
        </is>
      </c>
      <c r="F2225" t="inlineStr">
        <is>
          <t>DEM</t>
        </is>
      </c>
      <c r="G2225" t="inlineStr">
        <is>
          <t>09122024</t>
        </is>
      </c>
      <c r="H2225" t="n">
        <v>2500</v>
      </c>
      <c r="I2225" t="inlineStr">
        <is>
          <t>202410209699289164</t>
        </is>
      </c>
      <c r="J2225" t="inlineStr">
        <is>
          <t>https://docquery.fec.gov/cgi-bin/fecimg/?202410209699289164</t>
        </is>
      </c>
    </row>
    <row r="2226">
      <c r="A2226" t="inlineStr">
        <is>
          <t>2024</t>
        </is>
      </c>
      <c r="B2226" t="inlineStr">
        <is>
          <t>C00483677</t>
        </is>
      </c>
      <c r="C2226" t="inlineStr">
        <is>
          <t>American Petroleum Institute PAC (API PAC)</t>
        </is>
      </c>
      <c r="D2226" t="inlineStr">
        <is>
          <t>SYLVIA GARCIA FOR CONGRESS</t>
        </is>
      </c>
      <c r="E2226" t="inlineStr">
        <is>
          <t>H8TX29052</t>
        </is>
      </c>
      <c r="F2226" t="inlineStr">
        <is>
          <t>DEM</t>
        </is>
      </c>
      <c r="G2226" t="inlineStr">
        <is>
          <t>09122024</t>
        </is>
      </c>
      <c r="H2226" t="n">
        <v>4000</v>
      </c>
      <c r="I2226" t="inlineStr">
        <is>
          <t>202410209699289164</t>
        </is>
      </c>
      <c r="J2226" t="inlineStr">
        <is>
          <t>https://docquery.fec.gov/cgi-bin/fecimg/?202410209699289164</t>
        </is>
      </c>
    </row>
    <row r="2227">
      <c r="A2227" t="inlineStr">
        <is>
          <t>2024</t>
        </is>
      </c>
      <c r="B2227" t="inlineStr">
        <is>
          <t>C00483677</t>
        </is>
      </c>
      <c r="C2227" t="inlineStr">
        <is>
          <t>American Petroleum Institute PAC (API PAC)</t>
        </is>
      </c>
      <c r="D2227" t="inlineStr">
        <is>
          <t>TEXANS FOR HENRY CUELLAR CONGRESSIONAL CAMPAIGN</t>
        </is>
      </c>
      <c r="E2227" t="inlineStr">
        <is>
          <t>H2TX23082</t>
        </is>
      </c>
      <c r="F2227" t="inlineStr">
        <is>
          <t>DEM</t>
        </is>
      </c>
      <c r="G2227" t="inlineStr">
        <is>
          <t>09122024</t>
        </is>
      </c>
      <c r="H2227" t="n">
        <v>4000</v>
      </c>
      <c r="I2227" t="inlineStr">
        <is>
          <t>202410209699289165</t>
        </is>
      </c>
      <c r="J2227" t="inlineStr">
        <is>
          <t>https://docquery.fec.gov/cgi-bin/fecimg/?202410209699289165</t>
        </is>
      </c>
    </row>
    <row r="2228">
      <c r="A2228" t="inlineStr">
        <is>
          <t>2024</t>
        </is>
      </c>
      <c r="B2228" t="inlineStr">
        <is>
          <t>C00483677</t>
        </is>
      </c>
      <c r="C2228" t="inlineStr">
        <is>
          <t>American Petroleum Institute PAC (API PAC)</t>
        </is>
      </c>
      <c r="D2228" t="inlineStr">
        <is>
          <t>CAREY FOR CONGRESS</t>
        </is>
      </c>
      <c r="E2228" t="inlineStr">
        <is>
          <t>H2OH15228</t>
        </is>
      </c>
      <c r="F2228" t="inlineStr">
        <is>
          <t>REP</t>
        </is>
      </c>
      <c r="G2228" t="inlineStr">
        <is>
          <t>09182023</t>
        </is>
      </c>
      <c r="H2228" t="n">
        <v>1000</v>
      </c>
      <c r="I2228" t="inlineStr">
        <is>
          <t>202401319601063758</t>
        </is>
      </c>
      <c r="J2228" t="inlineStr">
        <is>
          <t>https://docquery.fec.gov/cgi-bin/fecimg/?202401319601063758</t>
        </is>
      </c>
    </row>
    <row r="2229">
      <c r="A2229" t="inlineStr">
        <is>
          <t>2024</t>
        </is>
      </c>
      <c r="B2229" t="inlineStr">
        <is>
          <t>C00483677</t>
        </is>
      </c>
      <c r="C2229" t="inlineStr">
        <is>
          <t>American Petroleum Institute PAC (API PAC)</t>
        </is>
      </c>
      <c r="D2229" t="inlineStr">
        <is>
          <t>JOHN JAMES FOR CONGRESS INC.</t>
        </is>
      </c>
      <c r="E2229" t="inlineStr">
        <is>
          <t>H2MI10150</t>
        </is>
      </c>
      <c r="F2229" t="inlineStr">
        <is>
          <t>REP</t>
        </is>
      </c>
      <c r="G2229" t="inlineStr">
        <is>
          <t>09182023</t>
        </is>
      </c>
      <c r="H2229" t="n">
        <v>1000</v>
      </c>
      <c r="I2229" t="inlineStr">
        <is>
          <t>202401319601063758</t>
        </is>
      </c>
      <c r="J2229" t="inlineStr">
        <is>
          <t>https://docquery.fec.gov/cgi-bin/fecimg/?202401319601063758</t>
        </is>
      </c>
    </row>
    <row r="2230">
      <c r="A2230" t="inlineStr">
        <is>
          <t>2024</t>
        </is>
      </c>
      <c r="B2230" t="inlineStr">
        <is>
          <t>C00483677</t>
        </is>
      </c>
      <c r="C2230" t="inlineStr">
        <is>
          <t>American Petroleum Institute PAC (API PAC)</t>
        </is>
      </c>
      <c r="D2230" t="inlineStr">
        <is>
          <t>KEVIN MCCARTHY FOR CONGRESS</t>
        </is>
      </c>
      <c r="E2230" t="inlineStr">
        <is>
          <t>H6CA22125</t>
        </is>
      </c>
      <c r="F2230" t="inlineStr">
        <is>
          <t>REP</t>
        </is>
      </c>
      <c r="G2230" t="inlineStr">
        <is>
          <t>09182023</t>
        </is>
      </c>
      <c r="H2230" t="n">
        <v>5000</v>
      </c>
      <c r="I2230" t="inlineStr">
        <is>
          <t>202401319601063759</t>
        </is>
      </c>
      <c r="J2230" t="inlineStr">
        <is>
          <t>https://docquery.fec.gov/cgi-bin/fecimg/?202401319601063759</t>
        </is>
      </c>
    </row>
    <row r="2231">
      <c r="A2231" t="inlineStr">
        <is>
          <t>2024</t>
        </is>
      </c>
      <c r="B2231" t="inlineStr">
        <is>
          <t>C00483677</t>
        </is>
      </c>
      <c r="C2231" t="inlineStr">
        <is>
          <t>American Petroleum Institute PAC (API PAC)</t>
        </is>
      </c>
      <c r="D2231" t="inlineStr">
        <is>
          <t>RON ESTES FOR CONGRESS</t>
        </is>
      </c>
      <c r="E2231" t="inlineStr">
        <is>
          <t>H8KS04112</t>
        </is>
      </c>
      <c r="F2231" t="inlineStr">
        <is>
          <t>REP</t>
        </is>
      </c>
      <c r="G2231" t="inlineStr">
        <is>
          <t>09182023</t>
        </is>
      </c>
      <c r="H2231" t="n">
        <v>1000</v>
      </c>
      <c r="I2231" t="inlineStr">
        <is>
          <t>202401319601063759</t>
        </is>
      </c>
      <c r="J2231" t="inlineStr">
        <is>
          <t>https://docquery.fec.gov/cgi-bin/fecimg/?202401319601063759</t>
        </is>
      </c>
    </row>
    <row r="2232">
      <c r="A2232" t="inlineStr">
        <is>
          <t>2024</t>
        </is>
      </c>
      <c r="B2232" t="inlineStr">
        <is>
          <t>C00483677</t>
        </is>
      </c>
      <c r="C2232" t="inlineStr">
        <is>
          <t>American Petroleum Institute PAC (API PAC)</t>
        </is>
      </c>
      <c r="D2232" t="inlineStr">
        <is>
          <t>WICKER FOR SENATE</t>
        </is>
      </c>
      <c r="E2232" t="inlineStr">
        <is>
          <t>S8MS00196</t>
        </is>
      </c>
      <c r="F2232" t="inlineStr">
        <is>
          <t>REP</t>
        </is>
      </c>
      <c r="G2232" t="inlineStr">
        <is>
          <t>09182023</t>
        </is>
      </c>
      <c r="H2232" t="n">
        <v>1000</v>
      </c>
      <c r="I2232" t="inlineStr">
        <is>
          <t>202401319601063759</t>
        </is>
      </c>
      <c r="J2232" t="inlineStr">
        <is>
          <t>https://docquery.fec.gov/cgi-bin/fecimg/?202401319601063759</t>
        </is>
      </c>
    </row>
    <row r="2233">
      <c r="A2233" t="inlineStr">
        <is>
          <t>2024</t>
        </is>
      </c>
      <c r="B2233" t="inlineStr">
        <is>
          <t>C00483677</t>
        </is>
      </c>
      <c r="C2233" t="inlineStr">
        <is>
          <t>American Petroleum Institute PAC (API PAC)</t>
        </is>
      </c>
      <c r="D2233" t="inlineStr">
        <is>
          <t>TED CRUZ FOR SENATE</t>
        </is>
      </c>
      <c r="E2233" t="inlineStr">
        <is>
          <t>S2TX00312</t>
        </is>
      </c>
      <c r="F2233" t="inlineStr">
        <is>
          <t>REP</t>
        </is>
      </c>
      <c r="G2233" t="inlineStr">
        <is>
          <t>09192024</t>
        </is>
      </c>
      <c r="H2233" t="n">
        <v>5000</v>
      </c>
      <c r="I2233" t="inlineStr">
        <is>
          <t>202410209699289165</t>
        </is>
      </c>
      <c r="J2233" t="inlineStr">
        <is>
          <t>https://docquery.fec.gov/cgi-bin/fecimg/?202410209699289165</t>
        </is>
      </c>
    </row>
    <row r="2234">
      <c r="A2234" t="inlineStr">
        <is>
          <t>2024</t>
        </is>
      </c>
      <c r="B2234" t="inlineStr">
        <is>
          <t>C00483677</t>
        </is>
      </c>
      <c r="C2234" t="inlineStr">
        <is>
          <t>American Petroleum Institute PAC (API PAC)</t>
        </is>
      </c>
      <c r="D2234" t="inlineStr">
        <is>
          <t>TEXANS FOR SENATOR JOHN CORNYN INC</t>
        </is>
      </c>
      <c r="E2234" t="inlineStr">
        <is>
          <t>S2TX00106</t>
        </is>
      </c>
      <c r="F2234" t="inlineStr">
        <is>
          <t>REP</t>
        </is>
      </c>
      <c r="G2234" t="inlineStr">
        <is>
          <t>09192024</t>
        </is>
      </c>
      <c r="H2234" t="n">
        <v>1500</v>
      </c>
      <c r="I2234" t="inlineStr">
        <is>
          <t>202410209699289166</t>
        </is>
      </c>
      <c r="J2234" t="inlineStr">
        <is>
          <t>https://docquery.fec.gov/cgi-bin/fecimg/?202410209699289166</t>
        </is>
      </c>
    </row>
    <row r="2235">
      <c r="A2235" t="inlineStr">
        <is>
          <t>2024</t>
        </is>
      </c>
      <c r="B2235" t="inlineStr">
        <is>
          <t>C00483677</t>
        </is>
      </c>
      <c r="C2235" t="inlineStr">
        <is>
          <t>American Petroleum Institute PAC (API PAC)</t>
        </is>
      </c>
      <c r="D2235" t="inlineStr">
        <is>
          <t>DAN NEWHOUSE FOR CONGRESS</t>
        </is>
      </c>
      <c r="E2235" t="inlineStr">
        <is>
          <t>H4WA04104</t>
        </is>
      </c>
      <c r="F2235" t="inlineStr">
        <is>
          <t>REP</t>
        </is>
      </c>
      <c r="G2235" t="inlineStr">
        <is>
          <t>09192024</t>
        </is>
      </c>
      <c r="H2235" t="n">
        <v>2500</v>
      </c>
      <c r="I2235" t="inlineStr">
        <is>
          <t>202410209699289165</t>
        </is>
      </c>
      <c r="J2235" t="inlineStr">
        <is>
          <t>https://docquery.fec.gov/cgi-bin/fecimg/?202410209699289165</t>
        </is>
      </c>
    </row>
    <row r="2236">
      <c r="A2236" t="inlineStr">
        <is>
          <t>2024</t>
        </is>
      </c>
      <c r="B2236" t="inlineStr">
        <is>
          <t>C00483677</t>
        </is>
      </c>
      <c r="C2236" t="inlineStr">
        <is>
          <t>American Petroleum Institute PAC (API PAC)</t>
        </is>
      </c>
      <c r="D2236" t="inlineStr">
        <is>
          <t>ZINKE FOR CONGRESS</t>
        </is>
      </c>
      <c r="E2236" t="inlineStr">
        <is>
          <t>H4MT01041</t>
        </is>
      </c>
      <c r="F2236" t="inlineStr">
        <is>
          <t>REP</t>
        </is>
      </c>
      <c r="G2236" t="inlineStr">
        <is>
          <t>09222023</t>
        </is>
      </c>
      <c r="H2236" t="n">
        <v>1000</v>
      </c>
      <c r="I2236" t="inlineStr">
        <is>
          <t>202401319601063760</t>
        </is>
      </c>
      <c r="J2236" t="inlineStr">
        <is>
          <t>https://docquery.fec.gov/cgi-bin/fecimg/?202401319601063760</t>
        </is>
      </c>
    </row>
    <row r="2237">
      <c r="A2237" t="inlineStr">
        <is>
          <t>2024</t>
        </is>
      </c>
      <c r="B2237" t="inlineStr">
        <is>
          <t>C00483677</t>
        </is>
      </c>
      <c r="C2237" t="inlineStr">
        <is>
          <t>American Petroleum Institute PAC (API PAC)</t>
        </is>
      </c>
      <c r="D2237" t="inlineStr">
        <is>
          <t>LATTA FOR CONGRESS</t>
        </is>
      </c>
      <c r="E2237" t="inlineStr">
        <is>
          <t>H8OH05036</t>
        </is>
      </c>
      <c r="F2237" t="inlineStr">
        <is>
          <t>REP</t>
        </is>
      </c>
      <c r="G2237" t="inlineStr">
        <is>
          <t>09242024</t>
        </is>
      </c>
      <c r="H2237" t="n">
        <v>2500</v>
      </c>
      <c r="I2237" t="inlineStr">
        <is>
          <t>202410209699289166</t>
        </is>
      </c>
      <c r="J2237" t="inlineStr">
        <is>
          <t>https://docquery.fec.gov/cgi-bin/fecimg/?202410209699289166</t>
        </is>
      </c>
    </row>
    <row r="2238">
      <c r="A2238" t="inlineStr">
        <is>
          <t>2024</t>
        </is>
      </c>
      <c r="B2238" t="inlineStr">
        <is>
          <t>C00483677</t>
        </is>
      </c>
      <c r="C2238" t="inlineStr">
        <is>
          <t>American Petroleum Institute PAC (API PAC)</t>
        </is>
      </c>
      <c r="D2238" t="inlineStr">
        <is>
          <t>JIM COSTA FOR CONGRESS</t>
        </is>
      </c>
      <c r="E2238" t="inlineStr">
        <is>
          <t>H4CA20082</t>
        </is>
      </c>
      <c r="F2238" t="inlineStr">
        <is>
          <t>DEM</t>
        </is>
      </c>
      <c r="G2238" t="inlineStr">
        <is>
          <t>09252023</t>
        </is>
      </c>
      <c r="H2238" t="n">
        <v>1000</v>
      </c>
      <c r="I2238" t="inlineStr">
        <is>
          <t>202401319601063760</t>
        </is>
      </c>
      <c r="J2238" t="inlineStr">
        <is>
          <t>https://docquery.fec.gov/cgi-bin/fecimg/?202401319601063760</t>
        </is>
      </c>
    </row>
    <row r="2239">
      <c r="A2239" t="inlineStr">
        <is>
          <t>2024</t>
        </is>
      </c>
      <c r="B2239" t="inlineStr">
        <is>
          <t>C00483677</t>
        </is>
      </c>
      <c r="C2239" t="inlineStr">
        <is>
          <t>American Petroleum Institute PAC (API PAC)</t>
        </is>
      </c>
      <c r="D2239" t="inlineStr">
        <is>
          <t>BANKS FOR SENATE</t>
        </is>
      </c>
      <c r="E2239" t="inlineStr">
        <is>
          <t>S4IN00196</t>
        </is>
      </c>
      <c r="F2239" t="inlineStr">
        <is>
          <t>REP</t>
        </is>
      </c>
      <c r="G2239" t="inlineStr">
        <is>
          <t>10032024</t>
        </is>
      </c>
      <c r="H2239" t="n">
        <v>5000</v>
      </c>
      <c r="I2239" t="inlineStr">
        <is>
          <t>202410249710300985</t>
        </is>
      </c>
      <c r="J2239" t="inlineStr">
        <is>
          <t>https://docquery.fec.gov/cgi-bin/fecimg/?202410249710300985</t>
        </is>
      </c>
    </row>
    <row r="2240">
      <c r="A2240" t="inlineStr">
        <is>
          <t>2024</t>
        </is>
      </c>
      <c r="B2240" t="inlineStr">
        <is>
          <t>C00483677</t>
        </is>
      </c>
      <c r="C2240" t="inlineStr">
        <is>
          <t>American Petroleum Institute PAC (API PAC)</t>
        </is>
      </c>
      <c r="D2240" t="inlineStr">
        <is>
          <t>JIM JORDAN FOR CONGRESS</t>
        </is>
      </c>
      <c r="E2240" t="inlineStr">
        <is>
          <t>H6OH04082</t>
        </is>
      </c>
      <c r="F2240" t="inlineStr">
        <is>
          <t>REP</t>
        </is>
      </c>
      <c r="G2240" t="inlineStr">
        <is>
          <t>10042024</t>
        </is>
      </c>
      <c r="H2240" t="n">
        <v>5000</v>
      </c>
      <c r="I2240" t="inlineStr">
        <is>
          <t>202410249710300985</t>
        </is>
      </c>
      <c r="J2240" t="inlineStr">
        <is>
          <t>https://docquery.fec.gov/cgi-bin/fecimg/?202410249710300985</t>
        </is>
      </c>
    </row>
    <row r="2241">
      <c r="A2241" t="inlineStr">
        <is>
          <t>2024</t>
        </is>
      </c>
      <c r="B2241" t="inlineStr">
        <is>
          <t>C00483677</t>
        </is>
      </c>
      <c r="C2241" t="inlineStr">
        <is>
          <t>American Petroleum Institute PAC (API PAC)</t>
        </is>
      </c>
      <c r="D2241" t="inlineStr">
        <is>
          <t>COMMITTEE TO ELECT JARED GOLDEN</t>
        </is>
      </c>
      <c r="E2241" t="inlineStr">
        <is>
          <t>H8ME02185</t>
        </is>
      </c>
      <c r="F2241" t="inlineStr">
        <is>
          <t>DEM</t>
        </is>
      </c>
      <c r="G2241" t="inlineStr">
        <is>
          <t>10112024</t>
        </is>
      </c>
      <c r="H2241" t="n">
        <v>-2500</v>
      </c>
      <c r="I2241" t="inlineStr">
        <is>
          <t>202410249710300985</t>
        </is>
      </c>
      <c r="J2241" t="inlineStr">
        <is>
          <t>https://docquery.fec.gov/cgi-bin/fecimg/?202410249710300985</t>
        </is>
      </c>
    </row>
    <row r="2242">
      <c r="A2242" t="inlineStr">
        <is>
          <t>2024</t>
        </is>
      </c>
      <c r="B2242" t="inlineStr">
        <is>
          <t>C00483677</t>
        </is>
      </c>
      <c r="C2242" t="inlineStr">
        <is>
          <t>American Petroleum Institute PAC (API PAC)</t>
        </is>
      </c>
      <c r="D2242" t="inlineStr">
        <is>
          <t>DEB FISCHER FOR US SENATE</t>
        </is>
      </c>
      <c r="E2242" t="inlineStr">
        <is>
          <t>S2NE00094</t>
        </is>
      </c>
      <c r="F2242" t="inlineStr">
        <is>
          <t>REP</t>
        </is>
      </c>
      <c r="G2242" t="inlineStr">
        <is>
          <t>10112024</t>
        </is>
      </c>
      <c r="H2242" t="n">
        <v>1500</v>
      </c>
      <c r="I2242" t="inlineStr">
        <is>
          <t>202410249710300986</t>
        </is>
      </c>
      <c r="J2242" t="inlineStr">
        <is>
          <t>https://docquery.fec.gov/cgi-bin/fecimg/?202410249710300986</t>
        </is>
      </c>
    </row>
    <row r="2243">
      <c r="A2243" t="inlineStr">
        <is>
          <t>2024</t>
        </is>
      </c>
      <c r="B2243" t="inlineStr">
        <is>
          <t>C00483677</t>
        </is>
      </c>
      <c r="C2243" t="inlineStr">
        <is>
          <t>American Petroleum Institute PAC (API PAC)</t>
        </is>
      </c>
      <c r="D2243" t="inlineStr">
        <is>
          <t>STEIL FOR WISCONSIN INC.</t>
        </is>
      </c>
      <c r="E2243" t="inlineStr">
        <is>
          <t>H8WI01156</t>
        </is>
      </c>
      <c r="F2243" t="inlineStr">
        <is>
          <t>REP</t>
        </is>
      </c>
      <c r="G2243" t="inlineStr">
        <is>
          <t>10112024</t>
        </is>
      </c>
      <c r="H2243" t="n">
        <v>2500</v>
      </c>
      <c r="I2243" t="inlineStr">
        <is>
          <t>202410249710300986</t>
        </is>
      </c>
      <c r="J2243" t="inlineStr">
        <is>
          <t>https://docquery.fec.gov/cgi-bin/fecimg/?202410249710300986</t>
        </is>
      </c>
    </row>
    <row r="2244">
      <c r="A2244" t="inlineStr">
        <is>
          <t>2024</t>
        </is>
      </c>
      <c r="B2244" t="inlineStr">
        <is>
          <t>C00483677</t>
        </is>
      </c>
      <c r="C2244" t="inlineStr">
        <is>
          <t>American Petroleum Institute PAC (API PAC)</t>
        </is>
      </c>
      <c r="D2244" t="inlineStr">
        <is>
          <t>FRIENDS OF DUSTY JOHNSON</t>
        </is>
      </c>
      <c r="E2244" t="inlineStr">
        <is>
          <t>H8SD01055</t>
        </is>
      </c>
      <c r="F2244" t="inlineStr">
        <is>
          <t>REP</t>
        </is>
      </c>
      <c r="G2244" t="inlineStr">
        <is>
          <t>10132023</t>
        </is>
      </c>
      <c r="H2244" t="n">
        <v>1000</v>
      </c>
      <c r="I2244" t="inlineStr">
        <is>
          <t>202401319601063760</t>
        </is>
      </c>
      <c r="J2244" t="inlineStr">
        <is>
          <t>https://docquery.fec.gov/cgi-bin/fecimg/?202401319601063760</t>
        </is>
      </c>
    </row>
    <row r="2245">
      <c r="A2245" t="inlineStr">
        <is>
          <t>2024</t>
        </is>
      </c>
      <c r="B2245" t="inlineStr">
        <is>
          <t>C00483677</t>
        </is>
      </c>
      <c r="C2245" t="inlineStr">
        <is>
          <t>American Petroleum Institute PAC (API PAC)</t>
        </is>
      </c>
      <c r="D2245" t="inlineStr">
        <is>
          <t>HUDSON FOR CONGRESS</t>
        </is>
      </c>
      <c r="E2245" t="inlineStr">
        <is>
          <t>H2NC08185</t>
        </is>
      </c>
      <c r="F2245" t="inlineStr">
        <is>
          <t>REP</t>
        </is>
      </c>
      <c r="G2245" t="inlineStr">
        <is>
          <t>10132023</t>
        </is>
      </c>
      <c r="H2245" t="n">
        <v>1000</v>
      </c>
      <c r="I2245" t="inlineStr">
        <is>
          <t>202401319601063761</t>
        </is>
      </c>
      <c r="J2245" t="inlineStr">
        <is>
          <t>https://docquery.fec.gov/cgi-bin/fecimg/?202401319601063761</t>
        </is>
      </c>
    </row>
    <row r="2246">
      <c r="A2246" t="inlineStr">
        <is>
          <t>2024</t>
        </is>
      </c>
      <c r="B2246" t="inlineStr">
        <is>
          <t>C00483677</t>
        </is>
      </c>
      <c r="C2246" t="inlineStr">
        <is>
          <t>American Petroleum Institute PAC (API PAC)</t>
        </is>
      </c>
      <c r="D2246" t="inlineStr">
        <is>
          <t>MIKE THOMPSON FOR CONGRESS</t>
        </is>
      </c>
      <c r="E2246" t="inlineStr">
        <is>
          <t>H8CA01109</t>
        </is>
      </c>
      <c r="F2246" t="inlineStr">
        <is>
          <t>DEM</t>
        </is>
      </c>
      <c r="G2246" t="inlineStr">
        <is>
          <t>10132023</t>
        </is>
      </c>
      <c r="H2246" t="n">
        <v>1000</v>
      </c>
      <c r="I2246" t="inlineStr">
        <is>
          <t>202401319601063761</t>
        </is>
      </c>
      <c r="J2246" t="inlineStr">
        <is>
          <t>https://docquery.fec.gov/cgi-bin/fecimg/?202401319601063761</t>
        </is>
      </c>
    </row>
    <row r="2247">
      <c r="A2247" t="inlineStr">
        <is>
          <t>2024</t>
        </is>
      </c>
      <c r="B2247" t="inlineStr">
        <is>
          <t>C00483677</t>
        </is>
      </c>
      <c r="C2247" t="inlineStr">
        <is>
          <t>American Petroleum Institute PAC (API PAC)</t>
        </is>
      </c>
      <c r="D2247" t="inlineStr">
        <is>
          <t>COMMITTEE TO ELECT JARED GOLDEN</t>
        </is>
      </c>
      <c r="E2247" t="inlineStr">
        <is>
          <t>H8ME02185</t>
        </is>
      </c>
      <c r="F2247" t="inlineStr">
        <is>
          <t>DEM</t>
        </is>
      </c>
      <c r="G2247" t="inlineStr">
        <is>
          <t>10212024</t>
        </is>
      </c>
      <c r="H2247" t="n">
        <v>2500</v>
      </c>
      <c r="I2247" t="inlineStr">
        <is>
          <t>202412059720629091</t>
        </is>
      </c>
      <c r="J2247" t="inlineStr">
        <is>
          <t>https://docquery.fec.gov/cgi-bin/fecimg/?202412059720629091</t>
        </is>
      </c>
    </row>
    <row r="2248">
      <c r="A2248" t="inlineStr">
        <is>
          <t>2024</t>
        </is>
      </c>
      <c r="B2248" t="inlineStr">
        <is>
          <t>C00483677</t>
        </is>
      </c>
      <c r="C2248" t="inlineStr">
        <is>
          <t>American Petroleum Institute PAC (API PAC)</t>
        </is>
      </c>
      <c r="D2248" t="inlineStr">
        <is>
          <t>FRIENDS OF JOHN THUNE</t>
        </is>
      </c>
      <c r="E2248" t="inlineStr">
        <is>
          <t>S2SD00068</t>
        </is>
      </c>
      <c r="F2248" t="inlineStr">
        <is>
          <t>REP</t>
        </is>
      </c>
      <c r="G2248" t="inlineStr">
        <is>
          <t>10262023</t>
        </is>
      </c>
      <c r="H2248" t="n">
        <v>2000</v>
      </c>
      <c r="I2248" t="inlineStr">
        <is>
          <t>202401319601063761</t>
        </is>
      </c>
      <c r="J2248" t="inlineStr">
        <is>
          <t>https://docquery.fec.gov/cgi-bin/fecimg/?202401319601063761</t>
        </is>
      </c>
    </row>
    <row r="2249">
      <c r="A2249" t="inlineStr">
        <is>
          <t>2024</t>
        </is>
      </c>
      <c r="B2249" t="inlineStr">
        <is>
          <t>C00483677</t>
        </is>
      </c>
      <c r="C2249" t="inlineStr">
        <is>
          <t>American Petroleum Institute PAC (API PAC)</t>
        </is>
      </c>
      <c r="D2249" t="inlineStr">
        <is>
          <t>MAX MILLER FOR CONGRESS</t>
        </is>
      </c>
      <c r="E2249" t="inlineStr">
        <is>
          <t>H2OH16051</t>
        </is>
      </c>
      <c r="F2249" t="inlineStr">
        <is>
          <t>REP</t>
        </is>
      </c>
      <c r="G2249" t="inlineStr">
        <is>
          <t>10262023</t>
        </is>
      </c>
      <c r="H2249" t="n">
        <v>1000</v>
      </c>
      <c r="I2249" t="inlineStr">
        <is>
          <t>202401319601063762</t>
        </is>
      </c>
      <c r="J2249" t="inlineStr">
        <is>
          <t>https://docquery.fec.gov/cgi-bin/fecimg/?202401319601063762</t>
        </is>
      </c>
    </row>
    <row r="2250">
      <c r="A2250" t="inlineStr">
        <is>
          <t>2024</t>
        </is>
      </c>
      <c r="B2250" t="inlineStr">
        <is>
          <t>C00483677</t>
        </is>
      </c>
      <c r="C2250" t="inlineStr">
        <is>
          <t>American Petroleum Institute PAC (API PAC)</t>
        </is>
      </c>
      <c r="D2250" t="inlineStr">
        <is>
          <t>MARTIN HEINRICH FOR SENATE</t>
        </is>
      </c>
      <c r="E2250" t="inlineStr">
        <is>
          <t>S2NM00088</t>
        </is>
      </c>
      <c r="F2250" t="inlineStr">
        <is>
          <t>DEM</t>
        </is>
      </c>
      <c r="G2250" t="inlineStr">
        <is>
          <t>10282024</t>
        </is>
      </c>
      <c r="H2250" t="n">
        <v>-1500</v>
      </c>
      <c r="I2250" t="inlineStr">
        <is>
          <t>202412059720629089</t>
        </is>
      </c>
      <c r="J2250" t="inlineStr">
        <is>
          <t>https://docquery.fec.gov/cgi-bin/fecimg/?202412059720629089</t>
        </is>
      </c>
    </row>
    <row r="2251">
      <c r="A2251" t="inlineStr">
        <is>
          <t>2024</t>
        </is>
      </c>
      <c r="B2251" t="inlineStr">
        <is>
          <t>C00483677</t>
        </is>
      </c>
      <c r="C2251" t="inlineStr">
        <is>
          <t>American Petroleum Institute PAC (API PAC)</t>
        </is>
      </c>
      <c r="D2251" t="inlineStr">
        <is>
          <t>DAN CRENSHAW FOR CONGRESS</t>
        </is>
      </c>
      <c r="E2251" t="inlineStr">
        <is>
          <t>H8TX02166</t>
        </is>
      </c>
      <c r="F2251" t="inlineStr">
        <is>
          <t>REP</t>
        </is>
      </c>
      <c r="G2251" t="inlineStr">
        <is>
          <t>11102023</t>
        </is>
      </c>
      <c r="H2251" t="n">
        <v>1000</v>
      </c>
      <c r="I2251" t="inlineStr">
        <is>
          <t>202401319601063762</t>
        </is>
      </c>
      <c r="J2251" t="inlineStr">
        <is>
          <t>https://docquery.fec.gov/cgi-bin/fecimg/?202401319601063762</t>
        </is>
      </c>
    </row>
    <row r="2252">
      <c r="A2252" t="inlineStr">
        <is>
          <t>2024</t>
        </is>
      </c>
      <c r="B2252" t="inlineStr">
        <is>
          <t>C00483677</t>
        </is>
      </c>
      <c r="C2252" t="inlineStr">
        <is>
          <t>American Petroleum Institute PAC (API PAC)</t>
        </is>
      </c>
      <c r="D2252" t="inlineStr">
        <is>
          <t>GREG PENCE FOR CONGRESS</t>
        </is>
      </c>
      <c r="E2252" t="inlineStr">
        <is>
          <t>H8IN06129</t>
        </is>
      </c>
      <c r="F2252" t="inlineStr">
        <is>
          <t>REP</t>
        </is>
      </c>
      <c r="G2252" t="inlineStr">
        <is>
          <t>11102023</t>
        </is>
      </c>
      <c r="H2252" t="n">
        <v>1000</v>
      </c>
      <c r="I2252" t="inlineStr">
        <is>
          <t>202401319601063762</t>
        </is>
      </c>
      <c r="J2252" t="inlineStr">
        <is>
          <t>https://docquery.fec.gov/cgi-bin/fecimg/?202401319601063762</t>
        </is>
      </c>
    </row>
    <row r="2253">
      <c r="A2253" t="inlineStr">
        <is>
          <t>2024</t>
        </is>
      </c>
      <c r="B2253" t="inlineStr">
        <is>
          <t>C00483677</t>
        </is>
      </c>
      <c r="C2253" t="inlineStr">
        <is>
          <t>American Petroleum Institute PAC (API PAC)</t>
        </is>
      </c>
      <c r="D2253" t="inlineStr">
        <is>
          <t>HUIZENGA FOR CONGRESS</t>
        </is>
      </c>
      <c r="E2253" t="inlineStr">
        <is>
          <t>H0MI02094</t>
        </is>
      </c>
      <c r="F2253" t="inlineStr">
        <is>
          <t>REP</t>
        </is>
      </c>
      <c r="G2253" t="inlineStr">
        <is>
          <t>11102023</t>
        </is>
      </c>
      <c r="H2253" t="n">
        <v>1000</v>
      </c>
      <c r="I2253" t="inlineStr">
        <is>
          <t>202401319601063763</t>
        </is>
      </c>
      <c r="J2253" t="inlineStr">
        <is>
          <t>https://docquery.fec.gov/cgi-bin/fecimg/?202401319601063763</t>
        </is>
      </c>
    </row>
    <row r="2254">
      <c r="A2254" t="inlineStr">
        <is>
          <t>2024</t>
        </is>
      </c>
      <c r="B2254" t="inlineStr">
        <is>
          <t>C00483677</t>
        </is>
      </c>
      <c r="C2254" t="inlineStr">
        <is>
          <t>American Petroleum Institute PAC (API PAC)</t>
        </is>
      </c>
      <c r="D2254" t="inlineStr">
        <is>
          <t>LATTA FOR CONGRESS</t>
        </is>
      </c>
      <c r="E2254" t="inlineStr">
        <is>
          <t>H8OH05036</t>
        </is>
      </c>
      <c r="F2254" t="inlineStr">
        <is>
          <t>REP</t>
        </is>
      </c>
      <c r="G2254" t="inlineStr">
        <is>
          <t>11102023</t>
        </is>
      </c>
      <c r="H2254" t="n">
        <v>1000</v>
      </c>
      <c r="I2254" t="inlineStr">
        <is>
          <t>202401319601063763</t>
        </is>
      </c>
      <c r="J2254" t="inlineStr">
        <is>
          <t>https://docquery.fec.gov/cgi-bin/fecimg/?202401319601063763</t>
        </is>
      </c>
    </row>
    <row r="2255">
      <c r="A2255" t="inlineStr">
        <is>
          <t>2024</t>
        </is>
      </c>
      <c r="B2255" t="inlineStr">
        <is>
          <t>C00483677</t>
        </is>
      </c>
      <c r="C2255" t="inlineStr">
        <is>
          <t>American Petroleum Institute PAC (API PAC)</t>
        </is>
      </c>
      <c r="D2255" t="inlineStr">
        <is>
          <t>MCCAUL FOR CONGRESS</t>
        </is>
      </c>
      <c r="E2255" t="inlineStr">
        <is>
          <t>H4TX10093</t>
        </is>
      </c>
      <c r="F2255" t="inlineStr">
        <is>
          <t>REP</t>
        </is>
      </c>
      <c r="G2255" t="inlineStr">
        <is>
          <t>11102023</t>
        </is>
      </c>
      <c r="H2255" t="n">
        <v>1000</v>
      </c>
      <c r="I2255" t="inlineStr">
        <is>
          <t>202401319601063763</t>
        </is>
      </c>
      <c r="J2255" t="inlineStr">
        <is>
          <t>https://docquery.fec.gov/cgi-bin/fecimg/?202401319601063763</t>
        </is>
      </c>
    </row>
    <row r="2256">
      <c r="A2256" t="inlineStr">
        <is>
          <t>2024</t>
        </is>
      </c>
      <c r="B2256" t="inlineStr">
        <is>
          <t>C00483677</t>
        </is>
      </c>
      <c r="C2256" t="inlineStr">
        <is>
          <t>American Petroleum Institute PAC (API PAC)</t>
        </is>
      </c>
      <c r="D2256" t="inlineStr">
        <is>
          <t>TED CRUZ FOR SENATE</t>
        </is>
      </c>
      <c r="E2256" t="inlineStr">
        <is>
          <t>S2TX00312</t>
        </is>
      </c>
      <c r="F2256" t="inlineStr">
        <is>
          <t>REP</t>
        </is>
      </c>
      <c r="G2256" t="inlineStr">
        <is>
          <t>11102023</t>
        </is>
      </c>
      <c r="H2256" t="n">
        <v>5000</v>
      </c>
      <c r="I2256" t="inlineStr">
        <is>
          <t>202401319601063764</t>
        </is>
      </c>
      <c r="J2256" t="inlineStr">
        <is>
          <t>https://docquery.fec.gov/cgi-bin/fecimg/?202401319601063764</t>
        </is>
      </c>
    </row>
    <row r="2257">
      <c r="A2257" t="inlineStr">
        <is>
          <t>2024</t>
        </is>
      </c>
      <c r="B2257" t="inlineStr">
        <is>
          <t>C00483677</t>
        </is>
      </c>
      <c r="C2257" t="inlineStr">
        <is>
          <t>American Petroleum Institute PAC (API PAC)</t>
        </is>
      </c>
      <c r="D2257" t="inlineStr">
        <is>
          <t>ELISE FOR CONGRESS</t>
        </is>
      </c>
      <c r="E2257" t="inlineStr">
        <is>
          <t>H4NY21079</t>
        </is>
      </c>
      <c r="F2257" t="inlineStr">
        <is>
          <t>REP</t>
        </is>
      </c>
      <c r="G2257" t="inlineStr">
        <is>
          <t>11212023</t>
        </is>
      </c>
      <c r="H2257" t="n">
        <v>2000</v>
      </c>
      <c r="I2257" t="inlineStr">
        <is>
          <t>202401319601063764</t>
        </is>
      </c>
      <c r="J2257" t="inlineStr">
        <is>
          <t>https://docquery.fec.gov/cgi-bin/fecimg/?202401319601063764</t>
        </is>
      </c>
    </row>
    <row r="2258">
      <c r="A2258" t="inlineStr">
        <is>
          <t>2024</t>
        </is>
      </c>
      <c r="B2258" t="inlineStr">
        <is>
          <t>C00483677</t>
        </is>
      </c>
      <c r="C2258" t="inlineStr">
        <is>
          <t>American Petroleum Institute PAC (API PAC)</t>
        </is>
      </c>
      <c r="D2258" t="inlineStr">
        <is>
          <t>HAGEMAN FOR WYOMING</t>
        </is>
      </c>
      <c r="E2258" t="inlineStr">
        <is>
          <t>H2WY00166</t>
        </is>
      </c>
      <c r="F2258" t="inlineStr">
        <is>
          <t>REP</t>
        </is>
      </c>
      <c r="G2258" t="inlineStr">
        <is>
          <t>11212023</t>
        </is>
      </c>
      <c r="H2258" t="n">
        <v>1000</v>
      </c>
      <c r="I2258" t="inlineStr">
        <is>
          <t>202401319601063764</t>
        </is>
      </c>
      <c r="J2258" t="inlineStr">
        <is>
          <t>https://docquery.fec.gov/cgi-bin/fecimg/?202401319601063764</t>
        </is>
      </c>
    </row>
    <row r="2259">
      <c r="A2259" t="inlineStr">
        <is>
          <t>2024</t>
        </is>
      </c>
      <c r="B2259" t="inlineStr">
        <is>
          <t>C00483677</t>
        </is>
      </c>
      <c r="C2259" t="inlineStr">
        <is>
          <t>American Petroleum Institute PAC (API PAC)</t>
        </is>
      </c>
      <c r="D2259" t="inlineStr">
        <is>
          <t>MIKE JOHNSON FOR LOUISIANA</t>
        </is>
      </c>
      <c r="E2259" t="inlineStr">
        <is>
          <t>H6LA04138</t>
        </is>
      </c>
      <c r="F2259" t="inlineStr">
        <is>
          <t>REP</t>
        </is>
      </c>
      <c r="G2259" t="inlineStr">
        <is>
          <t>11212023</t>
        </is>
      </c>
      <c r="H2259" t="n">
        <v>5000</v>
      </c>
      <c r="I2259" t="inlineStr">
        <is>
          <t>202401319601063765</t>
        </is>
      </c>
      <c r="J2259" t="inlineStr">
        <is>
          <t>https://docquery.fec.gov/cgi-bin/fecimg/?202401319601063765</t>
        </is>
      </c>
    </row>
    <row r="2260">
      <c r="A2260" t="inlineStr">
        <is>
          <t>2024</t>
        </is>
      </c>
      <c r="B2260" t="inlineStr">
        <is>
          <t>C00483677</t>
        </is>
      </c>
      <c r="C2260" t="inlineStr">
        <is>
          <t>American Petroleum Institute PAC (API PAC)</t>
        </is>
      </c>
      <c r="D2260" t="inlineStr">
        <is>
          <t>COTTON FOR SENATE INC.</t>
        </is>
      </c>
      <c r="E2260" t="inlineStr">
        <is>
          <t>S4AR00103</t>
        </is>
      </c>
      <c r="F2260" t="inlineStr">
        <is>
          <t>REP</t>
        </is>
      </c>
      <c r="G2260" t="inlineStr">
        <is>
          <t>12032024</t>
        </is>
      </c>
      <c r="H2260" t="n">
        <v>2500</v>
      </c>
      <c r="I2260" t="inlineStr">
        <is>
          <t>202501319748835252</t>
        </is>
      </c>
      <c r="J2260" t="inlineStr">
        <is>
          <t>https://docquery.fec.gov/cgi-bin/fecimg/?202501319748835252</t>
        </is>
      </c>
    </row>
    <row r="2261">
      <c r="A2261" t="inlineStr">
        <is>
          <t>2024</t>
        </is>
      </c>
      <c r="B2261" t="inlineStr">
        <is>
          <t>C00483677</t>
        </is>
      </c>
      <c r="C2261" t="inlineStr">
        <is>
          <t>American Petroleum Institute PAC (API PAC)</t>
        </is>
      </c>
      <c r="D2261" t="inlineStr">
        <is>
          <t>FRIENDS OF MIKE LEE INC</t>
        </is>
      </c>
      <c r="E2261" t="inlineStr">
        <is>
          <t>S0UT00165</t>
        </is>
      </c>
      <c r="F2261" t="inlineStr">
        <is>
          <t>REP</t>
        </is>
      </c>
      <c r="G2261" t="inlineStr">
        <is>
          <t>12052024</t>
        </is>
      </c>
      <c r="H2261" t="n">
        <v>1500</v>
      </c>
      <c r="I2261" t="inlineStr">
        <is>
          <t>202501319748835252</t>
        </is>
      </c>
      <c r="J2261" t="inlineStr">
        <is>
          <t>https://docquery.fec.gov/cgi-bin/fecimg/?202501319748835252</t>
        </is>
      </c>
    </row>
    <row r="2262">
      <c r="A2262" t="inlineStr">
        <is>
          <t>2024</t>
        </is>
      </c>
      <c r="B2262" t="inlineStr">
        <is>
          <t>C00483677</t>
        </is>
      </c>
      <c r="C2262" t="inlineStr">
        <is>
          <t>American Petroleum Institute PAC (API PAC)</t>
        </is>
      </c>
      <c r="D2262" t="inlineStr">
        <is>
          <t>COMMITTEE TO ELECT JARED GOLDEN</t>
        </is>
      </c>
      <c r="E2262" t="inlineStr">
        <is>
          <t>H8ME02185</t>
        </is>
      </c>
      <c r="F2262" t="inlineStr">
        <is>
          <t>DEM</t>
        </is>
      </c>
      <c r="G2262" t="inlineStr">
        <is>
          <t>12062023</t>
        </is>
      </c>
      <c r="H2262" t="n">
        <v>2500</v>
      </c>
      <c r="I2262" t="inlineStr">
        <is>
          <t>202401319601063765</t>
        </is>
      </c>
      <c r="J2262" t="inlineStr">
        <is>
          <t>https://docquery.fec.gov/cgi-bin/fecimg/?202401319601063765</t>
        </is>
      </c>
    </row>
    <row r="2263">
      <c r="A2263" t="inlineStr">
        <is>
          <t>2024</t>
        </is>
      </c>
      <c r="B2263" t="inlineStr">
        <is>
          <t>C00483677</t>
        </is>
      </c>
      <c r="C2263" t="inlineStr">
        <is>
          <t>American Petroleum Institute PAC (API PAC)</t>
        </is>
      </c>
      <c r="D2263" t="inlineStr">
        <is>
          <t>EMMER FOR CONGRESS</t>
        </is>
      </c>
      <c r="E2263" t="inlineStr">
        <is>
          <t>H4MN06087</t>
        </is>
      </c>
      <c r="F2263" t="inlineStr">
        <is>
          <t>REP</t>
        </is>
      </c>
      <c r="G2263" t="inlineStr">
        <is>
          <t>12062023</t>
        </is>
      </c>
      <c r="H2263" t="n">
        <v>1500</v>
      </c>
      <c r="I2263" t="inlineStr">
        <is>
          <t>202401319601063765</t>
        </is>
      </c>
      <c r="J2263" t="inlineStr">
        <is>
          <t>https://docquery.fec.gov/cgi-bin/fecimg/?202401319601063765</t>
        </is>
      </c>
    </row>
    <row r="2264">
      <c r="A2264" t="inlineStr">
        <is>
          <t>2024</t>
        </is>
      </c>
      <c r="B2264" t="inlineStr">
        <is>
          <t>C00483677</t>
        </is>
      </c>
      <c r="C2264" t="inlineStr">
        <is>
          <t>American Petroleum Institute PAC (API PAC)</t>
        </is>
      </c>
      <c r="D2264" t="inlineStr">
        <is>
          <t>MARIE FOR CONGRESS</t>
        </is>
      </c>
      <c r="E2264" t="inlineStr">
        <is>
          <t>H2WA03217</t>
        </is>
      </c>
      <c r="F2264" t="inlineStr">
        <is>
          <t>DEM</t>
        </is>
      </c>
      <c r="G2264" t="inlineStr">
        <is>
          <t>12062023</t>
        </is>
      </c>
      <c r="H2264" t="n">
        <v>2500</v>
      </c>
      <c r="I2264" t="inlineStr">
        <is>
          <t>202401319601063766</t>
        </is>
      </c>
      <c r="J2264" t="inlineStr">
        <is>
          <t>https://docquery.fec.gov/cgi-bin/fecimg/?202401319601063766</t>
        </is>
      </c>
    </row>
    <row r="2265">
      <c r="A2265" t="inlineStr">
        <is>
          <t>2024</t>
        </is>
      </c>
      <c r="B2265" t="inlineStr">
        <is>
          <t>C00483677</t>
        </is>
      </c>
      <c r="C2265" t="inlineStr">
        <is>
          <t>American Petroleum Institute PAC (API PAC)</t>
        </is>
      </c>
      <c r="D2265" t="inlineStr">
        <is>
          <t>SCHMITT FOR SENATE</t>
        </is>
      </c>
      <c r="E2265" t="inlineStr">
        <is>
          <t>S2MO00544</t>
        </is>
      </c>
      <c r="F2265" t="inlineStr">
        <is>
          <t>REP</t>
        </is>
      </c>
      <c r="G2265" t="inlineStr">
        <is>
          <t>12102024</t>
        </is>
      </c>
      <c r="H2265" t="n">
        <v>1500</v>
      </c>
      <c r="I2265" t="inlineStr">
        <is>
          <t>202501319748835252</t>
        </is>
      </c>
      <c r="J2265" t="inlineStr">
        <is>
          <t>https://docquery.fec.gov/cgi-bin/fecimg/?202501319748835252</t>
        </is>
      </c>
    </row>
    <row r="2266">
      <c r="A2266" t="inlineStr">
        <is>
          <t>2024</t>
        </is>
      </c>
      <c r="B2266" t="inlineStr">
        <is>
          <t>C00483677</t>
        </is>
      </c>
      <c r="C2266" t="inlineStr">
        <is>
          <t>American Petroleum Institute PAC (API PAC)</t>
        </is>
      </c>
      <c r="D2266" t="inlineStr">
        <is>
          <t>HOGAN FOR MARYLAND INC.</t>
        </is>
      </c>
      <c r="E2266" t="inlineStr">
        <is>
          <t>S4MD00483</t>
        </is>
      </c>
      <c r="F2266" t="inlineStr">
        <is>
          <t>REP</t>
        </is>
      </c>
      <c r="G2266" t="inlineStr">
        <is>
          <t>12162024</t>
        </is>
      </c>
      <c r="H2266" t="n">
        <v>-1500</v>
      </c>
      <c r="I2266" t="inlineStr">
        <is>
          <t>202501319748835253</t>
        </is>
      </c>
      <c r="J2266" t="inlineStr">
        <is>
          <t>https://docquery.fec.gov/cgi-bin/fecimg/?202501319748835253</t>
        </is>
      </c>
    </row>
    <row r="2267">
      <c r="A2267" t="inlineStr">
        <is>
          <t>2024</t>
        </is>
      </c>
      <c r="B2267" t="inlineStr">
        <is>
          <t>C00342766</t>
        </is>
      </c>
      <c r="C2267" t="inlineStr">
        <is>
          <t>HF Sinclair PAC (DINO PAC; formerly HollyFrontier PAC)</t>
        </is>
      </c>
      <c r="D2267" t="inlineStr">
        <is>
          <t>STEWART, CHRIS</t>
        </is>
      </c>
      <c r="E2267" t="inlineStr">
        <is>
          <t>H2UT02324</t>
        </is>
      </c>
      <c r="F2267" t="inlineStr">
        <is>
          <t>REP</t>
        </is>
      </c>
      <c r="G2267" t="inlineStr">
        <is>
          <t>01052023</t>
        </is>
      </c>
      <c r="H2267" t="n">
        <v>5000</v>
      </c>
      <c r="I2267" t="inlineStr">
        <is>
          <t>202302139578211531</t>
        </is>
      </c>
      <c r="J2267" t="inlineStr">
        <is>
          <t>https://docquery.fec.gov/cgi-bin/fecimg/?202302139578211531</t>
        </is>
      </c>
    </row>
    <row r="2268">
      <c r="A2268" t="inlineStr">
        <is>
          <t>2024</t>
        </is>
      </c>
      <c r="B2268" t="inlineStr">
        <is>
          <t>C00342766</t>
        </is>
      </c>
      <c r="C2268" t="inlineStr">
        <is>
          <t>HF Sinclair PAC (DINO PAC; formerly HollyFrontier PAC)</t>
        </is>
      </c>
      <c r="D2268" t="inlineStr">
        <is>
          <t>MANCHIN FOR WEST VIRGINIA</t>
        </is>
      </c>
      <c r="G2268" t="inlineStr">
        <is>
          <t>01052024</t>
        </is>
      </c>
      <c r="H2268" t="n">
        <v>-800</v>
      </c>
      <c r="I2268" t="inlineStr">
        <is>
          <t>202404119627534272</t>
        </is>
      </c>
      <c r="J2268" t="inlineStr">
        <is>
          <t>https://docquery.fec.gov/cgi-bin/fecimg/?202404119627534272</t>
        </is>
      </c>
    </row>
    <row r="2269">
      <c r="A2269" t="inlineStr">
        <is>
          <t>2024</t>
        </is>
      </c>
      <c r="B2269" t="inlineStr">
        <is>
          <t>C00342766</t>
        </is>
      </c>
      <c r="C2269" t="inlineStr">
        <is>
          <t>HF Sinclair PAC (DINO PAC; formerly HollyFrontier PAC)</t>
        </is>
      </c>
      <c r="D2269" t="inlineStr">
        <is>
          <t>CRAIG GOLDMAN FOR CONGRESS</t>
        </is>
      </c>
      <c r="E2269" t="inlineStr">
        <is>
          <t>H4TX12065</t>
        </is>
      </c>
      <c r="F2269" t="inlineStr">
        <is>
          <t>REP</t>
        </is>
      </c>
      <c r="G2269" t="inlineStr">
        <is>
          <t>03012024</t>
        </is>
      </c>
      <c r="H2269" t="n">
        <v>1000</v>
      </c>
      <c r="I2269" t="inlineStr">
        <is>
          <t>202404119627534274</t>
        </is>
      </c>
      <c r="J2269" t="inlineStr">
        <is>
          <t>https://docquery.fec.gov/cgi-bin/fecimg/?202404119627534274</t>
        </is>
      </c>
    </row>
    <row r="2270">
      <c r="A2270" t="inlineStr">
        <is>
          <t>2024</t>
        </is>
      </c>
      <c r="B2270" t="inlineStr">
        <is>
          <t>C00342766</t>
        </is>
      </c>
      <c r="C2270" t="inlineStr">
        <is>
          <t>HF Sinclair PAC (DINO PAC; formerly HollyFrontier PAC)</t>
        </is>
      </c>
      <c r="D2270" t="inlineStr">
        <is>
          <t>DR JOHN JOYCE FOR CONGRESS</t>
        </is>
      </c>
      <c r="E2270" t="inlineStr">
        <is>
          <t>H8PA13125</t>
        </is>
      </c>
      <c r="F2270" t="inlineStr">
        <is>
          <t>REP</t>
        </is>
      </c>
      <c r="G2270" t="inlineStr">
        <is>
          <t>03012024</t>
        </is>
      </c>
      <c r="H2270" t="n">
        <v>2500</v>
      </c>
      <c r="I2270" t="inlineStr">
        <is>
          <t>202404119627534274</t>
        </is>
      </c>
      <c r="J2270" t="inlineStr">
        <is>
          <t>https://docquery.fec.gov/cgi-bin/fecimg/?202404119627534274</t>
        </is>
      </c>
    </row>
    <row r="2271">
      <c r="A2271" t="inlineStr">
        <is>
          <t>2024</t>
        </is>
      </c>
      <c r="B2271" t="inlineStr">
        <is>
          <t>C00342766</t>
        </is>
      </c>
      <c r="C2271" t="inlineStr">
        <is>
          <t>HF Sinclair PAC (DINO PAC; formerly HollyFrontier PAC)</t>
        </is>
      </c>
      <c r="D2271" t="inlineStr">
        <is>
          <t>EMMER FOR CONGRESS</t>
        </is>
      </c>
      <c r="E2271" t="inlineStr">
        <is>
          <t>H4MN06087</t>
        </is>
      </c>
      <c r="F2271" t="inlineStr">
        <is>
          <t>REP</t>
        </is>
      </c>
      <c r="G2271" t="inlineStr">
        <is>
          <t>03012024</t>
        </is>
      </c>
      <c r="H2271" t="n">
        <v>2500</v>
      </c>
      <c r="I2271" t="inlineStr">
        <is>
          <t>202404119627534274</t>
        </is>
      </c>
      <c r="J2271" t="inlineStr">
        <is>
          <t>https://docquery.fec.gov/cgi-bin/fecimg/?202404119627534274</t>
        </is>
      </c>
    </row>
    <row r="2272">
      <c r="A2272" t="inlineStr">
        <is>
          <t>2024</t>
        </is>
      </c>
      <c r="B2272" t="inlineStr">
        <is>
          <t>C00342766</t>
        </is>
      </c>
      <c r="C2272" t="inlineStr">
        <is>
          <t>HF Sinclair PAC (DINO PAC; formerly HollyFrontier PAC)</t>
        </is>
      </c>
      <c r="D2272" t="inlineStr">
        <is>
          <t>FRIENDS OF JOHN THUNE</t>
        </is>
      </c>
      <c r="E2272" t="inlineStr">
        <is>
          <t>S2SD00068</t>
        </is>
      </c>
      <c r="F2272" t="inlineStr">
        <is>
          <t>REP</t>
        </is>
      </c>
      <c r="G2272" t="inlineStr">
        <is>
          <t>03012024</t>
        </is>
      </c>
      <c r="H2272" t="n">
        <v>2500</v>
      </c>
      <c r="I2272" t="inlineStr">
        <is>
          <t>202404119627534275</t>
        </is>
      </c>
      <c r="J2272" t="inlineStr">
        <is>
          <t>https://docquery.fec.gov/cgi-bin/fecimg/?202404119627534275</t>
        </is>
      </c>
    </row>
    <row r="2273">
      <c r="A2273" t="inlineStr">
        <is>
          <t>2024</t>
        </is>
      </c>
      <c r="B2273" t="inlineStr">
        <is>
          <t>C00342766</t>
        </is>
      </c>
      <c r="C2273" t="inlineStr">
        <is>
          <t>HF Sinclair PAC (DINO PAC; formerly HollyFrontier PAC)</t>
        </is>
      </c>
      <c r="D2273" t="inlineStr">
        <is>
          <t>JASON SMITH FOR CONGRESS</t>
        </is>
      </c>
      <c r="E2273" t="inlineStr">
        <is>
          <t>H4MO08162</t>
        </is>
      </c>
      <c r="F2273" t="inlineStr">
        <is>
          <t>REP</t>
        </is>
      </c>
      <c r="G2273" t="inlineStr">
        <is>
          <t>03012024</t>
        </is>
      </c>
      <c r="H2273" t="n">
        <v>2500</v>
      </c>
      <c r="I2273" t="inlineStr">
        <is>
          <t>202404119627534275</t>
        </is>
      </c>
      <c r="J2273" t="inlineStr">
        <is>
          <t>https://docquery.fec.gov/cgi-bin/fecimg/?202404119627534275</t>
        </is>
      </c>
    </row>
    <row r="2274">
      <c r="A2274" t="inlineStr">
        <is>
          <t>2024</t>
        </is>
      </c>
      <c r="B2274" t="inlineStr">
        <is>
          <t>C00342766</t>
        </is>
      </c>
      <c r="C2274" t="inlineStr">
        <is>
          <t>HF Sinclair PAC (DINO PAC; formerly HollyFrontier PAC)</t>
        </is>
      </c>
      <c r="D2274" t="inlineStr">
        <is>
          <t>LANCE GOODEN FOR CONGRESS COMMITTEE</t>
        </is>
      </c>
      <c r="E2274" t="inlineStr">
        <is>
          <t>H8TX05144</t>
        </is>
      </c>
      <c r="F2274" t="inlineStr">
        <is>
          <t>REP</t>
        </is>
      </c>
      <c r="G2274" t="inlineStr">
        <is>
          <t>03012024</t>
        </is>
      </c>
      <c r="H2274" t="n">
        <v>2000</v>
      </c>
      <c r="I2274" t="inlineStr">
        <is>
          <t>202404119627534276</t>
        </is>
      </c>
      <c r="J2274" t="inlineStr">
        <is>
          <t>https://docquery.fec.gov/cgi-bin/fecimg/?202404119627534276</t>
        </is>
      </c>
    </row>
    <row r="2275">
      <c r="A2275" t="inlineStr">
        <is>
          <t>2024</t>
        </is>
      </c>
      <c r="B2275" t="inlineStr">
        <is>
          <t>C00342766</t>
        </is>
      </c>
      <c r="C2275" t="inlineStr">
        <is>
          <t>HF Sinclair PAC (DINO PAC; formerly HollyFrontier PAC)</t>
        </is>
      </c>
      <c r="D2275" t="inlineStr">
        <is>
          <t>GARRET GRAVES FOR CONGRESS</t>
        </is>
      </c>
      <c r="E2275" t="inlineStr">
        <is>
          <t>H4LA06153</t>
        </is>
      </c>
      <c r="F2275" t="inlineStr">
        <is>
          <t>REP</t>
        </is>
      </c>
      <c r="G2275" t="inlineStr">
        <is>
          <t>03032023</t>
        </is>
      </c>
      <c r="H2275" t="n">
        <v>-1000</v>
      </c>
      <c r="I2275" t="inlineStr">
        <is>
          <t>202304179581023492</t>
        </is>
      </c>
      <c r="J2275" t="inlineStr">
        <is>
          <t>https://docquery.fec.gov/cgi-bin/fecimg/?202304179581023492</t>
        </is>
      </c>
    </row>
    <row r="2276">
      <c r="A2276" t="inlineStr">
        <is>
          <t>2024</t>
        </is>
      </c>
      <c r="B2276" t="inlineStr">
        <is>
          <t>C00342766</t>
        </is>
      </c>
      <c r="C2276" t="inlineStr">
        <is>
          <t>HF Sinclair PAC (DINO PAC; formerly HollyFrontier PAC)</t>
        </is>
      </c>
      <c r="D2276" t="inlineStr">
        <is>
          <t>ARMSTRONG FOR CONGRESS</t>
        </is>
      </c>
      <c r="E2276" t="inlineStr">
        <is>
          <t>H8ND00096</t>
        </is>
      </c>
      <c r="F2276" t="inlineStr">
        <is>
          <t>REP</t>
        </is>
      </c>
      <c r="G2276" t="inlineStr">
        <is>
          <t>03062023</t>
        </is>
      </c>
      <c r="H2276" t="n">
        <v>2500</v>
      </c>
      <c r="I2276" t="inlineStr">
        <is>
          <t>202304179581023490</t>
        </is>
      </c>
      <c r="J2276" t="inlineStr">
        <is>
          <t>https://docquery.fec.gov/cgi-bin/fecimg/?202304179581023490</t>
        </is>
      </c>
    </row>
    <row r="2277">
      <c r="A2277" t="inlineStr">
        <is>
          <t>2024</t>
        </is>
      </c>
      <c r="B2277" t="inlineStr">
        <is>
          <t>C00342766</t>
        </is>
      </c>
      <c r="C2277" t="inlineStr">
        <is>
          <t>HF Sinclair PAC (DINO PAC; formerly HollyFrontier PAC)</t>
        </is>
      </c>
      <c r="D2277" t="inlineStr">
        <is>
          <t>AUGUST PFLUGER FOR CONGRESS</t>
        </is>
      </c>
      <c r="E2277" t="inlineStr">
        <is>
          <t>H0TX11230</t>
        </is>
      </c>
      <c r="F2277" t="inlineStr">
        <is>
          <t>REP</t>
        </is>
      </c>
      <c r="G2277" t="inlineStr">
        <is>
          <t>03062023</t>
        </is>
      </c>
      <c r="H2277" t="n">
        <v>2500</v>
      </c>
      <c r="I2277" t="inlineStr">
        <is>
          <t>202304179581023490</t>
        </is>
      </c>
      <c r="J2277" t="inlineStr">
        <is>
          <t>https://docquery.fec.gov/cgi-bin/fecimg/?202304179581023490</t>
        </is>
      </c>
    </row>
    <row r="2278">
      <c r="A2278" t="inlineStr">
        <is>
          <t>2024</t>
        </is>
      </c>
      <c r="B2278" t="inlineStr">
        <is>
          <t>C00342766</t>
        </is>
      </c>
      <c r="C2278" t="inlineStr">
        <is>
          <t>HF Sinclair PAC (DINO PAC; formerly HollyFrontier PAC)</t>
        </is>
      </c>
      <c r="D2278" t="inlineStr">
        <is>
          <t>BICE FOR CONGRESS</t>
        </is>
      </c>
      <c r="E2278" t="inlineStr">
        <is>
          <t>H0OK05205</t>
        </is>
      </c>
      <c r="F2278" t="inlineStr">
        <is>
          <t>REP</t>
        </is>
      </c>
      <c r="G2278" t="inlineStr">
        <is>
          <t>03062023</t>
        </is>
      </c>
      <c r="H2278" t="n">
        <v>2500</v>
      </c>
      <c r="I2278" t="inlineStr">
        <is>
          <t>202304179581023490</t>
        </is>
      </c>
      <c r="J2278" t="inlineStr">
        <is>
          <t>https://docquery.fec.gov/cgi-bin/fecimg/?202304179581023490</t>
        </is>
      </c>
    </row>
    <row r="2279">
      <c r="A2279" t="inlineStr">
        <is>
          <t>2024</t>
        </is>
      </c>
      <c r="B2279" t="inlineStr">
        <is>
          <t>C00342766</t>
        </is>
      </c>
      <c r="C2279" t="inlineStr">
        <is>
          <t>HF Sinclair PAC (DINO PAC; formerly HollyFrontier PAC)</t>
        </is>
      </c>
      <c r="D2279" t="inlineStr">
        <is>
          <t>CATHY MCMORRIS RODGERS FOR CONGRESS</t>
        </is>
      </c>
      <c r="E2279" t="inlineStr">
        <is>
          <t>H4WA05077</t>
        </is>
      </c>
      <c r="F2279" t="inlineStr">
        <is>
          <t>REP</t>
        </is>
      </c>
      <c r="G2279" t="inlineStr">
        <is>
          <t>03062023</t>
        </is>
      </c>
      <c r="H2279" t="n">
        <v>5000</v>
      </c>
      <c r="I2279" t="inlineStr">
        <is>
          <t>202304179581023491</t>
        </is>
      </c>
      <c r="J2279" t="inlineStr">
        <is>
          <t>https://docquery.fec.gov/cgi-bin/fecimg/?202304179581023491</t>
        </is>
      </c>
    </row>
    <row r="2280">
      <c r="A2280" t="inlineStr">
        <is>
          <t>2024</t>
        </is>
      </c>
      <c r="B2280" t="inlineStr">
        <is>
          <t>C00342766</t>
        </is>
      </c>
      <c r="C2280" t="inlineStr">
        <is>
          <t>HF Sinclair PAC (DINO PAC; formerly HollyFrontier PAC)</t>
        </is>
      </c>
      <c r="D2280" t="inlineStr">
        <is>
          <t>DR JOHN JOYCE FOR CONGRESS</t>
        </is>
      </c>
      <c r="E2280" t="inlineStr">
        <is>
          <t>H8PA13125</t>
        </is>
      </c>
      <c r="F2280" t="inlineStr">
        <is>
          <t>REP</t>
        </is>
      </c>
      <c r="G2280" t="inlineStr">
        <is>
          <t>03062023</t>
        </is>
      </c>
      <c r="H2280" t="n">
        <v>1000</v>
      </c>
      <c r="I2280" t="inlineStr">
        <is>
          <t>202304179581023491</t>
        </is>
      </c>
      <c r="J2280" t="inlineStr">
        <is>
          <t>https://docquery.fec.gov/cgi-bin/fecimg/?202304179581023491</t>
        </is>
      </c>
    </row>
    <row r="2281">
      <c r="A2281" t="inlineStr">
        <is>
          <t>2024</t>
        </is>
      </c>
      <c r="B2281" t="inlineStr">
        <is>
          <t>C00342766</t>
        </is>
      </c>
      <c r="C2281" t="inlineStr">
        <is>
          <t>HF Sinclair PAC (DINO PAC; formerly HollyFrontier PAC)</t>
        </is>
      </c>
      <c r="D2281" t="inlineStr">
        <is>
          <t>KEVIN MCCARTHY FOR CONGRESS</t>
        </is>
      </c>
      <c r="E2281" t="inlineStr">
        <is>
          <t>H6CA22125</t>
        </is>
      </c>
      <c r="F2281" t="inlineStr">
        <is>
          <t>REP</t>
        </is>
      </c>
      <c r="G2281" t="inlineStr">
        <is>
          <t>03062023</t>
        </is>
      </c>
      <c r="H2281" t="n">
        <v>5000</v>
      </c>
      <c r="I2281" t="inlineStr">
        <is>
          <t>202304179581023493</t>
        </is>
      </c>
      <c r="J2281" t="inlineStr">
        <is>
          <t>https://docquery.fec.gov/cgi-bin/fecimg/?202304179581023493</t>
        </is>
      </c>
    </row>
    <row r="2282">
      <c r="A2282" t="inlineStr">
        <is>
          <t>2024</t>
        </is>
      </c>
      <c r="B2282" t="inlineStr">
        <is>
          <t>C00342766</t>
        </is>
      </c>
      <c r="C2282" t="inlineStr">
        <is>
          <t>HF Sinclair PAC (DINO PAC; formerly HollyFrontier PAC)</t>
        </is>
      </c>
      <c r="D2282" t="inlineStr">
        <is>
          <t>TEXANS FOR JODEY ARRINGTON</t>
        </is>
      </c>
      <c r="E2282" t="inlineStr">
        <is>
          <t>H6TX19099</t>
        </is>
      </c>
      <c r="F2282" t="inlineStr">
        <is>
          <t>REP</t>
        </is>
      </c>
      <c r="G2282" t="inlineStr">
        <is>
          <t>03062023</t>
        </is>
      </c>
      <c r="H2282" t="n">
        <v>2500</v>
      </c>
      <c r="I2282" t="inlineStr">
        <is>
          <t>202304179581023494</t>
        </is>
      </c>
      <c r="J2282" t="inlineStr">
        <is>
          <t>https://docquery.fec.gov/cgi-bin/fecimg/?202304179581023494</t>
        </is>
      </c>
    </row>
    <row r="2283">
      <c r="A2283" t="inlineStr">
        <is>
          <t>2024</t>
        </is>
      </c>
      <c r="B2283" t="inlineStr">
        <is>
          <t>C00342766</t>
        </is>
      </c>
      <c r="C2283" t="inlineStr">
        <is>
          <t>HF Sinclair PAC (DINO PAC; formerly HollyFrontier PAC)</t>
        </is>
      </c>
      <c r="D2283" t="inlineStr">
        <is>
          <t>WEBER FOR CONGRESS</t>
        </is>
      </c>
      <c r="E2283" t="inlineStr">
        <is>
          <t>H2TX14149</t>
        </is>
      </c>
      <c r="F2283" t="inlineStr">
        <is>
          <t>REP</t>
        </is>
      </c>
      <c r="G2283" t="inlineStr">
        <is>
          <t>03062023</t>
        </is>
      </c>
      <c r="H2283" t="n">
        <v>1000</v>
      </c>
      <c r="I2283" t="inlineStr">
        <is>
          <t>202304179581023495</t>
        </is>
      </c>
      <c r="J2283" t="inlineStr">
        <is>
          <t>https://docquery.fec.gov/cgi-bin/fecimg/?202304179581023495</t>
        </is>
      </c>
    </row>
    <row r="2284">
      <c r="A2284" t="inlineStr">
        <is>
          <t>2024</t>
        </is>
      </c>
      <c r="B2284" t="inlineStr">
        <is>
          <t>C00342766</t>
        </is>
      </c>
      <c r="C2284" t="inlineStr">
        <is>
          <t>HF Sinclair PAC (DINO PAC; formerly HollyFrontier PAC)</t>
        </is>
      </c>
      <c r="D2284" t="inlineStr">
        <is>
          <t>CATHY MCMORRIS RODGERS FOR CONGRESS</t>
        </is>
      </c>
      <c r="E2284" t="inlineStr">
        <is>
          <t>H0FL03175</t>
        </is>
      </c>
      <c r="F2284" t="inlineStr">
        <is>
          <t>REP</t>
        </is>
      </c>
      <c r="G2284" t="inlineStr">
        <is>
          <t>03122024</t>
        </is>
      </c>
      <c r="H2284" t="n">
        <v>-5000</v>
      </c>
      <c r="I2284" t="inlineStr">
        <is>
          <t>202404119627534272</t>
        </is>
      </c>
      <c r="J2284" t="inlineStr">
        <is>
          <t>https://docquery.fec.gov/cgi-bin/fecimg/?202404119627534272</t>
        </is>
      </c>
    </row>
    <row r="2285">
      <c r="A2285" t="inlineStr">
        <is>
          <t>2024</t>
        </is>
      </c>
      <c r="B2285" t="inlineStr">
        <is>
          <t>C00342766</t>
        </is>
      </c>
      <c r="C2285" t="inlineStr">
        <is>
          <t>HF Sinclair PAC (DINO PAC; formerly HollyFrontier PAC)</t>
        </is>
      </c>
      <c r="D2285" t="inlineStr">
        <is>
          <t>SCALISE LEADERSHIP FUND</t>
        </is>
      </c>
      <c r="E2285" t="inlineStr">
        <is>
          <t>H0LA01087</t>
        </is>
      </c>
      <c r="F2285" t="inlineStr">
        <is>
          <t>REP</t>
        </is>
      </c>
      <c r="G2285" t="inlineStr">
        <is>
          <t>03222023</t>
        </is>
      </c>
      <c r="H2285" t="n">
        <v>2500</v>
      </c>
      <c r="I2285" t="inlineStr">
        <is>
          <t>202304179581023494</t>
        </is>
      </c>
      <c r="J2285" t="inlineStr">
        <is>
          <t>https://docquery.fec.gov/cgi-bin/fecimg/?202304179581023494</t>
        </is>
      </c>
    </row>
    <row r="2286">
      <c r="A2286" t="inlineStr">
        <is>
          <t>2024</t>
        </is>
      </c>
      <c r="B2286" t="inlineStr">
        <is>
          <t>C00342766</t>
        </is>
      </c>
      <c r="C2286" t="inlineStr">
        <is>
          <t>HF Sinclair PAC (DINO PAC; formerly HollyFrontier PAC)</t>
        </is>
      </c>
      <c r="D2286" t="inlineStr">
        <is>
          <t>HAGEMAN FOR WYOMING</t>
        </is>
      </c>
      <c r="E2286" t="inlineStr">
        <is>
          <t>H2WY00166</t>
        </is>
      </c>
      <c r="F2286" t="inlineStr">
        <is>
          <t>REP</t>
        </is>
      </c>
      <c r="G2286" t="inlineStr">
        <is>
          <t>03232023</t>
        </is>
      </c>
      <c r="H2286" t="n">
        <v>2500</v>
      </c>
      <c r="I2286" t="inlineStr">
        <is>
          <t>202304179581023492</t>
        </is>
      </c>
      <c r="J2286" t="inlineStr">
        <is>
          <t>https://docquery.fec.gov/cgi-bin/fecimg/?202304179581023492</t>
        </is>
      </c>
    </row>
    <row r="2287">
      <c r="A2287" t="inlineStr">
        <is>
          <t>2024</t>
        </is>
      </c>
      <c r="B2287" t="inlineStr">
        <is>
          <t>C00342766</t>
        </is>
      </c>
      <c r="C2287" t="inlineStr">
        <is>
          <t>HF Sinclair PAC (DINO PAC; formerly HollyFrontier PAC)</t>
        </is>
      </c>
      <c r="D2287" t="inlineStr">
        <is>
          <t>HERN FOR CONGRESS</t>
        </is>
      </c>
      <c r="E2287" t="inlineStr">
        <is>
          <t>H8OK01157</t>
        </is>
      </c>
      <c r="F2287" t="inlineStr">
        <is>
          <t>REP</t>
        </is>
      </c>
      <c r="G2287" t="inlineStr">
        <is>
          <t>03232023</t>
        </is>
      </c>
      <c r="H2287" t="n">
        <v>2500</v>
      </c>
      <c r="I2287" t="inlineStr">
        <is>
          <t>202304179581023492</t>
        </is>
      </c>
      <c r="J2287" t="inlineStr">
        <is>
          <t>https://docquery.fec.gov/cgi-bin/fecimg/?202304179581023492</t>
        </is>
      </c>
    </row>
    <row r="2288">
      <c r="A2288" t="inlineStr">
        <is>
          <t>2024</t>
        </is>
      </c>
      <c r="B2288" t="inlineStr">
        <is>
          <t>C00342766</t>
        </is>
      </c>
      <c r="C2288" t="inlineStr">
        <is>
          <t>HF Sinclair PAC (DINO PAC; formerly HollyFrontier PAC)</t>
        </is>
      </c>
      <c r="D2288" t="inlineStr">
        <is>
          <t>HUDSON FOR CONGRESS</t>
        </is>
      </c>
      <c r="E2288" t="inlineStr">
        <is>
          <t>H2NC08185</t>
        </is>
      </c>
      <c r="F2288" t="inlineStr">
        <is>
          <t>REP</t>
        </is>
      </c>
      <c r="G2288" t="inlineStr">
        <is>
          <t>03232023</t>
        </is>
      </c>
      <c r="H2288" t="n">
        <v>5000</v>
      </c>
      <c r="I2288" t="inlineStr">
        <is>
          <t>202304179581023493</t>
        </is>
      </c>
      <c r="J2288" t="inlineStr">
        <is>
          <t>https://docquery.fec.gov/cgi-bin/fecimg/?202304179581023493</t>
        </is>
      </c>
    </row>
    <row r="2289">
      <c r="A2289" t="inlineStr">
        <is>
          <t>2024</t>
        </is>
      </c>
      <c r="B2289" t="inlineStr">
        <is>
          <t>C00342766</t>
        </is>
      </c>
      <c r="C2289" t="inlineStr">
        <is>
          <t>HF Sinclair PAC (DINO PAC; formerly HollyFrontier PAC)</t>
        </is>
      </c>
      <c r="D2289" t="inlineStr">
        <is>
          <t>JASON SMITH FOR CONGRESS</t>
        </is>
      </c>
      <c r="E2289" t="inlineStr">
        <is>
          <t>H4MO08162</t>
        </is>
      </c>
      <c r="F2289" t="inlineStr">
        <is>
          <t>REP</t>
        </is>
      </c>
      <c r="G2289" t="inlineStr">
        <is>
          <t>03232023</t>
        </is>
      </c>
      <c r="H2289" t="n">
        <v>2500</v>
      </c>
      <c r="I2289" t="inlineStr">
        <is>
          <t>202304179581023493</t>
        </is>
      </c>
      <c r="J2289" t="inlineStr">
        <is>
          <t>https://docquery.fec.gov/cgi-bin/fecimg/?202304179581023493</t>
        </is>
      </c>
    </row>
    <row r="2290">
      <c r="A2290" t="inlineStr">
        <is>
          <t>2024</t>
        </is>
      </c>
      <c r="B2290" t="inlineStr">
        <is>
          <t>C00342766</t>
        </is>
      </c>
      <c r="C2290" t="inlineStr">
        <is>
          <t>HF Sinclair PAC (DINO PAC; formerly HollyFrontier PAC)</t>
        </is>
      </c>
      <c r="D2290" t="inlineStr">
        <is>
          <t>TONY GONZALES FOR CONGRESS</t>
        </is>
      </c>
      <c r="E2290" t="inlineStr">
        <is>
          <t>H0TX35015</t>
        </is>
      </c>
      <c r="F2290" t="inlineStr">
        <is>
          <t>REP</t>
        </is>
      </c>
      <c r="G2290" t="inlineStr">
        <is>
          <t>03232023</t>
        </is>
      </c>
      <c r="H2290" t="n">
        <v>1000</v>
      </c>
      <c r="I2290" t="inlineStr">
        <is>
          <t>202304179581023495</t>
        </is>
      </c>
      <c r="J2290" t="inlineStr">
        <is>
          <t>https://docquery.fec.gov/cgi-bin/fecimg/?202304179581023495</t>
        </is>
      </c>
    </row>
    <row r="2291">
      <c r="A2291" t="inlineStr">
        <is>
          <t>2024</t>
        </is>
      </c>
      <c r="B2291" t="inlineStr">
        <is>
          <t>C00342766</t>
        </is>
      </c>
      <c r="C2291" t="inlineStr">
        <is>
          <t>HF Sinclair PAC (DINO PAC; formerly HollyFrontier PAC)</t>
        </is>
      </c>
      <c r="D2291" t="inlineStr">
        <is>
          <t>RESCHENTHALER, GUY MR.</t>
        </is>
      </c>
      <c r="E2291" t="inlineStr">
        <is>
          <t>H8PA18199</t>
        </is>
      </c>
      <c r="F2291" t="inlineStr">
        <is>
          <t>REP</t>
        </is>
      </c>
      <c r="G2291" t="inlineStr">
        <is>
          <t>03282024</t>
        </is>
      </c>
      <c r="H2291" t="n">
        <v>1000</v>
      </c>
      <c r="I2291" t="inlineStr">
        <is>
          <t>202404119627534277</t>
        </is>
      </c>
      <c r="J2291" t="inlineStr">
        <is>
          <t>https://docquery.fec.gov/cgi-bin/fecimg/?202404119627534277</t>
        </is>
      </c>
    </row>
    <row r="2292">
      <c r="A2292" t="inlineStr">
        <is>
          <t>2024</t>
        </is>
      </c>
      <c r="B2292" t="inlineStr">
        <is>
          <t>C00342766</t>
        </is>
      </c>
      <c r="C2292" t="inlineStr">
        <is>
          <t>HF Sinclair PAC (DINO PAC; formerly HollyFrontier PAC)</t>
        </is>
      </c>
      <c r="D2292" t="inlineStr">
        <is>
          <t>SHEEHY, TIM</t>
        </is>
      </c>
      <c r="E2292" t="inlineStr">
        <is>
          <t>S4MT00183</t>
        </is>
      </c>
      <c r="F2292" t="inlineStr">
        <is>
          <t>REP</t>
        </is>
      </c>
      <c r="G2292" t="inlineStr">
        <is>
          <t>03282024</t>
        </is>
      </c>
      <c r="H2292" t="n">
        <v>5000</v>
      </c>
      <c r="I2292" t="inlineStr">
        <is>
          <t>202404119627534277</t>
        </is>
      </c>
      <c r="J2292" t="inlineStr">
        <is>
          <t>https://docquery.fec.gov/cgi-bin/fecimg/?202404119627534277</t>
        </is>
      </c>
    </row>
    <row r="2293">
      <c r="A2293" t="inlineStr">
        <is>
          <t>2024</t>
        </is>
      </c>
      <c r="B2293" t="inlineStr">
        <is>
          <t>C00342766</t>
        </is>
      </c>
      <c r="C2293" t="inlineStr">
        <is>
          <t>HF Sinclair PAC (DINO PAC; formerly HollyFrontier PAC)</t>
        </is>
      </c>
      <c r="D2293" t="inlineStr">
        <is>
          <t>AUGUST PFLUGER FOR CONGRESS</t>
        </is>
      </c>
      <c r="E2293" t="inlineStr">
        <is>
          <t>H0TX11230</t>
        </is>
      </c>
      <c r="F2293" t="inlineStr">
        <is>
          <t>REP</t>
        </is>
      </c>
      <c r="G2293" t="inlineStr">
        <is>
          <t>03282024</t>
        </is>
      </c>
      <c r="H2293" t="n">
        <v>2500</v>
      </c>
      <c r="I2293" t="inlineStr">
        <is>
          <t>202404119627534273</t>
        </is>
      </c>
      <c r="J2293" t="inlineStr">
        <is>
          <t>https://docquery.fec.gov/cgi-bin/fecimg/?202404119627534273</t>
        </is>
      </c>
    </row>
    <row r="2294">
      <c r="A2294" t="inlineStr">
        <is>
          <t>2024</t>
        </is>
      </c>
      <c r="B2294" t="inlineStr">
        <is>
          <t>C00342766</t>
        </is>
      </c>
      <c r="C2294" t="inlineStr">
        <is>
          <t>HF Sinclair PAC (DINO PAC; formerly HollyFrontier PAC)</t>
        </is>
      </c>
      <c r="D2294" t="inlineStr">
        <is>
          <t>BICE FOR CONGRESS</t>
        </is>
      </c>
      <c r="E2294" t="inlineStr">
        <is>
          <t>H0OK05205</t>
        </is>
      </c>
      <c r="F2294" t="inlineStr">
        <is>
          <t>REP</t>
        </is>
      </c>
      <c r="G2294" t="inlineStr">
        <is>
          <t>03282024</t>
        </is>
      </c>
      <c r="H2294" t="n">
        <v>2500</v>
      </c>
      <c r="I2294" t="inlineStr">
        <is>
          <t>202404119627534273</t>
        </is>
      </c>
      <c r="J2294" t="inlineStr">
        <is>
          <t>https://docquery.fec.gov/cgi-bin/fecimg/?202404119627534273</t>
        </is>
      </c>
    </row>
    <row r="2295">
      <c r="A2295" t="inlineStr">
        <is>
          <t>2024</t>
        </is>
      </c>
      <c r="B2295" t="inlineStr">
        <is>
          <t>C00342766</t>
        </is>
      </c>
      <c r="C2295" t="inlineStr">
        <is>
          <t>HF Sinclair PAC (DINO PAC; formerly HollyFrontier PAC)</t>
        </is>
      </c>
      <c r="D2295" t="inlineStr">
        <is>
          <t>HUDSON FOR CONGRESS</t>
        </is>
      </c>
      <c r="E2295" t="inlineStr">
        <is>
          <t>H2NC08185</t>
        </is>
      </c>
      <c r="F2295" t="inlineStr">
        <is>
          <t>REP</t>
        </is>
      </c>
      <c r="G2295" t="inlineStr">
        <is>
          <t>03282024</t>
        </is>
      </c>
      <c r="H2295" t="n">
        <v>2500</v>
      </c>
      <c r="I2295" t="inlineStr">
        <is>
          <t>202404119627534275</t>
        </is>
      </c>
      <c r="J2295" t="inlineStr">
        <is>
          <t>https://docquery.fec.gov/cgi-bin/fecimg/?202404119627534275</t>
        </is>
      </c>
    </row>
    <row r="2296">
      <c r="A2296" t="inlineStr">
        <is>
          <t>2024</t>
        </is>
      </c>
      <c r="B2296" t="inlineStr">
        <is>
          <t>C00342766</t>
        </is>
      </c>
      <c r="C2296" t="inlineStr">
        <is>
          <t>HF Sinclair PAC (DINO PAC; formerly HollyFrontier PAC)</t>
        </is>
      </c>
      <c r="D2296" t="inlineStr">
        <is>
          <t>EMMER FOR CONGRESS</t>
        </is>
      </c>
      <c r="E2296" t="inlineStr">
        <is>
          <t>H4MN06087</t>
        </is>
      </c>
      <c r="F2296" t="inlineStr">
        <is>
          <t>REP</t>
        </is>
      </c>
      <c r="G2296" t="inlineStr">
        <is>
          <t>05232023</t>
        </is>
      </c>
      <c r="H2296" t="n">
        <v>2500</v>
      </c>
      <c r="I2296" t="inlineStr">
        <is>
          <t>202306199582187633</t>
        </is>
      </c>
      <c r="J2296" t="inlineStr">
        <is>
          <t>https://docquery.fec.gov/cgi-bin/fecimg/?202306199582187633</t>
        </is>
      </c>
    </row>
    <row r="2297">
      <c r="A2297" t="inlineStr">
        <is>
          <t>2024</t>
        </is>
      </c>
      <c r="B2297" t="inlineStr">
        <is>
          <t>C00342766</t>
        </is>
      </c>
      <c r="C2297" t="inlineStr">
        <is>
          <t>HF Sinclair PAC (DINO PAC; formerly HollyFrontier PAC)</t>
        </is>
      </c>
      <c r="D2297" t="inlineStr">
        <is>
          <t>MCHENRY FOR CONGRESS</t>
        </is>
      </c>
      <c r="E2297" t="inlineStr">
        <is>
          <t>H4NC10047</t>
        </is>
      </c>
      <c r="F2297" t="inlineStr">
        <is>
          <t>REP</t>
        </is>
      </c>
      <c r="G2297" t="inlineStr">
        <is>
          <t>05232023</t>
        </is>
      </c>
      <c r="H2297" t="n">
        <v>1000</v>
      </c>
      <c r="I2297" t="inlineStr">
        <is>
          <t>202306199582187633</t>
        </is>
      </c>
      <c r="J2297" t="inlineStr">
        <is>
          <t>https://docquery.fec.gov/cgi-bin/fecimg/?202306199582187633</t>
        </is>
      </c>
    </row>
    <row r="2298">
      <c r="A2298" t="inlineStr">
        <is>
          <t>2024</t>
        </is>
      </c>
      <c r="B2298" t="inlineStr">
        <is>
          <t>C00342766</t>
        </is>
      </c>
      <c r="C2298" t="inlineStr">
        <is>
          <t>HF Sinclair PAC (DINO PAC; formerly HollyFrontier PAC)</t>
        </is>
      </c>
      <c r="D2298" t="inlineStr">
        <is>
          <t>MORGAN GRIFFITH FOR CONGRESS</t>
        </is>
      </c>
      <c r="E2298" t="inlineStr">
        <is>
          <t>H0VA09055</t>
        </is>
      </c>
      <c r="F2298" t="inlineStr">
        <is>
          <t>REP</t>
        </is>
      </c>
      <c r="G2298" t="inlineStr">
        <is>
          <t>05232023</t>
        </is>
      </c>
      <c r="H2298" t="n">
        <v>1000</v>
      </c>
      <c r="I2298" t="inlineStr">
        <is>
          <t>202306199582187634</t>
        </is>
      </c>
      <c r="J2298" t="inlineStr">
        <is>
          <t>https://docquery.fec.gov/cgi-bin/fecimg/?202306199582187634</t>
        </is>
      </c>
    </row>
    <row r="2299">
      <c r="A2299" t="inlineStr">
        <is>
          <t>2024</t>
        </is>
      </c>
      <c r="B2299" t="inlineStr">
        <is>
          <t>C00342766</t>
        </is>
      </c>
      <c r="C2299" t="inlineStr">
        <is>
          <t>HF Sinclair PAC (DINO PAC; formerly HollyFrontier PAC)</t>
        </is>
      </c>
      <c r="D2299" t="inlineStr">
        <is>
          <t>WESTERMAN FOR CONGRESS</t>
        </is>
      </c>
      <c r="E2299" t="inlineStr">
        <is>
          <t>H4AR04048</t>
        </is>
      </c>
      <c r="F2299" t="inlineStr">
        <is>
          <t>REP</t>
        </is>
      </c>
      <c r="G2299" t="inlineStr">
        <is>
          <t>05232023</t>
        </is>
      </c>
      <c r="H2299" t="n">
        <v>1000</v>
      </c>
      <c r="I2299" t="inlineStr">
        <is>
          <t>202306199582187635</t>
        </is>
      </c>
      <c r="J2299" t="inlineStr">
        <is>
          <t>https://docquery.fec.gov/cgi-bin/fecimg/?202306199582187635</t>
        </is>
      </c>
    </row>
    <row r="2300">
      <c r="A2300" t="inlineStr">
        <is>
          <t>2024</t>
        </is>
      </c>
      <c r="B2300" t="inlineStr">
        <is>
          <t>C00342766</t>
        </is>
      </c>
      <c r="C2300" t="inlineStr">
        <is>
          <t>HF Sinclair PAC (DINO PAC; formerly HollyFrontier PAC)</t>
        </is>
      </c>
      <c r="D2300" t="inlineStr">
        <is>
          <t>JEFF DUNCAN FOR CONGRESS</t>
        </is>
      </c>
      <c r="E2300" t="inlineStr">
        <is>
          <t>H0SC03077</t>
        </is>
      </c>
      <c r="F2300" t="inlineStr">
        <is>
          <t>REP</t>
        </is>
      </c>
      <c r="G2300" t="inlineStr">
        <is>
          <t>05312023</t>
        </is>
      </c>
      <c r="H2300" t="n">
        <v>1000</v>
      </c>
      <c r="I2300" t="inlineStr">
        <is>
          <t>202306199582187633</t>
        </is>
      </c>
      <c r="J2300" t="inlineStr">
        <is>
          <t>https://docquery.fec.gov/cgi-bin/fecimg/?202306199582187633</t>
        </is>
      </c>
    </row>
    <row r="2301">
      <c r="A2301" t="inlineStr">
        <is>
          <t>2024</t>
        </is>
      </c>
      <c r="B2301" t="inlineStr">
        <is>
          <t>C00342766</t>
        </is>
      </c>
      <c r="C2301" t="inlineStr">
        <is>
          <t>HF Sinclair PAC (DINO PAC; formerly HollyFrontier PAC)</t>
        </is>
      </c>
      <c r="D2301" t="inlineStr">
        <is>
          <t>JACKSON, RONNY LYNN</t>
        </is>
      </c>
      <c r="E2301" t="inlineStr">
        <is>
          <t>H0TX13228</t>
        </is>
      </c>
      <c r="F2301" t="inlineStr">
        <is>
          <t>REP</t>
        </is>
      </c>
      <c r="G2301" t="inlineStr">
        <is>
          <t>06102024</t>
        </is>
      </c>
      <c r="H2301" t="n">
        <v>2500</v>
      </c>
      <c r="I2301" t="inlineStr">
        <is>
          <t>202407119653113476</t>
        </is>
      </c>
      <c r="J2301" t="inlineStr">
        <is>
          <t>https://docquery.fec.gov/cgi-bin/fecimg/?202407119653113476</t>
        </is>
      </c>
    </row>
    <row r="2302">
      <c r="A2302" t="inlineStr">
        <is>
          <t>2024</t>
        </is>
      </c>
      <c r="B2302" t="inlineStr">
        <is>
          <t>C00342766</t>
        </is>
      </c>
      <c r="C2302" t="inlineStr">
        <is>
          <t>HF Sinclair PAC (DINO PAC; formerly HollyFrontier PAC)</t>
        </is>
      </c>
      <c r="D2302" t="inlineStr">
        <is>
          <t>MILLER-MEEKS FOR CONGRESS</t>
        </is>
      </c>
      <c r="E2302" t="inlineStr">
        <is>
          <t>H8IA02043</t>
        </is>
      </c>
      <c r="F2302" t="inlineStr">
        <is>
          <t>REP</t>
        </is>
      </c>
      <c r="G2302" t="inlineStr">
        <is>
          <t>06102024</t>
        </is>
      </c>
      <c r="H2302" t="n">
        <v>1000</v>
      </c>
      <c r="I2302" t="inlineStr">
        <is>
          <t>202407119653113477</t>
        </is>
      </c>
      <c r="J2302" t="inlineStr">
        <is>
          <t>https://docquery.fec.gov/cgi-bin/fecimg/?202407119653113477</t>
        </is>
      </c>
    </row>
    <row r="2303">
      <c r="A2303" t="inlineStr">
        <is>
          <t>2024</t>
        </is>
      </c>
      <c r="B2303" t="inlineStr">
        <is>
          <t>C00342766</t>
        </is>
      </c>
      <c r="C2303" t="inlineStr">
        <is>
          <t>HF Sinclair PAC (DINO PAC; formerly HollyFrontier PAC)</t>
        </is>
      </c>
      <c r="D2303" t="inlineStr">
        <is>
          <t>ROB FOR PA</t>
        </is>
      </c>
      <c r="E2303" t="inlineStr">
        <is>
          <t>H4PA08124</t>
        </is>
      </c>
      <c r="F2303" t="inlineStr">
        <is>
          <t>REP</t>
        </is>
      </c>
      <c r="G2303" t="inlineStr">
        <is>
          <t>06102024</t>
        </is>
      </c>
      <c r="H2303" t="n">
        <v>1000</v>
      </c>
      <c r="I2303" t="inlineStr">
        <is>
          <t>202407119653113477</t>
        </is>
      </c>
      <c r="J2303" t="inlineStr">
        <is>
          <t>https://docquery.fec.gov/cgi-bin/fecimg/?202407119653113477</t>
        </is>
      </c>
    </row>
    <row r="2304">
      <c r="A2304" t="inlineStr">
        <is>
          <t>2024</t>
        </is>
      </c>
      <c r="B2304" t="inlineStr">
        <is>
          <t>C00342766</t>
        </is>
      </c>
      <c r="C2304" t="inlineStr">
        <is>
          <t>HF Sinclair PAC (DINO PAC; formerly HollyFrontier PAC)</t>
        </is>
      </c>
      <c r="D2304" t="inlineStr">
        <is>
          <t>STEFANIK, ELISE M.</t>
        </is>
      </c>
      <c r="E2304" t="inlineStr">
        <is>
          <t>H4NY21079</t>
        </is>
      </c>
      <c r="F2304" t="inlineStr">
        <is>
          <t>REP</t>
        </is>
      </c>
      <c r="G2304" t="inlineStr">
        <is>
          <t>06102024</t>
        </is>
      </c>
      <c r="H2304" t="n">
        <v>1500</v>
      </c>
      <c r="I2304" t="inlineStr">
        <is>
          <t>202407119653113477</t>
        </is>
      </c>
      <c r="J2304" t="inlineStr">
        <is>
          <t>https://docquery.fec.gov/cgi-bin/fecimg/?202407119653113477</t>
        </is>
      </c>
    </row>
    <row r="2305">
      <c r="A2305" t="inlineStr">
        <is>
          <t>2024</t>
        </is>
      </c>
      <c r="B2305" t="inlineStr">
        <is>
          <t>C00342766</t>
        </is>
      </c>
      <c r="C2305" t="inlineStr">
        <is>
          <t>HF Sinclair PAC (DINO PAC; formerly HollyFrontier PAC)</t>
        </is>
      </c>
      <c r="D2305" t="inlineStr">
        <is>
          <t>WESTERMAN FOR CONGRESS</t>
        </is>
      </c>
      <c r="E2305" t="inlineStr">
        <is>
          <t>H4AR04048</t>
        </is>
      </c>
      <c r="F2305" t="inlineStr">
        <is>
          <t>REP</t>
        </is>
      </c>
      <c r="G2305" t="inlineStr">
        <is>
          <t>06102024</t>
        </is>
      </c>
      <c r="H2305" t="n">
        <v>2500</v>
      </c>
      <c r="I2305" t="inlineStr">
        <is>
          <t>202407119653113478</t>
        </is>
      </c>
      <c r="J2305" t="inlineStr">
        <is>
          <t>https://docquery.fec.gov/cgi-bin/fecimg/?202407119653113478</t>
        </is>
      </c>
    </row>
    <row r="2306">
      <c r="A2306" t="inlineStr">
        <is>
          <t>2024</t>
        </is>
      </c>
      <c r="B2306" t="inlineStr">
        <is>
          <t>C00342766</t>
        </is>
      </c>
      <c r="C2306" t="inlineStr">
        <is>
          <t>HF Sinclair PAC (DINO PAC; formerly HollyFrontier PAC)</t>
        </is>
      </c>
      <c r="D2306" t="inlineStr">
        <is>
          <t>ARRINGTON, JODEY</t>
        </is>
      </c>
      <c r="E2306" t="inlineStr">
        <is>
          <t>H6TX19099</t>
        </is>
      </c>
      <c r="F2306" t="inlineStr">
        <is>
          <t>REP</t>
        </is>
      </c>
      <c r="G2306" t="inlineStr">
        <is>
          <t>06102024</t>
        </is>
      </c>
      <c r="H2306" t="n">
        <v>2500</v>
      </c>
      <c r="I2306" t="inlineStr">
        <is>
          <t>202407119653113475</t>
        </is>
      </c>
      <c r="J2306" t="inlineStr">
        <is>
          <t>https://docquery.fec.gov/cgi-bin/fecimg/?202407119653113475</t>
        </is>
      </c>
    </row>
    <row r="2307">
      <c r="A2307" t="inlineStr">
        <is>
          <t>2024</t>
        </is>
      </c>
      <c r="B2307" t="inlineStr">
        <is>
          <t>C00342766</t>
        </is>
      </c>
      <c r="C2307" t="inlineStr">
        <is>
          <t>HF Sinclair PAC (DINO PAC; formerly HollyFrontier PAC)</t>
        </is>
      </c>
      <c r="D2307" t="inlineStr">
        <is>
          <t>COMER FOR CONGRESS</t>
        </is>
      </c>
      <c r="E2307" t="inlineStr">
        <is>
          <t>H6KY01110</t>
        </is>
      </c>
      <c r="F2307" t="inlineStr">
        <is>
          <t>REP</t>
        </is>
      </c>
      <c r="G2307" t="inlineStr">
        <is>
          <t>06102024</t>
        </is>
      </c>
      <c r="H2307" t="n">
        <v>2500</v>
      </c>
      <c r="I2307" t="inlineStr">
        <is>
          <t>202407119653113475</t>
        </is>
      </c>
      <c r="J2307" t="inlineStr">
        <is>
          <t>https://docquery.fec.gov/cgi-bin/fecimg/?202407119653113475</t>
        </is>
      </c>
    </row>
    <row r="2308">
      <c r="A2308" t="inlineStr">
        <is>
          <t>2024</t>
        </is>
      </c>
      <c r="B2308" t="inlineStr">
        <is>
          <t>C00342766</t>
        </is>
      </c>
      <c r="C2308" t="inlineStr">
        <is>
          <t>HF Sinclair PAC (DINO PAC; formerly HollyFrontier PAC)</t>
        </is>
      </c>
      <c r="D2308" t="inlineStr">
        <is>
          <t>GUTHRIE FOR CONGRESS</t>
        </is>
      </c>
      <c r="E2308" t="inlineStr">
        <is>
          <t>H8KY02031</t>
        </is>
      </c>
      <c r="F2308" t="inlineStr">
        <is>
          <t>REP</t>
        </is>
      </c>
      <c r="G2308" t="inlineStr">
        <is>
          <t>06102024</t>
        </is>
      </c>
      <c r="H2308" t="n">
        <v>2000</v>
      </c>
      <c r="I2308" t="inlineStr">
        <is>
          <t>202407119653113475</t>
        </is>
      </c>
      <c r="J2308" t="inlineStr">
        <is>
          <t>https://docquery.fec.gov/cgi-bin/fecimg/?202407119653113475</t>
        </is>
      </c>
    </row>
    <row r="2309">
      <c r="A2309" t="inlineStr">
        <is>
          <t>2024</t>
        </is>
      </c>
      <c r="B2309" t="inlineStr">
        <is>
          <t>C00342766</t>
        </is>
      </c>
      <c r="C2309" t="inlineStr">
        <is>
          <t>HF Sinclair PAC (DINO PAC; formerly HollyFrontier PAC)</t>
        </is>
      </c>
      <c r="D2309" t="inlineStr">
        <is>
          <t>HERN FOR CONGRESS</t>
        </is>
      </c>
      <c r="E2309" t="inlineStr">
        <is>
          <t>H8OK01157</t>
        </is>
      </c>
      <c r="F2309" t="inlineStr">
        <is>
          <t>REP</t>
        </is>
      </c>
      <c r="G2309" t="inlineStr">
        <is>
          <t>06102024</t>
        </is>
      </c>
      <c r="H2309" t="n">
        <v>2500</v>
      </c>
      <c r="I2309" t="inlineStr">
        <is>
          <t>202407119653113476</t>
        </is>
      </c>
      <c r="J2309" t="inlineStr">
        <is>
          <t>https://docquery.fec.gov/cgi-bin/fecimg/?202407119653113476</t>
        </is>
      </c>
    </row>
    <row r="2310">
      <c r="A2310" t="inlineStr">
        <is>
          <t>2024</t>
        </is>
      </c>
      <c r="B2310" t="inlineStr">
        <is>
          <t>C00342766</t>
        </is>
      </c>
      <c r="C2310" t="inlineStr">
        <is>
          <t>HF Sinclair PAC (DINO PAC; formerly HollyFrontier PAC)</t>
        </is>
      </c>
      <c r="D2310" t="inlineStr">
        <is>
          <t>HOGAN FOR MARYLAND INC.</t>
        </is>
      </c>
      <c r="E2310" t="inlineStr">
        <is>
          <t>S4MD00483</t>
        </is>
      </c>
      <c r="F2310" t="inlineStr">
        <is>
          <t>REP</t>
        </is>
      </c>
      <c r="G2310" t="inlineStr">
        <is>
          <t>06102024</t>
        </is>
      </c>
      <c r="H2310" t="n">
        <v>2500</v>
      </c>
      <c r="I2310" t="inlineStr">
        <is>
          <t>202407119653113476</t>
        </is>
      </c>
      <c r="J2310" t="inlineStr">
        <is>
          <t>https://docquery.fec.gov/cgi-bin/fecimg/?202407119653113476</t>
        </is>
      </c>
    </row>
    <row r="2311">
      <c r="A2311" t="inlineStr">
        <is>
          <t>2024</t>
        </is>
      </c>
      <c r="B2311" t="inlineStr">
        <is>
          <t>C00342766</t>
        </is>
      </c>
      <c r="C2311" t="inlineStr">
        <is>
          <t>HF Sinclair PAC (DINO PAC; formerly HollyFrontier PAC)</t>
        </is>
      </c>
      <c r="D2311" t="inlineStr">
        <is>
          <t>BUDDY CARTER FOR CONGRESS</t>
        </is>
      </c>
      <c r="E2311" t="inlineStr">
        <is>
          <t>H4GA01039</t>
        </is>
      </c>
      <c r="F2311" t="inlineStr">
        <is>
          <t>REP</t>
        </is>
      </c>
      <c r="G2311" t="inlineStr">
        <is>
          <t>07232024</t>
        </is>
      </c>
      <c r="H2311" t="n">
        <v>2500</v>
      </c>
      <c r="I2311" t="inlineStr">
        <is>
          <t>202410109684853706</t>
        </is>
      </c>
      <c r="J2311" t="inlineStr">
        <is>
          <t>https://docquery.fec.gov/cgi-bin/fecimg/?202410109684853706</t>
        </is>
      </c>
    </row>
    <row r="2312">
      <c r="A2312" t="inlineStr">
        <is>
          <t>2024</t>
        </is>
      </c>
      <c r="B2312" t="inlineStr">
        <is>
          <t>C00342766</t>
        </is>
      </c>
      <c r="C2312" t="inlineStr">
        <is>
          <t>HF Sinclair PAC (DINO PAC; formerly HollyFrontier PAC)</t>
        </is>
      </c>
      <c r="D2312" t="inlineStr">
        <is>
          <t>BYRON DONALDS FOR CONGRESS</t>
        </is>
      </c>
      <c r="E2312" t="inlineStr">
        <is>
          <t>H2FL14186</t>
        </is>
      </c>
      <c r="F2312" t="inlineStr">
        <is>
          <t>REP</t>
        </is>
      </c>
      <c r="G2312" t="inlineStr">
        <is>
          <t>07232024</t>
        </is>
      </c>
      <c r="H2312" t="n">
        <v>1000</v>
      </c>
      <c r="I2312" t="inlineStr">
        <is>
          <t>202410109684853706</t>
        </is>
      </c>
      <c r="J2312" t="inlineStr">
        <is>
          <t>https://docquery.fec.gov/cgi-bin/fecimg/?202410109684853706</t>
        </is>
      </c>
    </row>
    <row r="2313">
      <c r="A2313" t="inlineStr">
        <is>
          <t>2024</t>
        </is>
      </c>
      <c r="B2313" t="inlineStr">
        <is>
          <t>C00342766</t>
        </is>
      </c>
      <c r="C2313" t="inlineStr">
        <is>
          <t>HF Sinclair PAC (DINO PAC; formerly HollyFrontier PAC)</t>
        </is>
      </c>
      <c r="D2313" t="inlineStr">
        <is>
          <t>FRIENDS OF JOHN BARRASSO</t>
        </is>
      </c>
      <c r="E2313" t="inlineStr">
        <is>
          <t>S6WY00068</t>
        </is>
      </c>
      <c r="F2313" t="inlineStr">
        <is>
          <t>REP</t>
        </is>
      </c>
      <c r="G2313" t="inlineStr">
        <is>
          <t>07232024</t>
        </is>
      </c>
      <c r="H2313" t="n">
        <v>2500</v>
      </c>
      <c r="I2313" t="inlineStr">
        <is>
          <t>202410109684853708</t>
        </is>
      </c>
      <c r="J2313" t="inlineStr">
        <is>
          <t>https://docquery.fec.gov/cgi-bin/fecimg/?202410109684853708</t>
        </is>
      </c>
    </row>
    <row r="2314">
      <c r="A2314" t="inlineStr">
        <is>
          <t>2024</t>
        </is>
      </c>
      <c r="B2314" t="inlineStr">
        <is>
          <t>C00342766</t>
        </is>
      </c>
      <c r="C2314" t="inlineStr">
        <is>
          <t>HF Sinclair PAC (DINO PAC; formerly HollyFrontier PAC)</t>
        </is>
      </c>
      <c r="D2314" t="inlineStr">
        <is>
          <t>KANSANS FOR MARSHALL</t>
        </is>
      </c>
      <c r="E2314" t="inlineStr">
        <is>
          <t>S0KS00315</t>
        </is>
      </c>
      <c r="F2314" t="inlineStr">
        <is>
          <t>REP</t>
        </is>
      </c>
      <c r="G2314" t="inlineStr">
        <is>
          <t>07232024</t>
        </is>
      </c>
      <c r="H2314" t="n">
        <v>5000</v>
      </c>
      <c r="I2314" t="inlineStr">
        <is>
          <t>202410109684853708</t>
        </is>
      </c>
      <c r="J2314" t="inlineStr">
        <is>
          <t>https://docquery.fec.gov/cgi-bin/fecimg/?202410109684853708</t>
        </is>
      </c>
    </row>
    <row r="2315">
      <c r="A2315" t="inlineStr">
        <is>
          <t>2024</t>
        </is>
      </c>
      <c r="B2315" t="inlineStr">
        <is>
          <t>C00342766</t>
        </is>
      </c>
      <c r="C2315" t="inlineStr">
        <is>
          <t>HF Sinclair PAC (DINO PAC; formerly HollyFrontier PAC)</t>
        </is>
      </c>
      <c r="D2315" t="inlineStr">
        <is>
          <t>BOST, MICHAEL</t>
        </is>
      </c>
      <c r="E2315" t="inlineStr">
        <is>
          <t>H4IL12060</t>
        </is>
      </c>
      <c r="F2315" t="inlineStr">
        <is>
          <t>REP</t>
        </is>
      </c>
      <c r="G2315" t="inlineStr">
        <is>
          <t>07242023</t>
        </is>
      </c>
      <c r="H2315" t="n">
        <v>1000</v>
      </c>
      <c r="I2315" t="inlineStr">
        <is>
          <t>202308149596551642</t>
        </is>
      </c>
      <c r="J2315" t="inlineStr">
        <is>
          <t>https://docquery.fec.gov/cgi-bin/fecimg/?202308149596551642</t>
        </is>
      </c>
    </row>
    <row r="2316">
      <c r="A2316" t="inlineStr">
        <is>
          <t>2024</t>
        </is>
      </c>
      <c r="B2316" t="inlineStr">
        <is>
          <t>C00342766</t>
        </is>
      </c>
      <c r="C2316" t="inlineStr">
        <is>
          <t>HF Sinclair PAC (DINO PAC; formerly HollyFrontier PAC)</t>
        </is>
      </c>
      <c r="D2316" t="inlineStr">
        <is>
          <t>COMER FOR CONGRESS</t>
        </is>
      </c>
      <c r="E2316" t="inlineStr">
        <is>
          <t>H6KY01110</t>
        </is>
      </c>
      <c r="F2316" t="inlineStr">
        <is>
          <t>REP</t>
        </is>
      </c>
      <c r="G2316" t="inlineStr">
        <is>
          <t>07242023</t>
        </is>
      </c>
      <c r="H2316" t="n">
        <v>2500</v>
      </c>
      <c r="I2316" t="inlineStr">
        <is>
          <t>202308149596551642</t>
        </is>
      </c>
      <c r="J2316" t="inlineStr">
        <is>
          <t>https://docquery.fec.gov/cgi-bin/fecimg/?202308149596551642</t>
        </is>
      </c>
    </row>
    <row r="2317">
      <c r="A2317" t="inlineStr">
        <is>
          <t>2024</t>
        </is>
      </c>
      <c r="B2317" t="inlineStr">
        <is>
          <t>C00342766</t>
        </is>
      </c>
      <c r="C2317" t="inlineStr">
        <is>
          <t>HF Sinclair PAC (DINO PAC; formerly HollyFrontier PAC)</t>
        </is>
      </c>
      <c r="D2317" t="inlineStr">
        <is>
          <t>LARSEN, RICK</t>
        </is>
      </c>
      <c r="E2317" t="inlineStr">
        <is>
          <t>H0WA02080</t>
        </is>
      </c>
      <c r="F2317" t="inlineStr">
        <is>
          <t>DEM</t>
        </is>
      </c>
      <c r="G2317" t="inlineStr">
        <is>
          <t>07242023</t>
        </is>
      </c>
      <c r="H2317" t="n">
        <v>1500</v>
      </c>
      <c r="I2317" t="inlineStr">
        <is>
          <t>202308149596551642</t>
        </is>
      </c>
      <c r="J2317" t="inlineStr">
        <is>
          <t>https://docquery.fec.gov/cgi-bin/fecimg/?202308149596551642</t>
        </is>
      </c>
    </row>
    <row r="2318">
      <c r="A2318" t="inlineStr">
        <is>
          <t>2024</t>
        </is>
      </c>
      <c r="B2318" t="inlineStr">
        <is>
          <t>C00342766</t>
        </is>
      </c>
      <c r="C2318" t="inlineStr">
        <is>
          <t>HF Sinclair PAC (DINO PAC; formerly HollyFrontier PAC)</t>
        </is>
      </c>
      <c r="D2318" t="inlineStr">
        <is>
          <t>RESCHENTHALER, GUY MR.</t>
        </is>
      </c>
      <c r="E2318" t="inlineStr">
        <is>
          <t>H8PA18199</t>
        </is>
      </c>
      <c r="F2318" t="inlineStr">
        <is>
          <t>REP</t>
        </is>
      </c>
      <c r="G2318" t="inlineStr">
        <is>
          <t>07242023</t>
        </is>
      </c>
      <c r="H2318" t="n">
        <v>1000</v>
      </c>
      <c r="I2318" t="inlineStr">
        <is>
          <t>202308149596551643</t>
        </is>
      </c>
      <c r="J2318" t="inlineStr">
        <is>
          <t>https://docquery.fec.gov/cgi-bin/fecimg/?202308149596551643</t>
        </is>
      </c>
    </row>
    <row r="2319">
      <c r="A2319" t="inlineStr">
        <is>
          <t>2024</t>
        </is>
      </c>
      <c r="B2319" t="inlineStr">
        <is>
          <t>C00342766</t>
        </is>
      </c>
      <c r="C2319" t="inlineStr">
        <is>
          <t>HF Sinclair PAC (DINO PAC; formerly HollyFrontier PAC)</t>
        </is>
      </c>
      <c r="D2319" t="inlineStr">
        <is>
          <t>STAUBER, PETER ALLEN</t>
        </is>
      </c>
      <c r="E2319" t="inlineStr">
        <is>
          <t>H8MN08043</t>
        </is>
      </c>
      <c r="F2319" t="inlineStr">
        <is>
          <t>REP</t>
        </is>
      </c>
      <c r="G2319" t="inlineStr">
        <is>
          <t>07242023</t>
        </is>
      </c>
      <c r="H2319" t="n">
        <v>1000</v>
      </c>
      <c r="I2319" t="inlineStr">
        <is>
          <t>202308149596551643</t>
        </is>
      </c>
      <c r="J2319" t="inlineStr">
        <is>
          <t>https://docquery.fec.gov/cgi-bin/fecimg/?202308149596551643</t>
        </is>
      </c>
    </row>
    <row r="2320">
      <c r="A2320" t="inlineStr">
        <is>
          <t>2024</t>
        </is>
      </c>
      <c r="B2320" t="inlineStr">
        <is>
          <t>C00342766</t>
        </is>
      </c>
      <c r="C2320" t="inlineStr">
        <is>
          <t>HF Sinclair PAC (DINO PAC; formerly HollyFrontier PAC)</t>
        </is>
      </c>
      <c r="D2320" t="inlineStr">
        <is>
          <t>TEXANS FOR RONNY JACKSON</t>
        </is>
      </c>
      <c r="E2320" t="inlineStr">
        <is>
          <t>H0TX13228</t>
        </is>
      </c>
      <c r="F2320" t="inlineStr">
        <is>
          <t>REP</t>
        </is>
      </c>
      <c r="G2320" t="inlineStr">
        <is>
          <t>07292024</t>
        </is>
      </c>
      <c r="H2320" t="n">
        <v>-2500</v>
      </c>
      <c r="I2320" t="inlineStr">
        <is>
          <t>202410109684853709</t>
        </is>
      </c>
      <c r="J2320" t="inlineStr">
        <is>
          <t>https://docquery.fec.gov/cgi-bin/fecimg/?202410109684853709</t>
        </is>
      </c>
    </row>
    <row r="2321">
      <c r="A2321" t="inlineStr">
        <is>
          <t>2024</t>
        </is>
      </c>
      <c r="B2321" t="inlineStr">
        <is>
          <t>C00342766</t>
        </is>
      </c>
      <c r="C2321" t="inlineStr">
        <is>
          <t>HF Sinclair PAC (DINO PAC; formerly HollyFrontier PAC)</t>
        </is>
      </c>
      <c r="D2321" t="inlineStr">
        <is>
          <t>MALOY, CELESTE</t>
        </is>
      </c>
      <c r="E2321" t="inlineStr">
        <is>
          <t>H4UT02296</t>
        </is>
      </c>
      <c r="F2321" t="inlineStr">
        <is>
          <t>REP</t>
        </is>
      </c>
      <c r="G2321" t="inlineStr">
        <is>
          <t>08162023</t>
        </is>
      </c>
      <c r="H2321" t="n">
        <v>2500</v>
      </c>
      <c r="I2321" t="inlineStr">
        <is>
          <t>202309139597028806</t>
        </is>
      </c>
      <c r="J2321" t="inlineStr">
        <is>
          <t>https://docquery.fec.gov/cgi-bin/fecimg/?202309139597028806</t>
        </is>
      </c>
    </row>
    <row r="2322">
      <c r="A2322" t="inlineStr">
        <is>
          <t>2024</t>
        </is>
      </c>
      <c r="B2322" t="inlineStr">
        <is>
          <t>C00342766</t>
        </is>
      </c>
      <c r="C2322" t="inlineStr">
        <is>
          <t>HF Sinclair PAC (DINO PAC; formerly HollyFrontier PAC)</t>
        </is>
      </c>
      <c r="D2322" t="inlineStr">
        <is>
          <t>FRIENDS OF GLENN THOMPSON</t>
        </is>
      </c>
      <c r="E2322" t="inlineStr">
        <is>
          <t>H8PA05071</t>
        </is>
      </c>
      <c r="F2322" t="inlineStr">
        <is>
          <t>REP</t>
        </is>
      </c>
      <c r="G2322" t="inlineStr">
        <is>
          <t>09132023</t>
        </is>
      </c>
      <c r="H2322" t="n">
        <v>2500</v>
      </c>
      <c r="I2322" t="inlineStr">
        <is>
          <t>202310169598463947</t>
        </is>
      </c>
      <c r="J2322" t="inlineStr">
        <is>
          <t>https://docquery.fec.gov/cgi-bin/fecimg/?202310169598463947</t>
        </is>
      </c>
    </row>
    <row r="2323">
      <c r="A2323" t="inlineStr">
        <is>
          <t>2024</t>
        </is>
      </c>
      <c r="B2323" t="inlineStr">
        <is>
          <t>C00342766</t>
        </is>
      </c>
      <c r="C2323" t="inlineStr">
        <is>
          <t>HF Sinclair PAC (DINO PAC; formerly HollyFrontier PAC)</t>
        </is>
      </c>
      <c r="D2323" t="inlineStr">
        <is>
          <t>RON ESTES FOR CONGRESS</t>
        </is>
      </c>
      <c r="E2323" t="inlineStr">
        <is>
          <t>H8KS04112</t>
        </is>
      </c>
      <c r="F2323" t="inlineStr">
        <is>
          <t>REP</t>
        </is>
      </c>
      <c r="G2323" t="inlineStr">
        <is>
          <t>09132023</t>
        </is>
      </c>
      <c r="H2323" t="n">
        <v>5000</v>
      </c>
      <c r="I2323" t="inlineStr">
        <is>
          <t>202310169598463947</t>
        </is>
      </c>
      <c r="J2323" t="inlineStr">
        <is>
          <t>https://docquery.fec.gov/cgi-bin/fecimg/?202310169598463947</t>
        </is>
      </c>
    </row>
    <row r="2324">
      <c r="A2324" t="inlineStr">
        <is>
          <t>2024</t>
        </is>
      </c>
      <c r="B2324" t="inlineStr">
        <is>
          <t>C00342766</t>
        </is>
      </c>
      <c r="C2324" t="inlineStr">
        <is>
          <t>HF Sinclair PAC (DINO PAC; formerly HollyFrontier PAC)</t>
        </is>
      </c>
      <c r="D2324" t="inlineStr">
        <is>
          <t>COLE FOR CONGRESS</t>
        </is>
      </c>
      <c r="E2324" t="inlineStr">
        <is>
          <t>H2OK04055</t>
        </is>
      </c>
      <c r="F2324" t="inlineStr">
        <is>
          <t>REP</t>
        </is>
      </c>
      <c r="G2324" t="inlineStr">
        <is>
          <t>09182024</t>
        </is>
      </c>
      <c r="H2324" t="n">
        <v>2500</v>
      </c>
      <c r="I2324" t="inlineStr">
        <is>
          <t>202410109684853707</t>
        </is>
      </c>
      <c r="J2324" t="inlineStr">
        <is>
          <t>https://docquery.fec.gov/cgi-bin/fecimg/?202410109684853707</t>
        </is>
      </c>
    </row>
    <row r="2325">
      <c r="A2325" t="inlineStr">
        <is>
          <t>2024</t>
        </is>
      </c>
      <c r="B2325" t="inlineStr">
        <is>
          <t>C00342766</t>
        </is>
      </c>
      <c r="C2325" t="inlineStr">
        <is>
          <t>HF Sinclair PAC (DINO PAC; formerly HollyFrontier PAC)</t>
        </is>
      </c>
      <c r="D2325" t="inlineStr">
        <is>
          <t>ELECTGABEEVANS.COM</t>
        </is>
      </c>
      <c r="E2325" t="inlineStr">
        <is>
          <t>H4CO08034</t>
        </is>
      </c>
      <c r="F2325" t="inlineStr">
        <is>
          <t>REP</t>
        </is>
      </c>
      <c r="G2325" t="inlineStr">
        <is>
          <t>09182024</t>
        </is>
      </c>
      <c r="H2325" t="n">
        <v>2500</v>
      </c>
      <c r="I2325" t="inlineStr">
        <is>
          <t>202410109684853707</t>
        </is>
      </c>
      <c r="J2325" t="inlineStr">
        <is>
          <t>https://docquery.fec.gov/cgi-bin/fecimg/?202410109684853707</t>
        </is>
      </c>
    </row>
    <row r="2326">
      <c r="A2326" t="inlineStr">
        <is>
          <t>2024</t>
        </is>
      </c>
      <c r="B2326" t="inlineStr">
        <is>
          <t>C00342766</t>
        </is>
      </c>
      <c r="C2326" t="inlineStr">
        <is>
          <t>HF Sinclair PAC (DINO PAC; formerly HollyFrontier PAC)</t>
        </is>
      </c>
      <c r="D2326" t="inlineStr">
        <is>
          <t>FAMILIES FOR JAMES LANKFORD</t>
        </is>
      </c>
      <c r="E2326" t="inlineStr">
        <is>
          <t>S4OK00232</t>
        </is>
      </c>
      <c r="F2326" t="inlineStr">
        <is>
          <t>REP</t>
        </is>
      </c>
      <c r="G2326" t="inlineStr">
        <is>
          <t>09182024</t>
        </is>
      </c>
      <c r="H2326" t="n">
        <v>2500</v>
      </c>
      <c r="I2326" t="inlineStr">
        <is>
          <t>202410109684853707</t>
        </is>
      </c>
      <c r="J2326" t="inlineStr">
        <is>
          <t>https://docquery.fec.gov/cgi-bin/fecimg/?202410109684853707</t>
        </is>
      </c>
    </row>
    <row r="2327">
      <c r="A2327" t="inlineStr">
        <is>
          <t>2024</t>
        </is>
      </c>
      <c r="B2327" t="inlineStr">
        <is>
          <t>C00342766</t>
        </is>
      </c>
      <c r="C2327" t="inlineStr">
        <is>
          <t>HF Sinclair PAC (DINO PAC; formerly HollyFrontier PAC)</t>
        </is>
      </c>
      <c r="D2327" t="inlineStr">
        <is>
          <t>RUSS FULCHER FOR IDAHO</t>
        </is>
      </c>
      <c r="E2327" t="inlineStr">
        <is>
          <t>H8ID01124</t>
        </is>
      </c>
      <c r="F2327" t="inlineStr">
        <is>
          <t>REP</t>
        </is>
      </c>
      <c r="G2327" t="inlineStr">
        <is>
          <t>09182024</t>
        </is>
      </c>
      <c r="H2327" t="n">
        <v>2500</v>
      </c>
      <c r="I2327" t="inlineStr">
        <is>
          <t>202410109684853708</t>
        </is>
      </c>
      <c r="J2327" t="inlineStr">
        <is>
          <t>https://docquery.fec.gov/cgi-bin/fecimg/?202410109684853708</t>
        </is>
      </c>
    </row>
    <row r="2328">
      <c r="A2328" t="inlineStr">
        <is>
          <t>2024</t>
        </is>
      </c>
      <c r="B2328" t="inlineStr">
        <is>
          <t>C00342766</t>
        </is>
      </c>
      <c r="C2328" t="inlineStr">
        <is>
          <t>HF Sinclair PAC (DINO PAC; formerly HollyFrontier PAC)</t>
        </is>
      </c>
      <c r="D2328" t="inlineStr">
        <is>
          <t>BABIN, BRIAN</t>
        </is>
      </c>
      <c r="E2328" t="inlineStr">
        <is>
          <t>H6TX02079</t>
        </is>
      </c>
      <c r="F2328" t="inlineStr">
        <is>
          <t>REP</t>
        </is>
      </c>
      <c r="G2328" t="inlineStr">
        <is>
          <t>10032023</t>
        </is>
      </c>
      <c r="H2328" t="n">
        <v>1000</v>
      </c>
      <c r="I2328" t="inlineStr">
        <is>
          <t>202311149599087006</t>
        </is>
      </c>
      <c r="J2328" t="inlineStr">
        <is>
          <t>https://docquery.fec.gov/cgi-bin/fecimg/?202311149599087006</t>
        </is>
      </c>
    </row>
    <row r="2329">
      <c r="A2329" t="inlineStr">
        <is>
          <t>2024</t>
        </is>
      </c>
      <c r="B2329" t="inlineStr">
        <is>
          <t>C00342766</t>
        </is>
      </c>
      <c r="C2329" t="inlineStr">
        <is>
          <t>HF Sinclair PAC (DINO PAC; formerly HollyFrontier PAC)</t>
        </is>
      </c>
      <c r="D2329" t="inlineStr">
        <is>
          <t>STEFANIK, ELISE M.</t>
        </is>
      </c>
      <c r="E2329" t="inlineStr">
        <is>
          <t>H4NY21079</t>
        </is>
      </c>
      <c r="F2329" t="inlineStr">
        <is>
          <t>REP</t>
        </is>
      </c>
      <c r="G2329" t="inlineStr">
        <is>
          <t>10032023</t>
        </is>
      </c>
      <c r="H2329" t="n">
        <v>2500</v>
      </c>
      <c r="I2329" t="inlineStr">
        <is>
          <t>202311149599087007</t>
        </is>
      </c>
      <c r="J2329" t="inlineStr">
        <is>
          <t>https://docquery.fec.gov/cgi-bin/fecimg/?202311149599087007</t>
        </is>
      </c>
    </row>
    <row r="2330">
      <c r="A2330" t="inlineStr">
        <is>
          <t>2024</t>
        </is>
      </c>
      <c r="B2330" t="inlineStr">
        <is>
          <t>C00342766</t>
        </is>
      </c>
      <c r="C2330" t="inlineStr">
        <is>
          <t>HF Sinclair PAC (DINO PAC; formerly HollyFrontier PAC)</t>
        </is>
      </c>
      <c r="D2330" t="inlineStr">
        <is>
          <t>CAMMACK, KAT</t>
        </is>
      </c>
      <c r="E2330" t="inlineStr">
        <is>
          <t>H0FL03175</t>
        </is>
      </c>
      <c r="F2330" t="inlineStr">
        <is>
          <t>REP</t>
        </is>
      </c>
      <c r="G2330" t="inlineStr">
        <is>
          <t>10032023</t>
        </is>
      </c>
      <c r="H2330" t="n">
        <v>1000</v>
      </c>
      <c r="I2330" t="inlineStr">
        <is>
          <t>202311149599087006</t>
        </is>
      </c>
      <c r="J2330" t="inlineStr">
        <is>
          <t>https://docquery.fec.gov/cgi-bin/fecimg/?202311149599087006</t>
        </is>
      </c>
    </row>
    <row r="2331">
      <c r="A2331" t="inlineStr">
        <is>
          <t>2024</t>
        </is>
      </c>
      <c r="B2331" t="inlineStr">
        <is>
          <t>C00342766</t>
        </is>
      </c>
      <c r="C2331" t="inlineStr">
        <is>
          <t>HF Sinclair PAC (DINO PAC; formerly HollyFrontier PAC)</t>
        </is>
      </c>
      <c r="D2331" t="inlineStr">
        <is>
          <t>CURTIS FOR CONGRESS</t>
        </is>
      </c>
      <c r="E2331" t="inlineStr">
        <is>
          <t>S4UT00282</t>
        </is>
      </c>
      <c r="F2331" t="inlineStr">
        <is>
          <t>REP</t>
        </is>
      </c>
      <c r="G2331" t="inlineStr">
        <is>
          <t>10032023</t>
        </is>
      </c>
      <c r="H2331" t="n">
        <v>2500</v>
      </c>
      <c r="I2331" t="inlineStr">
        <is>
          <t>202311149599087006</t>
        </is>
      </c>
      <c r="J2331" t="inlineStr">
        <is>
          <t>https://docquery.fec.gov/cgi-bin/fecimg/?202311149599087006</t>
        </is>
      </c>
    </row>
    <row r="2332">
      <c r="A2332" t="inlineStr">
        <is>
          <t>2024</t>
        </is>
      </c>
      <c r="B2332" t="inlineStr">
        <is>
          <t>C00342766</t>
        </is>
      </c>
      <c r="C2332" t="inlineStr">
        <is>
          <t>HF Sinclair PAC (DINO PAC; formerly HollyFrontier PAC)</t>
        </is>
      </c>
      <c r="D2332" t="inlineStr">
        <is>
          <t>HERN FOR CONGRESS</t>
        </is>
      </c>
      <c r="E2332" t="inlineStr">
        <is>
          <t>H8OK01157</t>
        </is>
      </c>
      <c r="F2332" t="inlineStr">
        <is>
          <t>REP</t>
        </is>
      </c>
      <c r="G2332" t="inlineStr">
        <is>
          <t>10032023</t>
        </is>
      </c>
      <c r="H2332" t="n">
        <v>2500</v>
      </c>
      <c r="I2332" t="inlineStr">
        <is>
          <t>202311149599087007</t>
        </is>
      </c>
      <c r="J2332" t="inlineStr">
        <is>
          <t>https://docquery.fec.gov/cgi-bin/fecimg/?202311149599087007</t>
        </is>
      </c>
    </row>
    <row r="2333">
      <c r="A2333" t="inlineStr">
        <is>
          <t>2024</t>
        </is>
      </c>
      <c r="B2333" t="inlineStr">
        <is>
          <t>C00342766</t>
        </is>
      </c>
      <c r="C2333" t="inlineStr">
        <is>
          <t>HF Sinclair PAC (DINO PAC; formerly HollyFrontier PAC)</t>
        </is>
      </c>
      <c r="D2333" t="inlineStr">
        <is>
          <t>MCHENRY FOR CONGRESS</t>
        </is>
      </c>
      <c r="E2333" t="inlineStr">
        <is>
          <t>H4NC10047</t>
        </is>
      </c>
      <c r="F2333" t="inlineStr">
        <is>
          <t>REP</t>
        </is>
      </c>
      <c r="G2333" t="inlineStr">
        <is>
          <t>10032023</t>
        </is>
      </c>
      <c r="H2333" t="n">
        <v>1000</v>
      </c>
      <c r="I2333" t="inlineStr">
        <is>
          <t>202311149599087007</t>
        </is>
      </c>
      <c r="J2333" t="inlineStr">
        <is>
          <t>https://docquery.fec.gov/cgi-bin/fecimg/?202311149599087007</t>
        </is>
      </c>
    </row>
    <row r="2334">
      <c r="A2334" t="inlineStr">
        <is>
          <t>2024</t>
        </is>
      </c>
      <c r="B2334" t="inlineStr">
        <is>
          <t>C00342766</t>
        </is>
      </c>
      <c r="C2334" t="inlineStr">
        <is>
          <t>HF Sinclair PAC (DINO PAC; formerly HollyFrontier PAC)</t>
        </is>
      </c>
      <c r="D2334" t="inlineStr">
        <is>
          <t>TEXANS FOR RONNY JACKSON</t>
        </is>
      </c>
      <c r="E2334" t="inlineStr">
        <is>
          <t>H0TX13228</t>
        </is>
      </c>
      <c r="F2334" t="inlineStr">
        <is>
          <t>REP</t>
        </is>
      </c>
      <c r="G2334" t="inlineStr">
        <is>
          <t>10032023</t>
        </is>
      </c>
      <c r="H2334" t="n">
        <v>2500</v>
      </c>
      <c r="I2334" t="inlineStr">
        <is>
          <t>202311149599087008</t>
        </is>
      </c>
      <c r="J2334" t="inlineStr">
        <is>
          <t>https://docquery.fec.gov/cgi-bin/fecimg/?202311149599087008</t>
        </is>
      </c>
    </row>
    <row r="2335">
      <c r="A2335" t="inlineStr">
        <is>
          <t>2024</t>
        </is>
      </c>
      <c r="B2335" t="inlineStr">
        <is>
          <t>C00342766</t>
        </is>
      </c>
      <c r="C2335" t="inlineStr">
        <is>
          <t>HF Sinclair PAC (DINO PAC; formerly HollyFrontier PAC)</t>
        </is>
      </c>
      <c r="D2335" t="inlineStr">
        <is>
          <t>DEB FISCHER FOR US SENATE</t>
        </is>
      </c>
      <c r="E2335" t="inlineStr">
        <is>
          <t>S2NE00094</t>
        </is>
      </c>
      <c r="F2335" t="inlineStr">
        <is>
          <t>REP</t>
        </is>
      </c>
      <c r="G2335" t="inlineStr">
        <is>
          <t>11202023</t>
        </is>
      </c>
      <c r="H2335" t="n">
        <v>5000</v>
      </c>
      <c r="I2335" t="inlineStr">
        <is>
          <t>202312159599473041</t>
        </is>
      </c>
      <c r="J2335" t="inlineStr">
        <is>
          <t>https://docquery.fec.gov/cgi-bin/fecimg/?202312159599473041</t>
        </is>
      </c>
    </row>
    <row r="2336">
      <c r="A2336" t="inlineStr">
        <is>
          <t>2024</t>
        </is>
      </c>
      <c r="B2336" t="inlineStr">
        <is>
          <t>C00342766</t>
        </is>
      </c>
      <c r="C2336" t="inlineStr">
        <is>
          <t>HF Sinclair PAC (DINO PAC; formerly HollyFrontier PAC)</t>
        </is>
      </c>
      <c r="D2336" t="inlineStr">
        <is>
          <t>WALBERG FOR CONGRESS</t>
        </is>
      </c>
      <c r="E2336" t="inlineStr">
        <is>
          <t>H4MI07103</t>
        </is>
      </c>
      <c r="F2336" t="inlineStr">
        <is>
          <t>REP</t>
        </is>
      </c>
      <c r="G2336" t="inlineStr">
        <is>
          <t>12182023</t>
        </is>
      </c>
      <c r="H2336" t="n">
        <v>1000</v>
      </c>
      <c r="I2336" t="inlineStr">
        <is>
          <t>202401239600152083</t>
        </is>
      </c>
      <c r="J2336" t="inlineStr">
        <is>
          <t>https://docquery.fec.gov/cgi-bin/fecimg/?202401239600152083</t>
        </is>
      </c>
    </row>
    <row r="2337">
      <c r="A2337" t="inlineStr">
        <is>
          <t>2024</t>
        </is>
      </c>
      <c r="B2337" t="inlineStr">
        <is>
          <t>C00342766</t>
        </is>
      </c>
      <c r="C2337" t="inlineStr">
        <is>
          <t>HF Sinclair PAC (DINO PAC; formerly HollyFrontier PAC)</t>
        </is>
      </c>
      <c r="D2337" t="inlineStr">
        <is>
          <t>BYRON DONALDS FOR CONGRESS</t>
        </is>
      </c>
      <c r="E2337" t="inlineStr">
        <is>
          <t>H2FL14186</t>
        </is>
      </c>
      <c r="F2337" t="inlineStr">
        <is>
          <t>REP</t>
        </is>
      </c>
      <c r="G2337" t="inlineStr">
        <is>
          <t>12182023</t>
        </is>
      </c>
      <c r="H2337" t="n">
        <v>1000</v>
      </c>
      <c r="I2337" t="inlineStr">
        <is>
          <t>202401239600152082</t>
        </is>
      </c>
      <c r="J2337" t="inlineStr">
        <is>
          <t>https://docquery.fec.gov/cgi-bin/fecimg/?202401239600152082</t>
        </is>
      </c>
    </row>
    <row r="2338">
      <c r="A2338" t="inlineStr">
        <is>
          <t>2024</t>
        </is>
      </c>
      <c r="B2338" t="inlineStr">
        <is>
          <t>C00342766</t>
        </is>
      </c>
      <c r="C2338" t="inlineStr">
        <is>
          <t>HF Sinclair PAC (DINO PAC; formerly HollyFrontier PAC)</t>
        </is>
      </c>
      <c r="D2338" t="inlineStr">
        <is>
          <t>GREG PENCE FOR CONGRESS</t>
        </is>
      </c>
      <c r="E2338" t="inlineStr">
        <is>
          <t>H8IN06129</t>
        </is>
      </c>
      <c r="F2338" t="inlineStr">
        <is>
          <t>REP</t>
        </is>
      </c>
      <c r="G2338" t="inlineStr">
        <is>
          <t>12182023</t>
        </is>
      </c>
      <c r="H2338" t="n">
        <v>2500</v>
      </c>
      <c r="I2338" t="inlineStr">
        <is>
          <t>202401239600152082</t>
        </is>
      </c>
      <c r="J2338" t="inlineStr">
        <is>
          <t>https://docquery.fec.gov/cgi-bin/fecimg/?202401239600152082</t>
        </is>
      </c>
    </row>
    <row r="2339">
      <c r="A2339" t="inlineStr">
        <is>
          <t>2024</t>
        </is>
      </c>
      <c r="B2339" t="inlineStr">
        <is>
          <t>C00342766</t>
        </is>
      </c>
      <c r="C2339" t="inlineStr">
        <is>
          <t>HF Sinclair PAC (DINO PAC; formerly HollyFrontier PAC)</t>
        </is>
      </c>
      <c r="D2339" t="inlineStr">
        <is>
          <t>JAKE ELLZEY FOR CONGRESS</t>
        </is>
      </c>
      <c r="E2339" t="inlineStr">
        <is>
          <t>H8TX06266</t>
        </is>
      </c>
      <c r="F2339" t="inlineStr">
        <is>
          <t>REP</t>
        </is>
      </c>
      <c r="G2339" t="inlineStr">
        <is>
          <t>12182023</t>
        </is>
      </c>
      <c r="H2339" t="n">
        <v>1000</v>
      </c>
      <c r="I2339" t="inlineStr">
        <is>
          <t>202401239600152082</t>
        </is>
      </c>
      <c r="J2339" t="inlineStr">
        <is>
          <t>https://docquery.fec.gov/cgi-bin/fecimg/?202401239600152082</t>
        </is>
      </c>
    </row>
    <row r="2340">
      <c r="A2340" t="inlineStr">
        <is>
          <t>2024</t>
        </is>
      </c>
      <c r="B2340" t="inlineStr">
        <is>
          <t>C00342766</t>
        </is>
      </c>
      <c r="C2340" t="inlineStr">
        <is>
          <t>HF Sinclair PAC (DINO PAC; formerly HollyFrontier PAC)</t>
        </is>
      </c>
      <c r="D2340" t="inlineStr">
        <is>
          <t>JOHNSON, DUSTY</t>
        </is>
      </c>
      <c r="E2340" t="inlineStr">
        <is>
          <t>H8SD01055</t>
        </is>
      </c>
      <c r="F2340" t="inlineStr">
        <is>
          <t>REP</t>
        </is>
      </c>
      <c r="G2340" t="inlineStr">
        <is>
          <t>12182023</t>
        </is>
      </c>
      <c r="H2340" t="n">
        <v>1000</v>
      </c>
      <c r="I2340" t="inlineStr">
        <is>
          <t>202401239600152083</t>
        </is>
      </c>
      <c r="J2340" t="inlineStr">
        <is>
          <t>https://docquery.fec.gov/cgi-bin/fecimg/?202401239600152083</t>
        </is>
      </c>
    </row>
    <row r="2341">
      <c r="A2341" t="inlineStr">
        <is>
          <t>2024</t>
        </is>
      </c>
      <c r="B2341" t="inlineStr">
        <is>
          <t>C00496307</t>
        </is>
      </c>
      <c r="C2341" t="inlineStr">
        <is>
          <t>Marathon Petroleum Corp Employees PAC (MPAC)</t>
        </is>
      </c>
      <c r="D2341" t="inlineStr">
        <is>
          <t>MOORE FOR WEST VIRGINIA</t>
        </is>
      </c>
      <c r="E2341" t="inlineStr">
        <is>
          <t>H4WV02205</t>
        </is>
      </c>
      <c r="F2341" t="inlineStr">
        <is>
          <t>REP</t>
        </is>
      </c>
      <c r="G2341" t="inlineStr">
        <is>
          <t>01022024</t>
        </is>
      </c>
      <c r="H2341" t="n">
        <v>2500</v>
      </c>
      <c r="I2341" t="inlineStr">
        <is>
          <t>202402129619758278</t>
        </is>
      </c>
      <c r="J2341" t="inlineStr">
        <is>
          <t>https://docquery.fec.gov/cgi-bin/fecimg/?202402129619758278</t>
        </is>
      </c>
    </row>
    <row r="2342">
      <c r="A2342" t="inlineStr">
        <is>
          <t>2024</t>
        </is>
      </c>
      <c r="B2342" t="inlineStr">
        <is>
          <t>C00496307</t>
        </is>
      </c>
      <c r="C2342" t="inlineStr">
        <is>
          <t>Marathon Petroleum Corp Employees PAC (MPAC)</t>
        </is>
      </c>
      <c r="D2342" t="inlineStr">
        <is>
          <t>ARMSTRONG FOR CONGRESS</t>
        </is>
      </c>
      <c r="E2342" t="inlineStr">
        <is>
          <t>H8ND00096</t>
        </is>
      </c>
      <c r="F2342" t="inlineStr">
        <is>
          <t>REP</t>
        </is>
      </c>
      <c r="G2342" t="inlineStr">
        <is>
          <t>02072024</t>
        </is>
      </c>
      <c r="H2342" t="n">
        <v>-2000</v>
      </c>
      <c r="I2342" t="inlineStr">
        <is>
          <t>202403199622510439</t>
        </is>
      </c>
      <c r="J2342" t="inlineStr">
        <is>
          <t>https://docquery.fec.gov/cgi-bin/fecimg/?202403199622510439</t>
        </is>
      </c>
    </row>
    <row r="2343">
      <c r="A2343" t="inlineStr">
        <is>
          <t>2024</t>
        </is>
      </c>
      <c r="B2343" t="inlineStr">
        <is>
          <t>C00496307</t>
        </is>
      </c>
      <c r="C2343" t="inlineStr">
        <is>
          <t>Marathon Petroleum Corp Employees PAC (MPAC)</t>
        </is>
      </c>
      <c r="D2343" t="inlineStr">
        <is>
          <t>CRAIG GOLDMAN FOR CONGRESS</t>
        </is>
      </c>
      <c r="E2343" t="inlineStr">
        <is>
          <t>H4TX12065</t>
        </is>
      </c>
      <c r="F2343" t="inlineStr">
        <is>
          <t>REP</t>
        </is>
      </c>
      <c r="G2343" t="inlineStr">
        <is>
          <t>03012024</t>
        </is>
      </c>
      <c r="H2343" t="n">
        <v>2500</v>
      </c>
      <c r="I2343" t="inlineStr">
        <is>
          <t>202405159646002215</t>
        </is>
      </c>
      <c r="J2343" t="inlineStr">
        <is>
          <t>https://docquery.fec.gov/cgi-bin/fecimg/?202405159646002215</t>
        </is>
      </c>
    </row>
    <row r="2344">
      <c r="A2344" t="inlineStr">
        <is>
          <t>2024</t>
        </is>
      </c>
      <c r="B2344" t="inlineStr">
        <is>
          <t>C00496307</t>
        </is>
      </c>
      <c r="C2344" t="inlineStr">
        <is>
          <t>Marathon Petroleum Corp Employees PAC (MPAC)</t>
        </is>
      </c>
      <c r="D2344" t="inlineStr">
        <is>
          <t>ASHLEY HINSON FOR CONGRESS</t>
        </is>
      </c>
      <c r="E2344" t="inlineStr">
        <is>
          <t>H0IA01174</t>
        </is>
      </c>
      <c r="F2344" t="inlineStr">
        <is>
          <t>REP</t>
        </is>
      </c>
      <c r="G2344" t="inlineStr">
        <is>
          <t>03142023</t>
        </is>
      </c>
      <c r="H2344" t="n">
        <v>2500</v>
      </c>
      <c r="I2344" t="inlineStr">
        <is>
          <t>202304189581032652</t>
        </is>
      </c>
      <c r="J2344" t="inlineStr">
        <is>
          <t>https://docquery.fec.gov/cgi-bin/fecimg/?202304189581032652</t>
        </is>
      </c>
    </row>
    <row r="2345">
      <c r="A2345" t="inlineStr">
        <is>
          <t>2024</t>
        </is>
      </c>
      <c r="B2345" t="inlineStr">
        <is>
          <t>C00496307</t>
        </is>
      </c>
      <c r="C2345" t="inlineStr">
        <is>
          <t>Marathon Petroleum Corp Employees PAC (MPAC)</t>
        </is>
      </c>
      <c r="D2345" t="inlineStr">
        <is>
          <t>AUGUST PFLUGER FOR CONGRESS</t>
        </is>
      </c>
      <c r="E2345" t="inlineStr">
        <is>
          <t>H0TX11230</t>
        </is>
      </c>
      <c r="F2345" t="inlineStr">
        <is>
          <t>REP</t>
        </is>
      </c>
      <c r="G2345" t="inlineStr">
        <is>
          <t>03142023</t>
        </is>
      </c>
      <c r="H2345" t="n">
        <v>5000</v>
      </c>
      <c r="I2345" t="inlineStr">
        <is>
          <t>202304189581032652</t>
        </is>
      </c>
      <c r="J2345" t="inlineStr">
        <is>
          <t>https://docquery.fec.gov/cgi-bin/fecimg/?202304189581032652</t>
        </is>
      </c>
    </row>
    <row r="2346">
      <c r="A2346" t="inlineStr">
        <is>
          <t>2024</t>
        </is>
      </c>
      <c r="B2346" t="inlineStr">
        <is>
          <t>C00496307</t>
        </is>
      </c>
      <c r="C2346" t="inlineStr">
        <is>
          <t>Marathon Petroleum Corp Employees PAC (MPAC)</t>
        </is>
      </c>
      <c r="D2346" t="inlineStr">
        <is>
          <t>BICE FOR CONGRESS</t>
        </is>
      </c>
      <c r="E2346" t="inlineStr">
        <is>
          <t>H0OK05205</t>
        </is>
      </c>
      <c r="F2346" t="inlineStr">
        <is>
          <t>REP</t>
        </is>
      </c>
      <c r="G2346" t="inlineStr">
        <is>
          <t>03142023</t>
        </is>
      </c>
      <c r="H2346" t="n">
        <v>2500</v>
      </c>
      <c r="I2346" t="inlineStr">
        <is>
          <t>202304189581032653</t>
        </is>
      </c>
      <c r="J2346" t="inlineStr">
        <is>
          <t>https://docquery.fec.gov/cgi-bin/fecimg/?202304189581032653</t>
        </is>
      </c>
    </row>
    <row r="2347">
      <c r="A2347" t="inlineStr">
        <is>
          <t>2024</t>
        </is>
      </c>
      <c r="B2347" t="inlineStr">
        <is>
          <t>C00496307</t>
        </is>
      </c>
      <c r="C2347" t="inlineStr">
        <is>
          <t>Marathon Petroleum Corp Employees PAC (MPAC)</t>
        </is>
      </c>
      <c r="D2347" t="inlineStr">
        <is>
          <t>BYRON DONALDS FOR CONGRESS</t>
        </is>
      </c>
      <c r="E2347" t="inlineStr">
        <is>
          <t>H2FL14186</t>
        </is>
      </c>
      <c r="F2347" t="inlineStr">
        <is>
          <t>REP</t>
        </is>
      </c>
      <c r="G2347" t="inlineStr">
        <is>
          <t>03142023</t>
        </is>
      </c>
      <c r="H2347" t="n">
        <v>2500</v>
      </c>
      <c r="I2347" t="inlineStr">
        <is>
          <t>202304189581032653</t>
        </is>
      </c>
      <c r="J2347" t="inlineStr">
        <is>
          <t>https://docquery.fec.gov/cgi-bin/fecimg/?202304189581032653</t>
        </is>
      </c>
    </row>
    <row r="2348">
      <c r="A2348" t="inlineStr">
        <is>
          <t>2024</t>
        </is>
      </c>
      <c r="B2348" t="inlineStr">
        <is>
          <t>C00496307</t>
        </is>
      </c>
      <c r="C2348" t="inlineStr">
        <is>
          <t>Marathon Petroleum Corp Employees PAC (MPAC)</t>
        </is>
      </c>
      <c r="D2348" t="inlineStr">
        <is>
          <t>CAREY FOR CONGRESS</t>
        </is>
      </c>
      <c r="E2348" t="inlineStr">
        <is>
          <t>H2OH15228</t>
        </is>
      </c>
      <c r="F2348" t="inlineStr">
        <is>
          <t>REP</t>
        </is>
      </c>
      <c r="G2348" t="inlineStr">
        <is>
          <t>03142023</t>
        </is>
      </c>
      <c r="H2348" t="n">
        <v>1000</v>
      </c>
      <c r="I2348" t="inlineStr">
        <is>
          <t>202304189581032653</t>
        </is>
      </c>
      <c r="J2348" t="inlineStr">
        <is>
          <t>https://docquery.fec.gov/cgi-bin/fecimg/?202304189581032653</t>
        </is>
      </c>
    </row>
    <row r="2349">
      <c r="A2349" t="inlineStr">
        <is>
          <t>2024</t>
        </is>
      </c>
      <c r="B2349" t="inlineStr">
        <is>
          <t>C00496307</t>
        </is>
      </c>
      <c r="C2349" t="inlineStr">
        <is>
          <t>Marathon Petroleum Corp Employees PAC (MPAC)</t>
        </is>
      </c>
      <c r="D2349" t="inlineStr">
        <is>
          <t>DR. JOHN JOYCE FOR CONGRESS</t>
        </is>
      </c>
      <c r="E2349" t="inlineStr">
        <is>
          <t>H8PA13125</t>
        </is>
      </c>
      <c r="F2349" t="inlineStr">
        <is>
          <t>REP</t>
        </is>
      </c>
      <c r="G2349" t="inlineStr">
        <is>
          <t>03142023</t>
        </is>
      </c>
      <c r="H2349" t="n">
        <v>2500</v>
      </c>
      <c r="I2349" t="inlineStr">
        <is>
          <t>202304189581032654</t>
        </is>
      </c>
      <c r="J2349" t="inlineStr">
        <is>
          <t>https://docquery.fec.gov/cgi-bin/fecimg/?202304189581032654</t>
        </is>
      </c>
    </row>
    <row r="2350">
      <c r="A2350" t="inlineStr">
        <is>
          <t>2024</t>
        </is>
      </c>
      <c r="B2350" t="inlineStr">
        <is>
          <t>C00496307</t>
        </is>
      </c>
      <c r="C2350" t="inlineStr">
        <is>
          <t>Marathon Petroleum Corp Employees PAC (MPAC)</t>
        </is>
      </c>
      <c r="D2350" t="inlineStr">
        <is>
          <t>HERN FOR CONGRESS</t>
        </is>
      </c>
      <c r="E2350" t="inlineStr">
        <is>
          <t>H8OK01157</t>
        </is>
      </c>
      <c r="F2350" t="inlineStr">
        <is>
          <t>REP</t>
        </is>
      </c>
      <c r="G2350" t="inlineStr">
        <is>
          <t>03142023</t>
        </is>
      </c>
      <c r="H2350" t="n">
        <v>5000</v>
      </c>
      <c r="I2350" t="inlineStr">
        <is>
          <t>202304189581032655</t>
        </is>
      </c>
      <c r="J2350" t="inlineStr">
        <is>
          <t>https://docquery.fec.gov/cgi-bin/fecimg/?202304189581032655</t>
        </is>
      </c>
    </row>
    <row r="2351">
      <c r="A2351" t="inlineStr">
        <is>
          <t>2024</t>
        </is>
      </c>
      <c r="B2351" t="inlineStr">
        <is>
          <t>C00496307</t>
        </is>
      </c>
      <c r="C2351" t="inlineStr">
        <is>
          <t>Marathon Petroleum Corp Employees PAC (MPAC)</t>
        </is>
      </c>
      <c r="D2351" t="inlineStr">
        <is>
          <t>HUDSON FOR CONGRESS</t>
        </is>
      </c>
      <c r="E2351" t="inlineStr">
        <is>
          <t>H2NC08185</t>
        </is>
      </c>
      <c r="F2351" t="inlineStr">
        <is>
          <t>REP</t>
        </is>
      </c>
      <c r="G2351" t="inlineStr">
        <is>
          <t>03142023</t>
        </is>
      </c>
      <c r="H2351" t="n">
        <v>2500</v>
      </c>
      <c r="I2351" t="inlineStr">
        <is>
          <t>202304189581032655</t>
        </is>
      </c>
      <c r="J2351" t="inlineStr">
        <is>
          <t>https://docquery.fec.gov/cgi-bin/fecimg/?202304189581032655</t>
        </is>
      </c>
    </row>
    <row r="2352">
      <c r="A2352" t="inlineStr">
        <is>
          <t>2024</t>
        </is>
      </c>
      <c r="B2352" t="inlineStr">
        <is>
          <t>C00496307</t>
        </is>
      </c>
      <c r="C2352" t="inlineStr">
        <is>
          <t>Marathon Petroleum Corp Employees PAC (MPAC)</t>
        </is>
      </c>
      <c r="D2352" t="inlineStr">
        <is>
          <t>JASON SMITH FOR CONGRESS</t>
        </is>
      </c>
      <c r="E2352" t="inlineStr">
        <is>
          <t>H4MO08162</t>
        </is>
      </c>
      <c r="F2352" t="inlineStr">
        <is>
          <t>REP</t>
        </is>
      </c>
      <c r="G2352" t="inlineStr">
        <is>
          <t>03142023</t>
        </is>
      </c>
      <c r="H2352" t="n">
        <v>5000</v>
      </c>
      <c r="I2352" t="inlineStr">
        <is>
          <t>202304189581032656</t>
        </is>
      </c>
      <c r="J2352" t="inlineStr">
        <is>
          <t>https://docquery.fec.gov/cgi-bin/fecimg/?202304189581032656</t>
        </is>
      </c>
    </row>
    <row r="2353">
      <c r="A2353" t="inlineStr">
        <is>
          <t>2024</t>
        </is>
      </c>
      <c r="B2353" t="inlineStr">
        <is>
          <t>C00496307</t>
        </is>
      </c>
      <c r="C2353" t="inlineStr">
        <is>
          <t>Marathon Petroleum Corp Employees PAC (MPAC)</t>
        </is>
      </c>
      <c r="D2353" t="inlineStr">
        <is>
          <t>JIM COSTA FOR CONGRESS</t>
        </is>
      </c>
      <c r="E2353" t="inlineStr">
        <is>
          <t>H4CA20082</t>
        </is>
      </c>
      <c r="F2353" t="inlineStr">
        <is>
          <t>DEM</t>
        </is>
      </c>
      <c r="G2353" t="inlineStr">
        <is>
          <t>03142023</t>
        </is>
      </c>
      <c r="H2353" t="n">
        <v>2500</v>
      </c>
      <c r="I2353" t="inlineStr">
        <is>
          <t>202304189581032656</t>
        </is>
      </c>
      <c r="J2353" t="inlineStr">
        <is>
          <t>https://docquery.fec.gov/cgi-bin/fecimg/?202304189581032656</t>
        </is>
      </c>
    </row>
    <row r="2354">
      <c r="A2354" t="inlineStr">
        <is>
          <t>2024</t>
        </is>
      </c>
      <c r="B2354" t="inlineStr">
        <is>
          <t>C00496307</t>
        </is>
      </c>
      <c r="C2354" t="inlineStr">
        <is>
          <t>Marathon Petroleum Corp Employees PAC (MPAC)</t>
        </is>
      </c>
      <c r="D2354" t="inlineStr">
        <is>
          <t>KEVIN MCCARTHY FOR CONGRESS</t>
        </is>
      </c>
      <c r="E2354" t="inlineStr">
        <is>
          <t>H6CA22125</t>
        </is>
      </c>
      <c r="F2354" t="inlineStr">
        <is>
          <t>REP</t>
        </is>
      </c>
      <c r="G2354" t="inlineStr">
        <is>
          <t>03142023</t>
        </is>
      </c>
      <c r="H2354" t="n">
        <v>5000</v>
      </c>
      <c r="I2354" t="inlineStr">
        <is>
          <t>202304189581032657</t>
        </is>
      </c>
      <c r="J2354" t="inlineStr">
        <is>
          <t>https://docquery.fec.gov/cgi-bin/fecimg/?202304189581032657</t>
        </is>
      </c>
    </row>
    <row r="2355">
      <c r="A2355" t="inlineStr">
        <is>
          <t>2024</t>
        </is>
      </c>
      <c r="B2355" t="inlineStr">
        <is>
          <t>C00496307</t>
        </is>
      </c>
      <c r="C2355" t="inlineStr">
        <is>
          <t>Marathon Petroleum Corp Employees PAC (MPAC)</t>
        </is>
      </c>
      <c r="D2355" t="inlineStr">
        <is>
          <t>ARMSTRONG FOR CONGRESS</t>
        </is>
      </c>
      <c r="E2355" t="inlineStr">
        <is>
          <t>H8ND00096</t>
        </is>
      </c>
      <c r="F2355" t="inlineStr">
        <is>
          <t>REP</t>
        </is>
      </c>
      <c r="G2355" t="inlineStr">
        <is>
          <t>03142023</t>
        </is>
      </c>
      <c r="H2355" t="n">
        <v>2500</v>
      </c>
      <c r="I2355" t="inlineStr">
        <is>
          <t>202304189581032652</t>
        </is>
      </c>
      <c r="J2355" t="inlineStr">
        <is>
          <t>https://docquery.fec.gov/cgi-bin/fecimg/?202304189581032652</t>
        </is>
      </c>
    </row>
    <row r="2356">
      <c r="A2356" t="inlineStr">
        <is>
          <t>2024</t>
        </is>
      </c>
      <c r="B2356" t="inlineStr">
        <is>
          <t>C00496307</t>
        </is>
      </c>
      <c r="C2356" t="inlineStr">
        <is>
          <t>Marathon Petroleum Corp Employees PAC (MPAC)</t>
        </is>
      </c>
      <c r="D2356" t="inlineStr">
        <is>
          <t>LATTA FOR CONGRESS</t>
        </is>
      </c>
      <c r="E2356" t="inlineStr">
        <is>
          <t>H8OH05036</t>
        </is>
      </c>
      <c r="F2356" t="inlineStr">
        <is>
          <t>REP</t>
        </is>
      </c>
      <c r="G2356" t="inlineStr">
        <is>
          <t>03142023</t>
        </is>
      </c>
      <c r="H2356" t="n">
        <v>5000</v>
      </c>
      <c r="I2356" t="inlineStr">
        <is>
          <t>202304189581032657</t>
        </is>
      </c>
      <c r="J2356" t="inlineStr">
        <is>
          <t>https://docquery.fec.gov/cgi-bin/fecimg/?202304189581032657</t>
        </is>
      </c>
    </row>
    <row r="2357">
      <c r="A2357" t="inlineStr">
        <is>
          <t>2024</t>
        </is>
      </c>
      <c r="B2357" t="inlineStr">
        <is>
          <t>C00496307</t>
        </is>
      </c>
      <c r="C2357" t="inlineStr">
        <is>
          <t>Marathon Petroleum Corp Employees PAC (MPAC)</t>
        </is>
      </c>
      <c r="D2357" t="inlineStr">
        <is>
          <t>PETE STAUBER FOR CONGRESS</t>
        </is>
      </c>
      <c r="E2357" t="inlineStr">
        <is>
          <t>H8MN08043</t>
        </is>
      </c>
      <c r="F2357" t="inlineStr">
        <is>
          <t>REP</t>
        </is>
      </c>
      <c r="G2357" t="inlineStr">
        <is>
          <t>03142023</t>
        </is>
      </c>
      <c r="H2357" t="n">
        <v>2500</v>
      </c>
      <c r="I2357" t="inlineStr">
        <is>
          <t>202304189581032658</t>
        </is>
      </c>
      <c r="J2357" t="inlineStr">
        <is>
          <t>https://docquery.fec.gov/cgi-bin/fecimg/?202304189581032658</t>
        </is>
      </c>
    </row>
    <row r="2358">
      <c r="A2358" t="inlineStr">
        <is>
          <t>2024</t>
        </is>
      </c>
      <c r="B2358" t="inlineStr">
        <is>
          <t>C00496307</t>
        </is>
      </c>
      <c r="C2358" t="inlineStr">
        <is>
          <t>Marathon Petroleum Corp Employees PAC (MPAC)</t>
        </is>
      </c>
      <c r="D2358" t="inlineStr">
        <is>
          <t>TEXANS FOR JODEY ARRINGTON</t>
        </is>
      </c>
      <c r="E2358" t="inlineStr">
        <is>
          <t>H6TX19099</t>
        </is>
      </c>
      <c r="F2358" t="inlineStr">
        <is>
          <t>REP</t>
        </is>
      </c>
      <c r="G2358" t="inlineStr">
        <is>
          <t>03142023</t>
        </is>
      </c>
      <c r="H2358" t="n">
        <v>5000</v>
      </c>
      <c r="I2358" t="inlineStr">
        <is>
          <t>202304189581032660</t>
        </is>
      </c>
      <c r="J2358" t="inlineStr">
        <is>
          <t>https://docquery.fec.gov/cgi-bin/fecimg/?202304189581032660</t>
        </is>
      </c>
    </row>
    <row r="2359">
      <c r="A2359" t="inlineStr">
        <is>
          <t>2024</t>
        </is>
      </c>
      <c r="B2359" t="inlineStr">
        <is>
          <t>C00496307</t>
        </is>
      </c>
      <c r="C2359" t="inlineStr">
        <is>
          <t>Marathon Petroleum Corp Employees PAC (MPAC)</t>
        </is>
      </c>
      <c r="D2359" t="inlineStr">
        <is>
          <t>SCALISE FOR CONGRESS</t>
        </is>
      </c>
      <c r="E2359" t="inlineStr">
        <is>
          <t>H0LA01087</t>
        </is>
      </c>
      <c r="F2359" t="inlineStr">
        <is>
          <t>REP</t>
        </is>
      </c>
      <c r="G2359" t="inlineStr">
        <is>
          <t>03142023</t>
        </is>
      </c>
      <c r="H2359" t="n">
        <v>5000</v>
      </c>
      <c r="I2359" t="inlineStr">
        <is>
          <t>202304189581032659</t>
        </is>
      </c>
      <c r="J2359" t="inlineStr">
        <is>
          <t>https://docquery.fec.gov/cgi-bin/fecimg/?202304189581032659</t>
        </is>
      </c>
    </row>
    <row r="2360">
      <c r="A2360" t="inlineStr">
        <is>
          <t>2024</t>
        </is>
      </c>
      <c r="B2360" t="inlineStr">
        <is>
          <t>C00496307</t>
        </is>
      </c>
      <c r="C2360" t="inlineStr">
        <is>
          <t>Marathon Petroleum Corp Employees PAC (MPAC)</t>
        </is>
      </c>
      <c r="D2360" t="inlineStr">
        <is>
          <t>TEXANS FOR HENRY CUELLAR</t>
        </is>
      </c>
      <c r="E2360" t="inlineStr">
        <is>
          <t>H2TX23082</t>
        </is>
      </c>
      <c r="F2360" t="inlineStr">
        <is>
          <t>DEM</t>
        </is>
      </c>
      <c r="G2360" t="inlineStr">
        <is>
          <t>03142023</t>
        </is>
      </c>
      <c r="H2360" t="n">
        <v>2500</v>
      </c>
      <c r="I2360" t="inlineStr">
        <is>
          <t>202304189581032659</t>
        </is>
      </c>
      <c r="J2360" t="inlineStr">
        <is>
          <t>https://docquery.fec.gov/cgi-bin/fecimg/?202304189581032659</t>
        </is>
      </c>
    </row>
    <row r="2361">
      <c r="A2361" t="inlineStr">
        <is>
          <t>2024</t>
        </is>
      </c>
      <c r="B2361" t="inlineStr">
        <is>
          <t>C00496307</t>
        </is>
      </c>
      <c r="C2361" t="inlineStr">
        <is>
          <t>Marathon Petroleum Corp Employees PAC (MPAC)</t>
        </is>
      </c>
      <c r="D2361" t="inlineStr">
        <is>
          <t>TONY GONZALES FOR CONGRESS</t>
        </is>
      </c>
      <c r="E2361" t="inlineStr">
        <is>
          <t>H0TX35015</t>
        </is>
      </c>
      <c r="F2361" t="inlineStr">
        <is>
          <t>REP</t>
        </is>
      </c>
      <c r="G2361" t="inlineStr">
        <is>
          <t>03142023</t>
        </is>
      </c>
      <c r="H2361" t="n">
        <v>2500</v>
      </c>
      <c r="I2361" t="inlineStr">
        <is>
          <t>202304189581032660</t>
        </is>
      </c>
      <c r="J2361" t="inlineStr">
        <is>
          <t>https://docquery.fec.gov/cgi-bin/fecimg/?202304189581032660</t>
        </is>
      </c>
    </row>
    <row r="2362">
      <c r="A2362" t="inlineStr">
        <is>
          <t>2024</t>
        </is>
      </c>
      <c r="B2362" t="inlineStr">
        <is>
          <t>C00496307</t>
        </is>
      </c>
      <c r="C2362" t="inlineStr">
        <is>
          <t>Marathon Petroleum Corp Employees PAC (MPAC)</t>
        </is>
      </c>
      <c r="D2362" t="inlineStr">
        <is>
          <t>WEBER FOR CONGRESS</t>
        </is>
      </c>
      <c r="E2362" t="inlineStr">
        <is>
          <t>H2TX14149</t>
        </is>
      </c>
      <c r="F2362" t="inlineStr">
        <is>
          <t>REP</t>
        </is>
      </c>
      <c r="G2362" t="inlineStr">
        <is>
          <t>03142023</t>
        </is>
      </c>
      <c r="H2362" t="n">
        <v>5000</v>
      </c>
      <c r="I2362" t="inlineStr">
        <is>
          <t>202304189581032660</t>
        </is>
      </c>
      <c r="J2362" t="inlineStr">
        <is>
          <t>https://docquery.fec.gov/cgi-bin/fecimg/?202304189581032660</t>
        </is>
      </c>
    </row>
    <row r="2363">
      <c r="A2363" t="inlineStr">
        <is>
          <t>2024</t>
        </is>
      </c>
      <c r="B2363" t="inlineStr">
        <is>
          <t>C00496307</t>
        </is>
      </c>
      <c r="C2363" t="inlineStr">
        <is>
          <t>Marathon Petroleum Corp Employees PAC (MPAC)</t>
        </is>
      </c>
      <c r="D2363" t="inlineStr">
        <is>
          <t>CAREY FOR CONGRESS</t>
        </is>
      </c>
      <c r="E2363" t="inlineStr">
        <is>
          <t>H2OH15228</t>
        </is>
      </c>
      <c r="F2363" t="inlineStr">
        <is>
          <t>REP</t>
        </is>
      </c>
      <c r="G2363" t="inlineStr">
        <is>
          <t>03222023</t>
        </is>
      </c>
      <c r="H2363" t="n">
        <v>1000</v>
      </c>
      <c r="I2363" t="inlineStr">
        <is>
          <t>202304189581032654</t>
        </is>
      </c>
      <c r="J2363" t="inlineStr">
        <is>
          <t>https://docquery.fec.gov/cgi-bin/fecimg/?202304189581032654</t>
        </is>
      </c>
    </row>
    <row r="2364">
      <c r="A2364" t="inlineStr">
        <is>
          <t>2024</t>
        </is>
      </c>
      <c r="B2364" t="inlineStr">
        <is>
          <t>C00496307</t>
        </is>
      </c>
      <c r="C2364" t="inlineStr">
        <is>
          <t>Marathon Petroleum Corp Employees PAC (MPAC)</t>
        </is>
      </c>
      <c r="D2364" t="inlineStr">
        <is>
          <t>CATHY MCMORRIS RODGERS FOR CONGRESS</t>
        </is>
      </c>
      <c r="E2364" t="inlineStr">
        <is>
          <t>H4WA05077</t>
        </is>
      </c>
      <c r="F2364" t="inlineStr">
        <is>
          <t>REP</t>
        </is>
      </c>
      <c r="G2364" t="inlineStr">
        <is>
          <t>03222023</t>
        </is>
      </c>
      <c r="H2364" t="n">
        <v>5000</v>
      </c>
      <c r="I2364" t="inlineStr">
        <is>
          <t>202304189581032654</t>
        </is>
      </c>
      <c r="J2364" t="inlineStr">
        <is>
          <t>https://docquery.fec.gov/cgi-bin/fecimg/?202304189581032654</t>
        </is>
      </c>
    </row>
    <row r="2365">
      <c r="A2365" t="inlineStr">
        <is>
          <t>2024</t>
        </is>
      </c>
      <c r="B2365" t="inlineStr">
        <is>
          <t>C00496307</t>
        </is>
      </c>
      <c r="C2365" t="inlineStr">
        <is>
          <t>Marathon Petroleum Corp Employees PAC (MPAC)</t>
        </is>
      </c>
      <c r="D2365" t="inlineStr">
        <is>
          <t>ROGER WILLIAMS FOR U.S. CONGRESS COMMITTEE</t>
        </is>
      </c>
      <c r="E2365" t="inlineStr">
        <is>
          <t>H2TX33040</t>
        </is>
      </c>
      <c r="F2365" t="inlineStr">
        <is>
          <t>REP</t>
        </is>
      </c>
      <c r="G2365" t="inlineStr">
        <is>
          <t>03222023</t>
        </is>
      </c>
      <c r="H2365" t="n">
        <v>2500</v>
      </c>
      <c r="I2365" t="inlineStr">
        <is>
          <t>202304189581032658</t>
        </is>
      </c>
      <c r="J2365" t="inlineStr">
        <is>
          <t>https://docquery.fec.gov/cgi-bin/fecimg/?202304189581032658</t>
        </is>
      </c>
    </row>
    <row r="2366">
      <c r="A2366" t="inlineStr">
        <is>
          <t>2024</t>
        </is>
      </c>
      <c r="B2366" t="inlineStr">
        <is>
          <t>C00496307</t>
        </is>
      </c>
      <c r="C2366" t="inlineStr">
        <is>
          <t>Marathon Petroleum Corp Employees PAC (MPAC)</t>
        </is>
      </c>
      <c r="D2366" t="inlineStr">
        <is>
          <t>DR. JOHN JOYCE FOR CONGRESS</t>
        </is>
      </c>
      <c r="E2366" t="inlineStr">
        <is>
          <t>H8PA13125</t>
        </is>
      </c>
      <c r="F2366" t="inlineStr">
        <is>
          <t>REP</t>
        </is>
      </c>
      <c r="G2366" t="inlineStr">
        <is>
          <t>03222024</t>
        </is>
      </c>
      <c r="H2366" t="n">
        <v>2500</v>
      </c>
      <c r="I2366" t="inlineStr">
        <is>
          <t>202405159646002216</t>
        </is>
      </c>
      <c r="J2366" t="inlineStr">
        <is>
          <t>https://docquery.fec.gov/cgi-bin/fecimg/?202405159646002216</t>
        </is>
      </c>
    </row>
    <row r="2367">
      <c r="A2367" t="inlineStr">
        <is>
          <t>2024</t>
        </is>
      </c>
      <c r="B2367" t="inlineStr">
        <is>
          <t>C00496307</t>
        </is>
      </c>
      <c r="C2367" t="inlineStr">
        <is>
          <t>Marathon Petroleum Corp Employees PAC (MPAC)</t>
        </is>
      </c>
      <c r="D2367" t="inlineStr">
        <is>
          <t>EMMER FOR CONGRESS</t>
        </is>
      </c>
      <c r="E2367" t="inlineStr">
        <is>
          <t>H4MN06087</t>
        </is>
      </c>
      <c r="F2367" t="inlineStr">
        <is>
          <t>REP</t>
        </is>
      </c>
      <c r="G2367" t="inlineStr">
        <is>
          <t>03222024</t>
        </is>
      </c>
      <c r="H2367" t="n">
        <v>5000</v>
      </c>
      <c r="I2367" t="inlineStr">
        <is>
          <t>202405159646002216</t>
        </is>
      </c>
      <c r="J2367" t="inlineStr">
        <is>
          <t>https://docquery.fec.gov/cgi-bin/fecimg/?202405159646002216</t>
        </is>
      </c>
    </row>
    <row r="2368">
      <c r="A2368" t="inlineStr">
        <is>
          <t>2024</t>
        </is>
      </c>
      <c r="B2368" t="inlineStr">
        <is>
          <t>C00496307</t>
        </is>
      </c>
      <c r="C2368" t="inlineStr">
        <is>
          <t>Marathon Petroleum Corp Employees PAC (MPAC)</t>
        </is>
      </c>
      <c r="D2368" t="inlineStr">
        <is>
          <t>FRIENDS OF DAVE JOYCE</t>
        </is>
      </c>
      <c r="E2368" t="inlineStr">
        <is>
          <t>H2OH14064</t>
        </is>
      </c>
      <c r="F2368" t="inlineStr">
        <is>
          <t>REP</t>
        </is>
      </c>
      <c r="G2368" t="inlineStr">
        <is>
          <t>03222024</t>
        </is>
      </c>
      <c r="H2368" t="n">
        <v>2500</v>
      </c>
      <c r="I2368" t="inlineStr">
        <is>
          <t>202405159646002217</t>
        </is>
      </c>
      <c r="J2368" t="inlineStr">
        <is>
          <t>https://docquery.fec.gov/cgi-bin/fecimg/?202405159646002217</t>
        </is>
      </c>
    </row>
    <row r="2369">
      <c r="A2369" t="inlineStr">
        <is>
          <t>2024</t>
        </is>
      </c>
      <c r="B2369" t="inlineStr">
        <is>
          <t>C00496307</t>
        </is>
      </c>
      <c r="C2369" t="inlineStr">
        <is>
          <t>Marathon Petroleum Corp Employees PAC (MPAC)</t>
        </is>
      </c>
      <c r="D2369" t="inlineStr">
        <is>
          <t>GUY FOR CONGRESS</t>
        </is>
      </c>
      <c r="E2369" t="inlineStr">
        <is>
          <t>H8PA18199</t>
        </is>
      </c>
      <c r="F2369" t="inlineStr">
        <is>
          <t>REP</t>
        </is>
      </c>
      <c r="G2369" t="inlineStr">
        <is>
          <t>03222024</t>
        </is>
      </c>
      <c r="H2369" t="n">
        <v>2500</v>
      </c>
      <c r="I2369" t="inlineStr">
        <is>
          <t>202405159646002217</t>
        </is>
      </c>
      <c r="J2369" t="inlineStr">
        <is>
          <t>https://docquery.fec.gov/cgi-bin/fecimg/?202405159646002217</t>
        </is>
      </c>
    </row>
    <row r="2370">
      <c r="A2370" t="inlineStr">
        <is>
          <t>2024</t>
        </is>
      </c>
      <c r="B2370" t="inlineStr">
        <is>
          <t>C00496307</t>
        </is>
      </c>
      <c r="C2370" t="inlineStr">
        <is>
          <t>Marathon Petroleum Corp Employees PAC (MPAC)</t>
        </is>
      </c>
      <c r="D2370" t="inlineStr">
        <is>
          <t>HUDSON FOR CONGRESS</t>
        </is>
      </c>
      <c r="E2370" t="inlineStr">
        <is>
          <t>H2NC08185</t>
        </is>
      </c>
      <c r="F2370" t="inlineStr">
        <is>
          <t>REP</t>
        </is>
      </c>
      <c r="G2370" t="inlineStr">
        <is>
          <t>03222024</t>
        </is>
      </c>
      <c r="H2370" t="n">
        <v>5000</v>
      </c>
      <c r="I2370" t="inlineStr">
        <is>
          <t>202405159646002217</t>
        </is>
      </c>
      <c r="J2370" t="inlineStr">
        <is>
          <t>https://docquery.fec.gov/cgi-bin/fecimg/?202405159646002217</t>
        </is>
      </c>
    </row>
    <row r="2371">
      <c r="A2371" t="inlineStr">
        <is>
          <t>2024</t>
        </is>
      </c>
      <c r="B2371" t="inlineStr">
        <is>
          <t>C00496307</t>
        </is>
      </c>
      <c r="C2371" t="inlineStr">
        <is>
          <t>Marathon Petroleum Corp Employees PAC (MPAC)</t>
        </is>
      </c>
      <c r="D2371" t="inlineStr">
        <is>
          <t>LISA MCCLAIN FOR CONGRESS</t>
        </is>
      </c>
      <c r="E2371" t="inlineStr">
        <is>
          <t>H0MI10287</t>
        </is>
      </c>
      <c r="F2371" t="inlineStr">
        <is>
          <t>REP</t>
        </is>
      </c>
      <c r="G2371" t="inlineStr">
        <is>
          <t>03222024</t>
        </is>
      </c>
      <c r="H2371" t="n">
        <v>3000</v>
      </c>
      <c r="I2371" t="inlineStr">
        <is>
          <t>202405159646002218</t>
        </is>
      </c>
      <c r="J2371" t="inlineStr">
        <is>
          <t>https://docquery.fec.gov/cgi-bin/fecimg/?202405159646002218</t>
        </is>
      </c>
    </row>
    <row r="2372">
      <c r="A2372" t="inlineStr">
        <is>
          <t>2024</t>
        </is>
      </c>
      <c r="B2372" t="inlineStr">
        <is>
          <t>C00496307</t>
        </is>
      </c>
      <c r="C2372" t="inlineStr">
        <is>
          <t>Marathon Petroleum Corp Employees PAC (MPAC)</t>
        </is>
      </c>
      <c r="D2372" t="inlineStr">
        <is>
          <t>MEUSER FOR CONGRESS</t>
        </is>
      </c>
      <c r="E2372" t="inlineStr">
        <is>
          <t>H8PA10147</t>
        </is>
      </c>
      <c r="F2372" t="inlineStr">
        <is>
          <t>REP</t>
        </is>
      </c>
      <c r="G2372" t="inlineStr">
        <is>
          <t>03222024</t>
        </is>
      </c>
      <c r="H2372" t="n">
        <v>2500</v>
      </c>
      <c r="I2372" t="inlineStr">
        <is>
          <t>202405159646002218</t>
        </is>
      </c>
      <c r="J2372" t="inlineStr">
        <is>
          <t>https://docquery.fec.gov/cgi-bin/fecimg/?202405159646002218</t>
        </is>
      </c>
    </row>
    <row r="2373">
      <c r="A2373" t="inlineStr">
        <is>
          <t>2024</t>
        </is>
      </c>
      <c r="B2373" t="inlineStr">
        <is>
          <t>C00496307</t>
        </is>
      </c>
      <c r="C2373" t="inlineStr">
        <is>
          <t>Marathon Petroleum Corp Employees PAC (MPAC)</t>
        </is>
      </c>
      <c r="D2373" t="inlineStr">
        <is>
          <t>MEUSER FOR CONGRESS</t>
        </is>
      </c>
      <c r="E2373" t="inlineStr">
        <is>
          <t>H8PA10147</t>
        </is>
      </c>
      <c r="F2373" t="inlineStr">
        <is>
          <t>REP</t>
        </is>
      </c>
      <c r="G2373" t="inlineStr">
        <is>
          <t>03222024</t>
        </is>
      </c>
      <c r="H2373" t="n">
        <v>2500</v>
      </c>
      <c r="I2373" t="inlineStr">
        <is>
          <t>202405159646002218</t>
        </is>
      </c>
      <c r="J2373" t="inlineStr">
        <is>
          <t>https://docquery.fec.gov/cgi-bin/fecimg/?202405159646002218</t>
        </is>
      </c>
    </row>
    <row r="2374">
      <c r="A2374" t="inlineStr">
        <is>
          <t>2024</t>
        </is>
      </c>
      <c r="B2374" t="inlineStr">
        <is>
          <t>C00496307</t>
        </is>
      </c>
      <c r="C2374" t="inlineStr">
        <is>
          <t>Marathon Petroleum Corp Employees PAC (MPAC)</t>
        </is>
      </c>
      <c r="D2374" t="inlineStr">
        <is>
          <t>ANDY BARR FOR CONGRESS</t>
        </is>
      </c>
      <c r="E2374" t="inlineStr">
        <is>
          <t>H0KY06104</t>
        </is>
      </c>
      <c r="F2374" t="inlineStr">
        <is>
          <t>REP</t>
        </is>
      </c>
      <c r="G2374" t="inlineStr">
        <is>
          <t>03222024</t>
        </is>
      </c>
      <c r="H2374" t="n">
        <v>5000</v>
      </c>
      <c r="I2374" t="inlineStr">
        <is>
          <t>202405159646002214</t>
        </is>
      </c>
      <c r="J2374" t="inlineStr">
        <is>
          <t>https://docquery.fec.gov/cgi-bin/fecimg/?202405159646002214</t>
        </is>
      </c>
    </row>
    <row r="2375">
      <c r="A2375" t="inlineStr">
        <is>
          <t>2024</t>
        </is>
      </c>
      <c r="B2375" t="inlineStr">
        <is>
          <t>C00496307</t>
        </is>
      </c>
      <c r="C2375" t="inlineStr">
        <is>
          <t>Marathon Petroleum Corp Employees PAC (MPAC)</t>
        </is>
      </c>
      <c r="D2375" t="inlineStr">
        <is>
          <t>AUGUST PFLUGER FOR CONGRESS</t>
        </is>
      </c>
      <c r="E2375" t="inlineStr">
        <is>
          <t>H0TX11230</t>
        </is>
      </c>
      <c r="F2375" t="inlineStr">
        <is>
          <t>REP</t>
        </is>
      </c>
      <c r="G2375" t="inlineStr">
        <is>
          <t>03222024</t>
        </is>
      </c>
      <c r="H2375" t="n">
        <v>2500</v>
      </c>
      <c r="I2375" t="inlineStr">
        <is>
          <t>202405159646002214</t>
        </is>
      </c>
      <c r="J2375" t="inlineStr">
        <is>
          <t>https://docquery.fec.gov/cgi-bin/fecimg/?202405159646002214</t>
        </is>
      </c>
    </row>
    <row r="2376">
      <c r="A2376" t="inlineStr">
        <is>
          <t>2024</t>
        </is>
      </c>
      <c r="B2376" t="inlineStr">
        <is>
          <t>C00496307</t>
        </is>
      </c>
      <c r="C2376" t="inlineStr">
        <is>
          <t>Marathon Petroleum Corp Employees PAC (MPAC)</t>
        </is>
      </c>
      <c r="D2376" t="inlineStr">
        <is>
          <t>BANKS FOR SENATE</t>
        </is>
      </c>
      <c r="E2376" t="inlineStr">
        <is>
          <t>H6IN03229</t>
        </is>
      </c>
      <c r="F2376" t="inlineStr">
        <is>
          <t>REP</t>
        </is>
      </c>
      <c r="G2376" t="inlineStr">
        <is>
          <t>03222024</t>
        </is>
      </c>
      <c r="H2376" t="n">
        <v>5000</v>
      </c>
      <c r="I2376" t="inlineStr">
        <is>
          <t>202405159646002214</t>
        </is>
      </c>
      <c r="J2376" t="inlineStr">
        <is>
          <t>https://docquery.fec.gov/cgi-bin/fecimg/?202405159646002214</t>
        </is>
      </c>
    </row>
    <row r="2377">
      <c r="A2377" t="inlineStr">
        <is>
          <t>2024</t>
        </is>
      </c>
      <c r="B2377" t="inlineStr">
        <is>
          <t>C00496307</t>
        </is>
      </c>
      <c r="C2377" t="inlineStr">
        <is>
          <t>Marathon Petroleum Corp Employees PAC (MPAC)</t>
        </is>
      </c>
      <c r="D2377" t="inlineStr">
        <is>
          <t>BICE FOR CONGRESS</t>
        </is>
      </c>
      <c r="E2377" t="inlineStr">
        <is>
          <t>H0OK05205</t>
        </is>
      </c>
      <c r="F2377" t="inlineStr">
        <is>
          <t>REP</t>
        </is>
      </c>
      <c r="G2377" t="inlineStr">
        <is>
          <t>03222024</t>
        </is>
      </c>
      <c r="H2377" t="n">
        <v>2500</v>
      </c>
      <c r="I2377" t="inlineStr">
        <is>
          <t>202405159646002215</t>
        </is>
      </c>
      <c r="J2377" t="inlineStr">
        <is>
          <t>https://docquery.fec.gov/cgi-bin/fecimg/?202405159646002215</t>
        </is>
      </c>
    </row>
    <row r="2378">
      <c r="A2378" t="inlineStr">
        <is>
          <t>2024</t>
        </is>
      </c>
      <c r="B2378" t="inlineStr">
        <is>
          <t>C00496307</t>
        </is>
      </c>
      <c r="C2378" t="inlineStr">
        <is>
          <t>Marathon Petroleum Corp Employees PAC (MPAC)</t>
        </is>
      </c>
      <c r="D2378" t="inlineStr">
        <is>
          <t>BUDDY CARTER FOR CONGRESS</t>
        </is>
      </c>
      <c r="E2378" t="inlineStr">
        <is>
          <t>H4GA01039</t>
        </is>
      </c>
      <c r="F2378" t="inlineStr">
        <is>
          <t>REP</t>
        </is>
      </c>
      <c r="G2378" t="inlineStr">
        <is>
          <t>03222024</t>
        </is>
      </c>
      <c r="H2378" t="n">
        <v>2500</v>
      </c>
      <c r="I2378" t="inlineStr">
        <is>
          <t>202405159646002215</t>
        </is>
      </c>
      <c r="J2378" t="inlineStr">
        <is>
          <t>https://docquery.fec.gov/cgi-bin/fecimg/?202405159646002215</t>
        </is>
      </c>
    </row>
    <row r="2379">
      <c r="A2379" t="inlineStr">
        <is>
          <t>2024</t>
        </is>
      </c>
      <c r="B2379" t="inlineStr">
        <is>
          <t>C00496307</t>
        </is>
      </c>
      <c r="C2379" t="inlineStr">
        <is>
          <t>Marathon Petroleum Corp Employees PAC (MPAC)</t>
        </is>
      </c>
      <c r="D2379" t="inlineStr">
        <is>
          <t>WEBER FOR CONGRESS</t>
        </is>
      </c>
      <c r="E2379" t="inlineStr">
        <is>
          <t>H2TX14149</t>
        </is>
      </c>
      <c r="F2379" t="inlineStr">
        <is>
          <t>REP</t>
        </is>
      </c>
      <c r="G2379" t="inlineStr">
        <is>
          <t>03222024</t>
        </is>
      </c>
      <c r="H2379" t="n">
        <v>2500</v>
      </c>
      <c r="I2379" t="inlineStr">
        <is>
          <t>202405159646002219</t>
        </is>
      </c>
      <c r="J2379" t="inlineStr">
        <is>
          <t>https://docquery.fec.gov/cgi-bin/fecimg/?202405159646002219</t>
        </is>
      </c>
    </row>
    <row r="2380">
      <c r="A2380" t="inlineStr">
        <is>
          <t>2024</t>
        </is>
      </c>
      <c r="B2380" t="inlineStr">
        <is>
          <t>C00496307</t>
        </is>
      </c>
      <c r="C2380" t="inlineStr">
        <is>
          <t>Marathon Petroleum Corp Employees PAC (MPAC)</t>
        </is>
      </c>
      <c r="D2380" t="inlineStr">
        <is>
          <t>HUDSON FOR CONGRESS</t>
        </is>
      </c>
      <c r="E2380" t="inlineStr">
        <is>
          <t>H2NC08185</t>
        </is>
      </c>
      <c r="F2380" t="inlineStr">
        <is>
          <t>REP</t>
        </is>
      </c>
      <c r="G2380" t="inlineStr">
        <is>
          <t>03272023</t>
        </is>
      </c>
      <c r="H2380" t="n">
        <v>2500</v>
      </c>
      <c r="I2380" t="inlineStr">
        <is>
          <t>202304189581032656</t>
        </is>
      </c>
      <c r="J2380" t="inlineStr">
        <is>
          <t>https://docquery.fec.gov/cgi-bin/fecimg/?202304189581032656</t>
        </is>
      </c>
    </row>
    <row r="2381">
      <c r="A2381" t="inlineStr">
        <is>
          <t>2024</t>
        </is>
      </c>
      <c r="B2381" t="inlineStr">
        <is>
          <t>C00496307</t>
        </is>
      </c>
      <c r="C2381" t="inlineStr">
        <is>
          <t>Marathon Petroleum Corp Employees PAC (MPAC)</t>
        </is>
      </c>
      <c r="D2381" t="inlineStr">
        <is>
          <t>TIM SHEEHY FOR MONTANA</t>
        </is>
      </c>
      <c r="E2381" t="inlineStr">
        <is>
          <t>S4MT00183</t>
        </is>
      </c>
      <c r="F2381" t="inlineStr">
        <is>
          <t>REP</t>
        </is>
      </c>
      <c r="G2381" t="inlineStr">
        <is>
          <t>04122024</t>
        </is>
      </c>
      <c r="H2381" t="n">
        <v>5000</v>
      </c>
      <c r="I2381" t="inlineStr">
        <is>
          <t>202405209646189295</t>
        </is>
      </c>
      <c r="J2381" t="inlineStr">
        <is>
          <t>https://docquery.fec.gov/cgi-bin/fecimg/?202405209646189295</t>
        </is>
      </c>
    </row>
    <row r="2382">
      <c r="A2382" t="inlineStr">
        <is>
          <t>2024</t>
        </is>
      </c>
      <c r="B2382" t="inlineStr">
        <is>
          <t>C00496307</t>
        </is>
      </c>
      <c r="C2382" t="inlineStr">
        <is>
          <t>Marathon Petroleum Corp Employees PAC (MPAC)</t>
        </is>
      </c>
      <c r="D2382" t="inlineStr">
        <is>
          <t>ARMSTRONG FOR CONGRESS</t>
        </is>
      </c>
      <c r="E2382" t="inlineStr">
        <is>
          <t>H8ND00096</t>
        </is>
      </c>
      <c r="F2382" t="inlineStr">
        <is>
          <t>REP</t>
        </is>
      </c>
      <c r="G2382" t="inlineStr">
        <is>
          <t>04142023</t>
        </is>
      </c>
      <c r="H2382" t="n">
        <v>2500</v>
      </c>
      <c r="I2382" t="inlineStr">
        <is>
          <t>202305109581434365</t>
        </is>
      </c>
      <c r="J2382" t="inlineStr">
        <is>
          <t>https://docquery.fec.gov/cgi-bin/fecimg/?202305109581434365</t>
        </is>
      </c>
    </row>
    <row r="2383">
      <c r="A2383" t="inlineStr">
        <is>
          <t>2024</t>
        </is>
      </c>
      <c r="B2383" t="inlineStr">
        <is>
          <t>C00496307</t>
        </is>
      </c>
      <c r="C2383" t="inlineStr">
        <is>
          <t>Marathon Petroleum Corp Employees PAC (MPAC)</t>
        </is>
      </c>
      <c r="D2383" t="inlineStr">
        <is>
          <t>ELIZABETH PANNILL FLETCHER FOR CONGRESS</t>
        </is>
      </c>
      <c r="E2383" t="inlineStr">
        <is>
          <t>H8TX07140</t>
        </is>
      </c>
      <c r="F2383" t="inlineStr">
        <is>
          <t>DEM</t>
        </is>
      </c>
      <c r="G2383" t="inlineStr">
        <is>
          <t>04142023</t>
        </is>
      </c>
      <c r="H2383" t="n">
        <v>2500</v>
      </c>
      <c r="I2383" t="inlineStr">
        <is>
          <t>202305109581434365</t>
        </is>
      </c>
      <c r="J2383" t="inlineStr">
        <is>
          <t>https://docquery.fec.gov/cgi-bin/fecimg/?202305109581434365</t>
        </is>
      </c>
    </row>
    <row r="2384">
      <c r="A2384" t="inlineStr">
        <is>
          <t>2024</t>
        </is>
      </c>
      <c r="B2384" t="inlineStr">
        <is>
          <t>C00496307</t>
        </is>
      </c>
      <c r="C2384" t="inlineStr">
        <is>
          <t>Marathon Petroleum Corp Employees PAC (MPAC)</t>
        </is>
      </c>
      <c r="D2384" t="inlineStr">
        <is>
          <t>EMMER FOR CONGRESS</t>
        </is>
      </c>
      <c r="E2384" t="inlineStr">
        <is>
          <t>H4MN06087</t>
        </is>
      </c>
      <c r="F2384" t="inlineStr">
        <is>
          <t>REP</t>
        </is>
      </c>
      <c r="G2384" t="inlineStr">
        <is>
          <t>04142023</t>
        </is>
      </c>
      <c r="H2384" t="n">
        <v>5000</v>
      </c>
      <c r="I2384" t="inlineStr">
        <is>
          <t>202305109581434366</t>
        </is>
      </c>
      <c r="J2384" t="inlineStr">
        <is>
          <t>https://docquery.fec.gov/cgi-bin/fecimg/?202305109581434366</t>
        </is>
      </c>
    </row>
    <row r="2385">
      <c r="A2385" t="inlineStr">
        <is>
          <t>2024</t>
        </is>
      </c>
      <c r="B2385" t="inlineStr">
        <is>
          <t>C00496307</t>
        </is>
      </c>
      <c r="C2385" t="inlineStr">
        <is>
          <t>Marathon Petroleum Corp Employees PAC (MPAC)</t>
        </is>
      </c>
      <c r="D2385" t="inlineStr">
        <is>
          <t>GARRET GRAVES FOR CONGRESS</t>
        </is>
      </c>
      <c r="E2385" t="inlineStr">
        <is>
          <t>H4LA06153</t>
        </is>
      </c>
      <c r="F2385" t="inlineStr">
        <is>
          <t>REP</t>
        </is>
      </c>
      <c r="G2385" t="inlineStr">
        <is>
          <t>04142023</t>
        </is>
      </c>
      <c r="H2385" t="n">
        <v>5000</v>
      </c>
      <c r="I2385" t="inlineStr">
        <is>
          <t>202305109581434366</t>
        </is>
      </c>
      <c r="J2385" t="inlineStr">
        <is>
          <t>https://docquery.fec.gov/cgi-bin/fecimg/?202305109581434366</t>
        </is>
      </c>
    </row>
    <row r="2386">
      <c r="A2386" t="inlineStr">
        <is>
          <t>2024</t>
        </is>
      </c>
      <c r="B2386" t="inlineStr">
        <is>
          <t>C00496307</t>
        </is>
      </c>
      <c r="C2386" t="inlineStr">
        <is>
          <t>Marathon Petroleum Corp Employees PAC (MPAC)</t>
        </is>
      </c>
      <c r="D2386" t="inlineStr">
        <is>
          <t>MILLER-MEEKS FOR CONGRESS</t>
        </is>
      </c>
      <c r="E2386" t="inlineStr">
        <is>
          <t>H8IA02043</t>
        </is>
      </c>
      <c r="F2386" t="inlineStr">
        <is>
          <t>REP</t>
        </is>
      </c>
      <c r="G2386" t="inlineStr">
        <is>
          <t>04142023</t>
        </is>
      </c>
      <c r="H2386" t="n">
        <v>5000</v>
      </c>
      <c r="I2386" t="inlineStr">
        <is>
          <t>202305109581434367</t>
        </is>
      </c>
      <c r="J2386" t="inlineStr">
        <is>
          <t>https://docquery.fec.gov/cgi-bin/fecimg/?202305109581434367</t>
        </is>
      </c>
    </row>
    <row r="2387">
      <c r="A2387" t="inlineStr">
        <is>
          <t>2024</t>
        </is>
      </c>
      <c r="B2387" t="inlineStr">
        <is>
          <t>C00496307</t>
        </is>
      </c>
      <c r="C2387" t="inlineStr">
        <is>
          <t>Marathon Petroleum Corp Employees PAC (MPAC)</t>
        </is>
      </c>
      <c r="D2387" t="inlineStr">
        <is>
          <t>NEHLS FOR CONGRESS</t>
        </is>
      </c>
      <c r="E2387" t="inlineStr">
        <is>
          <t>H0TX22302</t>
        </is>
      </c>
      <c r="F2387" t="inlineStr">
        <is>
          <t>REP</t>
        </is>
      </c>
      <c r="G2387" t="inlineStr">
        <is>
          <t>04142023</t>
        </is>
      </c>
      <c r="H2387" t="n">
        <v>1000</v>
      </c>
      <c r="I2387" t="inlineStr">
        <is>
          <t>202305109581434368</t>
        </is>
      </c>
      <c r="J2387" t="inlineStr">
        <is>
          <t>https://docquery.fec.gov/cgi-bin/fecimg/?202305109581434368</t>
        </is>
      </c>
    </row>
    <row r="2388">
      <c r="A2388" t="inlineStr">
        <is>
          <t>2024</t>
        </is>
      </c>
      <c r="B2388" t="inlineStr">
        <is>
          <t>C00496307</t>
        </is>
      </c>
      <c r="C2388" t="inlineStr">
        <is>
          <t>Marathon Petroleum Corp Employees PAC (MPAC)</t>
        </is>
      </c>
      <c r="D2388" t="inlineStr">
        <is>
          <t>SYLVIA GARCIA FOR CONGRESS</t>
        </is>
      </c>
      <c r="E2388" t="inlineStr">
        <is>
          <t>H8TX29052</t>
        </is>
      </c>
      <c r="F2388" t="inlineStr">
        <is>
          <t>DEM</t>
        </is>
      </c>
      <c r="G2388" t="inlineStr">
        <is>
          <t>04142023</t>
        </is>
      </c>
      <c r="H2388" t="n">
        <v>2500</v>
      </c>
      <c r="I2388" t="inlineStr">
        <is>
          <t>202305109581434368</t>
        </is>
      </c>
      <c r="J2388" t="inlineStr">
        <is>
          <t>https://docquery.fec.gov/cgi-bin/fecimg/?202305109581434368</t>
        </is>
      </c>
    </row>
    <row r="2389">
      <c r="A2389" t="inlineStr">
        <is>
          <t>2024</t>
        </is>
      </c>
      <c r="B2389" t="inlineStr">
        <is>
          <t>C00496307</t>
        </is>
      </c>
      <c r="C2389" t="inlineStr">
        <is>
          <t>Marathon Petroleum Corp Employees PAC (MPAC)</t>
        </is>
      </c>
      <c r="D2389" t="inlineStr">
        <is>
          <t>VERONICA ESCOBAR FOR CONGRESS</t>
        </is>
      </c>
      <c r="E2389" t="inlineStr">
        <is>
          <t>H8TX16109</t>
        </is>
      </c>
      <c r="F2389" t="inlineStr">
        <is>
          <t>DEM</t>
        </is>
      </c>
      <c r="G2389" t="inlineStr">
        <is>
          <t>04142023</t>
        </is>
      </c>
      <c r="H2389" t="n">
        <v>2500</v>
      </c>
      <c r="I2389" t="inlineStr">
        <is>
          <t>202305109581434368</t>
        </is>
      </c>
      <c r="J2389" t="inlineStr">
        <is>
          <t>https://docquery.fec.gov/cgi-bin/fecimg/?202305109581434368</t>
        </is>
      </c>
    </row>
    <row r="2390">
      <c r="A2390" t="inlineStr">
        <is>
          <t>2024</t>
        </is>
      </c>
      <c r="B2390" t="inlineStr">
        <is>
          <t>C00496307</t>
        </is>
      </c>
      <c r="C2390" t="inlineStr">
        <is>
          <t>Marathon Petroleum Corp Employees PAC (MPAC)</t>
        </is>
      </c>
      <c r="D2390" t="inlineStr">
        <is>
          <t>IOWANS FOR ZACH NUNN</t>
        </is>
      </c>
      <c r="E2390" t="inlineStr">
        <is>
          <t>H2IA03119</t>
        </is>
      </c>
      <c r="F2390" t="inlineStr">
        <is>
          <t>REP</t>
        </is>
      </c>
      <c r="G2390" t="inlineStr">
        <is>
          <t>04142023</t>
        </is>
      </c>
      <c r="H2390" t="n">
        <v>2500</v>
      </c>
      <c r="I2390" t="inlineStr">
        <is>
          <t>202305109581434366</t>
        </is>
      </c>
      <c r="J2390" t="inlineStr">
        <is>
          <t>https://docquery.fec.gov/cgi-bin/fecimg/?202305109581434366</t>
        </is>
      </c>
    </row>
    <row r="2391">
      <c r="A2391" t="inlineStr">
        <is>
          <t>2024</t>
        </is>
      </c>
      <c r="B2391" t="inlineStr">
        <is>
          <t>C00496307</t>
        </is>
      </c>
      <c r="C2391" t="inlineStr">
        <is>
          <t>Marathon Petroleum Corp Employees PAC (MPAC)</t>
        </is>
      </c>
      <c r="D2391" t="inlineStr">
        <is>
          <t>KEAN FOR CONGRESS, INC.</t>
        </is>
      </c>
      <c r="E2391" t="inlineStr">
        <is>
          <t>H0NJ07261</t>
        </is>
      </c>
      <c r="F2391" t="inlineStr">
        <is>
          <t>REP</t>
        </is>
      </c>
      <c r="G2391" t="inlineStr">
        <is>
          <t>04142023</t>
        </is>
      </c>
      <c r="H2391" t="n">
        <v>2500</v>
      </c>
      <c r="I2391" t="inlineStr">
        <is>
          <t>202305109581434367</t>
        </is>
      </c>
      <c r="J2391" t="inlineStr">
        <is>
          <t>https://docquery.fec.gov/cgi-bin/fecimg/?202305109581434367</t>
        </is>
      </c>
    </row>
    <row r="2392">
      <c r="A2392" t="inlineStr">
        <is>
          <t>2024</t>
        </is>
      </c>
      <c r="B2392" t="inlineStr">
        <is>
          <t>C00496307</t>
        </is>
      </c>
      <c r="C2392" t="inlineStr">
        <is>
          <t>Marathon Petroleum Corp Employees PAC (MPAC)</t>
        </is>
      </c>
      <c r="D2392" t="inlineStr">
        <is>
          <t>MEUSER FOR CONGRESS</t>
        </is>
      </c>
      <c r="E2392" t="inlineStr">
        <is>
          <t>H8PA10147</t>
        </is>
      </c>
      <c r="F2392" t="inlineStr">
        <is>
          <t>REP</t>
        </is>
      </c>
      <c r="G2392" t="inlineStr">
        <is>
          <t>04142023</t>
        </is>
      </c>
      <c r="H2392" t="n">
        <v>2500</v>
      </c>
      <c r="I2392" t="inlineStr">
        <is>
          <t>202305109581434367</t>
        </is>
      </c>
      <c r="J2392" t="inlineStr">
        <is>
          <t>https://docquery.fec.gov/cgi-bin/fecimg/?202305109581434367</t>
        </is>
      </c>
    </row>
    <row r="2393">
      <c r="A2393" t="inlineStr">
        <is>
          <t>2024</t>
        </is>
      </c>
      <c r="B2393" t="inlineStr">
        <is>
          <t>C00496307</t>
        </is>
      </c>
      <c r="C2393" t="inlineStr">
        <is>
          <t>Marathon Petroleum Corp Employees PAC (MPAC)</t>
        </is>
      </c>
      <c r="D2393" t="inlineStr">
        <is>
          <t>MIKE KELLY FOR CONGRESS</t>
        </is>
      </c>
      <c r="E2393" t="inlineStr">
        <is>
          <t>H0PA03271</t>
        </is>
      </c>
      <c r="F2393" t="inlineStr">
        <is>
          <t>REP</t>
        </is>
      </c>
      <c r="G2393" t="inlineStr">
        <is>
          <t>04192024</t>
        </is>
      </c>
      <c r="H2393" t="n">
        <v>2500</v>
      </c>
      <c r="I2393" t="inlineStr">
        <is>
          <t>202405209646189294</t>
        </is>
      </c>
      <c r="J2393" t="inlineStr">
        <is>
          <t>https://docquery.fec.gov/cgi-bin/fecimg/?202405209646189294</t>
        </is>
      </c>
    </row>
    <row r="2394">
      <c r="A2394" t="inlineStr">
        <is>
          <t>2024</t>
        </is>
      </c>
      <c r="B2394" t="inlineStr">
        <is>
          <t>C00496307</t>
        </is>
      </c>
      <c r="C2394" t="inlineStr">
        <is>
          <t>Marathon Petroleum Corp Employees PAC (MPAC)</t>
        </is>
      </c>
      <c r="D2394" t="inlineStr">
        <is>
          <t>DOCTOR OZ FOR SENATE</t>
        </is>
      </c>
      <c r="E2394" t="inlineStr">
        <is>
          <t>S2PA00638</t>
        </is>
      </c>
      <c r="F2394" t="inlineStr">
        <is>
          <t>REP</t>
        </is>
      </c>
      <c r="G2394" t="inlineStr">
        <is>
          <t>05012023</t>
        </is>
      </c>
      <c r="H2394" t="n">
        <v>-5000</v>
      </c>
      <c r="I2394" t="inlineStr">
        <is>
          <t>202306209582289975</t>
        </is>
      </c>
      <c r="J2394" t="inlineStr">
        <is>
          <t>https://docquery.fec.gov/cgi-bin/fecimg/?202306209582289975</t>
        </is>
      </c>
    </row>
    <row r="2395">
      <c r="A2395" t="inlineStr">
        <is>
          <t>2024</t>
        </is>
      </c>
      <c r="B2395" t="inlineStr">
        <is>
          <t>C00496307</t>
        </is>
      </c>
      <c r="C2395" t="inlineStr">
        <is>
          <t>Marathon Petroleum Corp Employees PAC (MPAC)</t>
        </is>
      </c>
      <c r="D2395" t="inlineStr">
        <is>
          <t>ASHLEY HINSON FOR CONGRESS</t>
        </is>
      </c>
      <c r="E2395" t="inlineStr">
        <is>
          <t>H0IA01174</t>
        </is>
      </c>
      <c r="F2395" t="inlineStr">
        <is>
          <t>REP</t>
        </is>
      </c>
      <c r="G2395" t="inlineStr">
        <is>
          <t>05102024</t>
        </is>
      </c>
      <c r="H2395" t="n">
        <v>2500</v>
      </c>
      <c r="I2395" t="inlineStr">
        <is>
          <t>202406179649044534</t>
        </is>
      </c>
      <c r="J2395" t="inlineStr">
        <is>
          <t>https://docquery.fec.gov/cgi-bin/fecimg/?202406179649044534</t>
        </is>
      </c>
    </row>
    <row r="2396">
      <c r="A2396" t="inlineStr">
        <is>
          <t>2024</t>
        </is>
      </c>
      <c r="B2396" t="inlineStr">
        <is>
          <t>C00496307</t>
        </is>
      </c>
      <c r="C2396" t="inlineStr">
        <is>
          <t>Marathon Petroleum Corp Employees PAC (MPAC)</t>
        </is>
      </c>
      <c r="D2396" t="inlineStr">
        <is>
          <t>COMER FOR CONGRESS</t>
        </is>
      </c>
      <c r="E2396" t="inlineStr">
        <is>
          <t>H6KY01110</t>
        </is>
      </c>
      <c r="F2396" t="inlineStr">
        <is>
          <t>REP</t>
        </is>
      </c>
      <c r="G2396" t="inlineStr">
        <is>
          <t>05102024</t>
        </is>
      </c>
      <c r="H2396" t="n">
        <v>2500</v>
      </c>
      <c r="I2396" t="inlineStr">
        <is>
          <t>202406179649044535</t>
        </is>
      </c>
      <c r="J2396" t="inlineStr">
        <is>
          <t>https://docquery.fec.gov/cgi-bin/fecimg/?202406179649044535</t>
        </is>
      </c>
    </row>
    <row r="2397">
      <c r="A2397" t="inlineStr">
        <is>
          <t>2024</t>
        </is>
      </c>
      <c r="B2397" t="inlineStr">
        <is>
          <t>C00496307</t>
        </is>
      </c>
      <c r="C2397" t="inlineStr">
        <is>
          <t>Marathon Petroleum Corp Employees PAC (MPAC)</t>
        </is>
      </c>
      <c r="D2397" t="inlineStr">
        <is>
          <t>GUTHRIE FOR CONGRESS</t>
        </is>
      </c>
      <c r="E2397" t="inlineStr">
        <is>
          <t>H8KY02031</t>
        </is>
      </c>
      <c r="F2397" t="inlineStr">
        <is>
          <t>REP</t>
        </is>
      </c>
      <c r="G2397" t="inlineStr">
        <is>
          <t>05102024</t>
        </is>
      </c>
      <c r="H2397" t="n">
        <v>5000</v>
      </c>
      <c r="I2397" t="inlineStr">
        <is>
          <t>202406179649044536</t>
        </is>
      </c>
      <c r="J2397" t="inlineStr">
        <is>
          <t>https://docquery.fec.gov/cgi-bin/fecimg/?202406179649044536</t>
        </is>
      </c>
    </row>
    <row r="2398">
      <c r="A2398" t="inlineStr">
        <is>
          <t>2024</t>
        </is>
      </c>
      <c r="B2398" t="inlineStr">
        <is>
          <t>C00496307</t>
        </is>
      </c>
      <c r="C2398" t="inlineStr">
        <is>
          <t>Marathon Petroleum Corp Employees PAC (MPAC)</t>
        </is>
      </c>
      <c r="D2398" t="inlineStr">
        <is>
          <t>MILLER-MEEKS FOR CONGRESS</t>
        </is>
      </c>
      <c r="E2398" t="inlineStr">
        <is>
          <t>H8IA02043</t>
        </is>
      </c>
      <c r="F2398" t="inlineStr">
        <is>
          <t>REP</t>
        </is>
      </c>
      <c r="G2398" t="inlineStr">
        <is>
          <t>05102024</t>
        </is>
      </c>
      <c r="H2398" t="n">
        <v>5000</v>
      </c>
      <c r="I2398" t="inlineStr">
        <is>
          <t>202406179649044538</t>
        </is>
      </c>
      <c r="J2398" t="inlineStr">
        <is>
          <t>https://docquery.fec.gov/cgi-bin/fecimg/?202406179649044538</t>
        </is>
      </c>
    </row>
    <row r="2399">
      <c r="A2399" t="inlineStr">
        <is>
          <t>2024</t>
        </is>
      </c>
      <c r="B2399" t="inlineStr">
        <is>
          <t>C00496307</t>
        </is>
      </c>
      <c r="C2399" t="inlineStr">
        <is>
          <t>Marathon Petroleum Corp Employees PAC (MPAC)</t>
        </is>
      </c>
      <c r="D2399" t="inlineStr">
        <is>
          <t>KEAN FOR CONGRESS, INC.</t>
        </is>
      </c>
      <c r="E2399" t="inlineStr">
        <is>
          <t>H0NJ07261</t>
        </is>
      </c>
      <c r="F2399" t="inlineStr">
        <is>
          <t>REP</t>
        </is>
      </c>
      <c r="G2399" t="inlineStr">
        <is>
          <t>05162023</t>
        </is>
      </c>
      <c r="H2399" t="n">
        <v>2500</v>
      </c>
      <c r="I2399" t="inlineStr">
        <is>
          <t>202306209582289976</t>
        </is>
      </c>
      <c r="J2399" t="inlineStr">
        <is>
          <t>https://docquery.fec.gov/cgi-bin/fecimg/?202306209582289976</t>
        </is>
      </c>
    </row>
    <row r="2400">
      <c r="A2400" t="inlineStr">
        <is>
          <t>2024</t>
        </is>
      </c>
      <c r="B2400" t="inlineStr">
        <is>
          <t>C00496307</t>
        </is>
      </c>
      <c r="C2400" t="inlineStr">
        <is>
          <t>Marathon Petroleum Corp Employees PAC (MPAC)</t>
        </is>
      </c>
      <c r="D2400" t="inlineStr">
        <is>
          <t>IOWANS FOR ZACH NUNN</t>
        </is>
      </c>
      <c r="E2400" t="inlineStr">
        <is>
          <t>H2IA03119</t>
        </is>
      </c>
      <c r="F2400" t="inlineStr">
        <is>
          <t>REP</t>
        </is>
      </c>
      <c r="G2400" t="inlineStr">
        <is>
          <t>05162023</t>
        </is>
      </c>
      <c r="H2400" t="n">
        <v>-2500</v>
      </c>
      <c r="I2400" t="inlineStr">
        <is>
          <t>202306209582289975</t>
        </is>
      </c>
      <c r="J2400" t="inlineStr">
        <is>
          <t>https://docquery.fec.gov/cgi-bin/fecimg/?202306209582289975</t>
        </is>
      </c>
    </row>
    <row r="2401">
      <c r="A2401" t="inlineStr">
        <is>
          <t>2024</t>
        </is>
      </c>
      <c r="B2401" t="inlineStr">
        <is>
          <t>C00496307</t>
        </is>
      </c>
      <c r="C2401" t="inlineStr">
        <is>
          <t>Marathon Petroleum Corp Employees PAC (MPAC)</t>
        </is>
      </c>
      <c r="D2401" t="inlineStr">
        <is>
          <t>KEAN FOR CONGRESS, INC.</t>
        </is>
      </c>
      <c r="E2401" t="inlineStr">
        <is>
          <t>H0NJ07261</t>
        </is>
      </c>
      <c r="F2401" t="inlineStr">
        <is>
          <t>REP</t>
        </is>
      </c>
      <c r="G2401" t="inlineStr">
        <is>
          <t>05162023</t>
        </is>
      </c>
      <c r="H2401" t="n">
        <v>-2500</v>
      </c>
      <c r="I2401" t="inlineStr">
        <is>
          <t>202306209582289976</t>
        </is>
      </c>
      <c r="J2401" t="inlineStr">
        <is>
          <t>https://docquery.fec.gov/cgi-bin/fecimg/?202306209582289976</t>
        </is>
      </c>
    </row>
    <row r="2402">
      <c r="A2402" t="inlineStr">
        <is>
          <t>2024</t>
        </is>
      </c>
      <c r="B2402" t="inlineStr">
        <is>
          <t>C00496307</t>
        </is>
      </c>
      <c r="C2402" t="inlineStr">
        <is>
          <t>Marathon Petroleum Corp Employees PAC (MPAC)</t>
        </is>
      </c>
      <c r="D2402" t="inlineStr">
        <is>
          <t>MILLER-MEEKS FOR CONGRESS</t>
        </is>
      </c>
      <c r="E2402" t="inlineStr">
        <is>
          <t>H8IA02043</t>
        </is>
      </c>
      <c r="F2402" t="inlineStr">
        <is>
          <t>REP</t>
        </is>
      </c>
      <c r="G2402" t="inlineStr">
        <is>
          <t>05162023</t>
        </is>
      </c>
      <c r="H2402" t="n">
        <v>5000</v>
      </c>
      <c r="I2402" t="inlineStr">
        <is>
          <t>202306209582289976</t>
        </is>
      </c>
      <c r="J2402" t="inlineStr">
        <is>
          <t>https://docquery.fec.gov/cgi-bin/fecimg/?202306209582289976</t>
        </is>
      </c>
    </row>
    <row r="2403">
      <c r="A2403" t="inlineStr">
        <is>
          <t>2024</t>
        </is>
      </c>
      <c r="B2403" t="inlineStr">
        <is>
          <t>C00496307</t>
        </is>
      </c>
      <c r="C2403" t="inlineStr">
        <is>
          <t>Marathon Petroleum Corp Employees PAC (MPAC)</t>
        </is>
      </c>
      <c r="D2403" t="inlineStr">
        <is>
          <t>MILLER-MEEKS FOR CONGRESS</t>
        </is>
      </c>
      <c r="E2403" t="inlineStr">
        <is>
          <t>H8IA02043</t>
        </is>
      </c>
      <c r="F2403" t="inlineStr">
        <is>
          <t>REP</t>
        </is>
      </c>
      <c r="G2403" t="inlineStr">
        <is>
          <t>05162023</t>
        </is>
      </c>
      <c r="H2403" t="n">
        <v>-5000</v>
      </c>
      <c r="I2403" t="inlineStr">
        <is>
          <t>202306209582289977</t>
        </is>
      </c>
      <c r="J2403" t="inlineStr">
        <is>
          <t>https://docquery.fec.gov/cgi-bin/fecimg/?202306209582289977</t>
        </is>
      </c>
    </row>
    <row r="2404">
      <c r="A2404" t="inlineStr">
        <is>
          <t>2024</t>
        </is>
      </c>
      <c r="B2404" t="inlineStr">
        <is>
          <t>C00496307</t>
        </is>
      </c>
      <c r="C2404" t="inlineStr">
        <is>
          <t>Marathon Petroleum Corp Employees PAC (MPAC)</t>
        </is>
      </c>
      <c r="D2404" t="inlineStr">
        <is>
          <t>NEHLS FOR CONGRESS</t>
        </is>
      </c>
      <c r="E2404" t="inlineStr">
        <is>
          <t>H0TX22302</t>
        </is>
      </c>
      <c r="F2404" t="inlineStr">
        <is>
          <t>REP</t>
        </is>
      </c>
      <c r="G2404" t="inlineStr">
        <is>
          <t>05162023</t>
        </is>
      </c>
      <c r="H2404" t="n">
        <v>1000</v>
      </c>
      <c r="I2404" t="inlineStr">
        <is>
          <t>202306209582289977</t>
        </is>
      </c>
      <c r="J2404" t="inlineStr">
        <is>
          <t>https://docquery.fec.gov/cgi-bin/fecimg/?202306209582289977</t>
        </is>
      </c>
    </row>
    <row r="2405">
      <c r="A2405" t="inlineStr">
        <is>
          <t>2024</t>
        </is>
      </c>
      <c r="B2405" t="inlineStr">
        <is>
          <t>C00496307</t>
        </is>
      </c>
      <c r="C2405" t="inlineStr">
        <is>
          <t>Marathon Petroleum Corp Employees PAC (MPAC)</t>
        </is>
      </c>
      <c r="D2405" t="inlineStr">
        <is>
          <t>NEHLS FOR CONGRESS</t>
        </is>
      </c>
      <c r="E2405" t="inlineStr">
        <is>
          <t>H0TX22302</t>
        </is>
      </c>
      <c r="F2405" t="inlineStr">
        <is>
          <t>REP</t>
        </is>
      </c>
      <c r="G2405" t="inlineStr">
        <is>
          <t>05162023</t>
        </is>
      </c>
      <c r="H2405" t="n">
        <v>-1000</v>
      </c>
      <c r="I2405" t="inlineStr">
        <is>
          <t>202306209582289977</t>
        </is>
      </c>
      <c r="J2405" t="inlineStr">
        <is>
          <t>https://docquery.fec.gov/cgi-bin/fecimg/?202306209582289977</t>
        </is>
      </c>
    </row>
    <row r="2406">
      <c r="A2406" t="inlineStr">
        <is>
          <t>2024</t>
        </is>
      </c>
      <c r="B2406" t="inlineStr">
        <is>
          <t>C00496307</t>
        </is>
      </c>
      <c r="C2406" t="inlineStr">
        <is>
          <t>Marathon Petroleum Corp Employees PAC (MPAC)</t>
        </is>
      </c>
      <c r="D2406" t="inlineStr">
        <is>
          <t>SYLVIA GARCIA FOR CONGRESS</t>
        </is>
      </c>
      <c r="E2406" t="inlineStr">
        <is>
          <t>H8TX29052</t>
        </is>
      </c>
      <c r="F2406" t="inlineStr">
        <is>
          <t>DEM</t>
        </is>
      </c>
      <c r="G2406" t="inlineStr">
        <is>
          <t>05162023</t>
        </is>
      </c>
      <c r="H2406" t="n">
        <v>2500</v>
      </c>
      <c r="I2406" t="inlineStr">
        <is>
          <t>202306209582289978</t>
        </is>
      </c>
      <c r="J2406" t="inlineStr">
        <is>
          <t>https://docquery.fec.gov/cgi-bin/fecimg/?202306209582289978</t>
        </is>
      </c>
    </row>
    <row r="2407">
      <c r="A2407" t="inlineStr">
        <is>
          <t>2024</t>
        </is>
      </c>
      <c r="B2407" t="inlineStr">
        <is>
          <t>C00496307</t>
        </is>
      </c>
      <c r="C2407" t="inlineStr">
        <is>
          <t>Marathon Petroleum Corp Employees PAC (MPAC)</t>
        </is>
      </c>
      <c r="D2407" t="inlineStr">
        <is>
          <t>SYLVIA GARCIA FOR CONGRESS</t>
        </is>
      </c>
      <c r="E2407" t="inlineStr">
        <is>
          <t>H8TX29052</t>
        </is>
      </c>
      <c r="F2407" t="inlineStr">
        <is>
          <t>DEM</t>
        </is>
      </c>
      <c r="G2407" t="inlineStr">
        <is>
          <t>05162023</t>
        </is>
      </c>
      <c r="H2407" t="n">
        <v>-2500</v>
      </c>
      <c r="I2407" t="inlineStr">
        <is>
          <t>202306209582289978</t>
        </is>
      </c>
      <c r="J2407" t="inlineStr">
        <is>
          <t>https://docquery.fec.gov/cgi-bin/fecimg/?202306209582289978</t>
        </is>
      </c>
    </row>
    <row r="2408">
      <c r="A2408" t="inlineStr">
        <is>
          <t>2024</t>
        </is>
      </c>
      <c r="B2408" t="inlineStr">
        <is>
          <t>C00496307</t>
        </is>
      </c>
      <c r="C2408" t="inlineStr">
        <is>
          <t>Marathon Petroleum Corp Employees PAC (MPAC)</t>
        </is>
      </c>
      <c r="D2408" t="inlineStr">
        <is>
          <t>VERONICA ESCOBAR FOR CONGRESS</t>
        </is>
      </c>
      <c r="E2408" t="inlineStr">
        <is>
          <t>H8TX16109</t>
        </is>
      </c>
      <c r="F2408" t="inlineStr">
        <is>
          <t>DEM</t>
        </is>
      </c>
      <c r="G2408" t="inlineStr">
        <is>
          <t>05162023</t>
        </is>
      </c>
      <c r="H2408" t="n">
        <v>2500</v>
      </c>
      <c r="I2408" t="inlineStr">
        <is>
          <t>202306209582289978</t>
        </is>
      </c>
      <c r="J2408" t="inlineStr">
        <is>
          <t>https://docquery.fec.gov/cgi-bin/fecimg/?202306209582289978</t>
        </is>
      </c>
    </row>
    <row r="2409">
      <c r="A2409" t="inlineStr">
        <is>
          <t>2024</t>
        </is>
      </c>
      <c r="B2409" t="inlineStr">
        <is>
          <t>C00496307</t>
        </is>
      </c>
      <c r="C2409" t="inlineStr">
        <is>
          <t>Marathon Petroleum Corp Employees PAC (MPAC)</t>
        </is>
      </c>
      <c r="D2409" t="inlineStr">
        <is>
          <t>VERONICA ESCOBAR FOR CONGRESS</t>
        </is>
      </c>
      <c r="E2409" t="inlineStr">
        <is>
          <t>H8TX16109</t>
        </is>
      </c>
      <c r="F2409" t="inlineStr">
        <is>
          <t>DEM</t>
        </is>
      </c>
      <c r="G2409" t="inlineStr">
        <is>
          <t>05162023</t>
        </is>
      </c>
      <c r="H2409" t="n">
        <v>-2500</v>
      </c>
      <c r="I2409" t="inlineStr">
        <is>
          <t>202306209582289979</t>
        </is>
      </c>
      <c r="J2409" t="inlineStr">
        <is>
          <t>https://docquery.fec.gov/cgi-bin/fecimg/?202306209582289979</t>
        </is>
      </c>
    </row>
    <row r="2410">
      <c r="A2410" t="inlineStr">
        <is>
          <t>2024</t>
        </is>
      </c>
      <c r="B2410" t="inlineStr">
        <is>
          <t>C00496307</t>
        </is>
      </c>
      <c r="C2410" t="inlineStr">
        <is>
          <t>Marathon Petroleum Corp Employees PAC (MPAC)</t>
        </is>
      </c>
      <c r="D2410" t="inlineStr">
        <is>
          <t>BALDERSON FOR CONGRESS</t>
        </is>
      </c>
      <c r="E2410" t="inlineStr">
        <is>
          <t>H8OH12180</t>
        </is>
      </c>
      <c r="F2410" t="inlineStr">
        <is>
          <t>REP</t>
        </is>
      </c>
      <c r="G2410" t="inlineStr">
        <is>
          <t>05282024</t>
        </is>
      </c>
      <c r="H2410" t="n">
        <v>2500</v>
      </c>
      <c r="I2410" t="inlineStr">
        <is>
          <t>202406179649044534</t>
        </is>
      </c>
      <c r="J2410" t="inlineStr">
        <is>
          <t>https://docquery.fec.gov/cgi-bin/fecimg/?202406179649044534</t>
        </is>
      </c>
    </row>
    <row r="2411">
      <c r="A2411" t="inlineStr">
        <is>
          <t>2024</t>
        </is>
      </c>
      <c r="B2411" t="inlineStr">
        <is>
          <t>C00496307</t>
        </is>
      </c>
      <c r="C2411" t="inlineStr">
        <is>
          <t>Marathon Petroleum Corp Employees PAC (MPAC)</t>
        </is>
      </c>
      <c r="D2411" t="inlineStr">
        <is>
          <t>BUDDY CARTER FOR CONGRESS</t>
        </is>
      </c>
      <c r="E2411" t="inlineStr">
        <is>
          <t>H4GA01039</t>
        </is>
      </c>
      <c r="F2411" t="inlineStr">
        <is>
          <t>REP</t>
        </is>
      </c>
      <c r="G2411" t="inlineStr">
        <is>
          <t>05282024</t>
        </is>
      </c>
      <c r="H2411" t="n">
        <v>2500</v>
      </c>
      <c r="I2411" t="inlineStr">
        <is>
          <t>202406179649044534</t>
        </is>
      </c>
      <c r="J2411" t="inlineStr">
        <is>
          <t>https://docquery.fec.gov/cgi-bin/fecimg/?202406179649044534</t>
        </is>
      </c>
    </row>
    <row r="2412">
      <c r="A2412" t="inlineStr">
        <is>
          <t>2024</t>
        </is>
      </c>
      <c r="B2412" t="inlineStr">
        <is>
          <t>C00496307</t>
        </is>
      </c>
      <c r="C2412" t="inlineStr">
        <is>
          <t>Marathon Petroleum Corp Employees PAC (MPAC)</t>
        </is>
      </c>
      <c r="D2412" t="inlineStr">
        <is>
          <t>ELISE FOR CONGRESS</t>
        </is>
      </c>
      <c r="E2412" t="inlineStr">
        <is>
          <t>H4NY21079</t>
        </is>
      </c>
      <c r="F2412" t="inlineStr">
        <is>
          <t>REP</t>
        </is>
      </c>
      <c r="G2412" t="inlineStr">
        <is>
          <t>05282024</t>
        </is>
      </c>
      <c r="H2412" t="n">
        <v>2500</v>
      </c>
      <c r="I2412" t="inlineStr">
        <is>
          <t>202406179649044535</t>
        </is>
      </c>
      <c r="J2412" t="inlineStr">
        <is>
          <t>https://docquery.fec.gov/cgi-bin/fecimg/?202406179649044535</t>
        </is>
      </c>
    </row>
    <row r="2413">
      <c r="A2413" t="inlineStr">
        <is>
          <t>2024</t>
        </is>
      </c>
      <c r="B2413" t="inlineStr">
        <is>
          <t>C00496307</t>
        </is>
      </c>
      <c r="C2413" t="inlineStr">
        <is>
          <t>Marathon Petroleum Corp Employees PAC (MPAC)</t>
        </is>
      </c>
      <c r="D2413" t="inlineStr">
        <is>
          <t>FEENSTRA FOR CONGRESS</t>
        </is>
      </c>
      <c r="E2413" t="inlineStr">
        <is>
          <t>H0IA04145</t>
        </is>
      </c>
      <c r="F2413" t="inlineStr">
        <is>
          <t>REP</t>
        </is>
      </c>
      <c r="G2413" t="inlineStr">
        <is>
          <t>05282024</t>
        </is>
      </c>
      <c r="H2413" t="n">
        <v>5000</v>
      </c>
      <c r="I2413" t="inlineStr">
        <is>
          <t>202406179649044535</t>
        </is>
      </c>
      <c r="J2413" t="inlineStr">
        <is>
          <t>https://docquery.fec.gov/cgi-bin/fecimg/?202406179649044535</t>
        </is>
      </c>
    </row>
    <row r="2414">
      <c r="A2414" t="inlineStr">
        <is>
          <t>2024</t>
        </is>
      </c>
      <c r="B2414" t="inlineStr">
        <is>
          <t>C00496307</t>
        </is>
      </c>
      <c r="C2414" t="inlineStr">
        <is>
          <t>Marathon Petroleum Corp Employees PAC (MPAC)</t>
        </is>
      </c>
      <c r="D2414" t="inlineStr">
        <is>
          <t>HUNT FOR CONGRESS</t>
        </is>
      </c>
      <c r="E2414" t="inlineStr">
        <is>
          <t>H0TX07170</t>
        </is>
      </c>
      <c r="F2414" t="inlineStr">
        <is>
          <t>REP</t>
        </is>
      </c>
      <c r="G2414" t="inlineStr">
        <is>
          <t>05282024</t>
        </is>
      </c>
      <c r="H2414" t="n">
        <v>2500</v>
      </c>
      <c r="I2414" t="inlineStr">
        <is>
          <t>202406179649044536</t>
        </is>
      </c>
      <c r="J2414" t="inlineStr">
        <is>
          <t>https://docquery.fec.gov/cgi-bin/fecimg/?202406179649044536</t>
        </is>
      </c>
    </row>
    <row r="2415">
      <c r="A2415" t="inlineStr">
        <is>
          <t>2024</t>
        </is>
      </c>
      <c r="B2415" t="inlineStr">
        <is>
          <t>C00496307</t>
        </is>
      </c>
      <c r="C2415" t="inlineStr">
        <is>
          <t>Marathon Petroleum Corp Employees PAC (MPAC)</t>
        </is>
      </c>
      <c r="D2415" t="inlineStr">
        <is>
          <t>LATTA FOR CONGRESS</t>
        </is>
      </c>
      <c r="E2415" t="inlineStr">
        <is>
          <t>H8OH05036</t>
        </is>
      </c>
      <c r="F2415" t="inlineStr">
        <is>
          <t>REP</t>
        </is>
      </c>
      <c r="G2415" t="inlineStr">
        <is>
          <t>05282024</t>
        </is>
      </c>
      <c r="H2415" t="n">
        <v>5000</v>
      </c>
      <c r="I2415" t="inlineStr">
        <is>
          <t>202406179649044537</t>
        </is>
      </c>
      <c r="J2415" t="inlineStr">
        <is>
          <t>https://docquery.fec.gov/cgi-bin/fecimg/?202406179649044537</t>
        </is>
      </c>
    </row>
    <row r="2416">
      <c r="A2416" t="inlineStr">
        <is>
          <t>2024</t>
        </is>
      </c>
      <c r="B2416" t="inlineStr">
        <is>
          <t>C00496307</t>
        </is>
      </c>
      <c r="C2416" t="inlineStr">
        <is>
          <t>Marathon Petroleum Corp Employees PAC (MPAC)</t>
        </is>
      </c>
      <c r="D2416" t="inlineStr">
        <is>
          <t>MARY PELTOLA FOR ALASKA</t>
        </is>
      </c>
      <c r="E2416" t="inlineStr">
        <is>
          <t>H2AK01158</t>
        </is>
      </c>
      <c r="F2416" t="inlineStr">
        <is>
          <t>DEM</t>
        </is>
      </c>
      <c r="G2416" t="inlineStr">
        <is>
          <t>05282024</t>
        </is>
      </c>
      <c r="H2416" t="n">
        <v>2500</v>
      </c>
      <c r="I2416" t="inlineStr">
        <is>
          <t>202406179649044537</t>
        </is>
      </c>
      <c r="J2416" t="inlineStr">
        <is>
          <t>https://docquery.fec.gov/cgi-bin/fecimg/?202406179649044537</t>
        </is>
      </c>
    </row>
    <row r="2417">
      <c r="A2417" t="inlineStr">
        <is>
          <t>2024</t>
        </is>
      </c>
      <c r="B2417" t="inlineStr">
        <is>
          <t>C00496307</t>
        </is>
      </c>
      <c r="C2417" t="inlineStr">
        <is>
          <t>Marathon Petroleum Corp Employees PAC (MPAC)</t>
        </is>
      </c>
      <c r="D2417" t="inlineStr">
        <is>
          <t>MIKE KELLY FOR CONGRESS</t>
        </is>
      </c>
      <c r="E2417" t="inlineStr">
        <is>
          <t>H0PA03271</t>
        </is>
      </c>
      <c r="F2417" t="inlineStr">
        <is>
          <t>REP</t>
        </is>
      </c>
      <c r="G2417" t="inlineStr">
        <is>
          <t>05282024</t>
        </is>
      </c>
      <c r="H2417" t="n">
        <v>5000</v>
      </c>
      <c r="I2417" t="inlineStr">
        <is>
          <t>202406179649044537</t>
        </is>
      </c>
      <c r="J2417" t="inlineStr">
        <is>
          <t>https://docquery.fec.gov/cgi-bin/fecimg/?202406179649044537</t>
        </is>
      </c>
    </row>
    <row r="2418">
      <c r="A2418" t="inlineStr">
        <is>
          <t>2024</t>
        </is>
      </c>
      <c r="B2418" t="inlineStr">
        <is>
          <t>C00496307</t>
        </is>
      </c>
      <c r="C2418" t="inlineStr">
        <is>
          <t>Marathon Petroleum Corp Employees PAC (MPAC)</t>
        </is>
      </c>
      <c r="D2418" t="inlineStr">
        <is>
          <t>PETE STAUBER FOR CONGRESS</t>
        </is>
      </c>
      <c r="E2418" t="inlineStr">
        <is>
          <t>H8MN08043</t>
        </is>
      </c>
      <c r="F2418" t="inlineStr">
        <is>
          <t>REP</t>
        </is>
      </c>
      <c r="G2418" t="inlineStr">
        <is>
          <t>05282024</t>
        </is>
      </c>
      <c r="H2418" t="n">
        <v>2500</v>
      </c>
      <c r="I2418" t="inlineStr">
        <is>
          <t>202406179649044538</t>
        </is>
      </c>
      <c r="J2418" t="inlineStr">
        <is>
          <t>https://docquery.fec.gov/cgi-bin/fecimg/?202406179649044538</t>
        </is>
      </c>
    </row>
    <row r="2419">
      <c r="A2419" t="inlineStr">
        <is>
          <t>2024</t>
        </is>
      </c>
      <c r="B2419" t="inlineStr">
        <is>
          <t>C00496307</t>
        </is>
      </c>
      <c r="C2419" t="inlineStr">
        <is>
          <t>Marathon Petroleum Corp Employees PAC (MPAC)</t>
        </is>
      </c>
      <c r="D2419" t="inlineStr">
        <is>
          <t>TEXANS FOR RONNY JACKSON</t>
        </is>
      </c>
      <c r="E2419" t="inlineStr">
        <is>
          <t>H0TX13228</t>
        </is>
      </c>
      <c r="F2419" t="inlineStr">
        <is>
          <t>REP</t>
        </is>
      </c>
      <c r="G2419" t="inlineStr">
        <is>
          <t>05282024</t>
        </is>
      </c>
      <c r="H2419" t="n">
        <v>2500</v>
      </c>
      <c r="I2419" t="inlineStr">
        <is>
          <t>202406179649044538</t>
        </is>
      </c>
      <c r="J2419" t="inlineStr">
        <is>
          <t>https://docquery.fec.gov/cgi-bin/fecimg/?202406179649044538</t>
        </is>
      </c>
    </row>
    <row r="2420">
      <c r="A2420" t="inlineStr">
        <is>
          <t>2024</t>
        </is>
      </c>
      <c r="B2420" t="inlineStr">
        <is>
          <t>C00496307</t>
        </is>
      </c>
      <c r="C2420" t="inlineStr">
        <is>
          <t>Marathon Petroleum Corp Employees PAC (MPAC)</t>
        </is>
      </c>
      <c r="D2420" t="inlineStr">
        <is>
          <t>TONY GONZALES FOR CONGRESS</t>
        </is>
      </c>
      <c r="E2420" t="inlineStr">
        <is>
          <t>H0TX35015</t>
        </is>
      </c>
      <c r="F2420" t="inlineStr">
        <is>
          <t>REP</t>
        </is>
      </c>
      <c r="G2420" t="inlineStr">
        <is>
          <t>05282024</t>
        </is>
      </c>
      <c r="H2420" t="n">
        <v>2500</v>
      </c>
      <c r="I2420" t="inlineStr">
        <is>
          <t>202406179649044539</t>
        </is>
      </c>
      <c r="J2420" t="inlineStr">
        <is>
          <t>https://docquery.fec.gov/cgi-bin/fecimg/?202406179649044539</t>
        </is>
      </c>
    </row>
    <row r="2421">
      <c r="A2421" t="inlineStr">
        <is>
          <t>2024</t>
        </is>
      </c>
      <c r="B2421" t="inlineStr">
        <is>
          <t>C00496307</t>
        </is>
      </c>
      <c r="C2421" t="inlineStr">
        <is>
          <t>Marathon Petroleum Corp Employees PAC (MPAC)</t>
        </is>
      </c>
      <c r="D2421" t="inlineStr">
        <is>
          <t>WESTERMAN FOR CONGRESS</t>
        </is>
      </c>
      <c r="E2421" t="inlineStr">
        <is>
          <t>H4AR04048</t>
        </is>
      </c>
      <c r="F2421" t="inlineStr">
        <is>
          <t>REP</t>
        </is>
      </c>
      <c r="G2421" t="inlineStr">
        <is>
          <t>05282024</t>
        </is>
      </c>
      <c r="H2421" t="n">
        <v>2500</v>
      </c>
      <c r="I2421" t="inlineStr">
        <is>
          <t>202406179649044539</t>
        </is>
      </c>
      <c r="J2421" t="inlineStr">
        <is>
          <t>https://docquery.fec.gov/cgi-bin/fecimg/?202406179649044539</t>
        </is>
      </c>
    </row>
    <row r="2422">
      <c r="A2422" t="inlineStr">
        <is>
          <t>2024</t>
        </is>
      </c>
      <c r="B2422" t="inlineStr">
        <is>
          <t>C00496307</t>
        </is>
      </c>
      <c r="C2422" t="inlineStr">
        <is>
          <t>Marathon Petroleum Corp Employees PAC (MPAC)</t>
        </is>
      </c>
      <c r="D2422" t="inlineStr">
        <is>
          <t>VERONICA ESCOBAR FOR CONGRESS</t>
        </is>
      </c>
      <c r="E2422" t="inlineStr">
        <is>
          <t>H8TX16109</t>
        </is>
      </c>
      <c r="F2422" t="inlineStr">
        <is>
          <t>DEM</t>
        </is>
      </c>
      <c r="G2422" t="inlineStr">
        <is>
          <t>05302023</t>
        </is>
      </c>
      <c r="H2422" t="n">
        <v>-2500</v>
      </c>
      <c r="I2422" t="inlineStr">
        <is>
          <t>202306209582289979</t>
        </is>
      </c>
      <c r="J2422" t="inlineStr">
        <is>
          <t>https://docquery.fec.gov/cgi-bin/fecimg/?202306209582289979</t>
        </is>
      </c>
    </row>
    <row r="2423">
      <c r="A2423" t="inlineStr">
        <is>
          <t>2024</t>
        </is>
      </c>
      <c r="B2423" t="inlineStr">
        <is>
          <t>C00496307</t>
        </is>
      </c>
      <c r="C2423" t="inlineStr">
        <is>
          <t>Marathon Petroleum Corp Employees PAC (MPAC)</t>
        </is>
      </c>
      <c r="D2423" t="inlineStr">
        <is>
          <t>CAREY FOR CONGRESS</t>
        </is>
      </c>
      <c r="E2423" t="inlineStr">
        <is>
          <t>H2OH15228</t>
        </is>
      </c>
      <c r="F2423" t="inlineStr">
        <is>
          <t>REP</t>
        </is>
      </c>
      <c r="G2423" t="inlineStr">
        <is>
          <t>06012023</t>
        </is>
      </c>
      <c r="H2423" t="n">
        <v>-1000</v>
      </c>
      <c r="I2423" t="inlineStr">
        <is>
          <t>202307209583853061</t>
        </is>
      </c>
      <c r="J2423" t="inlineStr">
        <is>
          <t>https://docquery.fec.gov/cgi-bin/fecimg/?202307209583853061</t>
        </is>
      </c>
    </row>
    <row r="2424">
      <c r="A2424" t="inlineStr">
        <is>
          <t>2024</t>
        </is>
      </c>
      <c r="B2424" t="inlineStr">
        <is>
          <t>C00496307</t>
        </is>
      </c>
      <c r="C2424" t="inlineStr">
        <is>
          <t>Marathon Petroleum Corp Employees PAC (MPAC)</t>
        </is>
      </c>
      <c r="D2424" t="inlineStr">
        <is>
          <t>KEAN FOR CONGRESS, INC.</t>
        </is>
      </c>
      <c r="E2424" t="inlineStr">
        <is>
          <t>H0NJ07261</t>
        </is>
      </c>
      <c r="F2424" t="inlineStr">
        <is>
          <t>REP</t>
        </is>
      </c>
      <c r="G2424" t="inlineStr">
        <is>
          <t>06042024</t>
        </is>
      </c>
      <c r="H2424" t="n">
        <v>2000</v>
      </c>
      <c r="I2424" t="inlineStr">
        <is>
          <t>202407199661337816</t>
        </is>
      </c>
      <c r="J2424" t="inlineStr">
        <is>
          <t>https://docquery.fec.gov/cgi-bin/fecimg/?202407199661337816</t>
        </is>
      </c>
    </row>
    <row r="2425">
      <c r="A2425" t="inlineStr">
        <is>
          <t>2024</t>
        </is>
      </c>
      <c r="B2425" t="inlineStr">
        <is>
          <t>C00496307</t>
        </is>
      </c>
      <c r="C2425" t="inlineStr">
        <is>
          <t>Marathon Petroleum Corp Employees PAC (MPAC)</t>
        </is>
      </c>
      <c r="D2425" t="inlineStr">
        <is>
          <t>LALOTA FOR CONGRESS</t>
        </is>
      </c>
      <c r="E2425" t="inlineStr">
        <is>
          <t>H2NY01190</t>
        </is>
      </c>
      <c r="F2425" t="inlineStr">
        <is>
          <t>REP</t>
        </is>
      </c>
      <c r="G2425" t="inlineStr">
        <is>
          <t>06042024</t>
        </is>
      </c>
      <c r="H2425" t="n">
        <v>2000</v>
      </c>
      <c r="I2425" t="inlineStr">
        <is>
          <t>202407199661337817</t>
        </is>
      </c>
      <c r="J2425" t="inlineStr">
        <is>
          <t>https://docquery.fec.gov/cgi-bin/fecimg/?202407199661337817</t>
        </is>
      </c>
    </row>
    <row r="2426">
      <c r="A2426" t="inlineStr">
        <is>
          <t>2024</t>
        </is>
      </c>
      <c r="B2426" t="inlineStr">
        <is>
          <t>C00496307</t>
        </is>
      </c>
      <c r="C2426" t="inlineStr">
        <is>
          <t>Marathon Petroleum Corp Employees PAC (MPAC)</t>
        </is>
      </c>
      <c r="D2426" t="inlineStr">
        <is>
          <t>MOORE FOR WEST VIRGINIA</t>
        </is>
      </c>
      <c r="E2426" t="inlineStr">
        <is>
          <t>H4WV02205</t>
        </is>
      </c>
      <c r="F2426" t="inlineStr">
        <is>
          <t>REP</t>
        </is>
      </c>
      <c r="G2426" t="inlineStr">
        <is>
          <t>06042024</t>
        </is>
      </c>
      <c r="H2426" t="n">
        <v>5000</v>
      </c>
      <c r="I2426" t="inlineStr">
        <is>
          <t>202407199661337817</t>
        </is>
      </c>
      <c r="J2426" t="inlineStr">
        <is>
          <t>https://docquery.fec.gov/cgi-bin/fecimg/?202407199661337817</t>
        </is>
      </c>
    </row>
    <row r="2427">
      <c r="A2427" t="inlineStr">
        <is>
          <t>2024</t>
        </is>
      </c>
      <c r="B2427" t="inlineStr">
        <is>
          <t>C00496307</t>
        </is>
      </c>
      <c r="C2427" t="inlineStr">
        <is>
          <t>Marathon Petroleum Corp Employees PAC (MPAC)</t>
        </is>
      </c>
      <c r="D2427" t="inlineStr">
        <is>
          <t>ROB FOR PA</t>
        </is>
      </c>
      <c r="E2427" t="inlineStr">
        <is>
          <t>H4PA08124</t>
        </is>
      </c>
      <c r="F2427" t="inlineStr">
        <is>
          <t>REP</t>
        </is>
      </c>
      <c r="G2427" t="inlineStr">
        <is>
          <t>06042024</t>
        </is>
      </c>
      <c r="H2427" t="n">
        <v>2500</v>
      </c>
      <c r="I2427" t="inlineStr">
        <is>
          <t>202407199661337818</t>
        </is>
      </c>
      <c r="J2427" t="inlineStr">
        <is>
          <t>https://docquery.fec.gov/cgi-bin/fecimg/?202407199661337818</t>
        </is>
      </c>
    </row>
    <row r="2428">
      <c r="A2428" t="inlineStr">
        <is>
          <t>2024</t>
        </is>
      </c>
      <c r="B2428" t="inlineStr">
        <is>
          <t>C00496307</t>
        </is>
      </c>
      <c r="C2428" t="inlineStr">
        <is>
          <t>Marathon Petroleum Corp Employees PAC (MPAC)</t>
        </is>
      </c>
      <c r="D2428" t="inlineStr">
        <is>
          <t>HERN FOR CONGRESS</t>
        </is>
      </c>
      <c r="E2428" t="inlineStr">
        <is>
          <t>H8OK01157</t>
        </is>
      </c>
      <c r="F2428" t="inlineStr">
        <is>
          <t>REP</t>
        </is>
      </c>
      <c r="G2428" t="inlineStr">
        <is>
          <t>06052023</t>
        </is>
      </c>
      <c r="H2428" t="n">
        <v>2500</v>
      </c>
      <c r="I2428" t="inlineStr">
        <is>
          <t>202307209583853065</t>
        </is>
      </c>
      <c r="J2428" t="inlineStr">
        <is>
          <t>https://docquery.fec.gov/cgi-bin/fecimg/?202307209583853065</t>
        </is>
      </c>
    </row>
    <row r="2429">
      <c r="A2429" t="inlineStr">
        <is>
          <t>2024</t>
        </is>
      </c>
      <c r="B2429" t="inlineStr">
        <is>
          <t>C00496307</t>
        </is>
      </c>
      <c r="C2429" t="inlineStr">
        <is>
          <t>Marathon Petroleum Corp Employees PAC (MPAC)</t>
        </is>
      </c>
      <c r="D2429" t="inlineStr">
        <is>
          <t>SAM GRAVES FOR CONGRESS</t>
        </is>
      </c>
      <c r="E2429" t="inlineStr">
        <is>
          <t>H0MO06073</t>
        </is>
      </c>
      <c r="F2429" t="inlineStr">
        <is>
          <t>REP</t>
        </is>
      </c>
      <c r="G2429" t="inlineStr">
        <is>
          <t>06052023</t>
        </is>
      </c>
      <c r="H2429" t="n">
        <v>5000</v>
      </c>
      <c r="I2429" t="inlineStr">
        <is>
          <t>202307209583853069</t>
        </is>
      </c>
      <c r="J2429" t="inlineStr">
        <is>
          <t>https://docquery.fec.gov/cgi-bin/fecimg/?202307209583853069</t>
        </is>
      </c>
    </row>
    <row r="2430">
      <c r="A2430" t="inlineStr">
        <is>
          <t>2024</t>
        </is>
      </c>
      <c r="B2430" t="inlineStr">
        <is>
          <t>C00496307</t>
        </is>
      </c>
      <c r="C2430" t="inlineStr">
        <is>
          <t>Marathon Petroleum Corp Employees PAC (MPAC)</t>
        </is>
      </c>
      <c r="D2430" t="inlineStr">
        <is>
          <t>WESTERMAN FOR CONGRESS</t>
        </is>
      </c>
      <c r="E2430" t="inlineStr">
        <is>
          <t>H4AR04048</t>
        </is>
      </c>
      <c r="F2430" t="inlineStr">
        <is>
          <t>REP</t>
        </is>
      </c>
      <c r="G2430" t="inlineStr">
        <is>
          <t>06052023</t>
        </is>
      </c>
      <c r="H2430" t="n">
        <v>5000</v>
      </c>
      <c r="I2430" t="inlineStr">
        <is>
          <t>202307209583853069</t>
        </is>
      </c>
      <c r="J2430" t="inlineStr">
        <is>
          <t>https://docquery.fec.gov/cgi-bin/fecimg/?202307209583853069</t>
        </is>
      </c>
    </row>
    <row r="2431">
      <c r="A2431" t="inlineStr">
        <is>
          <t>2024</t>
        </is>
      </c>
      <c r="B2431" t="inlineStr">
        <is>
          <t>C00496307</t>
        </is>
      </c>
      <c r="C2431" t="inlineStr">
        <is>
          <t>Marathon Petroleum Corp Employees PAC (MPAC)</t>
        </is>
      </c>
      <c r="D2431" t="inlineStr">
        <is>
          <t>WOMACK FOR CONGRESS</t>
        </is>
      </c>
      <c r="E2431" t="inlineStr">
        <is>
          <t>H0AR03055</t>
        </is>
      </c>
      <c r="F2431" t="inlineStr">
        <is>
          <t>REP</t>
        </is>
      </c>
      <c r="G2431" t="inlineStr">
        <is>
          <t>06052023</t>
        </is>
      </c>
      <c r="H2431" t="n">
        <v>2500</v>
      </c>
      <c r="I2431" t="inlineStr">
        <is>
          <t>202307209583853070</t>
        </is>
      </c>
      <c r="J2431" t="inlineStr">
        <is>
          <t>https://docquery.fec.gov/cgi-bin/fecimg/?202307209583853070</t>
        </is>
      </c>
    </row>
    <row r="2432">
      <c r="A2432" t="inlineStr">
        <is>
          <t>2024</t>
        </is>
      </c>
      <c r="B2432" t="inlineStr">
        <is>
          <t>C00496307</t>
        </is>
      </c>
      <c r="C2432" t="inlineStr">
        <is>
          <t>Marathon Petroleum Corp Employees PAC (MPAC)</t>
        </is>
      </c>
      <c r="D2432" t="inlineStr">
        <is>
          <t>DAN CRENSHAW FOR CONGRESS</t>
        </is>
      </c>
      <c r="E2432" t="inlineStr">
        <is>
          <t>H8TX02166</t>
        </is>
      </c>
      <c r="F2432" t="inlineStr">
        <is>
          <t>REP</t>
        </is>
      </c>
      <c r="G2432" t="inlineStr">
        <is>
          <t>06052023</t>
        </is>
      </c>
      <c r="H2432" t="n">
        <v>2500</v>
      </c>
      <c r="I2432" t="inlineStr">
        <is>
          <t>202307209583853063</t>
        </is>
      </c>
      <c r="J2432" t="inlineStr">
        <is>
          <t>https://docquery.fec.gov/cgi-bin/fecimg/?202307209583853063</t>
        </is>
      </c>
    </row>
    <row r="2433">
      <c r="A2433" t="inlineStr">
        <is>
          <t>2024</t>
        </is>
      </c>
      <c r="B2433" t="inlineStr">
        <is>
          <t>C00496307</t>
        </is>
      </c>
      <c r="C2433" t="inlineStr">
        <is>
          <t>Marathon Petroleum Corp Employees PAC (MPAC)</t>
        </is>
      </c>
      <c r="D2433" t="inlineStr">
        <is>
          <t>FRIENDS OF DAVE JOYCE</t>
        </is>
      </c>
      <c r="E2433" t="inlineStr">
        <is>
          <t>H2OH14064</t>
        </is>
      </c>
      <c r="F2433" t="inlineStr">
        <is>
          <t>REP</t>
        </is>
      </c>
      <c r="G2433" t="inlineStr">
        <is>
          <t>06052023</t>
        </is>
      </c>
      <c r="H2433" t="n">
        <v>2500</v>
      </c>
      <c r="I2433" t="inlineStr">
        <is>
          <t>202307209583853064</t>
        </is>
      </c>
      <c r="J2433" t="inlineStr">
        <is>
          <t>https://docquery.fec.gov/cgi-bin/fecimg/?202307209583853064</t>
        </is>
      </c>
    </row>
    <row r="2434">
      <c r="A2434" t="inlineStr">
        <is>
          <t>2024</t>
        </is>
      </c>
      <c r="B2434" t="inlineStr">
        <is>
          <t>C00496307</t>
        </is>
      </c>
      <c r="C2434" t="inlineStr">
        <is>
          <t>Marathon Petroleum Corp Employees PAC (MPAC)</t>
        </is>
      </c>
      <c r="D2434" t="inlineStr">
        <is>
          <t>BETH VAN DUYNE FOR CONGRESS</t>
        </is>
      </c>
      <c r="E2434" t="inlineStr">
        <is>
          <t>H0TX24209</t>
        </is>
      </c>
      <c r="F2434" t="inlineStr">
        <is>
          <t>REP</t>
        </is>
      </c>
      <c r="G2434" t="inlineStr">
        <is>
          <t>06052023</t>
        </is>
      </c>
      <c r="H2434" t="n">
        <v>2500</v>
      </c>
      <c r="I2434" t="inlineStr">
        <is>
          <t>202307209583853060</t>
        </is>
      </c>
      <c r="J2434" t="inlineStr">
        <is>
          <t>https://docquery.fec.gov/cgi-bin/fecimg/?202307209583853060</t>
        </is>
      </c>
    </row>
    <row r="2435">
      <c r="A2435" t="inlineStr">
        <is>
          <t>2024</t>
        </is>
      </c>
      <c r="B2435" t="inlineStr">
        <is>
          <t>C00496307</t>
        </is>
      </c>
      <c r="C2435" t="inlineStr">
        <is>
          <t>Marathon Petroleum Corp Employees PAC (MPAC)</t>
        </is>
      </c>
      <c r="D2435" t="inlineStr">
        <is>
          <t>COLE FOR CONGRESS</t>
        </is>
      </c>
      <c r="E2435" t="inlineStr">
        <is>
          <t>H2OK04055</t>
        </is>
      </c>
      <c r="F2435" t="inlineStr">
        <is>
          <t>REP</t>
        </is>
      </c>
      <c r="G2435" t="inlineStr">
        <is>
          <t>06052023</t>
        </is>
      </c>
      <c r="H2435" t="n">
        <v>2500</v>
      </c>
      <c r="I2435" t="inlineStr">
        <is>
          <t>202307209583853061</t>
        </is>
      </c>
      <c r="J2435" t="inlineStr">
        <is>
          <t>https://docquery.fec.gov/cgi-bin/fecimg/?202307209583853061</t>
        </is>
      </c>
    </row>
    <row r="2436">
      <c r="A2436" t="inlineStr">
        <is>
          <t>2024</t>
        </is>
      </c>
      <c r="B2436" t="inlineStr">
        <is>
          <t>C00496307</t>
        </is>
      </c>
      <c r="C2436" t="inlineStr">
        <is>
          <t>Marathon Petroleum Corp Employees PAC (MPAC)</t>
        </is>
      </c>
      <c r="D2436" t="inlineStr">
        <is>
          <t>CRAMER FOR SENATE</t>
        </is>
      </c>
      <c r="E2436" t="inlineStr">
        <is>
          <t>S8ND00120</t>
        </is>
      </c>
      <c r="F2436" t="inlineStr">
        <is>
          <t>REP</t>
        </is>
      </c>
      <c r="G2436" t="inlineStr">
        <is>
          <t>06052023</t>
        </is>
      </c>
      <c r="H2436" t="n">
        <v>5000</v>
      </c>
      <c r="I2436" t="inlineStr">
        <is>
          <t>202307209583853062</t>
        </is>
      </c>
      <c r="J2436" t="inlineStr">
        <is>
          <t>https://docquery.fec.gov/cgi-bin/fecimg/?202307209583853062</t>
        </is>
      </c>
    </row>
    <row r="2437">
      <c r="A2437" t="inlineStr">
        <is>
          <t>2024</t>
        </is>
      </c>
      <c r="B2437" t="inlineStr">
        <is>
          <t>C00496307</t>
        </is>
      </c>
      <c r="C2437" t="inlineStr">
        <is>
          <t>Marathon Petroleum Corp Employees PAC (MPAC)</t>
        </is>
      </c>
      <c r="D2437" t="inlineStr">
        <is>
          <t>CRAMER FOR SENATE</t>
        </is>
      </c>
      <c r="E2437" t="inlineStr">
        <is>
          <t>S8ND00120</t>
        </is>
      </c>
      <c r="F2437" t="inlineStr">
        <is>
          <t>REP</t>
        </is>
      </c>
      <c r="G2437" t="inlineStr">
        <is>
          <t>06052023</t>
        </is>
      </c>
      <c r="H2437" t="n">
        <v>5000</v>
      </c>
      <c r="I2437" t="inlineStr">
        <is>
          <t>202307209583853062</t>
        </is>
      </c>
      <c r="J2437" t="inlineStr">
        <is>
          <t>https://docquery.fec.gov/cgi-bin/fecimg/?202307209583853062</t>
        </is>
      </c>
    </row>
    <row r="2438">
      <c r="A2438" t="inlineStr">
        <is>
          <t>2024</t>
        </is>
      </c>
      <c r="B2438" t="inlineStr">
        <is>
          <t>C00496307</t>
        </is>
      </c>
      <c r="C2438" t="inlineStr">
        <is>
          <t>Marathon Petroleum Corp Employees PAC (MPAC)</t>
        </is>
      </c>
      <c r="D2438" t="inlineStr">
        <is>
          <t>HUNT FOR CONGRESS</t>
        </is>
      </c>
      <c r="E2438" t="inlineStr">
        <is>
          <t>H0TX07170</t>
        </is>
      </c>
      <c r="F2438" t="inlineStr">
        <is>
          <t>REP</t>
        </is>
      </c>
      <c r="G2438" t="inlineStr">
        <is>
          <t>06052023</t>
        </is>
      </c>
      <c r="H2438" t="n">
        <v>5000</v>
      </c>
      <c r="I2438" t="inlineStr">
        <is>
          <t>202307209583853065</t>
        </is>
      </c>
      <c r="J2438" t="inlineStr">
        <is>
          <t>https://docquery.fec.gov/cgi-bin/fecimg/?202307209583853065</t>
        </is>
      </c>
    </row>
    <row r="2439">
      <c r="A2439" t="inlineStr">
        <is>
          <t>2024</t>
        </is>
      </c>
      <c r="B2439" t="inlineStr">
        <is>
          <t>C00496307</t>
        </is>
      </c>
      <c r="C2439" t="inlineStr">
        <is>
          <t>Marathon Petroleum Corp Employees PAC (MPAC)</t>
        </is>
      </c>
      <c r="D2439" t="inlineStr">
        <is>
          <t>JAY OBERNOLTE FOR CONGRESS</t>
        </is>
      </c>
      <c r="E2439" t="inlineStr">
        <is>
          <t>H0CA08135</t>
        </is>
      </c>
      <c r="F2439" t="inlineStr">
        <is>
          <t>REP</t>
        </is>
      </c>
      <c r="G2439" t="inlineStr">
        <is>
          <t>06052023</t>
        </is>
      </c>
      <c r="H2439" t="n">
        <v>2500</v>
      </c>
      <c r="I2439" t="inlineStr">
        <is>
          <t>202307209583853066</t>
        </is>
      </c>
      <c r="J2439" t="inlineStr">
        <is>
          <t>https://docquery.fec.gov/cgi-bin/fecimg/?202307209583853066</t>
        </is>
      </c>
    </row>
    <row r="2440">
      <c r="A2440" t="inlineStr">
        <is>
          <t>2024</t>
        </is>
      </c>
      <c r="B2440" t="inlineStr">
        <is>
          <t>C00496307</t>
        </is>
      </c>
      <c r="C2440" t="inlineStr">
        <is>
          <t>Marathon Petroleum Corp Employees PAC (MPAC)</t>
        </is>
      </c>
      <c r="D2440" t="inlineStr">
        <is>
          <t>KAT FOR CONGRESS</t>
        </is>
      </c>
      <c r="E2440" t="inlineStr">
        <is>
          <t>H0FL03175</t>
        </is>
      </c>
      <c r="F2440" t="inlineStr">
        <is>
          <t>REP</t>
        </is>
      </c>
      <c r="G2440" t="inlineStr">
        <is>
          <t>06052023</t>
        </is>
      </c>
      <c r="H2440" t="n">
        <v>2500</v>
      </c>
      <c r="I2440" t="inlineStr">
        <is>
          <t>202307209583853067</t>
        </is>
      </c>
      <c r="J2440" t="inlineStr">
        <is>
          <t>https://docquery.fec.gov/cgi-bin/fecimg/?202307209583853067</t>
        </is>
      </c>
    </row>
    <row r="2441">
      <c r="A2441" t="inlineStr">
        <is>
          <t>2024</t>
        </is>
      </c>
      <c r="B2441" t="inlineStr">
        <is>
          <t>C00496307</t>
        </is>
      </c>
      <c r="C2441" t="inlineStr">
        <is>
          <t>Marathon Petroleum Corp Employees PAC (MPAC)</t>
        </is>
      </c>
      <c r="D2441" t="inlineStr">
        <is>
          <t>LAWLER FOR CONGRESS</t>
        </is>
      </c>
      <c r="E2441" t="inlineStr">
        <is>
          <t>H2NY17162</t>
        </is>
      </c>
      <c r="F2441" t="inlineStr">
        <is>
          <t>REP</t>
        </is>
      </c>
      <c r="G2441" t="inlineStr">
        <is>
          <t>06052023</t>
        </is>
      </c>
      <c r="H2441" t="n">
        <v>2500</v>
      </c>
      <c r="I2441" t="inlineStr">
        <is>
          <t>202307209583853067</t>
        </is>
      </c>
      <c r="J2441" t="inlineStr">
        <is>
          <t>https://docquery.fec.gov/cgi-bin/fecimg/?202307209583853067</t>
        </is>
      </c>
    </row>
    <row r="2442">
      <c r="A2442" t="inlineStr">
        <is>
          <t>2024</t>
        </is>
      </c>
      <c r="B2442" t="inlineStr">
        <is>
          <t>C00496307</t>
        </is>
      </c>
      <c r="C2442" t="inlineStr">
        <is>
          <t>Marathon Petroleum Corp Employees PAC (MPAC)</t>
        </is>
      </c>
      <c r="D2442" t="inlineStr">
        <is>
          <t>MIKE KELLY FOR CONGRESS</t>
        </is>
      </c>
      <c r="E2442" t="inlineStr">
        <is>
          <t>H0PA03271</t>
        </is>
      </c>
      <c r="F2442" t="inlineStr">
        <is>
          <t>REP</t>
        </is>
      </c>
      <c r="G2442" t="inlineStr">
        <is>
          <t>06062023</t>
        </is>
      </c>
      <c r="H2442" t="n">
        <v>2500</v>
      </c>
      <c r="I2442" t="inlineStr">
        <is>
          <t>202307209583853068</t>
        </is>
      </c>
      <c r="J2442" t="inlineStr">
        <is>
          <t>https://docquery.fec.gov/cgi-bin/fecimg/?202307209583853068</t>
        </is>
      </c>
    </row>
    <row r="2443">
      <c r="A2443" t="inlineStr">
        <is>
          <t>2024</t>
        </is>
      </c>
      <c r="B2443" t="inlineStr">
        <is>
          <t>C00496307</t>
        </is>
      </c>
      <c r="C2443" t="inlineStr">
        <is>
          <t>Marathon Petroleum Corp Employees PAC (MPAC)</t>
        </is>
      </c>
      <c r="D2443" t="inlineStr">
        <is>
          <t>MORGAN GRIFFITH FOR CONGRESS</t>
        </is>
      </c>
      <c r="E2443" t="inlineStr">
        <is>
          <t>H0VA09055</t>
        </is>
      </c>
      <c r="F2443" t="inlineStr">
        <is>
          <t>REP</t>
        </is>
      </c>
      <c r="G2443" t="inlineStr">
        <is>
          <t>06062023</t>
        </is>
      </c>
      <c r="H2443" t="n">
        <v>2500</v>
      </c>
      <c r="I2443" t="inlineStr">
        <is>
          <t>202307209583853068</t>
        </is>
      </c>
      <c r="J2443" t="inlineStr">
        <is>
          <t>https://docquery.fec.gov/cgi-bin/fecimg/?202307209583853068</t>
        </is>
      </c>
    </row>
    <row r="2444">
      <c r="A2444" t="inlineStr">
        <is>
          <t>2024</t>
        </is>
      </c>
      <c r="B2444" t="inlineStr">
        <is>
          <t>C00496307</t>
        </is>
      </c>
      <c r="C2444" t="inlineStr">
        <is>
          <t>Marathon Petroleum Corp Employees PAC (MPAC)</t>
        </is>
      </c>
      <c r="D2444" t="inlineStr">
        <is>
          <t>SMUCKER FOR CONGRESS</t>
        </is>
      </c>
      <c r="E2444" t="inlineStr">
        <is>
          <t>H6PA16320</t>
        </is>
      </c>
      <c r="F2444" t="inlineStr">
        <is>
          <t>REP</t>
        </is>
      </c>
      <c r="G2444" t="inlineStr">
        <is>
          <t>06062023</t>
        </is>
      </c>
      <c r="H2444" t="n">
        <v>2500</v>
      </c>
      <c r="I2444" t="inlineStr">
        <is>
          <t>202307209583853069</t>
        </is>
      </c>
      <c r="J2444" t="inlineStr">
        <is>
          <t>https://docquery.fec.gov/cgi-bin/fecimg/?202307209583853069</t>
        </is>
      </c>
    </row>
    <row r="2445">
      <c r="A2445" t="inlineStr">
        <is>
          <t>2024</t>
        </is>
      </c>
      <c r="B2445" t="inlineStr">
        <is>
          <t>C00496307</t>
        </is>
      </c>
      <c r="C2445" t="inlineStr">
        <is>
          <t>Marathon Petroleum Corp Employees PAC (MPAC)</t>
        </is>
      </c>
      <c r="D2445" t="inlineStr">
        <is>
          <t>FEENSTRA FOR CONGRESS</t>
        </is>
      </c>
      <c r="E2445" t="inlineStr">
        <is>
          <t>H0IA04145</t>
        </is>
      </c>
      <c r="F2445" t="inlineStr">
        <is>
          <t>REP</t>
        </is>
      </c>
      <c r="G2445" t="inlineStr">
        <is>
          <t>06062023</t>
        </is>
      </c>
      <c r="H2445" t="n">
        <v>5000</v>
      </c>
      <c r="I2445" t="inlineStr">
        <is>
          <t>202307209583853064</t>
        </is>
      </c>
      <c r="J2445" t="inlineStr">
        <is>
          <t>https://docquery.fec.gov/cgi-bin/fecimg/?202307209583853064</t>
        </is>
      </c>
    </row>
    <row r="2446">
      <c r="A2446" t="inlineStr">
        <is>
          <t>2024</t>
        </is>
      </c>
      <c r="B2446" t="inlineStr">
        <is>
          <t>C00496307</t>
        </is>
      </c>
      <c r="C2446" t="inlineStr">
        <is>
          <t>Marathon Petroleum Corp Employees PAC (MPAC)</t>
        </is>
      </c>
      <c r="D2446" t="inlineStr">
        <is>
          <t>AUGUST PFLUGER FOR CONGRESS</t>
        </is>
      </c>
      <c r="E2446" t="inlineStr">
        <is>
          <t>H0TX11230</t>
        </is>
      </c>
      <c r="F2446" t="inlineStr">
        <is>
          <t>REP</t>
        </is>
      </c>
      <c r="G2446" t="inlineStr">
        <is>
          <t>06062023</t>
        </is>
      </c>
      <c r="H2446" t="n">
        <v>2500</v>
      </c>
      <c r="I2446" t="inlineStr">
        <is>
          <t>202307209583853059</t>
        </is>
      </c>
      <c r="J2446" t="inlineStr">
        <is>
          <t>https://docquery.fec.gov/cgi-bin/fecimg/?202307209583853059</t>
        </is>
      </c>
    </row>
    <row r="2447">
      <c r="A2447" t="inlineStr">
        <is>
          <t>2024</t>
        </is>
      </c>
      <c r="B2447" t="inlineStr">
        <is>
          <t>C00496307</t>
        </is>
      </c>
      <c r="C2447" t="inlineStr">
        <is>
          <t>Marathon Petroleum Corp Employees PAC (MPAC)</t>
        </is>
      </c>
      <c r="D2447" t="inlineStr">
        <is>
          <t>BALDERSON FOR CONGRESS</t>
        </is>
      </c>
      <c r="E2447" t="inlineStr">
        <is>
          <t>H8OH12180</t>
        </is>
      </c>
      <c r="F2447" t="inlineStr">
        <is>
          <t>REP</t>
        </is>
      </c>
      <c r="G2447" t="inlineStr">
        <is>
          <t>06062023</t>
        </is>
      </c>
      <c r="H2447" t="n">
        <v>5000</v>
      </c>
      <c r="I2447" t="inlineStr">
        <is>
          <t>202307209583853059</t>
        </is>
      </c>
      <c r="J2447" t="inlineStr">
        <is>
          <t>https://docquery.fec.gov/cgi-bin/fecimg/?202307209583853059</t>
        </is>
      </c>
    </row>
    <row r="2448">
      <c r="A2448" t="inlineStr">
        <is>
          <t>2024</t>
        </is>
      </c>
      <c r="B2448" t="inlineStr">
        <is>
          <t>C00496307</t>
        </is>
      </c>
      <c r="C2448" t="inlineStr">
        <is>
          <t>Marathon Petroleum Corp Employees PAC (MPAC)</t>
        </is>
      </c>
      <c r="D2448" t="inlineStr">
        <is>
          <t>BANKS FOR SENATE</t>
        </is>
      </c>
      <c r="E2448" t="inlineStr">
        <is>
          <t>H6IN03229</t>
        </is>
      </c>
      <c r="F2448" t="inlineStr">
        <is>
          <t>REP</t>
        </is>
      </c>
      <c r="G2448" t="inlineStr">
        <is>
          <t>06062023</t>
        </is>
      </c>
      <c r="H2448" t="n">
        <v>5000</v>
      </c>
      <c r="I2448" t="inlineStr">
        <is>
          <t>202307209583853060</t>
        </is>
      </c>
      <c r="J2448" t="inlineStr">
        <is>
          <t>https://docquery.fec.gov/cgi-bin/fecimg/?202307209583853060</t>
        </is>
      </c>
    </row>
    <row r="2449">
      <c r="A2449" t="inlineStr">
        <is>
          <t>2024</t>
        </is>
      </c>
      <c r="B2449" t="inlineStr">
        <is>
          <t>C00496307</t>
        </is>
      </c>
      <c r="C2449" t="inlineStr">
        <is>
          <t>Marathon Petroleum Corp Employees PAC (MPAC)</t>
        </is>
      </c>
      <c r="D2449" t="inlineStr">
        <is>
          <t>CURTIS FOR CONGRESS</t>
        </is>
      </c>
      <c r="E2449" t="inlineStr">
        <is>
          <t>H8UT03238</t>
        </is>
      </c>
      <c r="F2449" t="inlineStr">
        <is>
          <t>REP</t>
        </is>
      </c>
      <c r="G2449" t="inlineStr">
        <is>
          <t>06062023</t>
        </is>
      </c>
      <c r="H2449" t="n">
        <v>2500</v>
      </c>
      <c r="I2449" t="inlineStr">
        <is>
          <t>202307209583853063</t>
        </is>
      </c>
      <c r="J2449" t="inlineStr">
        <is>
          <t>https://docquery.fec.gov/cgi-bin/fecimg/?202307209583853063</t>
        </is>
      </c>
    </row>
    <row r="2450">
      <c r="A2450" t="inlineStr">
        <is>
          <t>2024</t>
        </is>
      </c>
      <c r="B2450" t="inlineStr">
        <is>
          <t>C00496307</t>
        </is>
      </c>
      <c r="C2450" t="inlineStr">
        <is>
          <t>Marathon Petroleum Corp Employees PAC (MPAC)</t>
        </is>
      </c>
      <c r="D2450" t="inlineStr">
        <is>
          <t>JEFF DUNCAN FOR CONGRESS</t>
        </is>
      </c>
      <c r="E2450" t="inlineStr">
        <is>
          <t>H0SC03077</t>
        </is>
      </c>
      <c r="F2450" t="inlineStr">
        <is>
          <t>REP</t>
        </is>
      </c>
      <c r="G2450" t="inlineStr">
        <is>
          <t>06062023</t>
        </is>
      </c>
      <c r="H2450" t="n">
        <v>2500</v>
      </c>
      <c r="I2450" t="inlineStr">
        <is>
          <t>202307209583853066</t>
        </is>
      </c>
      <c r="J2450" t="inlineStr">
        <is>
          <t>https://docquery.fec.gov/cgi-bin/fecimg/?202307209583853066</t>
        </is>
      </c>
    </row>
    <row r="2451">
      <c r="A2451" t="inlineStr">
        <is>
          <t>2024</t>
        </is>
      </c>
      <c r="B2451" t="inlineStr">
        <is>
          <t>C00496307</t>
        </is>
      </c>
      <c r="C2451" t="inlineStr">
        <is>
          <t>Marathon Petroleum Corp Employees PAC (MPAC)</t>
        </is>
      </c>
      <c r="D2451" t="inlineStr">
        <is>
          <t>MARY PELTOLA FOR ALASKA</t>
        </is>
      </c>
      <c r="E2451" t="inlineStr">
        <is>
          <t>H2AK01158</t>
        </is>
      </c>
      <c r="F2451" t="inlineStr">
        <is>
          <t>DEM</t>
        </is>
      </c>
      <c r="G2451" t="inlineStr">
        <is>
          <t>06062023</t>
        </is>
      </c>
      <c r="H2451" t="n">
        <v>2500</v>
      </c>
      <c r="I2451" t="inlineStr">
        <is>
          <t>202307209583853068</t>
        </is>
      </c>
      <c r="J2451" t="inlineStr">
        <is>
          <t>https://docquery.fec.gov/cgi-bin/fecimg/?202307209583853068</t>
        </is>
      </c>
    </row>
    <row r="2452">
      <c r="A2452" t="inlineStr">
        <is>
          <t>2024</t>
        </is>
      </c>
      <c r="B2452" t="inlineStr">
        <is>
          <t>C00496307</t>
        </is>
      </c>
      <c r="C2452" t="inlineStr">
        <is>
          <t>Marathon Petroleum Corp Employees PAC (MPAC)</t>
        </is>
      </c>
      <c r="D2452" t="inlineStr">
        <is>
          <t>SCALISE FOR CONGRESS</t>
        </is>
      </c>
      <c r="E2452" t="inlineStr">
        <is>
          <t>H0LA01087</t>
        </is>
      </c>
      <c r="F2452" t="inlineStr">
        <is>
          <t>REP</t>
        </is>
      </c>
      <c r="G2452" t="inlineStr">
        <is>
          <t>06062024</t>
        </is>
      </c>
      <c r="H2452" t="n">
        <v>5000</v>
      </c>
      <c r="I2452" t="inlineStr">
        <is>
          <t>202407199661337819</t>
        </is>
      </c>
      <c r="J2452" t="inlineStr">
        <is>
          <t>https://docquery.fec.gov/cgi-bin/fecimg/?202407199661337819</t>
        </is>
      </c>
    </row>
    <row r="2453">
      <c r="A2453" t="inlineStr">
        <is>
          <t>2024</t>
        </is>
      </c>
      <c r="B2453" t="inlineStr">
        <is>
          <t>C00496307</t>
        </is>
      </c>
      <c r="C2453" t="inlineStr">
        <is>
          <t>Marathon Petroleum Corp Employees PAC (MPAC)</t>
        </is>
      </c>
      <c r="D2453" t="inlineStr">
        <is>
          <t>DAN CRENSHAW FOR CONGRESS</t>
        </is>
      </c>
      <c r="E2453" t="inlineStr">
        <is>
          <t>H8TX02166</t>
        </is>
      </c>
      <c r="F2453" t="inlineStr">
        <is>
          <t>REP</t>
        </is>
      </c>
      <c r="G2453" t="inlineStr">
        <is>
          <t>06142023</t>
        </is>
      </c>
      <c r="H2453" t="n">
        <v>2500</v>
      </c>
      <c r="I2453" t="inlineStr">
        <is>
          <t>202307209583853063</t>
        </is>
      </c>
      <c r="J2453" t="inlineStr">
        <is>
          <t>https://docquery.fec.gov/cgi-bin/fecimg/?202307209583853063</t>
        </is>
      </c>
    </row>
    <row r="2454">
      <c r="A2454" t="inlineStr">
        <is>
          <t>2024</t>
        </is>
      </c>
      <c r="B2454" t="inlineStr">
        <is>
          <t>C00496307</t>
        </is>
      </c>
      <c r="C2454" t="inlineStr">
        <is>
          <t>Marathon Petroleum Corp Employees PAC (MPAC)</t>
        </is>
      </c>
      <c r="D2454" t="inlineStr">
        <is>
          <t>DAN CRENSHAW FOR CONGRESS</t>
        </is>
      </c>
      <c r="E2454" t="inlineStr">
        <is>
          <t>H8TX02166</t>
        </is>
      </c>
      <c r="F2454" t="inlineStr">
        <is>
          <t>REP</t>
        </is>
      </c>
      <c r="G2454" t="inlineStr">
        <is>
          <t>06142023</t>
        </is>
      </c>
      <c r="H2454" t="n">
        <v>2500</v>
      </c>
      <c r="I2454" t="inlineStr">
        <is>
          <t>202307209583853064</t>
        </is>
      </c>
      <c r="J2454" t="inlineStr">
        <is>
          <t>https://docquery.fec.gov/cgi-bin/fecimg/?202307209583853064</t>
        </is>
      </c>
    </row>
    <row r="2455">
      <c r="A2455" t="inlineStr">
        <is>
          <t>2024</t>
        </is>
      </c>
      <c r="B2455" t="inlineStr">
        <is>
          <t>C00496307</t>
        </is>
      </c>
      <c r="C2455" t="inlineStr">
        <is>
          <t>Marathon Petroleum Corp Employees PAC (MPAC)</t>
        </is>
      </c>
      <c r="D2455" t="inlineStr">
        <is>
          <t>BUCSHON FOR CONGRESS</t>
        </is>
      </c>
      <c r="E2455" t="inlineStr">
        <is>
          <t>H0IN08114</t>
        </is>
      </c>
      <c r="F2455" t="inlineStr">
        <is>
          <t>REP</t>
        </is>
      </c>
      <c r="G2455" t="inlineStr">
        <is>
          <t>06142023</t>
        </is>
      </c>
      <c r="H2455" t="n">
        <v>2500</v>
      </c>
      <c r="I2455" t="inlineStr">
        <is>
          <t>202307209583853061</t>
        </is>
      </c>
      <c r="J2455" t="inlineStr">
        <is>
          <t>https://docquery.fec.gov/cgi-bin/fecimg/?202307209583853061</t>
        </is>
      </c>
    </row>
    <row r="2456">
      <c r="A2456" t="inlineStr">
        <is>
          <t>2024</t>
        </is>
      </c>
      <c r="B2456" t="inlineStr">
        <is>
          <t>C00496307</t>
        </is>
      </c>
      <c r="C2456" t="inlineStr">
        <is>
          <t>Marathon Petroleum Corp Employees PAC (MPAC)</t>
        </is>
      </c>
      <c r="D2456" t="inlineStr">
        <is>
          <t>LORI CHAVEZ DEREMER FOR CONGRESS</t>
        </is>
      </c>
      <c r="E2456" t="inlineStr">
        <is>
          <t>H2OR05209</t>
        </is>
      </c>
      <c r="F2456" t="inlineStr">
        <is>
          <t>REP</t>
        </is>
      </c>
      <c r="G2456" t="inlineStr">
        <is>
          <t>06142023</t>
        </is>
      </c>
      <c r="H2456" t="n">
        <v>2000</v>
      </c>
      <c r="I2456" t="inlineStr">
        <is>
          <t>202307209583853067</t>
        </is>
      </c>
      <c r="J2456" t="inlineStr">
        <is>
          <t>https://docquery.fec.gov/cgi-bin/fecimg/?202307209583853067</t>
        </is>
      </c>
    </row>
    <row r="2457">
      <c r="A2457" t="inlineStr">
        <is>
          <t>2024</t>
        </is>
      </c>
      <c r="B2457" t="inlineStr">
        <is>
          <t>C00496307</t>
        </is>
      </c>
      <c r="C2457" t="inlineStr">
        <is>
          <t>Marathon Petroleum Corp Employees PAC (MPAC)</t>
        </is>
      </c>
      <c r="D2457" t="inlineStr">
        <is>
          <t>COMER FOR CONGRESS</t>
        </is>
      </c>
      <c r="E2457" t="inlineStr">
        <is>
          <t>H6KY01110</t>
        </is>
      </c>
      <c r="F2457" t="inlineStr">
        <is>
          <t>REP</t>
        </is>
      </c>
      <c r="G2457" t="inlineStr">
        <is>
          <t>06152023</t>
        </is>
      </c>
      <c r="H2457" t="n">
        <v>2500</v>
      </c>
      <c r="I2457" t="inlineStr">
        <is>
          <t>202307209583853062</t>
        </is>
      </c>
      <c r="J2457" t="inlineStr">
        <is>
          <t>https://docquery.fec.gov/cgi-bin/fecimg/?202307209583853062</t>
        </is>
      </c>
    </row>
    <row r="2458">
      <c r="A2458" t="inlineStr">
        <is>
          <t>2024</t>
        </is>
      </c>
      <c r="B2458" t="inlineStr">
        <is>
          <t>C00496307</t>
        </is>
      </c>
      <c r="C2458" t="inlineStr">
        <is>
          <t>Marathon Petroleum Corp Employees PAC (MPAC)</t>
        </is>
      </c>
      <c r="D2458" t="inlineStr">
        <is>
          <t>HERN FOR CONGRESS</t>
        </is>
      </c>
      <c r="E2458" t="inlineStr">
        <is>
          <t>H8OK01157</t>
        </is>
      </c>
      <c r="F2458" t="inlineStr">
        <is>
          <t>REP</t>
        </is>
      </c>
      <c r="G2458" t="inlineStr">
        <is>
          <t>06182024</t>
        </is>
      </c>
      <c r="H2458" t="n">
        <v>2500</v>
      </c>
      <c r="I2458" t="inlineStr">
        <is>
          <t>202407199661337816</t>
        </is>
      </c>
      <c r="J2458" t="inlineStr">
        <is>
          <t>https://docquery.fec.gov/cgi-bin/fecimg/?202407199661337816</t>
        </is>
      </c>
    </row>
    <row r="2459">
      <c r="A2459" t="inlineStr">
        <is>
          <t>2024</t>
        </is>
      </c>
      <c r="B2459" t="inlineStr">
        <is>
          <t>C00496307</t>
        </is>
      </c>
      <c r="C2459" t="inlineStr">
        <is>
          <t>Marathon Petroleum Corp Employees PAC (MPAC)</t>
        </is>
      </c>
      <c r="D2459" t="inlineStr">
        <is>
          <t>MORGAN GRIFFITH FOR CONGRESS</t>
        </is>
      </c>
      <c r="E2459" t="inlineStr">
        <is>
          <t>H0VA09055</t>
        </is>
      </c>
      <c r="F2459" t="inlineStr">
        <is>
          <t>REP</t>
        </is>
      </c>
      <c r="G2459" t="inlineStr">
        <is>
          <t>06182024</t>
        </is>
      </c>
      <c r="H2459" t="n">
        <v>2500</v>
      </c>
      <c r="I2459" t="inlineStr">
        <is>
          <t>202407199661337817</t>
        </is>
      </c>
      <c r="J2459" t="inlineStr">
        <is>
          <t>https://docquery.fec.gov/cgi-bin/fecimg/?202407199661337817</t>
        </is>
      </c>
    </row>
    <row r="2460">
      <c r="A2460" t="inlineStr">
        <is>
          <t>2024</t>
        </is>
      </c>
      <c r="B2460" t="inlineStr">
        <is>
          <t>C00496307</t>
        </is>
      </c>
      <c r="C2460" t="inlineStr">
        <is>
          <t>Marathon Petroleum Corp Employees PAC (MPAC)</t>
        </is>
      </c>
      <c r="D2460" t="inlineStr">
        <is>
          <t>SAM GRAVES FOR CONGRESS</t>
        </is>
      </c>
      <c r="E2460" t="inlineStr">
        <is>
          <t>H0MO06073</t>
        </is>
      </c>
      <c r="F2460" t="inlineStr">
        <is>
          <t>REP</t>
        </is>
      </c>
      <c r="G2460" t="inlineStr">
        <is>
          <t>06182024</t>
        </is>
      </c>
      <c r="H2460" t="n">
        <v>2500</v>
      </c>
      <c r="I2460" t="inlineStr">
        <is>
          <t>202407199661337819</t>
        </is>
      </c>
      <c r="J2460" t="inlineStr">
        <is>
          <t>https://docquery.fec.gov/cgi-bin/fecimg/?202407199661337819</t>
        </is>
      </c>
    </row>
    <row r="2461">
      <c r="A2461" t="inlineStr">
        <is>
          <t>2024</t>
        </is>
      </c>
      <c r="B2461" t="inlineStr">
        <is>
          <t>C00496307</t>
        </is>
      </c>
      <c r="C2461" t="inlineStr">
        <is>
          <t>Marathon Petroleum Corp Employees PAC (MPAC)</t>
        </is>
      </c>
      <c r="D2461" t="inlineStr">
        <is>
          <t>SMUCKER FOR CONGRESS</t>
        </is>
      </c>
      <c r="E2461" t="inlineStr">
        <is>
          <t>H6PA16320</t>
        </is>
      </c>
      <c r="F2461" t="inlineStr">
        <is>
          <t>REP</t>
        </is>
      </c>
      <c r="G2461" t="inlineStr">
        <is>
          <t>06182024</t>
        </is>
      </c>
      <c r="H2461" t="n">
        <v>2500</v>
      </c>
      <c r="I2461" t="inlineStr">
        <is>
          <t>202407199661337819</t>
        </is>
      </c>
      <c r="J2461" t="inlineStr">
        <is>
          <t>https://docquery.fec.gov/cgi-bin/fecimg/?202407199661337819</t>
        </is>
      </c>
    </row>
    <row r="2462">
      <c r="A2462" t="inlineStr">
        <is>
          <t>2024</t>
        </is>
      </c>
      <c r="B2462" t="inlineStr">
        <is>
          <t>C00496307</t>
        </is>
      </c>
      <c r="C2462" t="inlineStr">
        <is>
          <t>Marathon Petroleum Corp Employees PAC (MPAC)</t>
        </is>
      </c>
      <c r="D2462" t="inlineStr">
        <is>
          <t>TEXANS FOR JODEY ARRINGTON</t>
        </is>
      </c>
      <c r="E2462" t="inlineStr">
        <is>
          <t>H6TX19099</t>
        </is>
      </c>
      <c r="F2462" t="inlineStr">
        <is>
          <t>REP</t>
        </is>
      </c>
      <c r="G2462" t="inlineStr">
        <is>
          <t>06182024</t>
        </is>
      </c>
      <c r="H2462" t="n">
        <v>5000</v>
      </c>
      <c r="I2462" t="inlineStr">
        <is>
          <t>202407199661337820</t>
        </is>
      </c>
      <c r="J2462" t="inlineStr">
        <is>
          <t>https://docquery.fec.gov/cgi-bin/fecimg/?202407199661337820</t>
        </is>
      </c>
    </row>
    <row r="2463">
      <c r="A2463" t="inlineStr">
        <is>
          <t>2024</t>
        </is>
      </c>
      <c r="B2463" t="inlineStr">
        <is>
          <t>C00496307</t>
        </is>
      </c>
      <c r="C2463" t="inlineStr">
        <is>
          <t>Marathon Petroleum Corp Employees PAC (MPAC)</t>
        </is>
      </c>
      <c r="D2463" t="inlineStr">
        <is>
          <t>CAREY FOR CONGRESS</t>
        </is>
      </c>
      <c r="E2463" t="inlineStr">
        <is>
          <t>H2OH15228</t>
        </is>
      </c>
      <c r="F2463" t="inlineStr">
        <is>
          <t>REP</t>
        </is>
      </c>
      <c r="G2463" t="inlineStr">
        <is>
          <t>06182024</t>
        </is>
      </c>
      <c r="H2463" t="n">
        <v>2500</v>
      </c>
      <c r="I2463" t="inlineStr">
        <is>
          <t>202407199661337815</t>
        </is>
      </c>
      <c r="J2463" t="inlineStr">
        <is>
          <t>https://docquery.fec.gov/cgi-bin/fecimg/?202407199661337815</t>
        </is>
      </c>
    </row>
    <row r="2464">
      <c r="A2464" t="inlineStr">
        <is>
          <t>2024</t>
        </is>
      </c>
      <c r="B2464" t="inlineStr">
        <is>
          <t>C00496307</t>
        </is>
      </c>
      <c r="C2464" t="inlineStr">
        <is>
          <t>Marathon Petroleum Corp Employees PAC (MPAC)</t>
        </is>
      </c>
      <c r="D2464" t="inlineStr">
        <is>
          <t>GUY FOR CONGRESS</t>
        </is>
      </c>
      <c r="E2464" t="inlineStr">
        <is>
          <t>H8PA18199</t>
        </is>
      </c>
      <c r="F2464" t="inlineStr">
        <is>
          <t>REP</t>
        </is>
      </c>
      <c r="G2464" t="inlineStr">
        <is>
          <t>06282023</t>
        </is>
      </c>
      <c r="H2464" t="n">
        <v>2500</v>
      </c>
      <c r="I2464" t="inlineStr">
        <is>
          <t>202307209583853065</t>
        </is>
      </c>
      <c r="J2464" t="inlineStr">
        <is>
          <t>https://docquery.fec.gov/cgi-bin/fecimg/?202307209583853065</t>
        </is>
      </c>
    </row>
    <row r="2465">
      <c r="A2465" t="inlineStr">
        <is>
          <t>2024</t>
        </is>
      </c>
      <c r="B2465" t="inlineStr">
        <is>
          <t>C00496307</t>
        </is>
      </c>
      <c r="C2465" t="inlineStr">
        <is>
          <t>Marathon Petroleum Corp Employees PAC (MPAC)</t>
        </is>
      </c>
      <c r="D2465" t="inlineStr">
        <is>
          <t>ARMSTRONG FOR CONGRESS</t>
        </is>
      </c>
      <c r="E2465" t="inlineStr">
        <is>
          <t>H8ND00096</t>
        </is>
      </c>
      <c r="F2465" t="inlineStr">
        <is>
          <t>REP</t>
        </is>
      </c>
      <c r="G2465" t="inlineStr">
        <is>
          <t>06282023</t>
        </is>
      </c>
      <c r="H2465" t="n">
        <v>2000</v>
      </c>
      <c r="I2465" t="inlineStr">
        <is>
          <t>202307209583853059</t>
        </is>
      </c>
      <c r="J2465" t="inlineStr">
        <is>
          <t>https://docquery.fec.gov/cgi-bin/fecimg/?202307209583853059</t>
        </is>
      </c>
    </row>
    <row r="2466">
      <c r="A2466" t="inlineStr">
        <is>
          <t>2024</t>
        </is>
      </c>
      <c r="B2466" t="inlineStr">
        <is>
          <t>C00496307</t>
        </is>
      </c>
      <c r="C2466" t="inlineStr">
        <is>
          <t>Marathon Petroleum Corp Employees PAC (MPAC)</t>
        </is>
      </c>
      <c r="D2466" t="inlineStr">
        <is>
          <t>TIM SHEEHY FOR MONTANA</t>
        </is>
      </c>
      <c r="E2466" t="inlineStr">
        <is>
          <t>S4MT00183</t>
        </is>
      </c>
      <c r="F2466" t="inlineStr">
        <is>
          <t>REP</t>
        </is>
      </c>
      <c r="G2466" t="inlineStr">
        <is>
          <t>07022024</t>
        </is>
      </c>
      <c r="H2466" t="n">
        <v>2500</v>
      </c>
      <c r="I2466" t="inlineStr">
        <is>
          <t>202408199666424199</t>
        </is>
      </c>
      <c r="J2466" t="inlineStr">
        <is>
          <t>https://docquery.fec.gov/cgi-bin/fecimg/?202408199666424199</t>
        </is>
      </c>
    </row>
    <row r="2467">
      <c r="A2467" t="inlineStr">
        <is>
          <t>2024</t>
        </is>
      </c>
      <c r="B2467" t="inlineStr">
        <is>
          <t>C00496307</t>
        </is>
      </c>
      <c r="C2467" t="inlineStr">
        <is>
          <t>Marathon Petroleum Corp Employees PAC (MPAC)</t>
        </is>
      </c>
      <c r="D2467" t="inlineStr">
        <is>
          <t>CRAIG GOLDMAN FOR CONGRESS</t>
        </is>
      </c>
      <c r="E2467" t="inlineStr">
        <is>
          <t>H4TX12065</t>
        </is>
      </c>
      <c r="F2467" t="inlineStr">
        <is>
          <t>REP</t>
        </is>
      </c>
      <c r="G2467" t="inlineStr">
        <is>
          <t>07022024</t>
        </is>
      </c>
      <c r="H2467" t="n">
        <v>2500</v>
      </c>
      <c r="I2467" t="inlineStr">
        <is>
          <t>202408199666424198</t>
        </is>
      </c>
      <c r="J2467" t="inlineStr">
        <is>
          <t>https://docquery.fec.gov/cgi-bin/fecimg/?202408199666424198</t>
        </is>
      </c>
    </row>
    <row r="2468">
      <c r="A2468" t="inlineStr">
        <is>
          <t>2024</t>
        </is>
      </c>
      <c r="B2468" t="inlineStr">
        <is>
          <t>C00496307</t>
        </is>
      </c>
      <c r="C2468" t="inlineStr">
        <is>
          <t>Marathon Petroleum Corp Employees PAC (MPAC)</t>
        </is>
      </c>
      <c r="D2468" t="inlineStr">
        <is>
          <t>MIKE THOMPSON FOR CONGRESS</t>
        </is>
      </c>
      <c r="E2468" t="inlineStr">
        <is>
          <t>H8CA01109</t>
        </is>
      </c>
      <c r="F2468" t="inlineStr">
        <is>
          <t>DEM</t>
        </is>
      </c>
      <c r="G2468" t="inlineStr">
        <is>
          <t>07022024</t>
        </is>
      </c>
      <c r="H2468" t="n">
        <v>2500</v>
      </c>
      <c r="I2468" t="inlineStr">
        <is>
          <t>202408199666424198</t>
        </is>
      </c>
      <c r="J2468" t="inlineStr">
        <is>
          <t>https://docquery.fec.gov/cgi-bin/fecimg/?202408199666424198</t>
        </is>
      </c>
    </row>
    <row r="2469">
      <c r="A2469" t="inlineStr">
        <is>
          <t>2024</t>
        </is>
      </c>
      <c r="B2469" t="inlineStr">
        <is>
          <t>C00496307</t>
        </is>
      </c>
      <c r="C2469" t="inlineStr">
        <is>
          <t>Marathon Petroleum Corp Employees PAC (MPAC)</t>
        </is>
      </c>
      <c r="D2469" t="inlineStr">
        <is>
          <t>MONICA FOR CONGRESS</t>
        </is>
      </c>
      <c r="E2469" t="inlineStr">
        <is>
          <t>H0TX15124</t>
        </is>
      </c>
      <c r="F2469" t="inlineStr">
        <is>
          <t>REP</t>
        </is>
      </c>
      <c r="G2469" t="inlineStr">
        <is>
          <t>07022024</t>
        </is>
      </c>
      <c r="H2469" t="n">
        <v>2500</v>
      </c>
      <c r="I2469" t="inlineStr">
        <is>
          <t>202408199666424198</t>
        </is>
      </c>
      <c r="J2469" t="inlineStr">
        <is>
          <t>https://docquery.fec.gov/cgi-bin/fecimg/?202408199666424198</t>
        </is>
      </c>
    </row>
    <row r="2470">
      <c r="A2470" t="inlineStr">
        <is>
          <t>2024</t>
        </is>
      </c>
      <c r="B2470" t="inlineStr">
        <is>
          <t>C00496307</t>
        </is>
      </c>
      <c r="C2470" t="inlineStr">
        <is>
          <t>Marathon Petroleum Corp Employees PAC (MPAC)</t>
        </is>
      </c>
      <c r="D2470" t="inlineStr">
        <is>
          <t>GARRET GRAVES FOR CONGRESS</t>
        </is>
      </c>
      <c r="E2470" t="inlineStr">
        <is>
          <t>H4LA06153</t>
        </is>
      </c>
      <c r="F2470" t="inlineStr">
        <is>
          <t>REP</t>
        </is>
      </c>
      <c r="G2470" t="inlineStr">
        <is>
          <t>08062024</t>
        </is>
      </c>
      <c r="H2470" t="n">
        <v>-2500</v>
      </c>
      <c r="I2470" t="inlineStr">
        <is>
          <t>202409199675531575</t>
        </is>
      </c>
      <c r="J2470" t="inlineStr">
        <is>
          <t>https://docquery.fec.gov/cgi-bin/fecimg/?202409199675531575</t>
        </is>
      </c>
    </row>
    <row r="2471">
      <c r="A2471" t="inlineStr">
        <is>
          <t>2024</t>
        </is>
      </c>
      <c r="B2471" t="inlineStr">
        <is>
          <t>C00496307</t>
        </is>
      </c>
      <c r="C2471" t="inlineStr">
        <is>
          <t>Marathon Petroleum Corp Employees PAC (MPAC)</t>
        </is>
      </c>
      <c r="D2471" t="inlineStr">
        <is>
          <t>FEDORCHAK FOR ND</t>
        </is>
      </c>
      <c r="E2471" t="inlineStr">
        <is>
          <t>H4ND00061</t>
        </is>
      </c>
      <c r="F2471" t="inlineStr">
        <is>
          <t>REP</t>
        </is>
      </c>
      <c r="G2471" t="inlineStr">
        <is>
          <t>09042024</t>
        </is>
      </c>
      <c r="H2471" t="n">
        <v>2500</v>
      </c>
      <c r="I2471" t="inlineStr">
        <is>
          <t>202410199699243495</t>
        </is>
      </c>
      <c r="J2471" t="inlineStr">
        <is>
          <t>https://docquery.fec.gov/cgi-bin/fecimg/?202410199699243495</t>
        </is>
      </c>
    </row>
    <row r="2472">
      <c r="A2472" t="inlineStr">
        <is>
          <t>2024</t>
        </is>
      </c>
      <c r="B2472" t="inlineStr">
        <is>
          <t>C00496307</t>
        </is>
      </c>
      <c r="C2472" t="inlineStr">
        <is>
          <t>Marathon Petroleum Corp Employees PAC (MPAC)</t>
        </is>
      </c>
      <c r="D2472" t="inlineStr">
        <is>
          <t>FRIENDS OF JOHN BARRASSO</t>
        </is>
      </c>
      <c r="E2472" t="inlineStr">
        <is>
          <t>S6WY00068</t>
        </is>
      </c>
      <c r="F2472" t="inlineStr">
        <is>
          <t>REP</t>
        </is>
      </c>
      <c r="G2472" t="inlineStr">
        <is>
          <t>09042024</t>
        </is>
      </c>
      <c r="H2472" t="n">
        <v>5000</v>
      </c>
      <c r="I2472" t="inlineStr">
        <is>
          <t>202410199699243496</t>
        </is>
      </c>
      <c r="J2472" t="inlineStr">
        <is>
          <t>https://docquery.fec.gov/cgi-bin/fecimg/?202410199699243496</t>
        </is>
      </c>
    </row>
    <row r="2473">
      <c r="A2473" t="inlineStr">
        <is>
          <t>2024</t>
        </is>
      </c>
      <c r="B2473" t="inlineStr">
        <is>
          <t>C00496307</t>
        </is>
      </c>
      <c r="C2473" t="inlineStr">
        <is>
          <t>Marathon Petroleum Corp Employees PAC (MPAC)</t>
        </is>
      </c>
      <c r="D2473" t="inlineStr">
        <is>
          <t>RUSS FULCHER FOR IDAHO</t>
        </is>
      </c>
      <c r="E2473" t="inlineStr">
        <is>
          <t>H8ID01124</t>
        </is>
      </c>
      <c r="F2473" t="inlineStr">
        <is>
          <t>REP</t>
        </is>
      </c>
      <c r="G2473" t="inlineStr">
        <is>
          <t>09042024</t>
        </is>
      </c>
      <c r="H2473" t="n">
        <v>2500</v>
      </c>
      <c r="I2473" t="inlineStr">
        <is>
          <t>202410199699243499</t>
        </is>
      </c>
      <c r="J2473" t="inlineStr">
        <is>
          <t>https://docquery.fec.gov/cgi-bin/fecimg/?202410199699243499</t>
        </is>
      </c>
    </row>
    <row r="2474">
      <c r="A2474" t="inlineStr">
        <is>
          <t>2024</t>
        </is>
      </c>
      <c r="B2474" t="inlineStr">
        <is>
          <t>C00496307</t>
        </is>
      </c>
      <c r="C2474" t="inlineStr">
        <is>
          <t>Marathon Petroleum Corp Employees PAC (MPAC)</t>
        </is>
      </c>
      <c r="D2474" t="inlineStr">
        <is>
          <t>WALBERG FOR CONGRESS</t>
        </is>
      </c>
      <c r="E2474" t="inlineStr">
        <is>
          <t>H4MI07103</t>
        </is>
      </c>
      <c r="F2474" t="inlineStr">
        <is>
          <t>REP</t>
        </is>
      </c>
      <c r="G2474" t="inlineStr">
        <is>
          <t>09042024</t>
        </is>
      </c>
      <c r="H2474" t="n">
        <v>2500</v>
      </c>
      <c r="I2474" t="inlineStr">
        <is>
          <t>202410199699243499</t>
        </is>
      </c>
      <c r="J2474" t="inlineStr">
        <is>
          <t>https://docquery.fec.gov/cgi-bin/fecimg/?202410199699243499</t>
        </is>
      </c>
    </row>
    <row r="2475">
      <c r="A2475" t="inlineStr">
        <is>
          <t>2024</t>
        </is>
      </c>
      <c r="B2475" t="inlineStr">
        <is>
          <t>C00496307</t>
        </is>
      </c>
      <c r="C2475" t="inlineStr">
        <is>
          <t>Marathon Petroleum Corp Employees PAC (MPAC)</t>
        </is>
      </c>
      <c r="D2475" t="inlineStr">
        <is>
          <t>JASON SMITH FOR CONGRESS</t>
        </is>
      </c>
      <c r="E2475" t="inlineStr">
        <is>
          <t>H4MO08162</t>
        </is>
      </c>
      <c r="F2475" t="inlineStr">
        <is>
          <t>REP</t>
        </is>
      </c>
      <c r="G2475" t="inlineStr">
        <is>
          <t>09112023</t>
        </is>
      </c>
      <c r="H2475" t="n">
        <v>2500</v>
      </c>
      <c r="I2475" t="inlineStr">
        <is>
          <t>202310129597483610</t>
        </is>
      </c>
      <c r="J2475" t="inlineStr">
        <is>
          <t>https://docquery.fec.gov/cgi-bin/fecimg/?202310129597483610</t>
        </is>
      </c>
    </row>
    <row r="2476">
      <c r="A2476" t="inlineStr">
        <is>
          <t>2024</t>
        </is>
      </c>
      <c r="B2476" t="inlineStr">
        <is>
          <t>C00496307</t>
        </is>
      </c>
      <c r="C2476" t="inlineStr">
        <is>
          <t>Marathon Petroleum Corp Employees PAC (MPAC)</t>
        </is>
      </c>
      <c r="D2476" t="inlineStr">
        <is>
          <t>JEFF DUNCAN FOR CONGRESS</t>
        </is>
      </c>
      <c r="E2476" t="inlineStr">
        <is>
          <t>H0SC03077</t>
        </is>
      </c>
      <c r="F2476" t="inlineStr">
        <is>
          <t>REP</t>
        </is>
      </c>
      <c r="G2476" t="inlineStr">
        <is>
          <t>09112023</t>
        </is>
      </c>
      <c r="H2476" t="n">
        <v>2500</v>
      </c>
      <c r="I2476" t="inlineStr">
        <is>
          <t>202310129597483610</t>
        </is>
      </c>
      <c r="J2476" t="inlineStr">
        <is>
          <t>https://docquery.fec.gov/cgi-bin/fecimg/?202310129597483610</t>
        </is>
      </c>
    </row>
    <row r="2477">
      <c r="A2477" t="inlineStr">
        <is>
          <t>2024</t>
        </is>
      </c>
      <c r="B2477" t="inlineStr">
        <is>
          <t>C00496307</t>
        </is>
      </c>
      <c r="C2477" t="inlineStr">
        <is>
          <t>Marathon Petroleum Corp Employees PAC (MPAC)</t>
        </is>
      </c>
      <c r="D2477" t="inlineStr">
        <is>
          <t>JOHN JAMES FOR CONGRESS</t>
        </is>
      </c>
      <c r="E2477" t="inlineStr">
        <is>
          <t>H2MI10150</t>
        </is>
      </c>
      <c r="F2477" t="inlineStr">
        <is>
          <t>REP</t>
        </is>
      </c>
      <c r="G2477" t="inlineStr">
        <is>
          <t>09112023</t>
        </is>
      </c>
      <c r="H2477" t="n">
        <v>2000</v>
      </c>
      <c r="I2477" t="inlineStr">
        <is>
          <t>202310129597483610</t>
        </is>
      </c>
      <c r="J2477" t="inlineStr">
        <is>
          <t>https://docquery.fec.gov/cgi-bin/fecimg/?202310129597483610</t>
        </is>
      </c>
    </row>
    <row r="2478">
      <c r="A2478" t="inlineStr">
        <is>
          <t>2024</t>
        </is>
      </c>
      <c r="B2478" t="inlineStr">
        <is>
          <t>C00496307</t>
        </is>
      </c>
      <c r="C2478" t="inlineStr">
        <is>
          <t>Marathon Petroleum Corp Employees PAC (MPAC)</t>
        </is>
      </c>
      <c r="D2478" t="inlineStr">
        <is>
          <t>MCHENRY FOR CONGRESS</t>
        </is>
      </c>
      <c r="E2478" t="inlineStr">
        <is>
          <t>H4NC10047</t>
        </is>
      </c>
      <c r="F2478" t="inlineStr">
        <is>
          <t>REP</t>
        </is>
      </c>
      <c r="G2478" t="inlineStr">
        <is>
          <t>09112023</t>
        </is>
      </c>
      <c r="H2478" t="n">
        <v>5000</v>
      </c>
      <c r="I2478" t="inlineStr">
        <is>
          <t>202310129597483612</t>
        </is>
      </c>
      <c r="J2478" t="inlineStr">
        <is>
          <t>https://docquery.fec.gov/cgi-bin/fecimg/?202310129597483612</t>
        </is>
      </c>
    </row>
    <row r="2479">
      <c r="A2479" t="inlineStr">
        <is>
          <t>2024</t>
        </is>
      </c>
      <c r="B2479" t="inlineStr">
        <is>
          <t>C00496307</t>
        </is>
      </c>
      <c r="C2479" t="inlineStr">
        <is>
          <t>Marathon Petroleum Corp Employees PAC (MPAC)</t>
        </is>
      </c>
      <c r="D2479" t="inlineStr">
        <is>
          <t>PETE STAUBER FOR CONGRESS</t>
        </is>
      </c>
      <c r="E2479" t="inlineStr">
        <is>
          <t>H8MN08043</t>
        </is>
      </c>
      <c r="F2479" t="inlineStr">
        <is>
          <t>REP</t>
        </is>
      </c>
      <c r="G2479" t="inlineStr">
        <is>
          <t>09112023</t>
        </is>
      </c>
      <c r="H2479" t="n">
        <v>2500</v>
      </c>
      <c r="I2479" t="inlineStr">
        <is>
          <t>202310129597483612</t>
        </is>
      </c>
      <c r="J2479" t="inlineStr">
        <is>
          <t>https://docquery.fec.gov/cgi-bin/fecimg/?202310129597483612</t>
        </is>
      </c>
    </row>
    <row r="2480">
      <c r="A2480" t="inlineStr">
        <is>
          <t>2024</t>
        </is>
      </c>
      <c r="B2480" t="inlineStr">
        <is>
          <t>C00496307</t>
        </is>
      </c>
      <c r="C2480" t="inlineStr">
        <is>
          <t>Marathon Petroleum Corp Employees PAC (MPAC)</t>
        </is>
      </c>
      <c r="D2480" t="inlineStr">
        <is>
          <t>TEXANS FOR HENRY CUELLAR</t>
        </is>
      </c>
      <c r="E2480" t="inlineStr">
        <is>
          <t>H2TX23082</t>
        </is>
      </c>
      <c r="F2480" t="inlineStr">
        <is>
          <t>DEM</t>
        </is>
      </c>
      <c r="G2480" t="inlineStr">
        <is>
          <t>09112023</t>
        </is>
      </c>
      <c r="H2480" t="n">
        <v>2500</v>
      </c>
      <c r="I2480" t="inlineStr">
        <is>
          <t>202310129597483613</t>
        </is>
      </c>
      <c r="J2480" t="inlineStr">
        <is>
          <t>https://docquery.fec.gov/cgi-bin/fecimg/?202310129597483613</t>
        </is>
      </c>
    </row>
    <row r="2481">
      <c r="A2481" t="inlineStr">
        <is>
          <t>2024</t>
        </is>
      </c>
      <c r="B2481" t="inlineStr">
        <is>
          <t>C00496307</t>
        </is>
      </c>
      <c r="C2481" t="inlineStr">
        <is>
          <t>Marathon Petroleum Corp Employees PAC (MPAC)</t>
        </is>
      </c>
      <c r="D2481" t="inlineStr">
        <is>
          <t>WALBERG FOR CONGRESS</t>
        </is>
      </c>
      <c r="E2481" t="inlineStr">
        <is>
          <t>H4MI07103</t>
        </is>
      </c>
      <c r="F2481" t="inlineStr">
        <is>
          <t>REP</t>
        </is>
      </c>
      <c r="G2481" t="inlineStr">
        <is>
          <t>09112023</t>
        </is>
      </c>
      <c r="H2481" t="n">
        <v>2500</v>
      </c>
      <c r="I2481" t="inlineStr">
        <is>
          <t>202310129597483614</t>
        </is>
      </c>
      <c r="J2481" t="inlineStr">
        <is>
          <t>https://docquery.fec.gov/cgi-bin/fecimg/?202310129597483614</t>
        </is>
      </c>
    </row>
    <row r="2482">
      <c r="A2482" t="inlineStr">
        <is>
          <t>2024</t>
        </is>
      </c>
      <c r="B2482" t="inlineStr">
        <is>
          <t>C00496307</t>
        </is>
      </c>
      <c r="C2482" t="inlineStr">
        <is>
          <t>Marathon Petroleum Corp Employees PAC (MPAC)</t>
        </is>
      </c>
      <c r="D2482" t="inlineStr">
        <is>
          <t>FRIENDS OF JOHN BARRASSO</t>
        </is>
      </c>
      <c r="E2482" t="inlineStr">
        <is>
          <t>S6WY00068</t>
        </is>
      </c>
      <c r="F2482" t="inlineStr">
        <is>
          <t>REP</t>
        </is>
      </c>
      <c r="G2482" t="inlineStr">
        <is>
          <t>09112023</t>
        </is>
      </c>
      <c r="H2482" t="n">
        <v>5000</v>
      </c>
      <c r="I2482" t="inlineStr">
        <is>
          <t>202310129597483608</t>
        </is>
      </c>
      <c r="J2482" t="inlineStr">
        <is>
          <t>https://docquery.fec.gov/cgi-bin/fecimg/?202310129597483608</t>
        </is>
      </c>
    </row>
    <row r="2483">
      <c r="A2483" t="inlineStr">
        <is>
          <t>2024</t>
        </is>
      </c>
      <c r="B2483" t="inlineStr">
        <is>
          <t>C00496307</t>
        </is>
      </c>
      <c r="C2483" t="inlineStr">
        <is>
          <t>Marathon Petroleum Corp Employees PAC (MPAC)</t>
        </is>
      </c>
      <c r="D2483" t="inlineStr">
        <is>
          <t>GARRET GRAVES FOR CONGRESS</t>
        </is>
      </c>
      <c r="E2483" t="inlineStr">
        <is>
          <t>H4LA06153</t>
        </is>
      </c>
      <c r="F2483" t="inlineStr">
        <is>
          <t>REP</t>
        </is>
      </c>
      <c r="G2483" t="inlineStr">
        <is>
          <t>09112023</t>
        </is>
      </c>
      <c r="H2483" t="n">
        <v>2500</v>
      </c>
      <c r="I2483" t="inlineStr">
        <is>
          <t>202310129597483608</t>
        </is>
      </c>
      <c r="J2483" t="inlineStr">
        <is>
          <t>https://docquery.fec.gov/cgi-bin/fecimg/?202310129597483608</t>
        </is>
      </c>
    </row>
    <row r="2484">
      <c r="A2484" t="inlineStr">
        <is>
          <t>2024</t>
        </is>
      </c>
      <c r="B2484" t="inlineStr">
        <is>
          <t>C00496307</t>
        </is>
      </c>
      <c r="C2484" t="inlineStr">
        <is>
          <t>Marathon Petroleum Corp Employees PAC (MPAC)</t>
        </is>
      </c>
      <c r="D2484" t="inlineStr">
        <is>
          <t>GUY FOR CONGRESS</t>
        </is>
      </c>
      <c r="E2484" t="inlineStr">
        <is>
          <t>H8PA18199</t>
        </is>
      </c>
      <c r="F2484" t="inlineStr">
        <is>
          <t>REP</t>
        </is>
      </c>
      <c r="G2484" t="inlineStr">
        <is>
          <t>09112023</t>
        </is>
      </c>
      <c r="H2484" t="n">
        <v>2500</v>
      </c>
      <c r="I2484" t="inlineStr">
        <is>
          <t>202310129597483609</t>
        </is>
      </c>
      <c r="J2484" t="inlineStr">
        <is>
          <t>https://docquery.fec.gov/cgi-bin/fecimg/?202310129597483609</t>
        </is>
      </c>
    </row>
    <row r="2485">
      <c r="A2485" t="inlineStr">
        <is>
          <t>2024</t>
        </is>
      </c>
      <c r="B2485" t="inlineStr">
        <is>
          <t>C00496307</t>
        </is>
      </c>
      <c r="C2485" t="inlineStr">
        <is>
          <t>Marathon Petroleum Corp Employees PAC (MPAC)</t>
        </is>
      </c>
      <c r="D2485" t="inlineStr">
        <is>
          <t>GUY FOR CONGRESS</t>
        </is>
      </c>
      <c r="E2485" t="inlineStr">
        <is>
          <t>H8PA18199</t>
        </is>
      </c>
      <c r="F2485" t="inlineStr">
        <is>
          <t>REP</t>
        </is>
      </c>
      <c r="G2485" t="inlineStr">
        <is>
          <t>09112023</t>
        </is>
      </c>
      <c r="H2485" t="n">
        <v>2500</v>
      </c>
      <c r="I2485" t="inlineStr">
        <is>
          <t>202310129597483609</t>
        </is>
      </c>
      <c r="J2485" t="inlineStr">
        <is>
          <t>https://docquery.fec.gov/cgi-bin/fecimg/?202310129597483609</t>
        </is>
      </c>
    </row>
    <row r="2486">
      <c r="A2486" t="inlineStr">
        <is>
          <t>2024</t>
        </is>
      </c>
      <c r="B2486" t="inlineStr">
        <is>
          <t>C00496307</t>
        </is>
      </c>
      <c r="C2486" t="inlineStr">
        <is>
          <t>Marathon Petroleum Corp Employees PAC (MPAC)</t>
        </is>
      </c>
      <c r="D2486" t="inlineStr">
        <is>
          <t>CITIZENS TO ELECT RICK LARSEN</t>
        </is>
      </c>
      <c r="E2486" t="inlineStr">
        <is>
          <t>H0WA02080</t>
        </is>
      </c>
      <c r="F2486" t="inlineStr">
        <is>
          <t>DEM</t>
        </is>
      </c>
      <c r="G2486" t="inlineStr">
        <is>
          <t>09112023</t>
        </is>
      </c>
      <c r="H2486" t="n">
        <v>2500</v>
      </c>
      <c r="I2486" t="inlineStr">
        <is>
          <t>202310129597483606</t>
        </is>
      </c>
      <c r="J2486" t="inlineStr">
        <is>
          <t>https://docquery.fec.gov/cgi-bin/fecimg/?202310129597483606</t>
        </is>
      </c>
    </row>
    <row r="2487">
      <c r="A2487" t="inlineStr">
        <is>
          <t>2024</t>
        </is>
      </c>
      <c r="B2487" t="inlineStr">
        <is>
          <t>C00496307</t>
        </is>
      </c>
      <c r="C2487" t="inlineStr">
        <is>
          <t>Marathon Petroleum Corp Employees PAC (MPAC)</t>
        </is>
      </c>
      <c r="D2487" t="inlineStr">
        <is>
          <t>DR. JOHN JOYCE FOR CONGRESS</t>
        </is>
      </c>
      <c r="E2487" t="inlineStr">
        <is>
          <t>H8PA13125</t>
        </is>
      </c>
      <c r="F2487" t="inlineStr">
        <is>
          <t>REP</t>
        </is>
      </c>
      <c r="G2487" t="inlineStr">
        <is>
          <t>09202024</t>
        </is>
      </c>
      <c r="H2487" t="n">
        <v>5000</v>
      </c>
      <c r="I2487" t="inlineStr">
        <is>
          <t>202410199699243495</t>
        </is>
      </c>
      <c r="J2487" t="inlineStr">
        <is>
          <t>https://docquery.fec.gov/cgi-bin/fecimg/?202410199699243495</t>
        </is>
      </c>
    </row>
    <row r="2488">
      <c r="A2488" t="inlineStr">
        <is>
          <t>2024</t>
        </is>
      </c>
      <c r="B2488" t="inlineStr">
        <is>
          <t>C00496307</t>
        </is>
      </c>
      <c r="C2488" t="inlineStr">
        <is>
          <t>Marathon Petroleum Corp Employees PAC (MPAC)</t>
        </is>
      </c>
      <c r="D2488" t="inlineStr">
        <is>
          <t>FRIENDS OF DAVE JOYCE</t>
        </is>
      </c>
      <c r="E2488" t="inlineStr">
        <is>
          <t>H2OH14064</t>
        </is>
      </c>
      <c r="F2488" t="inlineStr">
        <is>
          <t>REP</t>
        </is>
      </c>
      <c r="G2488" t="inlineStr">
        <is>
          <t>09202024</t>
        </is>
      </c>
      <c r="H2488" t="n">
        <v>2500</v>
      </c>
      <c r="I2488" t="inlineStr">
        <is>
          <t>202410199699243496</t>
        </is>
      </c>
      <c r="J2488" t="inlineStr">
        <is>
          <t>https://docquery.fec.gov/cgi-bin/fecimg/?202410199699243496</t>
        </is>
      </c>
    </row>
    <row r="2489">
      <c r="A2489" t="inlineStr">
        <is>
          <t>2024</t>
        </is>
      </c>
      <c r="B2489" t="inlineStr">
        <is>
          <t>C00496307</t>
        </is>
      </c>
      <c r="C2489" t="inlineStr">
        <is>
          <t>Marathon Petroleum Corp Employees PAC (MPAC)</t>
        </is>
      </c>
      <c r="D2489" t="inlineStr">
        <is>
          <t>LANCE GOODEN FOR CONGRESS</t>
        </is>
      </c>
      <c r="E2489" t="inlineStr">
        <is>
          <t>H8TX05144</t>
        </is>
      </c>
      <c r="F2489" t="inlineStr">
        <is>
          <t>REP</t>
        </is>
      </c>
      <c r="G2489" t="inlineStr">
        <is>
          <t>09202024</t>
        </is>
      </c>
      <c r="H2489" t="n">
        <v>5000</v>
      </c>
      <c r="I2489" t="inlineStr">
        <is>
          <t>202410199699243497</t>
        </is>
      </c>
      <c r="J2489" t="inlineStr">
        <is>
          <t>https://docquery.fec.gov/cgi-bin/fecimg/?202410199699243497</t>
        </is>
      </c>
    </row>
    <row r="2490">
      <c r="A2490" t="inlineStr">
        <is>
          <t>2024</t>
        </is>
      </c>
      <c r="B2490" t="inlineStr">
        <is>
          <t>C00496307</t>
        </is>
      </c>
      <c r="C2490" t="inlineStr">
        <is>
          <t>Marathon Petroleum Corp Employees PAC (MPAC)</t>
        </is>
      </c>
      <c r="D2490" t="inlineStr">
        <is>
          <t>BYRON DONALDS FOR CONGRESS</t>
        </is>
      </c>
      <c r="E2490" t="inlineStr">
        <is>
          <t>H2FL14186</t>
        </is>
      </c>
      <c r="F2490" t="inlineStr">
        <is>
          <t>REP</t>
        </is>
      </c>
      <c r="G2490" t="inlineStr">
        <is>
          <t>09202024</t>
        </is>
      </c>
      <c r="H2490" t="n">
        <v>5000</v>
      </c>
      <c r="I2490" t="inlineStr">
        <is>
          <t>202410199699243493</t>
        </is>
      </c>
      <c r="J2490" t="inlineStr">
        <is>
          <t>https://docquery.fec.gov/cgi-bin/fecimg/?202410199699243493</t>
        </is>
      </c>
    </row>
    <row r="2491">
      <c r="A2491" t="inlineStr">
        <is>
          <t>2024</t>
        </is>
      </c>
      <c r="B2491" t="inlineStr">
        <is>
          <t>C00496307</t>
        </is>
      </c>
      <c r="C2491" t="inlineStr">
        <is>
          <t>Marathon Petroleum Corp Employees PAC (MPAC)</t>
        </is>
      </c>
      <c r="D2491" t="inlineStr">
        <is>
          <t>CAROL FOR CONGRESS</t>
        </is>
      </c>
      <c r="E2491" t="inlineStr">
        <is>
          <t>H8WV03097</t>
        </is>
      </c>
      <c r="F2491" t="inlineStr">
        <is>
          <t>REP</t>
        </is>
      </c>
      <c r="G2491" t="inlineStr">
        <is>
          <t>09202024</t>
        </is>
      </c>
      <c r="H2491" t="n">
        <v>2500</v>
      </c>
      <c r="I2491" t="inlineStr">
        <is>
          <t>202410199699243494</t>
        </is>
      </c>
      <c r="J2491" t="inlineStr">
        <is>
          <t>https://docquery.fec.gov/cgi-bin/fecimg/?202410199699243494</t>
        </is>
      </c>
    </row>
    <row r="2492">
      <c r="A2492" t="inlineStr">
        <is>
          <t>2024</t>
        </is>
      </c>
      <c r="B2492" t="inlineStr">
        <is>
          <t>C00496307</t>
        </is>
      </c>
      <c r="C2492" t="inlineStr">
        <is>
          <t>Marathon Petroleum Corp Employees PAC (MPAC)</t>
        </is>
      </c>
      <c r="D2492" t="inlineStr">
        <is>
          <t>CITIZENS TO ELECT RICK LARSEN</t>
        </is>
      </c>
      <c r="E2492" t="inlineStr">
        <is>
          <t>H0WA02080</t>
        </is>
      </c>
      <c r="F2492" t="inlineStr">
        <is>
          <t>DEM</t>
        </is>
      </c>
      <c r="G2492" t="inlineStr">
        <is>
          <t>09202024</t>
        </is>
      </c>
      <c r="H2492" t="n">
        <v>2500</v>
      </c>
      <c r="I2492" t="inlineStr">
        <is>
          <t>202410199699243494</t>
        </is>
      </c>
      <c r="J2492" t="inlineStr">
        <is>
          <t>https://docquery.fec.gov/cgi-bin/fecimg/?202410199699243494</t>
        </is>
      </c>
    </row>
    <row r="2493">
      <c r="A2493" t="inlineStr">
        <is>
          <t>2024</t>
        </is>
      </c>
      <c r="B2493" t="inlineStr">
        <is>
          <t>C00496307</t>
        </is>
      </c>
      <c r="C2493" t="inlineStr">
        <is>
          <t>Marathon Petroleum Corp Employees PAC (MPAC)</t>
        </is>
      </c>
      <c r="D2493" t="inlineStr">
        <is>
          <t>COLE FOR CONGRESS</t>
        </is>
      </c>
      <c r="E2493" t="inlineStr">
        <is>
          <t>H2OK04055</t>
        </is>
      </c>
      <c r="F2493" t="inlineStr">
        <is>
          <t>REP</t>
        </is>
      </c>
      <c r="G2493" t="inlineStr">
        <is>
          <t>09202024</t>
        </is>
      </c>
      <c r="H2493" t="n">
        <v>2500</v>
      </c>
      <c r="I2493" t="inlineStr">
        <is>
          <t>202410199699243494</t>
        </is>
      </c>
      <c r="J2493" t="inlineStr">
        <is>
          <t>https://docquery.fec.gov/cgi-bin/fecimg/?202410199699243494</t>
        </is>
      </c>
    </row>
    <row r="2494">
      <c r="A2494" t="inlineStr">
        <is>
          <t>2024</t>
        </is>
      </c>
      <c r="B2494" t="inlineStr">
        <is>
          <t>C00496307</t>
        </is>
      </c>
      <c r="C2494" t="inlineStr">
        <is>
          <t>Marathon Petroleum Corp Employees PAC (MPAC)</t>
        </is>
      </c>
      <c r="D2494" t="inlineStr">
        <is>
          <t>ZINKE FOR CONGRESS</t>
        </is>
      </c>
      <c r="E2494" t="inlineStr">
        <is>
          <t>H2MT02050</t>
        </is>
      </c>
      <c r="G2494" t="inlineStr">
        <is>
          <t>09252023</t>
        </is>
      </c>
      <c r="H2494" t="n">
        <v>2500</v>
      </c>
      <c r="I2494" t="inlineStr">
        <is>
          <t>202310129597483614</t>
        </is>
      </c>
      <c r="J2494" t="inlineStr">
        <is>
          <t>https://docquery.fec.gov/cgi-bin/fecimg/?202310129597483614</t>
        </is>
      </c>
    </row>
    <row r="2495">
      <c r="A2495" t="inlineStr">
        <is>
          <t>2024</t>
        </is>
      </c>
      <c r="B2495" t="inlineStr">
        <is>
          <t>C00496307</t>
        </is>
      </c>
      <c r="C2495" t="inlineStr">
        <is>
          <t>Marathon Petroleum Corp Employees PAC (MPAC)</t>
        </is>
      </c>
      <c r="D2495" t="inlineStr">
        <is>
          <t>KAT FOR CONGRESS</t>
        </is>
      </c>
      <c r="E2495" t="inlineStr">
        <is>
          <t>H0FL03175</t>
        </is>
      </c>
      <c r="F2495" t="inlineStr">
        <is>
          <t>REP</t>
        </is>
      </c>
      <c r="G2495" t="inlineStr">
        <is>
          <t>09252023</t>
        </is>
      </c>
      <c r="H2495" t="n">
        <v>2500</v>
      </c>
      <c r="I2495" t="inlineStr">
        <is>
          <t>202310129597483611</t>
        </is>
      </c>
      <c r="J2495" t="inlineStr">
        <is>
          <t>https://docquery.fec.gov/cgi-bin/fecimg/?202310129597483611</t>
        </is>
      </c>
    </row>
    <row r="2496">
      <c r="A2496" t="inlineStr">
        <is>
          <t>2024</t>
        </is>
      </c>
      <c r="B2496" t="inlineStr">
        <is>
          <t>C00496307</t>
        </is>
      </c>
      <c r="C2496" t="inlineStr">
        <is>
          <t>Marathon Petroleum Corp Employees PAC (MPAC)</t>
        </is>
      </c>
      <c r="D2496" t="inlineStr">
        <is>
          <t>MARC VEASEY CONGRESSIONAL CAMPAIGN COMMITTEE</t>
        </is>
      </c>
      <c r="E2496" t="inlineStr">
        <is>
          <t>H2TX33073</t>
        </is>
      </c>
      <c r="F2496" t="inlineStr">
        <is>
          <t>DEM</t>
        </is>
      </c>
      <c r="G2496" t="inlineStr">
        <is>
          <t>09252023</t>
        </is>
      </c>
      <c r="H2496" t="n">
        <v>2500</v>
      </c>
      <c r="I2496" t="inlineStr">
        <is>
          <t>202310129597483611</t>
        </is>
      </c>
      <c r="J2496" t="inlineStr">
        <is>
          <t>https://docquery.fec.gov/cgi-bin/fecimg/?202310129597483611</t>
        </is>
      </c>
    </row>
    <row r="2497">
      <c r="A2497" t="inlineStr">
        <is>
          <t>2024</t>
        </is>
      </c>
      <c r="B2497" t="inlineStr">
        <is>
          <t>C00496307</t>
        </is>
      </c>
      <c r="C2497" t="inlineStr">
        <is>
          <t>Marathon Petroleum Corp Employees PAC (MPAC)</t>
        </is>
      </c>
      <c r="D2497" t="inlineStr">
        <is>
          <t>RON ESTES FOR CONGRESS</t>
        </is>
      </c>
      <c r="E2497" t="inlineStr">
        <is>
          <t>H8KS04112</t>
        </is>
      </c>
      <c r="F2497" t="inlineStr">
        <is>
          <t>REP</t>
        </is>
      </c>
      <c r="G2497" t="inlineStr">
        <is>
          <t>09252023</t>
        </is>
      </c>
      <c r="H2497" t="n">
        <v>5000</v>
      </c>
      <c r="I2497" t="inlineStr">
        <is>
          <t>202310129597483612</t>
        </is>
      </c>
      <c r="J2497" t="inlineStr">
        <is>
          <t>https://docquery.fec.gov/cgi-bin/fecimg/?202310129597483612</t>
        </is>
      </c>
    </row>
    <row r="2498">
      <c r="A2498" t="inlineStr">
        <is>
          <t>2024</t>
        </is>
      </c>
      <c r="B2498" t="inlineStr">
        <is>
          <t>C00496307</t>
        </is>
      </c>
      <c r="C2498" t="inlineStr">
        <is>
          <t>Marathon Petroleum Corp Employees PAC (MPAC)</t>
        </is>
      </c>
      <c r="D2498" t="inlineStr">
        <is>
          <t>TEXANS FOR RONNY JACKSON</t>
        </is>
      </c>
      <c r="E2498" t="inlineStr">
        <is>
          <t>H0TX13228</t>
        </is>
      </c>
      <c r="F2498" t="inlineStr">
        <is>
          <t>REP</t>
        </is>
      </c>
      <c r="G2498" t="inlineStr">
        <is>
          <t>09252023</t>
        </is>
      </c>
      <c r="H2498" t="n">
        <v>2500</v>
      </c>
      <c r="I2498" t="inlineStr">
        <is>
          <t>202310129597483613</t>
        </is>
      </c>
      <c r="J2498" t="inlineStr">
        <is>
          <t>https://docquery.fec.gov/cgi-bin/fecimg/?202310129597483613</t>
        </is>
      </c>
    </row>
    <row r="2499">
      <c r="A2499" t="inlineStr">
        <is>
          <t>2024</t>
        </is>
      </c>
      <c r="B2499" t="inlineStr">
        <is>
          <t>C00496307</t>
        </is>
      </c>
      <c r="C2499" t="inlineStr">
        <is>
          <t>Marathon Petroleum Corp Employees PAC (MPAC)</t>
        </is>
      </c>
      <c r="D2499" t="inlineStr">
        <is>
          <t>TONY GONZALES FOR CONGRESS</t>
        </is>
      </c>
      <c r="E2499" t="inlineStr">
        <is>
          <t>H0TX35015</t>
        </is>
      </c>
      <c r="F2499" t="inlineStr">
        <is>
          <t>REP</t>
        </is>
      </c>
      <c r="G2499" t="inlineStr">
        <is>
          <t>09252023</t>
        </is>
      </c>
      <c r="H2499" t="n">
        <v>2500</v>
      </c>
      <c r="I2499" t="inlineStr">
        <is>
          <t>202310129597483613</t>
        </is>
      </c>
      <c r="J2499" t="inlineStr">
        <is>
          <t>https://docquery.fec.gov/cgi-bin/fecimg/?202310129597483613</t>
        </is>
      </c>
    </row>
    <row r="2500">
      <c r="A2500" t="inlineStr">
        <is>
          <t>2024</t>
        </is>
      </c>
      <c r="B2500" t="inlineStr">
        <is>
          <t>C00496307</t>
        </is>
      </c>
      <c r="C2500" t="inlineStr">
        <is>
          <t>Marathon Petroleum Corp Employees PAC (MPAC)</t>
        </is>
      </c>
      <c r="D2500" t="inlineStr">
        <is>
          <t>DR BRIAN BABIN FOR CONGRESS</t>
        </is>
      </c>
      <c r="E2500" t="inlineStr">
        <is>
          <t>H6TX02079</t>
        </is>
      </c>
      <c r="F2500" t="inlineStr">
        <is>
          <t>REP</t>
        </is>
      </c>
      <c r="G2500" t="inlineStr">
        <is>
          <t>09252023</t>
        </is>
      </c>
      <c r="H2500" t="n">
        <v>2500</v>
      </c>
      <c r="I2500" t="inlineStr">
        <is>
          <t>202310129597483607</t>
        </is>
      </c>
      <c r="J2500" t="inlineStr">
        <is>
          <t>https://docquery.fec.gov/cgi-bin/fecimg/?202310129597483607</t>
        </is>
      </c>
    </row>
    <row r="2501">
      <c r="A2501" t="inlineStr">
        <is>
          <t>2024</t>
        </is>
      </c>
      <c r="B2501" t="inlineStr">
        <is>
          <t>C00496307</t>
        </is>
      </c>
      <c r="C2501" t="inlineStr">
        <is>
          <t>Marathon Petroleum Corp Employees PAC (MPAC)</t>
        </is>
      </c>
      <c r="D2501" t="inlineStr">
        <is>
          <t>ELISE FOR CONGRESS</t>
        </is>
      </c>
      <c r="E2501" t="inlineStr">
        <is>
          <t>H4NY21079</t>
        </is>
      </c>
      <c r="F2501" t="inlineStr">
        <is>
          <t>REP</t>
        </is>
      </c>
      <c r="G2501" t="inlineStr">
        <is>
          <t>09252023</t>
        </is>
      </c>
      <c r="H2501" t="n">
        <v>2500</v>
      </c>
      <c r="I2501" t="inlineStr">
        <is>
          <t>202310129597483607</t>
        </is>
      </c>
      <c r="J2501" t="inlineStr">
        <is>
          <t>https://docquery.fec.gov/cgi-bin/fecimg/?202310129597483607</t>
        </is>
      </c>
    </row>
    <row r="2502">
      <c r="A2502" t="inlineStr">
        <is>
          <t>2024</t>
        </is>
      </c>
      <c r="B2502" t="inlineStr">
        <is>
          <t>C00496307</t>
        </is>
      </c>
      <c r="C2502" t="inlineStr">
        <is>
          <t>Marathon Petroleum Corp Employees PAC (MPAC)</t>
        </is>
      </c>
      <c r="D2502" t="inlineStr">
        <is>
          <t>FRIENDS OF GLENN THOMPSON</t>
        </is>
      </c>
      <c r="E2502" t="inlineStr">
        <is>
          <t>H8PA05071</t>
        </is>
      </c>
      <c r="F2502" t="inlineStr">
        <is>
          <t>REP</t>
        </is>
      </c>
      <c r="G2502" t="inlineStr">
        <is>
          <t>09252023</t>
        </is>
      </c>
      <c r="H2502" t="n">
        <v>2500</v>
      </c>
      <c r="I2502" t="inlineStr">
        <is>
          <t>202310129597483608</t>
        </is>
      </c>
      <c r="J2502" t="inlineStr">
        <is>
          <t>https://docquery.fec.gov/cgi-bin/fecimg/?202310129597483608</t>
        </is>
      </c>
    </row>
    <row r="2503">
      <c r="A2503" t="inlineStr">
        <is>
          <t>2024</t>
        </is>
      </c>
      <c r="B2503" t="inlineStr">
        <is>
          <t>C00496307</t>
        </is>
      </c>
      <c r="C2503" t="inlineStr">
        <is>
          <t>Marathon Petroleum Corp Employees PAC (MPAC)</t>
        </is>
      </c>
      <c r="D2503" t="inlineStr">
        <is>
          <t>ANDY BARR FOR CONGRESS</t>
        </is>
      </c>
      <c r="E2503" t="inlineStr">
        <is>
          <t>H0KY06104</t>
        </is>
      </c>
      <c r="F2503" t="inlineStr">
        <is>
          <t>REP</t>
        </is>
      </c>
      <c r="G2503" t="inlineStr">
        <is>
          <t>09252023</t>
        </is>
      </c>
      <c r="H2503" t="n">
        <v>5000</v>
      </c>
      <c r="I2503" t="inlineStr">
        <is>
          <t>202310129597483605</t>
        </is>
      </c>
      <c r="J2503" t="inlineStr">
        <is>
          <t>https://docquery.fec.gov/cgi-bin/fecimg/?202310129597483605</t>
        </is>
      </c>
    </row>
    <row r="2504">
      <c r="A2504" t="inlineStr">
        <is>
          <t>2024</t>
        </is>
      </c>
      <c r="B2504" t="inlineStr">
        <is>
          <t>C00496307</t>
        </is>
      </c>
      <c r="C2504" t="inlineStr">
        <is>
          <t>Marathon Petroleum Corp Employees PAC (MPAC)</t>
        </is>
      </c>
      <c r="D2504" t="inlineStr">
        <is>
          <t>CAREY FOR CONGRESS</t>
        </is>
      </c>
      <c r="E2504" t="inlineStr">
        <is>
          <t>H2OH15228</t>
        </is>
      </c>
      <c r="F2504" t="inlineStr">
        <is>
          <t>REP</t>
        </is>
      </c>
      <c r="G2504" t="inlineStr">
        <is>
          <t>09252023</t>
        </is>
      </c>
      <c r="H2504" t="n">
        <v>2500</v>
      </c>
      <c r="I2504" t="inlineStr">
        <is>
          <t>202310129597483605</t>
        </is>
      </c>
      <c r="J2504" t="inlineStr">
        <is>
          <t>https://docquery.fec.gov/cgi-bin/fecimg/?202310129597483605</t>
        </is>
      </c>
    </row>
    <row r="2505">
      <c r="A2505" t="inlineStr">
        <is>
          <t>2024</t>
        </is>
      </c>
      <c r="B2505" t="inlineStr">
        <is>
          <t>C00496307</t>
        </is>
      </c>
      <c r="C2505" t="inlineStr">
        <is>
          <t>Marathon Petroleum Corp Employees PAC (MPAC)</t>
        </is>
      </c>
      <c r="D2505" t="inlineStr">
        <is>
          <t>CAROL FOR CONGRESS</t>
        </is>
      </c>
      <c r="E2505" t="inlineStr">
        <is>
          <t>H8WV03097</t>
        </is>
      </c>
      <c r="F2505" t="inlineStr">
        <is>
          <t>REP</t>
        </is>
      </c>
      <c r="G2505" t="inlineStr">
        <is>
          <t>09252023</t>
        </is>
      </c>
      <c r="H2505" t="n">
        <v>2500</v>
      </c>
      <c r="I2505" t="inlineStr">
        <is>
          <t>202310129597483605</t>
        </is>
      </c>
      <c r="J2505" t="inlineStr">
        <is>
          <t>https://docquery.fec.gov/cgi-bin/fecimg/?202310129597483605</t>
        </is>
      </c>
    </row>
    <row r="2506">
      <c r="A2506" t="inlineStr">
        <is>
          <t>2024</t>
        </is>
      </c>
      <c r="B2506" t="inlineStr">
        <is>
          <t>C00496307</t>
        </is>
      </c>
      <c r="C2506" t="inlineStr">
        <is>
          <t>Marathon Petroleum Corp Employees PAC (MPAC)</t>
        </is>
      </c>
      <c r="D2506" t="inlineStr">
        <is>
          <t>CURTIS FOR CONGRESS</t>
        </is>
      </c>
      <c r="E2506" t="inlineStr">
        <is>
          <t>H8UT03238</t>
        </is>
      </c>
      <c r="F2506" t="inlineStr">
        <is>
          <t>REP</t>
        </is>
      </c>
      <c r="G2506" t="inlineStr">
        <is>
          <t>09252023</t>
        </is>
      </c>
      <c r="H2506" t="n">
        <v>2500</v>
      </c>
      <c r="I2506" t="inlineStr">
        <is>
          <t>202310129597483607</t>
        </is>
      </c>
      <c r="J2506" t="inlineStr">
        <is>
          <t>https://docquery.fec.gov/cgi-bin/fecimg/?202310129597483607</t>
        </is>
      </c>
    </row>
    <row r="2507">
      <c r="A2507" t="inlineStr">
        <is>
          <t>2024</t>
        </is>
      </c>
      <c r="B2507" t="inlineStr">
        <is>
          <t>C00496307</t>
        </is>
      </c>
      <c r="C2507" t="inlineStr">
        <is>
          <t>Marathon Petroleum Corp Employees PAC (MPAC)</t>
        </is>
      </c>
      <c r="D2507" t="inlineStr">
        <is>
          <t>KIGGANS FOR CONGRESS</t>
        </is>
      </c>
      <c r="E2507" t="inlineStr">
        <is>
          <t>H2VA02064</t>
        </is>
      </c>
      <c r="F2507" t="inlineStr">
        <is>
          <t>REP</t>
        </is>
      </c>
      <c r="G2507" t="inlineStr">
        <is>
          <t>09292023</t>
        </is>
      </c>
      <c r="H2507" t="n">
        <v>2000</v>
      </c>
      <c r="I2507" t="inlineStr">
        <is>
          <t>202310129597483611</t>
        </is>
      </c>
      <c r="J2507" t="inlineStr">
        <is>
          <t>https://docquery.fec.gov/cgi-bin/fecimg/?202310129597483611</t>
        </is>
      </c>
    </row>
    <row r="2508">
      <c r="A2508" t="inlineStr">
        <is>
          <t>2024</t>
        </is>
      </c>
      <c r="B2508" t="inlineStr">
        <is>
          <t>C00496307</t>
        </is>
      </c>
      <c r="C2508" t="inlineStr">
        <is>
          <t>Marathon Petroleum Corp Employees PAC (MPAC)</t>
        </is>
      </c>
      <c r="D2508" t="inlineStr">
        <is>
          <t>FRIENDS OF DAVID SCHWEIKERT</t>
        </is>
      </c>
      <c r="E2508" t="inlineStr">
        <is>
          <t>H4AZ06045</t>
        </is>
      </c>
      <c r="F2508" t="inlineStr">
        <is>
          <t>REP</t>
        </is>
      </c>
      <c r="G2508" t="inlineStr">
        <is>
          <t>10082024</t>
        </is>
      </c>
      <c r="H2508" t="n">
        <v>2500</v>
      </c>
      <c r="I2508" t="inlineStr">
        <is>
          <t>202410219710028139</t>
        </is>
      </c>
      <c r="J2508" t="inlineStr">
        <is>
          <t>https://docquery.fec.gov/cgi-bin/fecimg/?202410219710028139</t>
        </is>
      </c>
    </row>
    <row r="2509">
      <c r="A2509" t="inlineStr">
        <is>
          <t>2024</t>
        </is>
      </c>
      <c r="B2509" t="inlineStr">
        <is>
          <t>C00496307</t>
        </is>
      </c>
      <c r="C2509" t="inlineStr">
        <is>
          <t>Marathon Petroleum Corp Employees PAC (MPAC)</t>
        </is>
      </c>
      <c r="D2509" t="inlineStr">
        <is>
          <t>JIM JUSTICE FOR U.S. SENATE</t>
        </is>
      </c>
      <c r="E2509" t="inlineStr">
        <is>
          <t>S4WV00332</t>
        </is>
      </c>
      <c r="F2509" t="inlineStr">
        <is>
          <t>REP</t>
        </is>
      </c>
      <c r="G2509" t="inlineStr">
        <is>
          <t>10082024</t>
        </is>
      </c>
      <c r="H2509" t="n">
        <v>5000</v>
      </c>
      <c r="I2509" t="inlineStr">
        <is>
          <t>202410219710028139</t>
        </is>
      </c>
      <c r="J2509" t="inlineStr">
        <is>
          <t>https://docquery.fec.gov/cgi-bin/fecimg/?202410219710028139</t>
        </is>
      </c>
    </row>
    <row r="2510">
      <c r="A2510" t="inlineStr">
        <is>
          <t>2024</t>
        </is>
      </c>
      <c r="B2510" t="inlineStr">
        <is>
          <t>C00496307</t>
        </is>
      </c>
      <c r="C2510" t="inlineStr">
        <is>
          <t>Marathon Petroleum Corp Employees PAC (MPAC)</t>
        </is>
      </c>
      <c r="D2510" t="inlineStr">
        <is>
          <t>LANGWORTHY FOR CONGRESS</t>
        </is>
      </c>
      <c r="E2510" t="inlineStr">
        <is>
          <t>H2NY23228</t>
        </is>
      </c>
      <c r="F2510" t="inlineStr">
        <is>
          <t>REP</t>
        </is>
      </c>
      <c r="G2510" t="inlineStr">
        <is>
          <t>10082024</t>
        </is>
      </c>
      <c r="H2510" t="n">
        <v>2500</v>
      </c>
      <c r="I2510" t="inlineStr">
        <is>
          <t>202410219710028139</t>
        </is>
      </c>
      <c r="J2510" t="inlineStr">
        <is>
          <t>https://docquery.fec.gov/cgi-bin/fecimg/?202410219710028139</t>
        </is>
      </c>
    </row>
    <row r="2511">
      <c r="A2511" t="inlineStr">
        <is>
          <t>2024</t>
        </is>
      </c>
      <c r="B2511" t="inlineStr">
        <is>
          <t>C00496307</t>
        </is>
      </c>
      <c r="C2511" t="inlineStr">
        <is>
          <t>Marathon Petroleum Corp Employees PAC (MPAC)</t>
        </is>
      </c>
      <c r="D2511" t="inlineStr">
        <is>
          <t>LAUREL LEE FOR CONGRESS, INC.</t>
        </is>
      </c>
      <c r="E2511" t="inlineStr">
        <is>
          <t>H2FL15241</t>
        </is>
      </c>
      <c r="F2511" t="inlineStr">
        <is>
          <t>REP</t>
        </is>
      </c>
      <c r="G2511" t="inlineStr">
        <is>
          <t>10082024</t>
        </is>
      </c>
      <c r="H2511" t="n">
        <v>2500</v>
      </c>
      <c r="I2511" t="inlineStr">
        <is>
          <t>202410219710028140</t>
        </is>
      </c>
      <c r="J2511" t="inlineStr">
        <is>
          <t>https://docquery.fec.gov/cgi-bin/fecimg/?202410219710028140</t>
        </is>
      </c>
    </row>
    <row r="2512">
      <c r="A2512" t="inlineStr">
        <is>
          <t>2024</t>
        </is>
      </c>
      <c r="B2512" t="inlineStr">
        <is>
          <t>C00496307</t>
        </is>
      </c>
      <c r="C2512" t="inlineStr">
        <is>
          <t>Marathon Petroleum Corp Employees PAC (MPAC)</t>
        </is>
      </c>
      <c r="D2512" t="inlineStr">
        <is>
          <t>MEUSER FOR CONGRESS</t>
        </is>
      </c>
      <c r="E2512" t="inlineStr">
        <is>
          <t>H8PA10147</t>
        </is>
      </c>
      <c r="F2512" t="inlineStr">
        <is>
          <t>REP</t>
        </is>
      </c>
      <c r="G2512" t="inlineStr">
        <is>
          <t>10082024</t>
        </is>
      </c>
      <c r="H2512" t="n">
        <v>2500</v>
      </c>
      <c r="I2512" t="inlineStr">
        <is>
          <t>202410219710028140</t>
        </is>
      </c>
      <c r="J2512" t="inlineStr">
        <is>
          <t>https://docquery.fec.gov/cgi-bin/fecimg/?202410219710028140</t>
        </is>
      </c>
    </row>
    <row r="2513">
      <c r="A2513" t="inlineStr">
        <is>
          <t>2024</t>
        </is>
      </c>
      <c r="B2513" t="inlineStr">
        <is>
          <t>C00496307</t>
        </is>
      </c>
      <c r="C2513" t="inlineStr">
        <is>
          <t>Marathon Petroleum Corp Employees PAC (MPAC)</t>
        </is>
      </c>
      <c r="D2513" t="inlineStr">
        <is>
          <t>SYLVESTER TURNER CAMPAIGN</t>
        </is>
      </c>
      <c r="E2513" t="inlineStr">
        <is>
          <t>H4TX18237</t>
        </is>
      </c>
      <c r="F2513" t="inlineStr">
        <is>
          <t>DEM</t>
        </is>
      </c>
      <c r="G2513" t="inlineStr">
        <is>
          <t>10082024</t>
        </is>
      </c>
      <c r="H2513" t="n">
        <v>5000</v>
      </c>
      <c r="I2513" t="inlineStr">
        <is>
          <t>202410219710028140</t>
        </is>
      </c>
      <c r="J2513" t="inlineStr">
        <is>
          <t>https://docquery.fec.gov/cgi-bin/fecimg/?202410219710028140</t>
        </is>
      </c>
    </row>
    <row r="2514">
      <c r="A2514" t="inlineStr">
        <is>
          <t>2024</t>
        </is>
      </c>
      <c r="B2514" t="inlineStr">
        <is>
          <t>C00496307</t>
        </is>
      </c>
      <c r="C2514" t="inlineStr">
        <is>
          <t>Marathon Petroleum Corp Employees PAC (MPAC)</t>
        </is>
      </c>
      <c r="D2514" t="inlineStr">
        <is>
          <t>TIM SHEEHY FOR MONTANA</t>
        </is>
      </c>
      <c r="E2514" t="inlineStr">
        <is>
          <t>S4MT00183</t>
        </is>
      </c>
      <c r="F2514" t="inlineStr">
        <is>
          <t>REP</t>
        </is>
      </c>
      <c r="G2514" t="inlineStr">
        <is>
          <t>10232024</t>
        </is>
      </c>
      <c r="H2514" t="n">
        <v>2500</v>
      </c>
      <c r="I2514" t="inlineStr">
        <is>
          <t>202412059720825263</t>
        </is>
      </c>
      <c r="J2514" t="inlineStr">
        <is>
          <t>https://docquery.fec.gov/cgi-bin/fecimg/?202412059720825263</t>
        </is>
      </c>
    </row>
    <row r="2515">
      <c r="A2515" t="inlineStr">
        <is>
          <t>2024</t>
        </is>
      </c>
      <c r="B2515" t="inlineStr">
        <is>
          <t>C00496307</t>
        </is>
      </c>
      <c r="C2515" t="inlineStr">
        <is>
          <t>Marathon Petroleum Corp Employees PAC (MPAC)</t>
        </is>
      </c>
      <c r="D2515" t="inlineStr">
        <is>
          <t>TONY GONZALES FOR CONGRESS</t>
        </is>
      </c>
      <c r="E2515" t="inlineStr">
        <is>
          <t>H0TX35015</t>
        </is>
      </c>
      <c r="F2515" t="inlineStr">
        <is>
          <t>REP</t>
        </is>
      </c>
      <c r="G2515" t="inlineStr">
        <is>
          <t>10232024</t>
        </is>
      </c>
      <c r="H2515" t="n">
        <v>2500</v>
      </c>
      <c r="I2515" t="inlineStr">
        <is>
          <t>202412059720825264</t>
        </is>
      </c>
      <c r="J2515" t="inlineStr">
        <is>
          <t>https://docquery.fec.gov/cgi-bin/fecimg/?202412059720825264</t>
        </is>
      </c>
    </row>
    <row r="2516">
      <c r="A2516" t="inlineStr">
        <is>
          <t>2024</t>
        </is>
      </c>
      <c r="B2516" t="inlineStr">
        <is>
          <t>C00496307</t>
        </is>
      </c>
      <c r="C2516" t="inlineStr">
        <is>
          <t>Marathon Petroleum Corp Employees PAC (MPAC)</t>
        </is>
      </c>
      <c r="D2516" t="inlineStr">
        <is>
          <t>VALADAO FOR CONGRESS</t>
        </is>
      </c>
      <c r="E2516" t="inlineStr">
        <is>
          <t>H2CA20094</t>
        </is>
      </c>
      <c r="F2516" t="inlineStr">
        <is>
          <t>REP</t>
        </is>
      </c>
      <c r="G2516" t="inlineStr">
        <is>
          <t>10232024</t>
        </is>
      </c>
      <c r="H2516" t="n">
        <v>2500</v>
      </c>
      <c r="I2516" t="inlineStr">
        <is>
          <t>202412059720825264</t>
        </is>
      </c>
      <c r="J2516" t="inlineStr">
        <is>
          <t>https://docquery.fec.gov/cgi-bin/fecimg/?202412059720825264</t>
        </is>
      </c>
    </row>
    <row r="2517">
      <c r="A2517" t="inlineStr">
        <is>
          <t>2024</t>
        </is>
      </c>
      <c r="B2517" t="inlineStr">
        <is>
          <t>C00496307</t>
        </is>
      </c>
      <c r="C2517" t="inlineStr">
        <is>
          <t>Marathon Petroleum Corp Employees PAC (MPAC)</t>
        </is>
      </c>
      <c r="D2517" t="inlineStr">
        <is>
          <t>VINCE FONG FOR CONGRESS</t>
        </is>
      </c>
      <c r="E2517" t="inlineStr">
        <is>
          <t>H4CA20181</t>
        </is>
      </c>
      <c r="F2517" t="inlineStr">
        <is>
          <t>REP</t>
        </is>
      </c>
      <c r="G2517" t="inlineStr">
        <is>
          <t>10232024</t>
        </is>
      </c>
      <c r="H2517" t="n">
        <v>2500</v>
      </c>
      <c r="I2517" t="inlineStr">
        <is>
          <t>202412059720825264</t>
        </is>
      </c>
      <c r="J2517" t="inlineStr">
        <is>
          <t>https://docquery.fec.gov/cgi-bin/fecimg/?202412059720825264</t>
        </is>
      </c>
    </row>
    <row r="2518">
      <c r="A2518" t="inlineStr">
        <is>
          <t>2024</t>
        </is>
      </c>
      <c r="B2518" t="inlineStr">
        <is>
          <t>C00496307</t>
        </is>
      </c>
      <c r="C2518" t="inlineStr">
        <is>
          <t>Marathon Petroleum Corp Employees PAC (MPAC)</t>
        </is>
      </c>
      <c r="D2518" t="inlineStr">
        <is>
          <t>WICKER FOR SENATE</t>
        </is>
      </c>
      <c r="E2518" t="inlineStr">
        <is>
          <t>S8MS00196</t>
        </is>
      </c>
      <c r="F2518" t="inlineStr">
        <is>
          <t>REP</t>
        </is>
      </c>
      <c r="G2518" t="inlineStr">
        <is>
          <t>10232024</t>
        </is>
      </c>
      <c r="H2518" t="n">
        <v>5000</v>
      </c>
      <c r="I2518" t="inlineStr">
        <is>
          <t>202412059720825265</t>
        </is>
      </c>
      <c r="J2518" t="inlineStr">
        <is>
          <t>https://docquery.fec.gov/cgi-bin/fecimg/?202412059720825265</t>
        </is>
      </c>
    </row>
    <row r="2519">
      <c r="A2519" t="inlineStr">
        <is>
          <t>2024</t>
        </is>
      </c>
      <c r="B2519" t="inlineStr">
        <is>
          <t>C00496307</t>
        </is>
      </c>
      <c r="C2519" t="inlineStr">
        <is>
          <t>Marathon Petroleum Corp Employees PAC (MPAC)</t>
        </is>
      </c>
      <c r="D2519" t="inlineStr">
        <is>
          <t>ELIZABETH PANNILL FLETCHER FOR CONGRESS</t>
        </is>
      </c>
      <c r="E2519" t="inlineStr">
        <is>
          <t>H8TX07140</t>
        </is>
      </c>
      <c r="F2519" t="inlineStr">
        <is>
          <t>DEM</t>
        </is>
      </c>
      <c r="G2519" t="inlineStr">
        <is>
          <t>10232024</t>
        </is>
      </c>
      <c r="H2519" t="n">
        <v>5000</v>
      </c>
      <c r="I2519" t="inlineStr">
        <is>
          <t>202412059720825256</t>
        </is>
      </c>
      <c r="J2519" t="inlineStr">
        <is>
          <t>https://docquery.fec.gov/cgi-bin/fecimg/?202412059720825256</t>
        </is>
      </c>
    </row>
    <row r="2520">
      <c r="A2520" t="inlineStr">
        <is>
          <t>2024</t>
        </is>
      </c>
      <c r="B2520" t="inlineStr">
        <is>
          <t>C00496307</t>
        </is>
      </c>
      <c r="C2520" t="inlineStr">
        <is>
          <t>Marathon Petroleum Corp Employees PAC (MPAC)</t>
        </is>
      </c>
      <c r="D2520" t="inlineStr">
        <is>
          <t>GUTHRIE FOR CONGRESS</t>
        </is>
      </c>
      <c r="E2520" t="inlineStr">
        <is>
          <t>H8KY02031</t>
        </is>
      </c>
      <c r="F2520" t="inlineStr">
        <is>
          <t>REP</t>
        </is>
      </c>
      <c r="G2520" t="inlineStr">
        <is>
          <t>10232024</t>
        </is>
      </c>
      <c r="H2520" t="n">
        <v>5000</v>
      </c>
      <c r="I2520" t="inlineStr">
        <is>
          <t>202412059720825256</t>
        </is>
      </c>
      <c r="J2520" t="inlineStr">
        <is>
          <t>https://docquery.fec.gov/cgi-bin/fecimg/?202412059720825256</t>
        </is>
      </c>
    </row>
    <row r="2521">
      <c r="A2521" t="inlineStr">
        <is>
          <t>2024</t>
        </is>
      </c>
      <c r="B2521" t="inlineStr">
        <is>
          <t>C00496307</t>
        </is>
      </c>
      <c r="C2521" t="inlineStr">
        <is>
          <t>Marathon Petroleum Corp Employees PAC (MPAC)</t>
        </is>
      </c>
      <c r="D2521" t="inlineStr">
        <is>
          <t>HUNT FOR CONGRESS</t>
        </is>
      </c>
      <c r="E2521" t="inlineStr">
        <is>
          <t>H0TX07170</t>
        </is>
      </c>
      <c r="F2521" t="inlineStr">
        <is>
          <t>REP</t>
        </is>
      </c>
      <c r="G2521" t="inlineStr">
        <is>
          <t>10232024</t>
        </is>
      </c>
      <c r="H2521" t="n">
        <v>2500</v>
      </c>
      <c r="I2521" t="inlineStr">
        <is>
          <t>202412059720825257</t>
        </is>
      </c>
      <c r="J2521" t="inlineStr">
        <is>
          <t>https://docquery.fec.gov/cgi-bin/fecimg/?202412059720825257</t>
        </is>
      </c>
    </row>
    <row r="2522">
      <c r="A2522" t="inlineStr">
        <is>
          <t>2024</t>
        </is>
      </c>
      <c r="B2522" t="inlineStr">
        <is>
          <t>C00496307</t>
        </is>
      </c>
      <c r="C2522" t="inlineStr">
        <is>
          <t>Marathon Petroleum Corp Employees PAC (MPAC)</t>
        </is>
      </c>
      <c r="D2522" t="inlineStr">
        <is>
          <t>JASON SMITH FOR CONGRESS</t>
        </is>
      </c>
      <c r="E2522" t="inlineStr">
        <is>
          <t>H4MO08162</t>
        </is>
      </c>
      <c r="F2522" t="inlineStr">
        <is>
          <t>REP</t>
        </is>
      </c>
      <c r="G2522" t="inlineStr">
        <is>
          <t>10232024</t>
        </is>
      </c>
      <c r="H2522" t="n">
        <v>2500</v>
      </c>
      <c r="I2522" t="inlineStr">
        <is>
          <t>202412059720825257</t>
        </is>
      </c>
      <c r="J2522" t="inlineStr">
        <is>
          <t>https://docquery.fec.gov/cgi-bin/fecimg/?202412059720825257</t>
        </is>
      </c>
    </row>
    <row r="2523">
      <c r="A2523" t="inlineStr">
        <is>
          <t>2024</t>
        </is>
      </c>
      <c r="B2523" t="inlineStr">
        <is>
          <t>C00496307</t>
        </is>
      </c>
      <c r="C2523" t="inlineStr">
        <is>
          <t>Marathon Petroleum Corp Employees PAC (MPAC)</t>
        </is>
      </c>
      <c r="D2523" t="inlineStr">
        <is>
          <t>JIM COSTA FOR CONGRESS</t>
        </is>
      </c>
      <c r="E2523" t="inlineStr">
        <is>
          <t>H4CA20082</t>
        </is>
      </c>
      <c r="F2523" t="inlineStr">
        <is>
          <t>DEM</t>
        </is>
      </c>
      <c r="G2523" t="inlineStr">
        <is>
          <t>10232024</t>
        </is>
      </c>
      <c r="H2523" t="n">
        <v>5000</v>
      </c>
      <c r="I2523" t="inlineStr">
        <is>
          <t>202412059720825258</t>
        </is>
      </c>
      <c r="J2523" t="inlineStr">
        <is>
          <t>https://docquery.fec.gov/cgi-bin/fecimg/?202412059720825258</t>
        </is>
      </c>
    </row>
    <row r="2524">
      <c r="A2524" t="inlineStr">
        <is>
          <t>2024</t>
        </is>
      </c>
      <c r="B2524" t="inlineStr">
        <is>
          <t>C00496307</t>
        </is>
      </c>
      <c r="C2524" t="inlineStr">
        <is>
          <t>Marathon Petroleum Corp Employees PAC (MPAC)</t>
        </is>
      </c>
      <c r="D2524" t="inlineStr">
        <is>
          <t>JOHN CURTIS FOR UTAH</t>
        </is>
      </c>
      <c r="E2524" t="inlineStr">
        <is>
          <t>S4UT00282</t>
        </is>
      </c>
      <c r="F2524" t="inlineStr">
        <is>
          <t>REP</t>
        </is>
      </c>
      <c r="G2524" t="inlineStr">
        <is>
          <t>10232024</t>
        </is>
      </c>
      <c r="H2524" t="n">
        <v>5000</v>
      </c>
      <c r="I2524" t="inlineStr">
        <is>
          <t>202412059720825258</t>
        </is>
      </c>
      <c r="J2524" t="inlineStr">
        <is>
          <t>https://docquery.fec.gov/cgi-bin/fecimg/?202412059720825258</t>
        </is>
      </c>
    </row>
    <row r="2525">
      <c r="A2525" t="inlineStr">
        <is>
          <t>2024</t>
        </is>
      </c>
      <c r="B2525" t="inlineStr">
        <is>
          <t>C00496307</t>
        </is>
      </c>
      <c r="C2525" t="inlineStr">
        <is>
          <t>Marathon Petroleum Corp Employees PAC (MPAC)</t>
        </is>
      </c>
      <c r="D2525" t="inlineStr">
        <is>
          <t>JOHN DUARTE FOR CONGRESS</t>
        </is>
      </c>
      <c r="E2525" t="inlineStr">
        <is>
          <t>H2CA13131</t>
        </is>
      </c>
      <c r="F2525" t="inlineStr">
        <is>
          <t>REP</t>
        </is>
      </c>
      <c r="G2525" t="inlineStr">
        <is>
          <t>10232024</t>
        </is>
      </c>
      <c r="H2525" t="n">
        <v>2500</v>
      </c>
      <c r="I2525" t="inlineStr">
        <is>
          <t>202412059720825258</t>
        </is>
      </c>
      <c r="J2525" t="inlineStr">
        <is>
          <t>https://docquery.fec.gov/cgi-bin/fecimg/?202412059720825258</t>
        </is>
      </c>
    </row>
    <row r="2526">
      <c r="A2526" t="inlineStr">
        <is>
          <t>2024</t>
        </is>
      </c>
      <c r="B2526" t="inlineStr">
        <is>
          <t>C00496307</t>
        </is>
      </c>
      <c r="C2526" t="inlineStr">
        <is>
          <t>Marathon Petroleum Corp Employees PAC (MPAC)</t>
        </is>
      </c>
      <c r="D2526" t="inlineStr">
        <is>
          <t>KEN CALVERT FOR CONGRESS COMMITTEE</t>
        </is>
      </c>
      <c r="E2526" t="inlineStr">
        <is>
          <t>H2CA37023</t>
        </is>
      </c>
      <c r="F2526" t="inlineStr">
        <is>
          <t>REP</t>
        </is>
      </c>
      <c r="G2526" t="inlineStr">
        <is>
          <t>10232024</t>
        </is>
      </c>
      <c r="H2526" t="n">
        <v>5000</v>
      </c>
      <c r="I2526" t="inlineStr">
        <is>
          <t>202412059720825259</t>
        </is>
      </c>
      <c r="J2526" t="inlineStr">
        <is>
          <t>https://docquery.fec.gov/cgi-bin/fecimg/?202412059720825259</t>
        </is>
      </c>
    </row>
    <row r="2527">
      <c r="A2527" t="inlineStr">
        <is>
          <t>2024</t>
        </is>
      </c>
      <c r="B2527" t="inlineStr">
        <is>
          <t>C00496307</t>
        </is>
      </c>
      <c r="C2527" t="inlineStr">
        <is>
          <t>Marathon Petroleum Corp Employees PAC (MPAC)</t>
        </is>
      </c>
      <c r="D2527" t="inlineStr">
        <is>
          <t>MARIE FOR CONGRESS</t>
        </is>
      </c>
      <c r="E2527" t="inlineStr">
        <is>
          <t>H2WA03217</t>
        </is>
      </c>
      <c r="F2527" t="inlineStr">
        <is>
          <t>DEM</t>
        </is>
      </c>
      <c r="G2527" t="inlineStr">
        <is>
          <t>10232024</t>
        </is>
      </c>
      <c r="H2527" t="n">
        <v>5000</v>
      </c>
      <c r="I2527" t="inlineStr">
        <is>
          <t>202412059720825259</t>
        </is>
      </c>
      <c r="J2527" t="inlineStr">
        <is>
          <t>https://docquery.fec.gov/cgi-bin/fecimg/?202412059720825259</t>
        </is>
      </c>
    </row>
    <row r="2528">
      <c r="A2528" t="inlineStr">
        <is>
          <t>2024</t>
        </is>
      </c>
      <c r="B2528" t="inlineStr">
        <is>
          <t>C00496307</t>
        </is>
      </c>
      <c r="C2528" t="inlineStr">
        <is>
          <t>Marathon Petroleum Corp Employees PAC (MPAC)</t>
        </is>
      </c>
      <c r="D2528" t="inlineStr">
        <is>
          <t>MICHELLE STEEL FOR CONGRESS</t>
        </is>
      </c>
      <c r="E2528" t="inlineStr">
        <is>
          <t>H0CA48198</t>
        </is>
      </c>
      <c r="F2528" t="inlineStr">
        <is>
          <t>REP</t>
        </is>
      </c>
      <c r="G2528" t="inlineStr">
        <is>
          <t>10232024</t>
        </is>
      </c>
      <c r="H2528" t="n">
        <v>5000</v>
      </c>
      <c r="I2528" t="inlineStr">
        <is>
          <t>202412059720825260</t>
        </is>
      </c>
      <c r="J2528" t="inlineStr">
        <is>
          <t>https://docquery.fec.gov/cgi-bin/fecimg/?202412059720825260</t>
        </is>
      </c>
    </row>
    <row r="2529">
      <c r="A2529" t="inlineStr">
        <is>
          <t>2024</t>
        </is>
      </c>
      <c r="B2529" t="inlineStr">
        <is>
          <t>C00496307</t>
        </is>
      </c>
      <c r="C2529" t="inlineStr">
        <is>
          <t>Marathon Petroleum Corp Employees PAC (MPAC)</t>
        </is>
      </c>
      <c r="D2529" t="inlineStr">
        <is>
          <t>MIKE KENNEDY FOR UTAH</t>
        </is>
      </c>
      <c r="E2529" t="inlineStr">
        <is>
          <t>H4UT03260</t>
        </is>
      </c>
      <c r="F2529" t="inlineStr">
        <is>
          <t>REP</t>
        </is>
      </c>
      <c r="G2529" t="inlineStr">
        <is>
          <t>10232024</t>
        </is>
      </c>
      <c r="H2529" t="n">
        <v>2500</v>
      </c>
      <c r="I2529" t="inlineStr">
        <is>
          <t>202412059720825260</t>
        </is>
      </c>
      <c r="J2529" t="inlineStr">
        <is>
          <t>https://docquery.fec.gov/cgi-bin/fecimg/?202412059720825260</t>
        </is>
      </c>
    </row>
    <row r="2530">
      <c r="A2530" t="inlineStr">
        <is>
          <t>2024</t>
        </is>
      </c>
      <c r="B2530" t="inlineStr">
        <is>
          <t>C00496307</t>
        </is>
      </c>
      <c r="C2530" t="inlineStr">
        <is>
          <t>Marathon Petroleum Corp Employees PAC (MPAC)</t>
        </is>
      </c>
      <c r="D2530" t="inlineStr">
        <is>
          <t>RICK SCOTT FOR SENATE</t>
        </is>
      </c>
      <c r="E2530" t="inlineStr">
        <is>
          <t>S8FL00273</t>
        </is>
      </c>
      <c r="F2530" t="inlineStr">
        <is>
          <t>REP</t>
        </is>
      </c>
      <c r="G2530" t="inlineStr">
        <is>
          <t>10232024</t>
        </is>
      </c>
      <c r="H2530" t="n">
        <v>2500</v>
      </c>
      <c r="I2530" t="inlineStr">
        <is>
          <t>202412059720825261</t>
        </is>
      </c>
      <c r="J2530" t="inlineStr">
        <is>
          <t>https://docquery.fec.gov/cgi-bin/fecimg/?202412059720825261</t>
        </is>
      </c>
    </row>
    <row r="2531">
      <c r="A2531" t="inlineStr">
        <is>
          <t>2024</t>
        </is>
      </c>
      <c r="B2531" t="inlineStr">
        <is>
          <t>C00496307</t>
        </is>
      </c>
      <c r="C2531" t="inlineStr">
        <is>
          <t>Marathon Petroleum Corp Employees PAC (MPAC)</t>
        </is>
      </c>
      <c r="D2531" t="inlineStr">
        <is>
          <t>ROGER WILLIAMS FOR U.S. CONGRESS COMMITTEE</t>
        </is>
      </c>
      <c r="E2531" t="inlineStr">
        <is>
          <t>H2TX33040</t>
        </is>
      </c>
      <c r="F2531" t="inlineStr">
        <is>
          <t>REP</t>
        </is>
      </c>
      <c r="G2531" t="inlineStr">
        <is>
          <t>10232024</t>
        </is>
      </c>
      <c r="H2531" t="n">
        <v>2500</v>
      </c>
      <c r="I2531" t="inlineStr">
        <is>
          <t>202412059720825261</t>
        </is>
      </c>
      <c r="J2531" t="inlineStr">
        <is>
          <t>https://docquery.fec.gov/cgi-bin/fecimg/?202412059720825261</t>
        </is>
      </c>
    </row>
    <row r="2532">
      <c r="A2532" t="inlineStr">
        <is>
          <t>2024</t>
        </is>
      </c>
      <c r="B2532" t="inlineStr">
        <is>
          <t>C00496307</t>
        </is>
      </c>
      <c r="C2532" t="inlineStr">
        <is>
          <t>Marathon Petroleum Corp Employees PAC (MPAC)</t>
        </is>
      </c>
      <c r="D2532" t="inlineStr">
        <is>
          <t>ROGERS FOR SENATE</t>
        </is>
      </c>
      <c r="E2532" t="inlineStr">
        <is>
          <t>S4MI00595</t>
        </is>
      </c>
      <c r="F2532" t="inlineStr">
        <is>
          <t>REP</t>
        </is>
      </c>
      <c r="G2532" t="inlineStr">
        <is>
          <t>10232024</t>
        </is>
      </c>
      <c r="H2532" t="n">
        <v>5000</v>
      </c>
      <c r="I2532" t="inlineStr">
        <is>
          <t>202412059720825262</t>
        </is>
      </c>
      <c r="J2532" t="inlineStr">
        <is>
          <t>https://docquery.fec.gov/cgi-bin/fecimg/?202412059720825262</t>
        </is>
      </c>
    </row>
    <row r="2533">
      <c r="A2533" t="inlineStr">
        <is>
          <t>2024</t>
        </is>
      </c>
      <c r="B2533" t="inlineStr">
        <is>
          <t>C00496307</t>
        </is>
      </c>
      <c r="C2533" t="inlineStr">
        <is>
          <t>Marathon Petroleum Corp Employees PAC (MPAC)</t>
        </is>
      </c>
      <c r="D2533" t="inlineStr">
        <is>
          <t>RUDY FOR INDIANA</t>
        </is>
      </c>
      <c r="E2533" t="inlineStr">
        <is>
          <t>H2IN02295</t>
        </is>
      </c>
      <c r="F2533" t="inlineStr">
        <is>
          <t>REP</t>
        </is>
      </c>
      <c r="G2533" t="inlineStr">
        <is>
          <t>10232024</t>
        </is>
      </c>
      <c r="H2533" t="n">
        <v>2500</v>
      </c>
      <c r="I2533" t="inlineStr">
        <is>
          <t>202412059720825262</t>
        </is>
      </c>
      <c r="J2533" t="inlineStr">
        <is>
          <t>https://docquery.fec.gov/cgi-bin/fecimg/?202412059720825262</t>
        </is>
      </c>
    </row>
    <row r="2534">
      <c r="A2534" t="inlineStr">
        <is>
          <t>2024</t>
        </is>
      </c>
      <c r="B2534" t="inlineStr">
        <is>
          <t>C00496307</t>
        </is>
      </c>
      <c r="C2534" t="inlineStr">
        <is>
          <t>Marathon Petroleum Corp Employees PAC (MPAC)</t>
        </is>
      </c>
      <c r="D2534" t="inlineStr">
        <is>
          <t>RULLI FOR OHIO</t>
        </is>
      </c>
      <c r="E2534" t="inlineStr">
        <is>
          <t>H4OH06165</t>
        </is>
      </c>
      <c r="F2534" t="inlineStr">
        <is>
          <t>REP</t>
        </is>
      </c>
      <c r="G2534" t="inlineStr">
        <is>
          <t>10232024</t>
        </is>
      </c>
      <c r="H2534" t="n">
        <v>2500</v>
      </c>
      <c r="I2534" t="inlineStr">
        <is>
          <t>202412059720825263</t>
        </is>
      </c>
      <c r="J2534" t="inlineStr">
        <is>
          <t>https://docquery.fec.gov/cgi-bin/fecimg/?202412059720825263</t>
        </is>
      </c>
    </row>
    <row r="2535">
      <c r="A2535" t="inlineStr">
        <is>
          <t>2024</t>
        </is>
      </c>
      <c r="B2535" t="inlineStr">
        <is>
          <t>C00496307</t>
        </is>
      </c>
      <c r="C2535" t="inlineStr">
        <is>
          <t>Marathon Petroleum Corp Employees PAC (MPAC)</t>
        </is>
      </c>
      <c r="D2535" t="inlineStr">
        <is>
          <t>SMUCKER FOR CONGRESS</t>
        </is>
      </c>
      <c r="E2535" t="inlineStr">
        <is>
          <t>H6PA16320</t>
        </is>
      </c>
      <c r="F2535" t="inlineStr">
        <is>
          <t>REP</t>
        </is>
      </c>
      <c r="G2535" t="inlineStr">
        <is>
          <t>10232024</t>
        </is>
      </c>
      <c r="H2535" t="n">
        <v>2500</v>
      </c>
      <c r="I2535" t="inlineStr">
        <is>
          <t>202412059720825263</t>
        </is>
      </c>
      <c r="J2535" t="inlineStr">
        <is>
          <t>https://docquery.fec.gov/cgi-bin/fecimg/?202412059720825263</t>
        </is>
      </c>
    </row>
    <row r="2536">
      <c r="A2536" t="inlineStr">
        <is>
          <t>2024</t>
        </is>
      </c>
      <c r="B2536" t="inlineStr">
        <is>
          <t>C00496307</t>
        </is>
      </c>
      <c r="C2536" t="inlineStr">
        <is>
          <t>Marathon Petroleum Corp Employees PAC (MPAC)</t>
        </is>
      </c>
      <c r="D2536" t="inlineStr">
        <is>
          <t>CAREY FOR CONGRESS</t>
        </is>
      </c>
      <c r="E2536" t="inlineStr">
        <is>
          <t>H2OH15228</t>
        </is>
      </c>
      <c r="F2536" t="inlineStr">
        <is>
          <t>REP</t>
        </is>
      </c>
      <c r="G2536" t="inlineStr">
        <is>
          <t>10232024</t>
        </is>
      </c>
      <c r="H2536" t="n">
        <v>2500</v>
      </c>
      <c r="I2536" t="inlineStr">
        <is>
          <t>202412059720825255</t>
        </is>
      </c>
      <c r="J2536" t="inlineStr">
        <is>
          <t>https://docquery.fec.gov/cgi-bin/fecimg/?202412059720825255</t>
        </is>
      </c>
    </row>
    <row r="2537">
      <c r="A2537" t="inlineStr">
        <is>
          <t>2024</t>
        </is>
      </c>
      <c r="B2537" t="inlineStr">
        <is>
          <t>C00496307</t>
        </is>
      </c>
      <c r="C2537" t="inlineStr">
        <is>
          <t>Marathon Petroleum Corp Employees PAC (MPAC)</t>
        </is>
      </c>
      <c r="D2537" t="inlineStr">
        <is>
          <t>CITIZENS TO ELECT RICK LARSEN</t>
        </is>
      </c>
      <c r="E2537" t="inlineStr">
        <is>
          <t>H0WA02080</t>
        </is>
      </c>
      <c r="F2537" t="inlineStr">
        <is>
          <t>DEM</t>
        </is>
      </c>
      <c r="G2537" t="inlineStr">
        <is>
          <t>10232024</t>
        </is>
      </c>
      <c r="H2537" t="n">
        <v>2500</v>
      </c>
      <c r="I2537" t="inlineStr">
        <is>
          <t>202412059720825255</t>
        </is>
      </c>
      <c r="J2537" t="inlineStr">
        <is>
          <t>https://docquery.fec.gov/cgi-bin/fecimg/?202412059720825255</t>
        </is>
      </c>
    </row>
    <row r="2538">
      <c r="A2538" t="inlineStr">
        <is>
          <t>2024</t>
        </is>
      </c>
      <c r="B2538" t="inlineStr">
        <is>
          <t>C00496307</t>
        </is>
      </c>
      <c r="C2538" t="inlineStr">
        <is>
          <t>Marathon Petroleum Corp Employees PAC (MPAC)</t>
        </is>
      </c>
      <c r="D2538" t="inlineStr">
        <is>
          <t>DON BACON FOR CONGRESS</t>
        </is>
      </c>
      <c r="E2538" t="inlineStr">
        <is>
          <t>H6NE02125</t>
        </is>
      </c>
      <c r="F2538" t="inlineStr">
        <is>
          <t>REP</t>
        </is>
      </c>
      <c r="G2538" t="inlineStr">
        <is>
          <t>10232024</t>
        </is>
      </c>
      <c r="H2538" t="n">
        <v>2500</v>
      </c>
      <c r="I2538" t="inlineStr">
        <is>
          <t>202412059720825255</t>
        </is>
      </c>
      <c r="J2538" t="inlineStr">
        <is>
          <t>https://docquery.fec.gov/cgi-bin/fecimg/?202412059720825255</t>
        </is>
      </c>
    </row>
    <row r="2539">
      <c r="A2539" t="inlineStr">
        <is>
          <t>2024</t>
        </is>
      </c>
      <c r="B2539" t="inlineStr">
        <is>
          <t>C00496307</t>
        </is>
      </c>
      <c r="C2539" t="inlineStr">
        <is>
          <t>Marathon Petroleum Corp Employees PAC (MPAC)</t>
        </is>
      </c>
      <c r="D2539" t="inlineStr">
        <is>
          <t>KAT FOR CONGRESS</t>
        </is>
      </c>
      <c r="E2539" t="inlineStr">
        <is>
          <t>H0FL03175</t>
        </is>
      </c>
      <c r="F2539" t="inlineStr">
        <is>
          <t>REP</t>
        </is>
      </c>
      <c r="G2539" t="inlineStr">
        <is>
          <t>11082023</t>
        </is>
      </c>
      <c r="H2539" t="n">
        <v>5000</v>
      </c>
      <c r="I2539" t="inlineStr">
        <is>
          <t>202312119599437617</t>
        </is>
      </c>
      <c r="J2539" t="inlineStr">
        <is>
          <t>https://docquery.fec.gov/cgi-bin/fecimg/?202312119599437617</t>
        </is>
      </c>
    </row>
    <row r="2540">
      <c r="A2540" t="inlineStr">
        <is>
          <t>2024</t>
        </is>
      </c>
      <c r="B2540" t="inlineStr">
        <is>
          <t>C00496307</t>
        </is>
      </c>
      <c r="C2540" t="inlineStr">
        <is>
          <t>Marathon Petroleum Corp Employees PAC (MPAC)</t>
        </is>
      </c>
      <c r="D2540" t="inlineStr">
        <is>
          <t>BALDERSON FOR CONGRESS</t>
        </is>
      </c>
      <c r="E2540" t="inlineStr">
        <is>
          <t>H8OH12180</t>
        </is>
      </c>
      <c r="F2540" t="inlineStr">
        <is>
          <t>REP</t>
        </is>
      </c>
      <c r="G2540" t="inlineStr">
        <is>
          <t>11162023</t>
        </is>
      </c>
      <c r="H2540" t="n">
        <v>2500</v>
      </c>
      <c r="I2540" t="inlineStr">
        <is>
          <t>202312119599437615</t>
        </is>
      </c>
      <c r="J2540" t="inlineStr">
        <is>
          <t>https://docquery.fec.gov/cgi-bin/fecimg/?202312119599437615</t>
        </is>
      </c>
    </row>
    <row r="2541">
      <c r="A2541" t="inlineStr">
        <is>
          <t>2024</t>
        </is>
      </c>
      <c r="B2541" t="inlineStr">
        <is>
          <t>C00496307</t>
        </is>
      </c>
      <c r="C2541" t="inlineStr">
        <is>
          <t>Marathon Petroleum Corp Employees PAC (MPAC)</t>
        </is>
      </c>
      <c r="D2541" t="inlineStr">
        <is>
          <t>BETH VAN DUYNE FOR CONGRESS</t>
        </is>
      </c>
      <c r="E2541" t="inlineStr">
        <is>
          <t>H0TX24209</t>
        </is>
      </c>
      <c r="F2541" t="inlineStr">
        <is>
          <t>REP</t>
        </is>
      </c>
      <c r="G2541" t="inlineStr">
        <is>
          <t>11162023</t>
        </is>
      </c>
      <c r="H2541" t="n">
        <v>2000</v>
      </c>
      <c r="I2541" t="inlineStr">
        <is>
          <t>202312119599437615</t>
        </is>
      </c>
      <c r="J2541" t="inlineStr">
        <is>
          <t>https://docquery.fec.gov/cgi-bin/fecimg/?202312119599437615</t>
        </is>
      </c>
    </row>
    <row r="2542">
      <c r="A2542" t="inlineStr">
        <is>
          <t>2024</t>
        </is>
      </c>
      <c r="B2542" t="inlineStr">
        <is>
          <t>C00496307</t>
        </is>
      </c>
      <c r="C2542" t="inlineStr">
        <is>
          <t>Marathon Petroleum Corp Employees PAC (MPAC)</t>
        </is>
      </c>
      <c r="D2542" t="inlineStr">
        <is>
          <t>BRANDON FOR CONGRESS NY22</t>
        </is>
      </c>
      <c r="E2542" t="inlineStr">
        <is>
          <t>H2NY22212</t>
        </is>
      </c>
      <c r="F2542" t="inlineStr">
        <is>
          <t>REP</t>
        </is>
      </c>
      <c r="G2542" t="inlineStr">
        <is>
          <t>11162023</t>
        </is>
      </c>
      <c r="H2542" t="n">
        <v>2500</v>
      </c>
      <c r="I2542" t="inlineStr">
        <is>
          <t>202312119599437615</t>
        </is>
      </c>
      <c r="J2542" t="inlineStr">
        <is>
          <t>https://docquery.fec.gov/cgi-bin/fecimg/?202312119599437615</t>
        </is>
      </c>
    </row>
    <row r="2543">
      <c r="A2543" t="inlineStr">
        <is>
          <t>2024</t>
        </is>
      </c>
      <c r="B2543" t="inlineStr">
        <is>
          <t>C00496307</t>
        </is>
      </c>
      <c r="C2543" t="inlineStr">
        <is>
          <t>Marathon Petroleum Corp Employees PAC (MPAC)</t>
        </is>
      </c>
      <c r="D2543" t="inlineStr">
        <is>
          <t>ELIZABETH PANNILL FLETCHER FOR</t>
        </is>
      </c>
      <c r="E2543" t="inlineStr">
        <is>
          <t>H8TX07140</t>
        </is>
      </c>
      <c r="F2543" t="inlineStr">
        <is>
          <t>DEM</t>
        </is>
      </c>
      <c r="G2543" t="inlineStr">
        <is>
          <t>11162023</t>
        </is>
      </c>
      <c r="H2543" t="n">
        <v>2500</v>
      </c>
      <c r="I2543" t="inlineStr">
        <is>
          <t>202312119599437616</t>
        </is>
      </c>
      <c r="J2543" t="inlineStr">
        <is>
          <t>https://docquery.fec.gov/cgi-bin/fecimg/?202312119599437616</t>
        </is>
      </c>
    </row>
    <row r="2544">
      <c r="A2544" t="inlineStr">
        <is>
          <t>2024</t>
        </is>
      </c>
      <c r="B2544" t="inlineStr">
        <is>
          <t>C00496307</t>
        </is>
      </c>
      <c r="C2544" t="inlineStr">
        <is>
          <t>Marathon Petroleum Corp Employees PAC (MPAC)</t>
        </is>
      </c>
      <c r="D2544" t="inlineStr">
        <is>
          <t>MIKE JOHNSON FOR LOUISIANA</t>
        </is>
      </c>
      <c r="E2544" t="inlineStr">
        <is>
          <t>H6LA04138</t>
        </is>
      </c>
      <c r="F2544" t="inlineStr">
        <is>
          <t>REP</t>
        </is>
      </c>
      <c r="G2544" t="inlineStr">
        <is>
          <t>11162023</t>
        </is>
      </c>
      <c r="H2544" t="n">
        <v>2500</v>
      </c>
      <c r="I2544" t="inlineStr">
        <is>
          <t>202312119599437618</t>
        </is>
      </c>
      <c r="J2544" t="inlineStr">
        <is>
          <t>https://docquery.fec.gov/cgi-bin/fecimg/?202312119599437618</t>
        </is>
      </c>
    </row>
    <row r="2545">
      <c r="A2545" t="inlineStr">
        <is>
          <t>2024</t>
        </is>
      </c>
      <c r="B2545" t="inlineStr">
        <is>
          <t>C00496307</t>
        </is>
      </c>
      <c r="C2545" t="inlineStr">
        <is>
          <t>Marathon Petroleum Corp Employees PAC (MPAC)</t>
        </is>
      </c>
      <c r="D2545" t="inlineStr">
        <is>
          <t>MONICA FOR CONGRESS</t>
        </is>
      </c>
      <c r="E2545" t="inlineStr">
        <is>
          <t>H0TX15124</t>
        </is>
      </c>
      <c r="F2545" t="inlineStr">
        <is>
          <t>REP</t>
        </is>
      </c>
      <c r="G2545" t="inlineStr">
        <is>
          <t>11162023</t>
        </is>
      </c>
      <c r="H2545" t="n">
        <v>2500</v>
      </c>
      <c r="I2545" t="inlineStr">
        <is>
          <t>202312119599437618</t>
        </is>
      </c>
      <c r="J2545" t="inlineStr">
        <is>
          <t>https://docquery.fec.gov/cgi-bin/fecimg/?202312119599437618</t>
        </is>
      </c>
    </row>
    <row r="2546">
      <c r="A2546" t="inlineStr">
        <is>
          <t>2024</t>
        </is>
      </c>
      <c r="B2546" t="inlineStr">
        <is>
          <t>C00496307</t>
        </is>
      </c>
      <c r="C2546" t="inlineStr">
        <is>
          <t>Marathon Petroleum Corp Employees PAC (MPAC)</t>
        </is>
      </c>
      <c r="D2546" t="inlineStr">
        <is>
          <t>MCCAUL FOR CONGRESS</t>
        </is>
      </c>
      <c r="E2546" t="inlineStr">
        <is>
          <t>H4TX10093</t>
        </is>
      </c>
      <c r="F2546" t="inlineStr">
        <is>
          <t>REP</t>
        </is>
      </c>
      <c r="G2546" t="inlineStr">
        <is>
          <t>12062023</t>
        </is>
      </c>
      <c r="H2546" t="n">
        <v>2500</v>
      </c>
      <c r="I2546" t="inlineStr">
        <is>
          <t>202401239600234230</t>
        </is>
      </c>
      <c r="J2546" t="inlineStr">
        <is>
          <t>https://docquery.fec.gov/cgi-bin/fecimg/?202401239600234230</t>
        </is>
      </c>
    </row>
    <row r="2547">
      <c r="A2547" t="inlineStr">
        <is>
          <t>2024</t>
        </is>
      </c>
      <c r="B2547" t="inlineStr">
        <is>
          <t>C00496307</t>
        </is>
      </c>
      <c r="C2547" t="inlineStr">
        <is>
          <t>Marathon Petroleum Corp Employees PAC (MPAC)</t>
        </is>
      </c>
      <c r="D2547" t="inlineStr">
        <is>
          <t>PENCE FOR CONGRESS</t>
        </is>
      </c>
      <c r="E2547" t="inlineStr">
        <is>
          <t>H8IN06129</t>
        </is>
      </c>
      <c r="F2547" t="inlineStr">
        <is>
          <t>REP</t>
        </is>
      </c>
      <c r="G2547" t="inlineStr">
        <is>
          <t>12062023</t>
        </is>
      </c>
      <c r="H2547" t="n">
        <v>2500</v>
      </c>
      <c r="I2547" t="inlineStr">
        <is>
          <t>202401239600234231</t>
        </is>
      </c>
      <c r="J2547" t="inlineStr">
        <is>
          <t>https://docquery.fec.gov/cgi-bin/fecimg/?202401239600234231</t>
        </is>
      </c>
    </row>
    <row r="2548">
      <c r="A2548" t="inlineStr">
        <is>
          <t>2024</t>
        </is>
      </c>
      <c r="B2548" t="inlineStr">
        <is>
          <t>C00496307</t>
        </is>
      </c>
      <c r="C2548" t="inlineStr">
        <is>
          <t>Marathon Petroleum Corp Employees PAC (MPAC)</t>
        </is>
      </c>
      <c r="D2548" t="inlineStr">
        <is>
          <t>ADRIAN SMITH FOR CONGRESS</t>
        </is>
      </c>
      <c r="E2548" t="inlineStr">
        <is>
          <t>H6NE03115</t>
        </is>
      </c>
      <c r="F2548" t="inlineStr">
        <is>
          <t>REP</t>
        </is>
      </c>
      <c r="G2548" t="inlineStr">
        <is>
          <t>12062023</t>
        </is>
      </c>
      <c r="H2548" t="n">
        <v>2500</v>
      </c>
      <c r="I2548" t="inlineStr">
        <is>
          <t>202401239600234224</t>
        </is>
      </c>
      <c r="J2548" t="inlineStr">
        <is>
          <t>https://docquery.fec.gov/cgi-bin/fecimg/?202401239600234224</t>
        </is>
      </c>
    </row>
    <row r="2549">
      <c r="A2549" t="inlineStr">
        <is>
          <t>2024</t>
        </is>
      </c>
      <c r="B2549" t="inlineStr">
        <is>
          <t>C00496307</t>
        </is>
      </c>
      <c r="C2549" t="inlineStr">
        <is>
          <t>Marathon Petroleum Corp Employees PAC (MPAC)</t>
        </is>
      </c>
      <c r="D2549" t="inlineStr">
        <is>
          <t>AMODEI FOR NEVADA</t>
        </is>
      </c>
      <c r="E2549" t="inlineStr">
        <is>
          <t>H2NV02395</t>
        </is>
      </c>
      <c r="F2549" t="inlineStr">
        <is>
          <t>REP</t>
        </is>
      </c>
      <c r="G2549" t="inlineStr">
        <is>
          <t>12062023</t>
        </is>
      </c>
      <c r="H2549" t="n">
        <v>2500</v>
      </c>
      <c r="I2549" t="inlineStr">
        <is>
          <t>202401239600234224</t>
        </is>
      </c>
      <c r="J2549" t="inlineStr">
        <is>
          <t>https://docquery.fec.gov/cgi-bin/fecimg/?202401239600234224</t>
        </is>
      </c>
    </row>
    <row r="2550">
      <c r="A2550" t="inlineStr">
        <is>
          <t>2024</t>
        </is>
      </c>
      <c r="B2550" t="inlineStr">
        <is>
          <t>C00496307</t>
        </is>
      </c>
      <c r="C2550" t="inlineStr">
        <is>
          <t>Marathon Petroleum Corp Employees PAC (MPAC)</t>
        </is>
      </c>
      <c r="D2550" t="inlineStr">
        <is>
          <t>RICK SCOTT FOR SENATE</t>
        </is>
      </c>
      <c r="E2550" t="inlineStr">
        <is>
          <t>S8FL00273</t>
        </is>
      </c>
      <c r="F2550" t="inlineStr">
        <is>
          <t>REP</t>
        </is>
      </c>
      <c r="G2550" t="inlineStr">
        <is>
          <t>12062023</t>
        </is>
      </c>
      <c r="H2550" t="n">
        <v>2500</v>
      </c>
      <c r="I2550" t="inlineStr">
        <is>
          <t>202401239600234232</t>
        </is>
      </c>
      <c r="J2550" t="inlineStr">
        <is>
          <t>https://docquery.fec.gov/cgi-bin/fecimg/?202401239600234232</t>
        </is>
      </c>
    </row>
    <row r="2551">
      <c r="A2551" t="inlineStr">
        <is>
          <t>2024</t>
        </is>
      </c>
      <c r="B2551" t="inlineStr">
        <is>
          <t>C00496307</t>
        </is>
      </c>
      <c r="C2551" t="inlineStr">
        <is>
          <t>Marathon Petroleum Corp Employees PAC (MPAC)</t>
        </is>
      </c>
      <c r="D2551" t="inlineStr">
        <is>
          <t>TEXANS FOR HENRY CUELLAR</t>
        </is>
      </c>
      <c r="E2551" t="inlineStr">
        <is>
          <t>H2TX23082</t>
        </is>
      </c>
      <c r="F2551" t="inlineStr">
        <is>
          <t>DEM</t>
        </is>
      </c>
      <c r="G2551" t="inlineStr">
        <is>
          <t>12062023</t>
        </is>
      </c>
      <c r="H2551" t="n">
        <v>2500</v>
      </c>
      <c r="I2551" t="inlineStr">
        <is>
          <t>202401239600234232</t>
        </is>
      </c>
      <c r="J2551" t="inlineStr">
        <is>
          <t>https://docquery.fec.gov/cgi-bin/fecimg/?202401239600234232</t>
        </is>
      </c>
    </row>
    <row r="2552">
      <c r="A2552" t="inlineStr">
        <is>
          <t>2024</t>
        </is>
      </c>
      <c r="B2552" t="inlineStr">
        <is>
          <t>C00496307</t>
        </is>
      </c>
      <c r="C2552" t="inlineStr">
        <is>
          <t>Marathon Petroleum Corp Employees PAC (MPAC)</t>
        </is>
      </c>
      <c r="D2552" t="inlineStr">
        <is>
          <t>TEXANS FOR MORGAN LUTTRELL</t>
        </is>
      </c>
      <c r="E2552" t="inlineStr">
        <is>
          <t>H2TX08182</t>
        </is>
      </c>
      <c r="F2552" t="inlineStr">
        <is>
          <t>REP</t>
        </is>
      </c>
      <c r="G2552" t="inlineStr">
        <is>
          <t>12062023</t>
        </is>
      </c>
      <c r="H2552" t="n">
        <v>2500</v>
      </c>
      <c r="I2552" t="inlineStr">
        <is>
          <t>202401239600234233</t>
        </is>
      </c>
      <c r="J2552" t="inlineStr">
        <is>
          <t>https://docquery.fec.gov/cgi-bin/fecimg/?202401239600234233</t>
        </is>
      </c>
    </row>
    <row r="2553">
      <c r="A2553" t="inlineStr">
        <is>
          <t>2024</t>
        </is>
      </c>
      <c r="B2553" t="inlineStr">
        <is>
          <t>C00496307</t>
        </is>
      </c>
      <c r="C2553" t="inlineStr">
        <is>
          <t>Marathon Petroleum Corp Employees PAC (MPAC)</t>
        </is>
      </c>
      <c r="D2553" t="inlineStr">
        <is>
          <t>VALADAO FOR CONGRESS</t>
        </is>
      </c>
      <c r="E2553" t="inlineStr">
        <is>
          <t>H2CA20094</t>
        </is>
      </c>
      <c r="F2553" t="inlineStr">
        <is>
          <t>REP</t>
        </is>
      </c>
      <c r="G2553" t="inlineStr">
        <is>
          <t>12062023</t>
        </is>
      </c>
      <c r="H2553" t="n">
        <v>2500</v>
      </c>
      <c r="I2553" t="inlineStr">
        <is>
          <t>202401239600234233</t>
        </is>
      </c>
      <c r="J2553" t="inlineStr">
        <is>
          <t>https://docquery.fec.gov/cgi-bin/fecimg/?202401239600234233</t>
        </is>
      </c>
    </row>
    <row r="2554">
      <c r="A2554" t="inlineStr">
        <is>
          <t>2024</t>
        </is>
      </c>
      <c r="B2554" t="inlineStr">
        <is>
          <t>C00496307</t>
        </is>
      </c>
      <c r="C2554" t="inlineStr">
        <is>
          <t>Marathon Petroleum Corp Employees PAC (MPAC)</t>
        </is>
      </c>
      <c r="D2554" t="inlineStr">
        <is>
          <t>WALBERG FOR CONGRESS</t>
        </is>
      </c>
      <c r="E2554" t="inlineStr">
        <is>
          <t>H4MI07103</t>
        </is>
      </c>
      <c r="F2554" t="inlineStr">
        <is>
          <t>REP</t>
        </is>
      </c>
      <c r="G2554" t="inlineStr">
        <is>
          <t>12062023</t>
        </is>
      </c>
      <c r="H2554" t="n">
        <v>2500</v>
      </c>
      <c r="I2554" t="inlineStr">
        <is>
          <t>202401239600234233</t>
        </is>
      </c>
      <c r="J2554" t="inlineStr">
        <is>
          <t>https://docquery.fec.gov/cgi-bin/fecimg/?202401239600234233</t>
        </is>
      </c>
    </row>
    <row r="2555">
      <c r="A2555" t="inlineStr">
        <is>
          <t>2024</t>
        </is>
      </c>
      <c r="B2555" t="inlineStr">
        <is>
          <t>C00496307</t>
        </is>
      </c>
      <c r="C2555" t="inlineStr">
        <is>
          <t>Marathon Petroleum Corp Employees PAC (MPAC)</t>
        </is>
      </c>
      <c r="D2555" t="inlineStr">
        <is>
          <t>WALBERG FOR CONGRESS</t>
        </is>
      </c>
      <c r="E2555" t="inlineStr">
        <is>
          <t>H4MI07103</t>
        </is>
      </c>
      <c r="F2555" t="inlineStr">
        <is>
          <t>REP</t>
        </is>
      </c>
      <c r="G2555" t="inlineStr">
        <is>
          <t>12062023</t>
        </is>
      </c>
      <c r="H2555" t="n">
        <v>2500</v>
      </c>
      <c r="I2555" t="inlineStr">
        <is>
          <t>202401239600234234</t>
        </is>
      </c>
      <c r="J2555" t="inlineStr">
        <is>
          <t>https://docquery.fec.gov/cgi-bin/fecimg/?202401239600234234</t>
        </is>
      </c>
    </row>
    <row r="2556">
      <c r="A2556" t="inlineStr">
        <is>
          <t>2024</t>
        </is>
      </c>
      <c r="B2556" t="inlineStr">
        <is>
          <t>C00496307</t>
        </is>
      </c>
      <c r="C2556" t="inlineStr">
        <is>
          <t>Marathon Petroleum Corp Employees PAC (MPAC)</t>
        </is>
      </c>
      <c r="D2556" t="inlineStr">
        <is>
          <t>BILIRAKIS FOR CONGRESS</t>
        </is>
      </c>
      <c r="E2556" t="inlineStr">
        <is>
          <t>H6FL09070</t>
        </is>
      </c>
      <c r="F2556" t="inlineStr">
        <is>
          <t>REP</t>
        </is>
      </c>
      <c r="G2556" t="inlineStr">
        <is>
          <t>12062023</t>
        </is>
      </c>
      <c r="H2556" t="n">
        <v>2500</v>
      </c>
      <c r="I2556" t="inlineStr">
        <is>
          <t>202401239600234224</t>
        </is>
      </c>
      <c r="J2556" t="inlineStr">
        <is>
          <t>https://docquery.fec.gov/cgi-bin/fecimg/?202401239600234224</t>
        </is>
      </c>
    </row>
    <row r="2557">
      <c r="A2557" t="inlineStr">
        <is>
          <t>2024</t>
        </is>
      </c>
      <c r="B2557" t="inlineStr">
        <is>
          <t>C00496307</t>
        </is>
      </c>
      <c r="C2557" t="inlineStr">
        <is>
          <t>Marathon Petroleum Corp Employees PAC (MPAC)</t>
        </is>
      </c>
      <c r="D2557" t="inlineStr">
        <is>
          <t>BYRON DONALDS FOR CONGRESS</t>
        </is>
      </c>
      <c r="E2557" t="inlineStr">
        <is>
          <t>H2FL14186</t>
        </is>
      </c>
      <c r="F2557" t="inlineStr">
        <is>
          <t>REP</t>
        </is>
      </c>
      <c r="G2557" t="inlineStr">
        <is>
          <t>12062023</t>
        </is>
      </c>
      <c r="H2557" t="n">
        <v>2500</v>
      </c>
      <c r="I2557" t="inlineStr">
        <is>
          <t>202401239600234225</t>
        </is>
      </c>
      <c r="J2557" t="inlineStr">
        <is>
          <t>https://docquery.fec.gov/cgi-bin/fecimg/?202401239600234225</t>
        </is>
      </c>
    </row>
    <row r="2558">
      <c r="A2558" t="inlineStr">
        <is>
          <t>2024</t>
        </is>
      </c>
      <c r="B2558" t="inlineStr">
        <is>
          <t>C00496307</t>
        </is>
      </c>
      <c r="C2558" t="inlineStr">
        <is>
          <t>Marathon Petroleum Corp Employees PAC (MPAC)</t>
        </is>
      </c>
      <c r="D2558" t="inlineStr">
        <is>
          <t>CISCOMANI FOR CONGRESS</t>
        </is>
      </c>
      <c r="E2558" t="inlineStr">
        <is>
          <t>H2AZ02360</t>
        </is>
      </c>
      <c r="F2558" t="inlineStr">
        <is>
          <t>REP</t>
        </is>
      </c>
      <c r="G2558" t="inlineStr">
        <is>
          <t>12062023</t>
        </is>
      </c>
      <c r="H2558" t="n">
        <v>2500</v>
      </c>
      <c r="I2558" t="inlineStr">
        <is>
          <t>202401239600234225</t>
        </is>
      </c>
      <c r="J2558" t="inlineStr">
        <is>
          <t>https://docquery.fec.gov/cgi-bin/fecimg/?202401239600234225</t>
        </is>
      </c>
    </row>
    <row r="2559">
      <c r="A2559" t="inlineStr">
        <is>
          <t>2024</t>
        </is>
      </c>
      <c r="B2559" t="inlineStr">
        <is>
          <t>C00496307</t>
        </is>
      </c>
      <c r="C2559" t="inlineStr">
        <is>
          <t>Marathon Petroleum Corp Employees PAC (MPAC)</t>
        </is>
      </c>
      <c r="D2559" t="inlineStr">
        <is>
          <t>COLE FOR CONGRESS</t>
        </is>
      </c>
      <c r="E2559" t="inlineStr">
        <is>
          <t>H2OK04055</t>
        </is>
      </c>
      <c r="F2559" t="inlineStr">
        <is>
          <t>REP</t>
        </is>
      </c>
      <c r="G2559" t="inlineStr">
        <is>
          <t>12062023</t>
        </is>
      </c>
      <c r="H2559" t="n">
        <v>2500</v>
      </c>
      <c r="I2559" t="inlineStr">
        <is>
          <t>202401239600234225</t>
        </is>
      </c>
      <c r="J2559" t="inlineStr">
        <is>
          <t>https://docquery.fec.gov/cgi-bin/fecimg/?202401239600234225</t>
        </is>
      </c>
    </row>
    <row r="2560">
      <c r="A2560" t="inlineStr">
        <is>
          <t>2024</t>
        </is>
      </c>
      <c r="B2560" t="inlineStr">
        <is>
          <t>C00496307</t>
        </is>
      </c>
      <c r="C2560" t="inlineStr">
        <is>
          <t>Marathon Petroleum Corp Employees PAC (MPAC)</t>
        </is>
      </c>
      <c r="D2560" t="inlineStr">
        <is>
          <t>COLE FOR CONGRESS</t>
        </is>
      </c>
      <c r="E2560" t="inlineStr">
        <is>
          <t>H2OK04055</t>
        </is>
      </c>
      <c r="F2560" t="inlineStr">
        <is>
          <t>REP</t>
        </is>
      </c>
      <c r="G2560" t="inlineStr">
        <is>
          <t>12062023</t>
        </is>
      </c>
      <c r="H2560" t="n">
        <v>2500</v>
      </c>
      <c r="I2560" t="inlineStr">
        <is>
          <t>202401239600234226</t>
        </is>
      </c>
      <c r="J2560" t="inlineStr">
        <is>
          <t>https://docquery.fec.gov/cgi-bin/fecimg/?202401239600234226</t>
        </is>
      </c>
    </row>
    <row r="2561">
      <c r="A2561" t="inlineStr">
        <is>
          <t>2024</t>
        </is>
      </c>
      <c r="B2561" t="inlineStr">
        <is>
          <t>C00496307</t>
        </is>
      </c>
      <c r="C2561" t="inlineStr">
        <is>
          <t>Marathon Petroleum Corp Employees PAC (MPAC)</t>
        </is>
      </c>
      <c r="D2561" t="inlineStr">
        <is>
          <t>DEB FISCHER FOR US SENATE</t>
        </is>
      </c>
      <c r="E2561" t="inlineStr">
        <is>
          <t>S2NE00094</t>
        </is>
      </c>
      <c r="F2561" t="inlineStr">
        <is>
          <t>REP</t>
        </is>
      </c>
      <c r="G2561" t="inlineStr">
        <is>
          <t>12062023</t>
        </is>
      </c>
      <c r="H2561" t="n">
        <v>2500</v>
      </c>
      <c r="I2561" t="inlineStr">
        <is>
          <t>202401239600234226</t>
        </is>
      </c>
      <c r="J2561" t="inlineStr">
        <is>
          <t>https://docquery.fec.gov/cgi-bin/fecimg/?202401239600234226</t>
        </is>
      </c>
    </row>
    <row r="2562">
      <c r="A2562" t="inlineStr">
        <is>
          <t>2024</t>
        </is>
      </c>
      <c r="B2562" t="inlineStr">
        <is>
          <t>C00496307</t>
        </is>
      </c>
      <c r="C2562" t="inlineStr">
        <is>
          <t>Marathon Petroleum Corp Employees PAC (MPAC)</t>
        </is>
      </c>
      <c r="D2562" t="inlineStr">
        <is>
          <t>FRIENDS OF DAVE JOYCE</t>
        </is>
      </c>
      <c r="E2562" t="inlineStr">
        <is>
          <t>H2OH14064</t>
        </is>
      </c>
      <c r="F2562" t="inlineStr">
        <is>
          <t>REP</t>
        </is>
      </c>
      <c r="G2562" t="inlineStr">
        <is>
          <t>12062023</t>
        </is>
      </c>
      <c r="H2562" t="n">
        <v>2500</v>
      </c>
      <c r="I2562" t="inlineStr">
        <is>
          <t>202401239600234227</t>
        </is>
      </c>
      <c r="J2562" t="inlineStr">
        <is>
          <t>https://docquery.fec.gov/cgi-bin/fecimg/?202401239600234227</t>
        </is>
      </c>
    </row>
    <row r="2563">
      <c r="A2563" t="inlineStr">
        <is>
          <t>2024</t>
        </is>
      </c>
      <c r="B2563" t="inlineStr">
        <is>
          <t>C00496307</t>
        </is>
      </c>
      <c r="C2563" t="inlineStr">
        <is>
          <t>Marathon Petroleum Corp Employees PAC (MPAC)</t>
        </is>
      </c>
      <c r="D2563" t="inlineStr">
        <is>
          <t>FRIENDS OF DUSTY JOHNSON</t>
        </is>
      </c>
      <c r="E2563" t="inlineStr">
        <is>
          <t>H8SD01055</t>
        </is>
      </c>
      <c r="F2563" t="inlineStr">
        <is>
          <t>REP</t>
        </is>
      </c>
      <c r="G2563" t="inlineStr">
        <is>
          <t>12062023</t>
        </is>
      </c>
      <c r="H2563" t="n">
        <v>2500</v>
      </c>
      <c r="I2563" t="inlineStr">
        <is>
          <t>202401239600234228</t>
        </is>
      </c>
      <c r="J2563" t="inlineStr">
        <is>
          <t>https://docquery.fec.gov/cgi-bin/fecimg/?202401239600234228</t>
        </is>
      </c>
    </row>
    <row r="2564">
      <c r="A2564" t="inlineStr">
        <is>
          <t>2024</t>
        </is>
      </c>
      <c r="B2564" t="inlineStr">
        <is>
          <t>C00496307</t>
        </is>
      </c>
      <c r="C2564" t="inlineStr">
        <is>
          <t>Marathon Petroleum Corp Employees PAC (MPAC)</t>
        </is>
      </c>
      <c r="D2564" t="inlineStr">
        <is>
          <t>JAKE ELLZEY FOR CONGRESS</t>
        </is>
      </c>
      <c r="E2564" t="inlineStr">
        <is>
          <t>H8TX06266</t>
        </is>
      </c>
      <c r="F2564" t="inlineStr">
        <is>
          <t>REP</t>
        </is>
      </c>
      <c r="G2564" t="inlineStr">
        <is>
          <t>12062023</t>
        </is>
      </c>
      <c r="H2564" t="n">
        <v>2500</v>
      </c>
      <c r="I2564" t="inlineStr">
        <is>
          <t>202401239600234229</t>
        </is>
      </c>
      <c r="J2564" t="inlineStr">
        <is>
          <t>https://docquery.fec.gov/cgi-bin/fecimg/?202401239600234229</t>
        </is>
      </c>
    </row>
    <row r="2565">
      <c r="A2565" t="inlineStr">
        <is>
          <t>2024</t>
        </is>
      </c>
      <c r="B2565" t="inlineStr">
        <is>
          <t>C00496307</t>
        </is>
      </c>
      <c r="C2565" t="inlineStr">
        <is>
          <t>Marathon Petroleum Corp Employees PAC (MPAC)</t>
        </is>
      </c>
      <c r="D2565" t="inlineStr">
        <is>
          <t>JOHN JAMES FOR MICHIGAN</t>
        </is>
      </c>
      <c r="E2565" t="inlineStr">
        <is>
          <t>H2MI10150</t>
        </is>
      </c>
      <c r="F2565" t="inlineStr">
        <is>
          <t>REP</t>
        </is>
      </c>
      <c r="G2565" t="inlineStr">
        <is>
          <t>12062023</t>
        </is>
      </c>
      <c r="H2565" t="n">
        <v>3000</v>
      </c>
      <c r="I2565" t="inlineStr">
        <is>
          <t>202401239600234229</t>
        </is>
      </c>
      <c r="J2565" t="inlineStr">
        <is>
          <t>https://docquery.fec.gov/cgi-bin/fecimg/?202401239600234229</t>
        </is>
      </c>
    </row>
    <row r="2566">
      <c r="A2566" t="inlineStr">
        <is>
          <t>2024</t>
        </is>
      </c>
      <c r="B2566" t="inlineStr">
        <is>
          <t>C00496307</t>
        </is>
      </c>
      <c r="C2566" t="inlineStr">
        <is>
          <t>Marathon Petroleum Corp Employees PAC (MPAC)</t>
        </is>
      </c>
      <c r="D2566" t="inlineStr">
        <is>
          <t>BERNIE MORENO FOR SENATE</t>
        </is>
      </c>
      <c r="E2566" t="inlineStr">
        <is>
          <t>S4OH00192</t>
        </is>
      </c>
      <c r="F2566" t="inlineStr">
        <is>
          <t>REP</t>
        </is>
      </c>
      <c r="G2566" t="inlineStr">
        <is>
          <t>12102024</t>
        </is>
      </c>
      <c r="H2566" t="n">
        <v>5000</v>
      </c>
      <c r="I2566" t="inlineStr">
        <is>
          <t>202501249747761502</t>
        </is>
      </c>
      <c r="J2566" t="inlineStr">
        <is>
          <t>https://docquery.fec.gov/cgi-bin/fecimg/?202501249747761502</t>
        </is>
      </c>
    </row>
    <row r="2567">
      <c r="A2567" t="inlineStr">
        <is>
          <t>2024</t>
        </is>
      </c>
      <c r="B2567" t="inlineStr">
        <is>
          <t>C00496307</t>
        </is>
      </c>
      <c r="C2567" t="inlineStr">
        <is>
          <t>Marathon Petroleum Corp Employees PAC (MPAC)</t>
        </is>
      </c>
      <c r="D2567" t="inlineStr">
        <is>
          <t>BERNIE MORENO FOR SENATE</t>
        </is>
      </c>
      <c r="E2567" t="inlineStr">
        <is>
          <t>S4OH00192</t>
        </is>
      </c>
      <c r="F2567" t="inlineStr">
        <is>
          <t>REP</t>
        </is>
      </c>
      <c r="G2567" t="inlineStr">
        <is>
          <t>12102024</t>
        </is>
      </c>
      <c r="H2567" t="n">
        <v>5000</v>
      </c>
      <c r="I2567" t="inlineStr">
        <is>
          <t>202501249747761502</t>
        </is>
      </c>
      <c r="J2567" t="inlineStr">
        <is>
          <t>https://docquery.fec.gov/cgi-bin/fecimg/?202501249747761502</t>
        </is>
      </c>
    </row>
    <row r="2568">
      <c r="A2568" t="inlineStr">
        <is>
          <t>2024</t>
        </is>
      </c>
      <c r="B2568" t="inlineStr">
        <is>
          <t>C00496307</t>
        </is>
      </c>
      <c r="C2568" t="inlineStr">
        <is>
          <t>Marathon Petroleum Corp Employees PAC (MPAC)</t>
        </is>
      </c>
      <c r="D2568" t="inlineStr">
        <is>
          <t>LANGWORTHY FOR CONGRESS</t>
        </is>
      </c>
      <c r="E2568" t="inlineStr">
        <is>
          <t>H2NY23228</t>
        </is>
      </c>
      <c r="F2568" t="inlineStr">
        <is>
          <t>REP</t>
        </is>
      </c>
      <c r="G2568" t="inlineStr">
        <is>
          <t>12202023</t>
        </is>
      </c>
      <c r="H2568" t="n">
        <v>2500</v>
      </c>
      <c r="I2568" t="inlineStr">
        <is>
          <t>202401239600234230</t>
        </is>
      </c>
      <c r="J2568" t="inlineStr">
        <is>
          <t>https://docquery.fec.gov/cgi-bin/fecimg/?202401239600234230</t>
        </is>
      </c>
    </row>
    <row r="2569">
      <c r="A2569" t="inlineStr">
        <is>
          <t>2024</t>
        </is>
      </c>
      <c r="B2569" t="inlineStr">
        <is>
          <t>C00496307</t>
        </is>
      </c>
      <c r="C2569" t="inlineStr">
        <is>
          <t>Marathon Petroleum Corp Employees PAC (MPAC)</t>
        </is>
      </c>
      <c r="D2569" t="inlineStr">
        <is>
          <t>MARIE FOR CONGRESS</t>
        </is>
      </c>
      <c r="E2569" t="inlineStr">
        <is>
          <t>H2WA03217</t>
        </is>
      </c>
      <c r="F2569" t="inlineStr">
        <is>
          <t>DEM</t>
        </is>
      </c>
      <c r="G2569" t="inlineStr">
        <is>
          <t>12302024</t>
        </is>
      </c>
      <c r="H2569" t="n">
        <v>-5000</v>
      </c>
      <c r="I2569" t="inlineStr">
        <is>
          <t>202501249747761502</t>
        </is>
      </c>
      <c r="J2569" t="inlineStr">
        <is>
          <t>https://docquery.fec.gov/cgi-bin/fecimg/?202501249747761502</t>
        </is>
      </c>
    </row>
    <row r="2570">
      <c r="A2570" t="inlineStr">
        <is>
          <t>2024</t>
        </is>
      </c>
      <c r="B2570" t="inlineStr">
        <is>
          <t>C00513549</t>
        </is>
      </c>
      <c r="C2570" t="inlineStr">
        <is>
          <t>Phillips 66 PAC</t>
        </is>
      </c>
      <c r="D2570" t="inlineStr">
        <is>
          <t>AUGUST PFLUGER FOR CONGRESS</t>
        </is>
      </c>
      <c r="E2570" t="inlineStr">
        <is>
          <t>H0TX11230</t>
        </is>
      </c>
      <c r="F2570" t="inlineStr">
        <is>
          <t>REP</t>
        </is>
      </c>
      <c r="G2570" t="inlineStr">
        <is>
          <t>01182024</t>
        </is>
      </c>
      <c r="H2570" t="n">
        <v>2500</v>
      </c>
      <c r="I2570" t="inlineStr">
        <is>
          <t>202402209619799654</t>
        </is>
      </c>
      <c r="J2570" t="inlineStr">
        <is>
          <t>https://docquery.fec.gov/cgi-bin/fecimg/?202402209619799654</t>
        </is>
      </c>
    </row>
    <row r="2571">
      <c r="A2571" t="inlineStr">
        <is>
          <t>2024</t>
        </is>
      </c>
      <c r="B2571" t="inlineStr">
        <is>
          <t>C00513549</t>
        </is>
      </c>
      <c r="C2571" t="inlineStr">
        <is>
          <t>Phillips 66 PAC</t>
        </is>
      </c>
      <c r="D2571" t="inlineStr">
        <is>
          <t>DON DAVIS FOR NC</t>
        </is>
      </c>
      <c r="E2571" t="inlineStr">
        <is>
          <t>H2NC02287</t>
        </is>
      </c>
      <c r="F2571" t="inlineStr">
        <is>
          <t>DEM</t>
        </is>
      </c>
      <c r="G2571" t="inlineStr">
        <is>
          <t>01182024</t>
        </is>
      </c>
      <c r="H2571" t="n">
        <v>1000</v>
      </c>
      <c r="I2571" t="inlineStr">
        <is>
          <t>202402209619799654</t>
        </is>
      </c>
      <c r="J2571" t="inlineStr">
        <is>
          <t>https://docquery.fec.gov/cgi-bin/fecimg/?202402209619799654</t>
        </is>
      </c>
    </row>
    <row r="2572">
      <c r="A2572" t="inlineStr">
        <is>
          <t>2024</t>
        </is>
      </c>
      <c r="B2572" t="inlineStr">
        <is>
          <t>C00513549</t>
        </is>
      </c>
      <c r="C2572" t="inlineStr">
        <is>
          <t>Phillips 66 PAC</t>
        </is>
      </c>
      <c r="D2572" t="inlineStr">
        <is>
          <t>DR JOHN JOYCE FOR CONGRESS</t>
        </is>
      </c>
      <c r="E2572" t="inlineStr">
        <is>
          <t>H8PA13125</t>
        </is>
      </c>
      <c r="F2572" t="inlineStr">
        <is>
          <t>REP</t>
        </is>
      </c>
      <c r="G2572" t="inlineStr">
        <is>
          <t>01182024</t>
        </is>
      </c>
      <c r="H2572" t="n">
        <v>2500</v>
      </c>
      <c r="I2572" t="inlineStr">
        <is>
          <t>202402209619799655</t>
        </is>
      </c>
      <c r="J2572" t="inlineStr">
        <is>
          <t>https://docquery.fec.gov/cgi-bin/fecimg/?202402209619799655</t>
        </is>
      </c>
    </row>
    <row r="2573">
      <c r="A2573" t="inlineStr">
        <is>
          <t>2024</t>
        </is>
      </c>
      <c r="B2573" t="inlineStr">
        <is>
          <t>C00513549</t>
        </is>
      </c>
      <c r="C2573" t="inlineStr">
        <is>
          <t>Phillips 66 PAC</t>
        </is>
      </c>
      <c r="D2573" t="inlineStr">
        <is>
          <t>JASON SMITH FOR CONGRESS</t>
        </is>
      </c>
      <c r="E2573" t="inlineStr">
        <is>
          <t>H4MO08162</t>
        </is>
      </c>
      <c r="F2573" t="inlineStr">
        <is>
          <t>REP</t>
        </is>
      </c>
      <c r="G2573" t="inlineStr">
        <is>
          <t>01182024</t>
        </is>
      </c>
      <c r="H2573" t="n">
        <v>5000</v>
      </c>
      <c r="I2573" t="inlineStr">
        <is>
          <t>202402209619799655</t>
        </is>
      </c>
      <c r="J2573" t="inlineStr">
        <is>
          <t>https://docquery.fec.gov/cgi-bin/fecimg/?202402209619799655</t>
        </is>
      </c>
    </row>
    <row r="2574">
      <c r="A2574" t="inlineStr">
        <is>
          <t>2024</t>
        </is>
      </c>
      <c r="B2574" t="inlineStr">
        <is>
          <t>C00513549</t>
        </is>
      </c>
      <c r="C2574" t="inlineStr">
        <is>
          <t>Phillips 66 PAC</t>
        </is>
      </c>
      <c r="D2574" t="inlineStr">
        <is>
          <t>RICHARD E. NEAL FOR CONGRESS COMMITTEE</t>
        </is>
      </c>
      <c r="E2574" t="inlineStr">
        <is>
          <t>H8MA02041</t>
        </is>
      </c>
      <c r="F2574" t="inlineStr">
        <is>
          <t>DEM</t>
        </is>
      </c>
      <c r="G2574" t="inlineStr">
        <is>
          <t>01182024</t>
        </is>
      </c>
      <c r="H2574" t="n">
        <v>2500</v>
      </c>
      <c r="I2574" t="inlineStr">
        <is>
          <t>202402209619799657</t>
        </is>
      </c>
      <c r="J2574" t="inlineStr">
        <is>
          <t>https://docquery.fec.gov/cgi-bin/fecimg/?202402209619799657</t>
        </is>
      </c>
    </row>
    <row r="2575">
      <c r="A2575" t="inlineStr">
        <is>
          <t>2024</t>
        </is>
      </c>
      <c r="B2575" t="inlineStr">
        <is>
          <t>C00513549</t>
        </is>
      </c>
      <c r="C2575" t="inlineStr">
        <is>
          <t>Phillips 66 PAC</t>
        </is>
      </c>
      <c r="D2575" t="inlineStr">
        <is>
          <t>MIKE JOHNSON FOR LOUISIANA</t>
        </is>
      </c>
      <c r="E2575" t="inlineStr">
        <is>
          <t>H6LA04138</t>
        </is>
      </c>
      <c r="F2575" t="inlineStr">
        <is>
          <t>REP</t>
        </is>
      </c>
      <c r="G2575" t="inlineStr">
        <is>
          <t>01182024</t>
        </is>
      </c>
      <c r="H2575" t="n">
        <v>5000</v>
      </c>
      <c r="I2575" t="inlineStr">
        <is>
          <t>202402209619799656</t>
        </is>
      </c>
      <c r="J2575" t="inlineStr">
        <is>
          <t>https://docquery.fec.gov/cgi-bin/fecimg/?202402209619799656</t>
        </is>
      </c>
    </row>
    <row r="2576">
      <c r="A2576" t="inlineStr">
        <is>
          <t>2024</t>
        </is>
      </c>
      <c r="B2576" t="inlineStr">
        <is>
          <t>C00513549</t>
        </is>
      </c>
      <c r="C2576" t="inlineStr">
        <is>
          <t>Phillips 66 PAC</t>
        </is>
      </c>
      <c r="D2576" t="inlineStr">
        <is>
          <t>MONICA FOR CONGRESS</t>
        </is>
      </c>
      <c r="E2576" t="inlineStr">
        <is>
          <t>H0TX15124</t>
        </is>
      </c>
      <c r="F2576" t="inlineStr">
        <is>
          <t>REP</t>
        </is>
      </c>
      <c r="G2576" t="inlineStr">
        <is>
          <t>01182024</t>
        </is>
      </c>
      <c r="H2576" t="n">
        <v>1500</v>
      </c>
      <c r="I2576" t="inlineStr">
        <is>
          <t>202402209619799656</t>
        </is>
      </c>
      <c r="J2576" t="inlineStr">
        <is>
          <t>https://docquery.fec.gov/cgi-bin/fecimg/?202402209619799656</t>
        </is>
      </c>
    </row>
    <row r="2577">
      <c r="A2577" t="inlineStr">
        <is>
          <t>2024</t>
        </is>
      </c>
      <c r="B2577" t="inlineStr">
        <is>
          <t>C00513549</t>
        </is>
      </c>
      <c r="C2577" t="inlineStr">
        <is>
          <t>Phillips 66 PAC</t>
        </is>
      </c>
      <c r="D2577" t="inlineStr">
        <is>
          <t>TEXANS FOR RONNY JACKSON</t>
        </is>
      </c>
      <c r="E2577" t="inlineStr">
        <is>
          <t>H0TX13228</t>
        </is>
      </c>
      <c r="F2577" t="inlineStr">
        <is>
          <t>REP</t>
        </is>
      </c>
      <c r="G2577" t="inlineStr">
        <is>
          <t>01182024</t>
        </is>
      </c>
      <c r="H2577" t="n">
        <v>2500</v>
      </c>
      <c r="I2577" t="inlineStr">
        <is>
          <t>202402209619799657</t>
        </is>
      </c>
      <c r="J2577" t="inlineStr">
        <is>
          <t>https://docquery.fec.gov/cgi-bin/fecimg/?202402209619799657</t>
        </is>
      </c>
    </row>
    <row r="2578">
      <c r="A2578" t="inlineStr">
        <is>
          <t>2024</t>
        </is>
      </c>
      <c r="B2578" t="inlineStr">
        <is>
          <t>C00513549</t>
        </is>
      </c>
      <c r="C2578" t="inlineStr">
        <is>
          <t>Phillips 66 PAC</t>
        </is>
      </c>
      <c r="D2578" t="inlineStr">
        <is>
          <t>JIM COSTA FOR CONGRESS</t>
        </is>
      </c>
      <c r="E2578" t="inlineStr">
        <is>
          <t>H4CA20082</t>
        </is>
      </c>
      <c r="F2578" t="inlineStr">
        <is>
          <t>DEM</t>
        </is>
      </c>
      <c r="G2578" t="inlineStr">
        <is>
          <t>01242024</t>
        </is>
      </c>
      <c r="H2578" t="n">
        <v>1000</v>
      </c>
      <c r="I2578" t="inlineStr">
        <is>
          <t>202402209619799655</t>
        </is>
      </c>
      <c r="J2578" t="inlineStr">
        <is>
          <t>https://docquery.fec.gov/cgi-bin/fecimg/?202402209619799655</t>
        </is>
      </c>
    </row>
    <row r="2579">
      <c r="A2579" t="inlineStr">
        <is>
          <t>2024</t>
        </is>
      </c>
      <c r="B2579" t="inlineStr">
        <is>
          <t>C00513549</t>
        </is>
      </c>
      <c r="C2579" t="inlineStr">
        <is>
          <t>Phillips 66 PAC</t>
        </is>
      </c>
      <c r="D2579" t="inlineStr">
        <is>
          <t>VINCE FONG FOR CONGRESS</t>
        </is>
      </c>
      <c r="E2579" t="inlineStr">
        <is>
          <t>H4CA20181</t>
        </is>
      </c>
      <c r="F2579" t="inlineStr">
        <is>
          <t>REP</t>
        </is>
      </c>
      <c r="G2579" t="inlineStr">
        <is>
          <t>02072024</t>
        </is>
      </c>
      <c r="H2579" t="n">
        <v>2500</v>
      </c>
      <c r="I2579" t="inlineStr">
        <is>
          <t>202403209622537439</t>
        </is>
      </c>
      <c r="J2579" t="inlineStr">
        <is>
          <t>https://docquery.fec.gov/cgi-bin/fecimg/?202403209622537439</t>
        </is>
      </c>
    </row>
    <row r="2580">
      <c r="A2580" t="inlineStr">
        <is>
          <t>2024</t>
        </is>
      </c>
      <c r="B2580" t="inlineStr">
        <is>
          <t>C00513549</t>
        </is>
      </c>
      <c r="C2580" t="inlineStr">
        <is>
          <t>Phillips 66 PAC</t>
        </is>
      </c>
      <c r="D2580" t="inlineStr">
        <is>
          <t>NEVADANS FOR STEVEN HORSFORD</t>
        </is>
      </c>
      <c r="E2580" t="inlineStr">
        <is>
          <t>H2NV04011</t>
        </is>
      </c>
      <c r="F2580" t="inlineStr">
        <is>
          <t>DEM</t>
        </is>
      </c>
      <c r="G2580" t="inlineStr">
        <is>
          <t>02072024</t>
        </is>
      </c>
      <c r="H2580" t="n">
        <v>1000</v>
      </c>
      <c r="I2580" t="inlineStr">
        <is>
          <t>202403209622537437</t>
        </is>
      </c>
      <c r="J2580" t="inlineStr">
        <is>
          <t>https://docquery.fec.gov/cgi-bin/fecimg/?202403209622537437</t>
        </is>
      </c>
    </row>
    <row r="2581">
      <c r="A2581" t="inlineStr">
        <is>
          <t>2024</t>
        </is>
      </c>
      <c r="B2581" t="inlineStr">
        <is>
          <t>C00513549</t>
        </is>
      </c>
      <c r="C2581" t="inlineStr">
        <is>
          <t>Phillips 66 PAC</t>
        </is>
      </c>
      <c r="D2581" t="inlineStr">
        <is>
          <t>SYLVIA GARCIA FOR CONGRESS</t>
        </is>
      </c>
      <c r="E2581" t="inlineStr">
        <is>
          <t>H8TX29052</t>
        </is>
      </c>
      <c r="F2581" t="inlineStr">
        <is>
          <t>DEM</t>
        </is>
      </c>
      <c r="G2581" t="inlineStr">
        <is>
          <t>02072024</t>
        </is>
      </c>
      <c r="H2581" t="n">
        <v>5000</v>
      </c>
      <c r="I2581" t="inlineStr">
        <is>
          <t>202403209622537437</t>
        </is>
      </c>
      <c r="J2581" t="inlineStr">
        <is>
          <t>https://docquery.fec.gov/cgi-bin/fecimg/?202403209622537437</t>
        </is>
      </c>
    </row>
    <row r="2582">
      <c r="A2582" t="inlineStr">
        <is>
          <t>2024</t>
        </is>
      </c>
      <c r="B2582" t="inlineStr">
        <is>
          <t>C00513549</t>
        </is>
      </c>
      <c r="C2582" t="inlineStr">
        <is>
          <t>Phillips 66 PAC</t>
        </is>
      </c>
      <c r="D2582" t="inlineStr">
        <is>
          <t>CAPITO FOR WEST VIRGINIA</t>
        </is>
      </c>
      <c r="E2582" t="inlineStr">
        <is>
          <t>S4WV00159</t>
        </is>
      </c>
      <c r="F2582" t="inlineStr">
        <is>
          <t>REP</t>
        </is>
      </c>
      <c r="G2582" t="inlineStr">
        <is>
          <t>02072024</t>
        </is>
      </c>
      <c r="H2582" t="n">
        <v>2500</v>
      </c>
      <c r="I2582" t="inlineStr">
        <is>
          <t>202403209622537432</t>
        </is>
      </c>
      <c r="J2582" t="inlineStr">
        <is>
          <t>https://docquery.fec.gov/cgi-bin/fecimg/?202403209622537432</t>
        </is>
      </c>
    </row>
    <row r="2583">
      <c r="A2583" t="inlineStr">
        <is>
          <t>2024</t>
        </is>
      </c>
      <c r="B2583" t="inlineStr">
        <is>
          <t>C00513549</t>
        </is>
      </c>
      <c r="C2583" t="inlineStr">
        <is>
          <t>Phillips 66 PAC</t>
        </is>
      </c>
      <c r="D2583" t="inlineStr">
        <is>
          <t>CRAIG GOLDMAN FOR CONGRESS</t>
        </is>
      </c>
      <c r="E2583" t="inlineStr">
        <is>
          <t>H4TX12065</t>
        </is>
      </c>
      <c r="F2583" t="inlineStr">
        <is>
          <t>REP</t>
        </is>
      </c>
      <c r="G2583" t="inlineStr">
        <is>
          <t>02072024</t>
        </is>
      </c>
      <c r="H2583" t="n">
        <v>2500</v>
      </c>
      <c r="I2583" t="inlineStr">
        <is>
          <t>202403209622537433</t>
        </is>
      </c>
      <c r="J2583" t="inlineStr">
        <is>
          <t>https://docquery.fec.gov/cgi-bin/fecimg/?202403209622537433</t>
        </is>
      </c>
    </row>
    <row r="2584">
      <c r="A2584" t="inlineStr">
        <is>
          <t>2024</t>
        </is>
      </c>
      <c r="B2584" t="inlineStr">
        <is>
          <t>C00513549</t>
        </is>
      </c>
      <c r="C2584" t="inlineStr">
        <is>
          <t>Phillips 66 PAC</t>
        </is>
      </c>
      <c r="D2584" t="inlineStr">
        <is>
          <t>EMMER FOR CONGRESS</t>
        </is>
      </c>
      <c r="E2584" t="inlineStr">
        <is>
          <t>H4MN06087</t>
        </is>
      </c>
      <c r="F2584" t="inlineStr">
        <is>
          <t>REP</t>
        </is>
      </c>
      <c r="G2584" t="inlineStr">
        <is>
          <t>02072024</t>
        </is>
      </c>
      <c r="H2584" t="n">
        <v>5000</v>
      </c>
      <c r="I2584" t="inlineStr">
        <is>
          <t>202403209622537433</t>
        </is>
      </c>
      <c r="J2584" t="inlineStr">
        <is>
          <t>https://docquery.fec.gov/cgi-bin/fecimg/?202403209622537433</t>
        </is>
      </c>
    </row>
    <row r="2585">
      <c r="A2585" t="inlineStr">
        <is>
          <t>2024</t>
        </is>
      </c>
      <c r="B2585" t="inlineStr">
        <is>
          <t>C00513549</t>
        </is>
      </c>
      <c r="C2585" t="inlineStr">
        <is>
          <t>Phillips 66 PAC</t>
        </is>
      </c>
      <c r="D2585" t="inlineStr">
        <is>
          <t>EVAN LOW FOR CONGRESS</t>
        </is>
      </c>
      <c r="E2585" t="inlineStr">
        <is>
          <t>H4CA16239</t>
        </is>
      </c>
      <c r="F2585" t="inlineStr">
        <is>
          <t>DEM</t>
        </is>
      </c>
      <c r="G2585" t="inlineStr">
        <is>
          <t>02072024</t>
        </is>
      </c>
      <c r="H2585" t="n">
        <v>2500</v>
      </c>
      <c r="I2585" t="inlineStr">
        <is>
          <t>202403209622537434</t>
        </is>
      </c>
      <c r="J2585" t="inlineStr">
        <is>
          <t>https://docquery.fec.gov/cgi-bin/fecimg/?202403209622537434</t>
        </is>
      </c>
    </row>
    <row r="2586">
      <c r="A2586" t="inlineStr">
        <is>
          <t>2024</t>
        </is>
      </c>
      <c r="B2586" t="inlineStr">
        <is>
          <t>C00513549</t>
        </is>
      </c>
      <c r="C2586" t="inlineStr">
        <is>
          <t>Phillips 66 PAC</t>
        </is>
      </c>
      <c r="D2586" t="inlineStr">
        <is>
          <t>MARY PELTOLA FOR ALASKA</t>
        </is>
      </c>
      <c r="E2586" t="inlineStr">
        <is>
          <t>H2AK01158</t>
        </is>
      </c>
      <c r="F2586" t="inlineStr">
        <is>
          <t>DEM</t>
        </is>
      </c>
      <c r="G2586" t="inlineStr">
        <is>
          <t>02072024</t>
        </is>
      </c>
      <c r="H2586" t="n">
        <v>2500</v>
      </c>
      <c r="I2586" t="inlineStr">
        <is>
          <t>202403209622537436</t>
        </is>
      </c>
      <c r="J2586" t="inlineStr">
        <is>
          <t>https://docquery.fec.gov/cgi-bin/fecimg/?202403209622537436</t>
        </is>
      </c>
    </row>
    <row r="2587">
      <c r="A2587" t="inlineStr">
        <is>
          <t>2024</t>
        </is>
      </c>
      <c r="B2587" t="inlineStr">
        <is>
          <t>C00513549</t>
        </is>
      </c>
      <c r="C2587" t="inlineStr">
        <is>
          <t>Phillips 66 PAC</t>
        </is>
      </c>
      <c r="D2587" t="inlineStr">
        <is>
          <t>MIKE GARCIA FOR CONGRESS</t>
        </is>
      </c>
      <c r="E2587" t="inlineStr">
        <is>
          <t>H0CA25105</t>
        </is>
      </c>
      <c r="F2587" t="inlineStr">
        <is>
          <t>REP</t>
        </is>
      </c>
      <c r="G2587" t="inlineStr">
        <is>
          <t>02072024</t>
        </is>
      </c>
      <c r="H2587" t="n">
        <v>1500</v>
      </c>
      <c r="I2587" t="inlineStr">
        <is>
          <t>202403209622537436</t>
        </is>
      </c>
      <c r="J2587" t="inlineStr">
        <is>
          <t>https://docquery.fec.gov/cgi-bin/fecimg/?202403209622537436</t>
        </is>
      </c>
    </row>
    <row r="2588">
      <c r="A2588" t="inlineStr">
        <is>
          <t>2024</t>
        </is>
      </c>
      <c r="B2588" t="inlineStr">
        <is>
          <t>C00513549</t>
        </is>
      </c>
      <c r="C2588" t="inlineStr">
        <is>
          <t>Phillips 66 PAC</t>
        </is>
      </c>
      <c r="D2588" t="inlineStr">
        <is>
          <t>TIM SHEEHY FOR MONTANA</t>
        </is>
      </c>
      <c r="E2588" t="inlineStr">
        <is>
          <t>S4MT00183</t>
        </is>
      </c>
      <c r="F2588" t="inlineStr">
        <is>
          <t>REP</t>
        </is>
      </c>
      <c r="G2588" t="inlineStr">
        <is>
          <t>02072024</t>
        </is>
      </c>
      <c r="H2588" t="n">
        <v>2500</v>
      </c>
      <c r="I2588" t="inlineStr">
        <is>
          <t>202403209622537438</t>
        </is>
      </c>
      <c r="J2588" t="inlineStr">
        <is>
          <t>https://docquery.fec.gov/cgi-bin/fecimg/?202403209622537438</t>
        </is>
      </c>
    </row>
    <row r="2589">
      <c r="A2589" t="inlineStr">
        <is>
          <t>2024</t>
        </is>
      </c>
      <c r="B2589" t="inlineStr">
        <is>
          <t>C00513549</t>
        </is>
      </c>
      <c r="C2589" t="inlineStr">
        <is>
          <t>Phillips 66 PAC</t>
        </is>
      </c>
      <c r="D2589" t="inlineStr">
        <is>
          <t>DR JOHN JOYCE FOR CONGRESS</t>
        </is>
      </c>
      <c r="E2589" t="inlineStr">
        <is>
          <t>H8PA13125</t>
        </is>
      </c>
      <c r="F2589" t="inlineStr">
        <is>
          <t>REP</t>
        </is>
      </c>
      <c r="G2589" t="inlineStr">
        <is>
          <t>02142023</t>
        </is>
      </c>
      <c r="H2589" t="n">
        <v>2500</v>
      </c>
      <c r="I2589" t="inlineStr">
        <is>
          <t>202303179579301947</t>
        </is>
      </c>
      <c r="J2589" t="inlineStr">
        <is>
          <t>https://docquery.fec.gov/cgi-bin/fecimg/?202303179579301947</t>
        </is>
      </c>
    </row>
    <row r="2590">
      <c r="A2590" t="inlineStr">
        <is>
          <t>2024</t>
        </is>
      </c>
      <c r="B2590" t="inlineStr">
        <is>
          <t>C00513549</t>
        </is>
      </c>
      <c r="C2590" t="inlineStr">
        <is>
          <t>Phillips 66 PAC</t>
        </is>
      </c>
      <c r="D2590" t="inlineStr">
        <is>
          <t>ARMSTRONG FOR CONGRESS</t>
        </is>
      </c>
      <c r="E2590" t="inlineStr">
        <is>
          <t>H8ND00096</t>
        </is>
      </c>
      <c r="F2590" t="inlineStr">
        <is>
          <t>REP</t>
        </is>
      </c>
      <c r="G2590" t="inlineStr">
        <is>
          <t>02142023</t>
        </is>
      </c>
      <c r="H2590" t="n">
        <v>2500</v>
      </c>
      <c r="I2590" t="inlineStr">
        <is>
          <t>202303179579301946</t>
        </is>
      </c>
      <c r="J2590" t="inlineStr">
        <is>
          <t>https://docquery.fec.gov/cgi-bin/fecimg/?202303179579301946</t>
        </is>
      </c>
    </row>
    <row r="2591">
      <c r="A2591" t="inlineStr">
        <is>
          <t>2024</t>
        </is>
      </c>
      <c r="B2591" t="inlineStr">
        <is>
          <t>C00513549</t>
        </is>
      </c>
      <c r="C2591" t="inlineStr">
        <is>
          <t>Phillips 66 PAC</t>
        </is>
      </c>
      <c r="D2591" t="inlineStr">
        <is>
          <t>ASHLEY HINSON FOR CONGRESS</t>
        </is>
      </c>
      <c r="E2591" t="inlineStr">
        <is>
          <t>H0IA01174</t>
        </is>
      </c>
      <c r="F2591" t="inlineStr">
        <is>
          <t>REP</t>
        </is>
      </c>
      <c r="G2591" t="inlineStr">
        <is>
          <t>02142023</t>
        </is>
      </c>
      <c r="H2591" t="n">
        <v>2500</v>
      </c>
      <c r="I2591" t="inlineStr">
        <is>
          <t>202303179579301946</t>
        </is>
      </c>
      <c r="J2591" t="inlineStr">
        <is>
          <t>https://docquery.fec.gov/cgi-bin/fecimg/?202303179579301946</t>
        </is>
      </c>
    </row>
    <row r="2592">
      <c r="A2592" t="inlineStr">
        <is>
          <t>2024</t>
        </is>
      </c>
      <c r="B2592" t="inlineStr">
        <is>
          <t>C00513549</t>
        </is>
      </c>
      <c r="C2592" t="inlineStr">
        <is>
          <t>Phillips 66 PAC</t>
        </is>
      </c>
      <c r="D2592" t="inlineStr">
        <is>
          <t>AUGUST PFLUGER FOR CONGRESS</t>
        </is>
      </c>
      <c r="E2592" t="inlineStr">
        <is>
          <t>H0TX11230</t>
        </is>
      </c>
      <c r="F2592" t="inlineStr">
        <is>
          <t>REP</t>
        </is>
      </c>
      <c r="G2592" t="inlineStr">
        <is>
          <t>02142023</t>
        </is>
      </c>
      <c r="H2592" t="n">
        <v>2500</v>
      </c>
      <c r="I2592" t="inlineStr">
        <is>
          <t>202303179579301946</t>
        </is>
      </c>
      <c r="J2592" t="inlineStr">
        <is>
          <t>https://docquery.fec.gov/cgi-bin/fecimg/?202303179579301946</t>
        </is>
      </c>
    </row>
    <row r="2593">
      <c r="A2593" t="inlineStr">
        <is>
          <t>2024</t>
        </is>
      </c>
      <c r="B2593" t="inlineStr">
        <is>
          <t>C00513549</t>
        </is>
      </c>
      <c r="C2593" t="inlineStr">
        <is>
          <t>Phillips 66 PAC</t>
        </is>
      </c>
      <c r="D2593" t="inlineStr">
        <is>
          <t>BICE FOR CONGRESS</t>
        </is>
      </c>
      <c r="E2593" t="inlineStr">
        <is>
          <t>H0OK05205</t>
        </is>
      </c>
      <c r="F2593" t="inlineStr">
        <is>
          <t>REP</t>
        </is>
      </c>
      <c r="G2593" t="inlineStr">
        <is>
          <t>02142023</t>
        </is>
      </c>
      <c r="H2593" t="n">
        <v>2500</v>
      </c>
      <c r="I2593" t="inlineStr">
        <is>
          <t>202303179579301947</t>
        </is>
      </c>
      <c r="J2593" t="inlineStr">
        <is>
          <t>https://docquery.fec.gov/cgi-bin/fecimg/?202303179579301947</t>
        </is>
      </c>
    </row>
    <row r="2594">
      <c r="A2594" t="inlineStr">
        <is>
          <t>2024</t>
        </is>
      </c>
      <c r="B2594" t="inlineStr">
        <is>
          <t>C00513549</t>
        </is>
      </c>
      <c r="C2594" t="inlineStr">
        <is>
          <t>Phillips 66 PAC</t>
        </is>
      </c>
      <c r="D2594" t="inlineStr">
        <is>
          <t>ELIZABETH PANNILL FLETCHER FOR CONGRESS</t>
        </is>
      </c>
      <c r="E2594" t="inlineStr">
        <is>
          <t>H8TX07140</t>
        </is>
      </c>
      <c r="F2594" t="inlineStr">
        <is>
          <t>DEM</t>
        </is>
      </c>
      <c r="G2594" t="inlineStr">
        <is>
          <t>02142023</t>
        </is>
      </c>
      <c r="H2594" t="n">
        <v>5000</v>
      </c>
      <c r="I2594" t="inlineStr">
        <is>
          <t>202303179579301948</t>
        </is>
      </c>
      <c r="J2594" t="inlineStr">
        <is>
          <t>https://docquery.fec.gov/cgi-bin/fecimg/?202303179579301948</t>
        </is>
      </c>
    </row>
    <row r="2595">
      <c r="A2595" t="inlineStr">
        <is>
          <t>2024</t>
        </is>
      </c>
      <c r="B2595" t="inlineStr">
        <is>
          <t>C00513549</t>
        </is>
      </c>
      <c r="C2595" t="inlineStr">
        <is>
          <t>Phillips 66 PAC</t>
        </is>
      </c>
      <c r="D2595" t="inlineStr">
        <is>
          <t>HUDSON FOR CONGRESS</t>
        </is>
      </c>
      <c r="E2595" t="inlineStr">
        <is>
          <t>H2NC08185</t>
        </is>
      </c>
      <c r="F2595" t="inlineStr">
        <is>
          <t>REP</t>
        </is>
      </c>
      <c r="G2595" t="inlineStr">
        <is>
          <t>02142023</t>
        </is>
      </c>
      <c r="H2595" t="n">
        <v>2500</v>
      </c>
      <c r="I2595" t="inlineStr">
        <is>
          <t>202303179579301948</t>
        </is>
      </c>
      <c r="J2595" t="inlineStr">
        <is>
          <t>https://docquery.fec.gov/cgi-bin/fecimg/?202303179579301948</t>
        </is>
      </c>
    </row>
    <row r="2596">
      <c r="A2596" t="inlineStr">
        <is>
          <t>2024</t>
        </is>
      </c>
      <c r="B2596" t="inlineStr">
        <is>
          <t>C00513549</t>
        </is>
      </c>
      <c r="C2596" t="inlineStr">
        <is>
          <t>Phillips 66 PAC</t>
        </is>
      </c>
      <c r="D2596" t="inlineStr">
        <is>
          <t>JASON SMITH FOR CONGRESS</t>
        </is>
      </c>
      <c r="E2596" t="inlineStr">
        <is>
          <t>H4MO08162</t>
        </is>
      </c>
      <c r="F2596" t="inlineStr">
        <is>
          <t>REP</t>
        </is>
      </c>
      <c r="G2596" t="inlineStr">
        <is>
          <t>02142023</t>
        </is>
      </c>
      <c r="H2596" t="n">
        <v>5000</v>
      </c>
      <c r="I2596" t="inlineStr">
        <is>
          <t>202303179579301948</t>
        </is>
      </c>
      <c r="J2596" t="inlineStr">
        <is>
          <t>https://docquery.fec.gov/cgi-bin/fecimg/?202303179579301948</t>
        </is>
      </c>
    </row>
    <row r="2597">
      <c r="A2597" t="inlineStr">
        <is>
          <t>2024</t>
        </is>
      </c>
      <c r="B2597" t="inlineStr">
        <is>
          <t>C00513549</t>
        </is>
      </c>
      <c r="C2597" t="inlineStr">
        <is>
          <t>Phillips 66 PAC</t>
        </is>
      </c>
      <c r="D2597" t="inlineStr">
        <is>
          <t>LATTA FOR CONGRESS</t>
        </is>
      </c>
      <c r="E2597" t="inlineStr">
        <is>
          <t>H8OH05036</t>
        </is>
      </c>
      <c r="F2597" t="inlineStr">
        <is>
          <t>REP</t>
        </is>
      </c>
      <c r="G2597" t="inlineStr">
        <is>
          <t>02142023</t>
        </is>
      </c>
      <c r="H2597" t="n">
        <v>2500</v>
      </c>
      <c r="I2597" t="inlineStr">
        <is>
          <t>202303179579301949</t>
        </is>
      </c>
      <c r="J2597" t="inlineStr">
        <is>
          <t>https://docquery.fec.gov/cgi-bin/fecimg/?202303179579301949</t>
        </is>
      </c>
    </row>
    <row r="2598">
      <c r="A2598" t="inlineStr">
        <is>
          <t>2024</t>
        </is>
      </c>
      <c r="B2598" t="inlineStr">
        <is>
          <t>C00513549</t>
        </is>
      </c>
      <c r="C2598" t="inlineStr">
        <is>
          <t>Phillips 66 PAC</t>
        </is>
      </c>
      <c r="D2598" t="inlineStr">
        <is>
          <t>TEXANS FOR HENRY CUELLAR CONGRESSIONAL CAMPAIGN</t>
        </is>
      </c>
      <c r="E2598" t="inlineStr">
        <is>
          <t>H2TX23082</t>
        </is>
      </c>
      <c r="F2598" t="inlineStr">
        <is>
          <t>DEM</t>
        </is>
      </c>
      <c r="G2598" t="inlineStr">
        <is>
          <t>02142023</t>
        </is>
      </c>
      <c r="H2598" t="n">
        <v>5000</v>
      </c>
      <c r="I2598" t="inlineStr">
        <is>
          <t>202303179579301949</t>
        </is>
      </c>
      <c r="J2598" t="inlineStr">
        <is>
          <t>https://docquery.fec.gov/cgi-bin/fecimg/?202303179579301949</t>
        </is>
      </c>
    </row>
    <row r="2599">
      <c r="A2599" t="inlineStr">
        <is>
          <t>2024</t>
        </is>
      </c>
      <c r="B2599" t="inlineStr">
        <is>
          <t>C00513549</t>
        </is>
      </c>
      <c r="C2599" t="inlineStr">
        <is>
          <t>Phillips 66 PAC</t>
        </is>
      </c>
      <c r="D2599" t="inlineStr">
        <is>
          <t>TEXANS FOR JODEY ARRINGTON</t>
        </is>
      </c>
      <c r="E2599" t="inlineStr">
        <is>
          <t>H6TX19099</t>
        </is>
      </c>
      <c r="F2599" t="inlineStr">
        <is>
          <t>REP</t>
        </is>
      </c>
      <c r="G2599" t="inlineStr">
        <is>
          <t>02142023</t>
        </is>
      </c>
      <c r="H2599" t="n">
        <v>2500</v>
      </c>
      <c r="I2599" t="inlineStr">
        <is>
          <t>202303179579301950</t>
        </is>
      </c>
      <c r="J2599" t="inlineStr">
        <is>
          <t>https://docquery.fec.gov/cgi-bin/fecimg/?202303179579301950</t>
        </is>
      </c>
    </row>
    <row r="2600">
      <c r="A2600" t="inlineStr">
        <is>
          <t>2024</t>
        </is>
      </c>
      <c r="B2600" t="inlineStr">
        <is>
          <t>C00513549</t>
        </is>
      </c>
      <c r="C2600" t="inlineStr">
        <is>
          <t>Phillips 66 PAC</t>
        </is>
      </c>
      <c r="D2600" t="inlineStr">
        <is>
          <t>TONY GONZALES FOR CONGRESS</t>
        </is>
      </c>
      <c r="E2600" t="inlineStr">
        <is>
          <t>H0TX35015</t>
        </is>
      </c>
      <c r="F2600" t="inlineStr">
        <is>
          <t>REP</t>
        </is>
      </c>
      <c r="G2600" t="inlineStr">
        <is>
          <t>02142023</t>
        </is>
      </c>
      <c r="H2600" t="n">
        <v>2500</v>
      </c>
      <c r="I2600" t="inlineStr">
        <is>
          <t>202303179579301950</t>
        </is>
      </c>
      <c r="J2600" t="inlineStr">
        <is>
          <t>https://docquery.fec.gov/cgi-bin/fecimg/?202303179579301950</t>
        </is>
      </c>
    </row>
    <row r="2601">
      <c r="A2601" t="inlineStr">
        <is>
          <t>2024</t>
        </is>
      </c>
      <c r="B2601" t="inlineStr">
        <is>
          <t>C00513549</t>
        </is>
      </c>
      <c r="C2601" t="inlineStr">
        <is>
          <t>Phillips 66 PAC</t>
        </is>
      </c>
      <c r="D2601" t="inlineStr">
        <is>
          <t>WEBER FOR CONGRESS</t>
        </is>
      </c>
      <c r="E2601" t="inlineStr">
        <is>
          <t>H2TX14149</t>
        </is>
      </c>
      <c r="F2601" t="inlineStr">
        <is>
          <t>REP</t>
        </is>
      </c>
      <c r="G2601" t="inlineStr">
        <is>
          <t>02142023</t>
        </is>
      </c>
      <c r="H2601" t="n">
        <v>5000</v>
      </c>
      <c r="I2601" t="inlineStr">
        <is>
          <t>202303179579301950</t>
        </is>
      </c>
      <c r="J2601" t="inlineStr">
        <is>
          <t>https://docquery.fec.gov/cgi-bin/fecimg/?202303179579301950</t>
        </is>
      </c>
    </row>
    <row r="2602">
      <c r="A2602" t="inlineStr">
        <is>
          <t>2024</t>
        </is>
      </c>
      <c r="B2602" t="inlineStr">
        <is>
          <t>C00513549</t>
        </is>
      </c>
      <c r="C2602" t="inlineStr">
        <is>
          <t>Phillips 66 PAC</t>
        </is>
      </c>
      <c r="D2602" t="inlineStr">
        <is>
          <t>WEBER FOR CONGRESS</t>
        </is>
      </c>
      <c r="E2602" t="inlineStr">
        <is>
          <t>H2TX14149</t>
        </is>
      </c>
      <c r="F2602" t="inlineStr">
        <is>
          <t>REP</t>
        </is>
      </c>
      <c r="G2602" t="inlineStr">
        <is>
          <t>02262024</t>
        </is>
      </c>
      <c r="H2602" t="n">
        <v>2500</v>
      </c>
      <c r="I2602" t="inlineStr">
        <is>
          <t>202403209622537439</t>
        </is>
      </c>
      <c r="J2602" t="inlineStr">
        <is>
          <t>https://docquery.fec.gov/cgi-bin/fecimg/?202403209622537439</t>
        </is>
      </c>
    </row>
    <row r="2603">
      <c r="A2603" t="inlineStr">
        <is>
          <t>2024</t>
        </is>
      </c>
      <c r="B2603" t="inlineStr">
        <is>
          <t>C00513549</t>
        </is>
      </c>
      <c r="C2603" t="inlineStr">
        <is>
          <t>Phillips 66 PAC</t>
        </is>
      </c>
      <c r="D2603" t="inlineStr">
        <is>
          <t>ZINKE FOR CONGRESS</t>
        </is>
      </c>
      <c r="E2603" t="inlineStr">
        <is>
          <t>H4MT01041</t>
        </is>
      </c>
      <c r="F2603" t="inlineStr">
        <is>
          <t>REP</t>
        </is>
      </c>
      <c r="G2603" t="inlineStr">
        <is>
          <t>02262024</t>
        </is>
      </c>
      <c r="H2603" t="n">
        <v>2500</v>
      </c>
      <c r="I2603" t="inlineStr">
        <is>
          <t>202403209622537440</t>
        </is>
      </c>
      <c r="J2603" t="inlineStr">
        <is>
          <t>https://docquery.fec.gov/cgi-bin/fecimg/?202403209622537440</t>
        </is>
      </c>
    </row>
    <row r="2604">
      <c r="A2604" t="inlineStr">
        <is>
          <t>2024</t>
        </is>
      </c>
      <c r="B2604" t="inlineStr">
        <is>
          <t>C00513549</t>
        </is>
      </c>
      <c r="C2604" t="inlineStr">
        <is>
          <t>Phillips 66 PAC</t>
        </is>
      </c>
      <c r="D2604" t="inlineStr">
        <is>
          <t>CLOUD FOR CONGRESS</t>
        </is>
      </c>
      <c r="E2604" t="inlineStr">
        <is>
          <t>H8TX27049</t>
        </is>
      </c>
      <c r="F2604" t="inlineStr">
        <is>
          <t>REP</t>
        </is>
      </c>
      <c r="G2604" t="inlineStr">
        <is>
          <t>02262024</t>
        </is>
      </c>
      <c r="H2604" t="n">
        <v>2500</v>
      </c>
      <c r="I2604" t="inlineStr">
        <is>
          <t>202403209622537432</t>
        </is>
      </c>
      <c r="J2604" t="inlineStr">
        <is>
          <t>https://docquery.fec.gov/cgi-bin/fecimg/?202403209622537432</t>
        </is>
      </c>
    </row>
    <row r="2605">
      <c r="A2605" t="inlineStr">
        <is>
          <t>2024</t>
        </is>
      </c>
      <c r="B2605" t="inlineStr">
        <is>
          <t>C00513549</t>
        </is>
      </c>
      <c r="C2605" t="inlineStr">
        <is>
          <t>Phillips 66 PAC</t>
        </is>
      </c>
      <c r="D2605" t="inlineStr">
        <is>
          <t>DEB FISCHER FOR US SENATE INC</t>
        </is>
      </c>
      <c r="E2605" t="inlineStr">
        <is>
          <t>S2NE00094</t>
        </is>
      </c>
      <c r="F2605" t="inlineStr">
        <is>
          <t>REP</t>
        </is>
      </c>
      <c r="G2605" t="inlineStr">
        <is>
          <t>02262024</t>
        </is>
      </c>
      <c r="H2605" t="n">
        <v>2500</v>
      </c>
      <c r="I2605" t="inlineStr">
        <is>
          <t>202403209622537433</t>
        </is>
      </c>
      <c r="J2605" t="inlineStr">
        <is>
          <t>https://docquery.fec.gov/cgi-bin/fecimg/?202403209622537433</t>
        </is>
      </c>
    </row>
    <row r="2606">
      <c r="A2606" t="inlineStr">
        <is>
          <t>2024</t>
        </is>
      </c>
      <c r="B2606" t="inlineStr">
        <is>
          <t>C00513549</t>
        </is>
      </c>
      <c r="C2606" t="inlineStr">
        <is>
          <t>Phillips 66 PAC</t>
        </is>
      </c>
      <c r="D2606" t="inlineStr">
        <is>
          <t>FRIENDS OF JOHN BARRASSO</t>
        </is>
      </c>
      <c r="E2606" t="inlineStr">
        <is>
          <t>S6WY00068</t>
        </is>
      </c>
      <c r="F2606" t="inlineStr">
        <is>
          <t>REP</t>
        </is>
      </c>
      <c r="G2606" t="inlineStr">
        <is>
          <t>02262024</t>
        </is>
      </c>
      <c r="H2606" t="n">
        <v>4000</v>
      </c>
      <c r="I2606" t="inlineStr">
        <is>
          <t>202403209622537434</t>
        </is>
      </c>
      <c r="J2606" t="inlineStr">
        <is>
          <t>https://docquery.fec.gov/cgi-bin/fecimg/?202403209622537434</t>
        </is>
      </c>
    </row>
    <row r="2607">
      <c r="A2607" t="inlineStr">
        <is>
          <t>2024</t>
        </is>
      </c>
      <c r="B2607" t="inlineStr">
        <is>
          <t>C00513549</t>
        </is>
      </c>
      <c r="C2607" t="inlineStr">
        <is>
          <t>Phillips 66 PAC</t>
        </is>
      </c>
      <c r="D2607" t="inlineStr">
        <is>
          <t>JOHN JAMES FOR CONGRESS, INC.</t>
        </is>
      </c>
      <c r="E2607" t="inlineStr">
        <is>
          <t>H2MI10150</t>
        </is>
      </c>
      <c r="F2607" t="inlineStr">
        <is>
          <t>REP</t>
        </is>
      </c>
      <c r="G2607" t="inlineStr">
        <is>
          <t>02262024</t>
        </is>
      </c>
      <c r="H2607" t="n">
        <v>2500</v>
      </c>
      <c r="I2607" t="inlineStr">
        <is>
          <t>202403209622537435</t>
        </is>
      </c>
      <c r="J2607" t="inlineStr">
        <is>
          <t>https://docquery.fec.gov/cgi-bin/fecimg/?202403209622537435</t>
        </is>
      </c>
    </row>
    <row r="2608">
      <c r="A2608" t="inlineStr">
        <is>
          <t>2024</t>
        </is>
      </c>
      <c r="B2608" t="inlineStr">
        <is>
          <t>C00513549</t>
        </is>
      </c>
      <c r="C2608" t="inlineStr">
        <is>
          <t>Phillips 66 PAC</t>
        </is>
      </c>
      <c r="D2608" t="inlineStr">
        <is>
          <t>JULIA LETLOW FOR CONGRESS</t>
        </is>
      </c>
      <c r="E2608" t="inlineStr">
        <is>
          <t>H2LA05126</t>
        </is>
      </c>
      <c r="F2608" t="inlineStr">
        <is>
          <t>REP</t>
        </is>
      </c>
      <c r="G2608" t="inlineStr">
        <is>
          <t>02262024</t>
        </is>
      </c>
      <c r="H2608" t="n">
        <v>1000</v>
      </c>
      <c r="I2608" t="inlineStr">
        <is>
          <t>202403209622537435</t>
        </is>
      </c>
      <c r="J2608" t="inlineStr">
        <is>
          <t>https://docquery.fec.gov/cgi-bin/fecimg/?202403209622537435</t>
        </is>
      </c>
    </row>
    <row r="2609">
      <c r="A2609" t="inlineStr">
        <is>
          <t>2024</t>
        </is>
      </c>
      <c r="B2609" t="inlineStr">
        <is>
          <t>C00513549</t>
        </is>
      </c>
      <c r="C2609" t="inlineStr">
        <is>
          <t>Phillips 66 PAC</t>
        </is>
      </c>
      <c r="D2609" t="inlineStr">
        <is>
          <t>TEXANS FOR HENRY CUELLAR CONGRESSIONAL CAMPAIGN</t>
        </is>
      </c>
      <c r="E2609" t="inlineStr">
        <is>
          <t>H2TX23082</t>
        </is>
      </c>
      <c r="F2609" t="inlineStr">
        <is>
          <t>DEM</t>
        </is>
      </c>
      <c r="G2609" t="inlineStr">
        <is>
          <t>02262024</t>
        </is>
      </c>
      <c r="H2609" t="n">
        <v>2500</v>
      </c>
      <c r="I2609" t="inlineStr">
        <is>
          <t>202403209622537438</t>
        </is>
      </c>
      <c r="J2609" t="inlineStr">
        <is>
          <t>https://docquery.fec.gov/cgi-bin/fecimg/?202403209622537438</t>
        </is>
      </c>
    </row>
    <row r="2610">
      <c r="A2610" t="inlineStr">
        <is>
          <t>2024</t>
        </is>
      </c>
      <c r="B2610" t="inlineStr">
        <is>
          <t>C00513549</t>
        </is>
      </c>
      <c r="C2610" t="inlineStr">
        <is>
          <t>Phillips 66 PAC</t>
        </is>
      </c>
      <c r="D2610" t="inlineStr">
        <is>
          <t>TIM SHEEHY FOR MONTANA</t>
        </is>
      </c>
      <c r="E2610" t="inlineStr">
        <is>
          <t>S4MT00183</t>
        </is>
      </c>
      <c r="F2610" t="inlineStr">
        <is>
          <t>REP</t>
        </is>
      </c>
      <c r="G2610" t="inlineStr">
        <is>
          <t>02262024</t>
        </is>
      </c>
      <c r="H2610" t="n">
        <v>2500</v>
      </c>
      <c r="I2610" t="inlineStr">
        <is>
          <t>202403209622537438</t>
        </is>
      </c>
      <c r="J2610" t="inlineStr">
        <is>
          <t>https://docquery.fec.gov/cgi-bin/fecimg/?202403209622537438</t>
        </is>
      </c>
    </row>
    <row r="2611">
      <c r="A2611" t="inlineStr">
        <is>
          <t>2024</t>
        </is>
      </c>
      <c r="B2611" t="inlineStr">
        <is>
          <t>C00513549</t>
        </is>
      </c>
      <c r="C2611" t="inlineStr">
        <is>
          <t>Phillips 66 PAC</t>
        </is>
      </c>
      <c r="D2611" t="inlineStr">
        <is>
          <t>CATHY MCMORRIS RODGERS FOR CONGRESS</t>
        </is>
      </c>
      <c r="E2611" t="inlineStr">
        <is>
          <t>H4WA05077</t>
        </is>
      </c>
      <c r="F2611" t="inlineStr">
        <is>
          <t>REP</t>
        </is>
      </c>
      <c r="G2611" t="inlineStr">
        <is>
          <t>03062023</t>
        </is>
      </c>
      <c r="H2611" t="n">
        <v>2500</v>
      </c>
      <c r="I2611" t="inlineStr">
        <is>
          <t>202304079579730426</t>
        </is>
      </c>
      <c r="J2611" t="inlineStr">
        <is>
          <t>https://docquery.fec.gov/cgi-bin/fecimg/?202304079579730426</t>
        </is>
      </c>
    </row>
    <row r="2612">
      <c r="A2612" t="inlineStr">
        <is>
          <t>2024</t>
        </is>
      </c>
      <c r="B2612" t="inlineStr">
        <is>
          <t>C00513549</t>
        </is>
      </c>
      <c r="C2612" t="inlineStr">
        <is>
          <t>Phillips 66 PAC</t>
        </is>
      </c>
      <c r="D2612" t="inlineStr">
        <is>
          <t>HERN FOR CONGRESS</t>
        </is>
      </c>
      <c r="E2612" t="inlineStr">
        <is>
          <t>H8OK01157</t>
        </is>
      </c>
      <c r="F2612" t="inlineStr">
        <is>
          <t>REP</t>
        </is>
      </c>
      <c r="G2612" t="inlineStr">
        <is>
          <t>03062023</t>
        </is>
      </c>
      <c r="H2612" t="n">
        <v>2500</v>
      </c>
      <c r="I2612" t="inlineStr">
        <is>
          <t>202304079579730428</t>
        </is>
      </c>
      <c r="J2612" t="inlineStr">
        <is>
          <t>https://docquery.fec.gov/cgi-bin/fecimg/?202304079579730428</t>
        </is>
      </c>
    </row>
    <row r="2613">
      <c r="A2613" t="inlineStr">
        <is>
          <t>2024</t>
        </is>
      </c>
      <c r="B2613" t="inlineStr">
        <is>
          <t>C00513549</t>
        </is>
      </c>
      <c r="C2613" t="inlineStr">
        <is>
          <t>Phillips 66 PAC</t>
        </is>
      </c>
      <c r="D2613" t="inlineStr">
        <is>
          <t>JIM COSTA FOR CONGRESS</t>
        </is>
      </c>
      <c r="E2613" t="inlineStr">
        <is>
          <t>H4CA20082</t>
        </is>
      </c>
      <c r="F2613" t="inlineStr">
        <is>
          <t>DEM</t>
        </is>
      </c>
      <c r="G2613" t="inlineStr">
        <is>
          <t>03062023</t>
        </is>
      </c>
      <c r="H2613" t="n">
        <v>2500</v>
      </c>
      <c r="I2613" t="inlineStr">
        <is>
          <t>202304079579730429</t>
        </is>
      </c>
      <c r="J2613" t="inlineStr">
        <is>
          <t>https://docquery.fec.gov/cgi-bin/fecimg/?202304079579730429</t>
        </is>
      </c>
    </row>
    <row r="2614">
      <c r="A2614" t="inlineStr">
        <is>
          <t>2024</t>
        </is>
      </c>
      <c r="B2614" t="inlineStr">
        <is>
          <t>C00513549</t>
        </is>
      </c>
      <c r="C2614" t="inlineStr">
        <is>
          <t>Phillips 66 PAC</t>
        </is>
      </c>
      <c r="D2614" t="inlineStr">
        <is>
          <t>KEVIN MCCARTHY FOR CONGRESS</t>
        </is>
      </c>
      <c r="E2614" t="inlineStr">
        <is>
          <t>H6CA22125</t>
        </is>
      </c>
      <c r="F2614" t="inlineStr">
        <is>
          <t>REP</t>
        </is>
      </c>
      <c r="G2614" t="inlineStr">
        <is>
          <t>03062023</t>
        </is>
      </c>
      <c r="H2614" t="n">
        <v>5000</v>
      </c>
      <c r="I2614" t="inlineStr">
        <is>
          <t>202304079579730429</t>
        </is>
      </c>
      <c r="J2614" t="inlineStr">
        <is>
          <t>https://docquery.fec.gov/cgi-bin/fecimg/?202304079579730429</t>
        </is>
      </c>
    </row>
    <row r="2615">
      <c r="A2615" t="inlineStr">
        <is>
          <t>2024</t>
        </is>
      </c>
      <c r="B2615" t="inlineStr">
        <is>
          <t>C00513549</t>
        </is>
      </c>
      <c r="C2615" t="inlineStr">
        <is>
          <t>Phillips 66 PAC</t>
        </is>
      </c>
      <c r="D2615" t="inlineStr">
        <is>
          <t>NEHLS FOR CONGRESS</t>
        </is>
      </c>
      <c r="E2615" t="inlineStr">
        <is>
          <t>H0TX22302</t>
        </is>
      </c>
      <c r="F2615" t="inlineStr">
        <is>
          <t>REP</t>
        </is>
      </c>
      <c r="G2615" t="inlineStr">
        <is>
          <t>03062023</t>
        </is>
      </c>
      <c r="H2615" t="n">
        <v>5000</v>
      </c>
      <c r="I2615" t="inlineStr">
        <is>
          <t>202304079579730431</t>
        </is>
      </c>
      <c r="J2615" t="inlineStr">
        <is>
          <t>https://docquery.fec.gov/cgi-bin/fecimg/?202304079579730431</t>
        </is>
      </c>
    </row>
    <row r="2616">
      <c r="A2616" t="inlineStr">
        <is>
          <t>2024</t>
        </is>
      </c>
      <c r="B2616" t="inlineStr">
        <is>
          <t>C00513549</t>
        </is>
      </c>
      <c r="C2616" t="inlineStr">
        <is>
          <t>Phillips 66 PAC</t>
        </is>
      </c>
      <c r="D2616" t="inlineStr">
        <is>
          <t>SCALISE FOR CONGRESS</t>
        </is>
      </c>
      <c r="E2616" t="inlineStr">
        <is>
          <t>H0LA01087</t>
        </is>
      </c>
      <c r="F2616" t="inlineStr">
        <is>
          <t>REP</t>
        </is>
      </c>
      <c r="G2616" t="inlineStr">
        <is>
          <t>03062023</t>
        </is>
      </c>
      <c r="H2616" t="n">
        <v>5000</v>
      </c>
      <c r="I2616" t="inlineStr">
        <is>
          <t>202304079579730431</t>
        </is>
      </c>
      <c r="J2616" t="inlineStr">
        <is>
          <t>https://docquery.fec.gov/cgi-bin/fecimg/?202304079579730431</t>
        </is>
      </c>
    </row>
    <row r="2617">
      <c r="A2617" t="inlineStr">
        <is>
          <t>2024</t>
        </is>
      </c>
      <c r="B2617" t="inlineStr">
        <is>
          <t>C00513549</t>
        </is>
      </c>
      <c r="C2617" t="inlineStr">
        <is>
          <t>Phillips 66 PAC</t>
        </is>
      </c>
      <c r="D2617" t="inlineStr">
        <is>
          <t>SYLVIA GARCIA FOR CONGRESS</t>
        </is>
      </c>
      <c r="E2617" t="inlineStr">
        <is>
          <t>H8TX29052</t>
        </is>
      </c>
      <c r="F2617" t="inlineStr">
        <is>
          <t>DEM</t>
        </is>
      </c>
      <c r="G2617" t="inlineStr">
        <is>
          <t>03062023</t>
        </is>
      </c>
      <c r="H2617" t="n">
        <v>5000</v>
      </c>
      <c r="I2617" t="inlineStr">
        <is>
          <t>202304079579730432</t>
        </is>
      </c>
      <c r="J2617" t="inlineStr">
        <is>
          <t>https://docquery.fec.gov/cgi-bin/fecimg/?202304079579730432</t>
        </is>
      </c>
    </row>
    <row r="2618">
      <c r="A2618" t="inlineStr">
        <is>
          <t>2024</t>
        </is>
      </c>
      <c r="B2618" t="inlineStr">
        <is>
          <t>C00513549</t>
        </is>
      </c>
      <c r="C2618" t="inlineStr">
        <is>
          <t>Phillips 66 PAC</t>
        </is>
      </c>
      <c r="D2618" t="inlineStr">
        <is>
          <t>VICENTE GONZALEZ FOR CONGRESS</t>
        </is>
      </c>
      <c r="E2618" t="inlineStr">
        <is>
          <t>H6TX15162</t>
        </is>
      </c>
      <c r="F2618" t="inlineStr">
        <is>
          <t>DEM</t>
        </is>
      </c>
      <c r="G2618" t="inlineStr">
        <is>
          <t>03062023</t>
        </is>
      </c>
      <c r="H2618" t="n">
        <v>2500</v>
      </c>
      <c r="I2618" t="inlineStr">
        <is>
          <t>202304079579730432</t>
        </is>
      </c>
      <c r="J2618" t="inlineStr">
        <is>
          <t>https://docquery.fec.gov/cgi-bin/fecimg/?202304079579730432</t>
        </is>
      </c>
    </row>
    <row r="2619">
      <c r="A2619" t="inlineStr">
        <is>
          <t>2024</t>
        </is>
      </c>
      <c r="B2619" t="inlineStr">
        <is>
          <t>C00513549</t>
        </is>
      </c>
      <c r="C2619" t="inlineStr">
        <is>
          <t>Phillips 66 PAC</t>
        </is>
      </c>
      <c r="D2619" t="inlineStr">
        <is>
          <t>VINCE FONG FOR CONGRESS</t>
        </is>
      </c>
      <c r="E2619" t="inlineStr">
        <is>
          <t>H4CA20181</t>
        </is>
      </c>
      <c r="F2619" t="inlineStr">
        <is>
          <t>REP</t>
        </is>
      </c>
      <c r="G2619" t="inlineStr">
        <is>
          <t>03062024</t>
        </is>
      </c>
      <c r="H2619" t="n">
        <v>2500</v>
      </c>
      <c r="I2619" t="inlineStr">
        <is>
          <t>202404199633492269</t>
        </is>
      </c>
      <c r="J2619" t="inlineStr">
        <is>
          <t>https://docquery.fec.gov/cgi-bin/fecimg/?202404199633492269</t>
        </is>
      </c>
    </row>
    <row r="2620">
      <c r="A2620" t="inlineStr">
        <is>
          <t>2024</t>
        </is>
      </c>
      <c r="B2620" t="inlineStr">
        <is>
          <t>C00513549</t>
        </is>
      </c>
      <c r="C2620" t="inlineStr">
        <is>
          <t>Phillips 66 PAC</t>
        </is>
      </c>
      <c r="D2620" t="inlineStr">
        <is>
          <t>GRAVES FOR CONGRESS</t>
        </is>
      </c>
      <c r="E2620" t="inlineStr">
        <is>
          <t>H0MO06073</t>
        </is>
      </c>
      <c r="F2620" t="inlineStr">
        <is>
          <t>REP</t>
        </is>
      </c>
      <c r="G2620" t="inlineStr">
        <is>
          <t>03162023</t>
        </is>
      </c>
      <c r="H2620" t="n">
        <v>-5000</v>
      </c>
      <c r="I2620" t="inlineStr">
        <is>
          <t>202304079579730427</t>
        </is>
      </c>
      <c r="J2620" t="inlineStr">
        <is>
          <t>https://docquery.fec.gov/cgi-bin/fecimg/?202304079579730427</t>
        </is>
      </c>
    </row>
    <row r="2621">
      <c r="A2621" t="inlineStr">
        <is>
          <t>2024</t>
        </is>
      </c>
      <c r="B2621" t="inlineStr">
        <is>
          <t>C00513549</t>
        </is>
      </c>
      <c r="C2621" t="inlineStr">
        <is>
          <t>Phillips 66 PAC</t>
        </is>
      </c>
      <c r="D2621" t="inlineStr">
        <is>
          <t>BICE FOR CONGRESS</t>
        </is>
      </c>
      <c r="E2621" t="inlineStr">
        <is>
          <t>H0OK05205</t>
        </is>
      </c>
      <c r="F2621" t="inlineStr">
        <is>
          <t>REP</t>
        </is>
      </c>
      <c r="G2621" t="inlineStr">
        <is>
          <t>03182024</t>
        </is>
      </c>
      <c r="H2621" t="n">
        <v>2500</v>
      </c>
      <c r="I2621" t="inlineStr">
        <is>
          <t>202404199633492265</t>
        </is>
      </c>
      <c r="J2621" t="inlineStr">
        <is>
          <t>https://docquery.fec.gov/cgi-bin/fecimg/?202404199633492265</t>
        </is>
      </c>
    </row>
    <row r="2622">
      <c r="A2622" t="inlineStr">
        <is>
          <t>2024</t>
        </is>
      </c>
      <c r="B2622" t="inlineStr">
        <is>
          <t>C00513549</t>
        </is>
      </c>
      <c r="C2622" t="inlineStr">
        <is>
          <t>Phillips 66 PAC</t>
        </is>
      </c>
      <c r="D2622" t="inlineStr">
        <is>
          <t>DON DAVIS FOR NC</t>
        </is>
      </c>
      <c r="E2622" t="inlineStr">
        <is>
          <t>H2NC02287</t>
        </is>
      </c>
      <c r="F2622" t="inlineStr">
        <is>
          <t>DEM</t>
        </is>
      </c>
      <c r="G2622" t="inlineStr">
        <is>
          <t>03182024</t>
        </is>
      </c>
      <c r="H2622" t="n">
        <v>1500</v>
      </c>
      <c r="I2622" t="inlineStr">
        <is>
          <t>202404199633492266</t>
        </is>
      </c>
      <c r="J2622" t="inlineStr">
        <is>
          <t>https://docquery.fec.gov/cgi-bin/fecimg/?202404199633492266</t>
        </is>
      </c>
    </row>
    <row r="2623">
      <c r="A2623" t="inlineStr">
        <is>
          <t>2024</t>
        </is>
      </c>
      <c r="B2623" t="inlineStr">
        <is>
          <t>C00513549</t>
        </is>
      </c>
      <c r="C2623" t="inlineStr">
        <is>
          <t>Phillips 66 PAC</t>
        </is>
      </c>
      <c r="D2623" t="inlineStr">
        <is>
          <t>FEENSTRA FOR CONGRESS</t>
        </is>
      </c>
      <c r="E2623" t="inlineStr">
        <is>
          <t>H0IA04145</t>
        </is>
      </c>
      <c r="F2623" t="inlineStr">
        <is>
          <t>REP</t>
        </is>
      </c>
      <c r="G2623" t="inlineStr">
        <is>
          <t>03182024</t>
        </is>
      </c>
      <c r="H2623" t="n">
        <v>1000</v>
      </c>
      <c r="I2623" t="inlineStr">
        <is>
          <t>202404199633492266</t>
        </is>
      </c>
      <c r="J2623" t="inlineStr">
        <is>
          <t>https://docquery.fec.gov/cgi-bin/fecimg/?202404199633492266</t>
        </is>
      </c>
    </row>
    <row r="2624">
      <c r="A2624" t="inlineStr">
        <is>
          <t>2024</t>
        </is>
      </c>
      <c r="B2624" t="inlineStr">
        <is>
          <t>C00513549</t>
        </is>
      </c>
      <c r="C2624" t="inlineStr">
        <is>
          <t>Phillips 66 PAC</t>
        </is>
      </c>
      <c r="D2624" t="inlineStr">
        <is>
          <t>HUDSON FOR CONGRESS</t>
        </is>
      </c>
      <c r="E2624" t="inlineStr">
        <is>
          <t>H2NC08185</t>
        </is>
      </c>
      <c r="F2624" t="inlineStr">
        <is>
          <t>REP</t>
        </is>
      </c>
      <c r="G2624" t="inlineStr">
        <is>
          <t>03182024</t>
        </is>
      </c>
      <c r="H2624" t="n">
        <v>2500</v>
      </c>
      <c r="I2624" t="inlineStr">
        <is>
          <t>202404199633492267</t>
        </is>
      </c>
      <c r="J2624" t="inlineStr">
        <is>
          <t>https://docquery.fec.gov/cgi-bin/fecimg/?202404199633492267</t>
        </is>
      </c>
    </row>
    <row r="2625">
      <c r="A2625" t="inlineStr">
        <is>
          <t>2024</t>
        </is>
      </c>
      <c r="B2625" t="inlineStr">
        <is>
          <t>C00513549</t>
        </is>
      </c>
      <c r="C2625" t="inlineStr">
        <is>
          <t>Phillips 66 PAC</t>
        </is>
      </c>
      <c r="D2625" t="inlineStr">
        <is>
          <t>KEAN FOR CONGRESS INC</t>
        </is>
      </c>
      <c r="E2625" t="inlineStr">
        <is>
          <t>H0NJ07261</t>
        </is>
      </c>
      <c r="F2625" t="inlineStr">
        <is>
          <t>REP</t>
        </is>
      </c>
      <c r="G2625" t="inlineStr">
        <is>
          <t>03182024</t>
        </is>
      </c>
      <c r="H2625" t="n">
        <v>2500</v>
      </c>
      <c r="I2625" t="inlineStr">
        <is>
          <t>202404199633492267</t>
        </is>
      </c>
      <c r="J2625" t="inlineStr">
        <is>
          <t>https://docquery.fec.gov/cgi-bin/fecimg/?202404199633492267</t>
        </is>
      </c>
    </row>
    <row r="2626">
      <c r="A2626" t="inlineStr">
        <is>
          <t>2024</t>
        </is>
      </c>
      <c r="B2626" t="inlineStr">
        <is>
          <t>C00513549</t>
        </is>
      </c>
      <c r="C2626" t="inlineStr">
        <is>
          <t>Phillips 66 PAC</t>
        </is>
      </c>
      <c r="D2626" t="inlineStr">
        <is>
          <t>LAWLER FOR CONGRESS</t>
        </is>
      </c>
      <c r="E2626" t="inlineStr">
        <is>
          <t>H2NY17162</t>
        </is>
      </c>
      <c r="F2626" t="inlineStr">
        <is>
          <t>REP</t>
        </is>
      </c>
      <c r="G2626" t="inlineStr">
        <is>
          <t>03182024</t>
        </is>
      </c>
      <c r="H2626" t="n">
        <v>1500</v>
      </c>
      <c r="I2626" t="inlineStr">
        <is>
          <t>202404199633492268</t>
        </is>
      </c>
      <c r="J2626" t="inlineStr">
        <is>
          <t>https://docquery.fec.gov/cgi-bin/fecimg/?202404199633492268</t>
        </is>
      </c>
    </row>
    <row r="2627">
      <c r="A2627" t="inlineStr">
        <is>
          <t>2024</t>
        </is>
      </c>
      <c r="B2627" t="inlineStr">
        <is>
          <t>C00513549</t>
        </is>
      </c>
      <c r="C2627" t="inlineStr">
        <is>
          <t>Phillips 66 PAC</t>
        </is>
      </c>
      <c r="D2627" t="inlineStr">
        <is>
          <t>MICHELLE STEEL FOR CONGRESS</t>
        </is>
      </c>
      <c r="E2627" t="inlineStr">
        <is>
          <t>H0CA48198</t>
        </is>
      </c>
      <c r="F2627" t="inlineStr">
        <is>
          <t>REP</t>
        </is>
      </c>
      <c r="G2627" t="inlineStr">
        <is>
          <t>03182024</t>
        </is>
      </c>
      <c r="H2627" t="n">
        <v>2500</v>
      </c>
      <c r="I2627" t="inlineStr">
        <is>
          <t>202404199633492268</t>
        </is>
      </c>
      <c r="J2627" t="inlineStr">
        <is>
          <t>https://docquery.fec.gov/cgi-bin/fecimg/?202404199633492268</t>
        </is>
      </c>
    </row>
    <row r="2628">
      <c r="A2628" t="inlineStr">
        <is>
          <t>2024</t>
        </is>
      </c>
      <c r="B2628" t="inlineStr">
        <is>
          <t>C00513549</t>
        </is>
      </c>
      <c r="C2628" t="inlineStr">
        <is>
          <t>Phillips 66 PAC</t>
        </is>
      </c>
      <c r="D2628" t="inlineStr">
        <is>
          <t>MIKE THOMPSON FOR CONGRESS</t>
        </is>
      </c>
      <c r="E2628" t="inlineStr">
        <is>
          <t>H8CA01109</t>
        </is>
      </c>
      <c r="F2628" t="inlineStr">
        <is>
          <t>DEM</t>
        </is>
      </c>
      <c r="G2628" t="inlineStr">
        <is>
          <t>03182024</t>
        </is>
      </c>
      <c r="H2628" t="n">
        <v>2500</v>
      </c>
      <c r="I2628" t="inlineStr">
        <is>
          <t>202404199633492268</t>
        </is>
      </c>
      <c r="J2628" t="inlineStr">
        <is>
          <t>https://docquery.fec.gov/cgi-bin/fecimg/?202404199633492268</t>
        </is>
      </c>
    </row>
    <row r="2629">
      <c r="A2629" t="inlineStr">
        <is>
          <t>2024</t>
        </is>
      </c>
      <c r="B2629" t="inlineStr">
        <is>
          <t>C00513549</t>
        </is>
      </c>
      <c r="C2629" t="inlineStr">
        <is>
          <t>Phillips 66 PAC</t>
        </is>
      </c>
      <c r="D2629" t="inlineStr">
        <is>
          <t>EMMER FOR CONGRESS</t>
        </is>
      </c>
      <c r="E2629" t="inlineStr">
        <is>
          <t>H4MN06087</t>
        </is>
      </c>
      <c r="F2629" t="inlineStr">
        <is>
          <t>REP</t>
        </is>
      </c>
      <c r="G2629" t="inlineStr">
        <is>
          <t>03212023</t>
        </is>
      </c>
      <c r="H2629" t="n">
        <v>5000</v>
      </c>
      <c r="I2629" t="inlineStr">
        <is>
          <t>202304079579730426</t>
        </is>
      </c>
      <c r="J2629" t="inlineStr">
        <is>
          <t>https://docquery.fec.gov/cgi-bin/fecimg/?202304079579730426</t>
        </is>
      </c>
    </row>
    <row r="2630">
      <c r="A2630" t="inlineStr">
        <is>
          <t>2024</t>
        </is>
      </c>
      <c r="B2630" t="inlineStr">
        <is>
          <t>C00513549</t>
        </is>
      </c>
      <c r="C2630" t="inlineStr">
        <is>
          <t>Phillips 66 PAC</t>
        </is>
      </c>
      <c r="D2630" t="inlineStr">
        <is>
          <t>HUNT FOR CONGRESS</t>
        </is>
      </c>
      <c r="E2630" t="inlineStr">
        <is>
          <t>H0TX07170</t>
        </is>
      </c>
      <c r="F2630" t="inlineStr">
        <is>
          <t>REP</t>
        </is>
      </c>
      <c r="G2630" t="inlineStr">
        <is>
          <t>03212023</t>
        </is>
      </c>
      <c r="H2630" t="n">
        <v>2500</v>
      </c>
      <c r="I2630" t="inlineStr">
        <is>
          <t>202304079579730429</t>
        </is>
      </c>
      <c r="J2630" t="inlineStr">
        <is>
          <t>https://docquery.fec.gov/cgi-bin/fecimg/?202304079579730429</t>
        </is>
      </c>
    </row>
    <row r="2631">
      <c r="A2631" t="inlineStr">
        <is>
          <t>2024</t>
        </is>
      </c>
      <c r="B2631" t="inlineStr">
        <is>
          <t>C00513549</t>
        </is>
      </c>
      <c r="C2631" t="inlineStr">
        <is>
          <t>Phillips 66 PAC</t>
        </is>
      </c>
      <c r="D2631" t="inlineStr">
        <is>
          <t>WESTERMAN FOR CONGRESS</t>
        </is>
      </c>
      <c r="E2631" t="inlineStr">
        <is>
          <t>H4AR04048</t>
        </is>
      </c>
      <c r="F2631" t="inlineStr">
        <is>
          <t>REP</t>
        </is>
      </c>
      <c r="G2631" t="inlineStr">
        <is>
          <t>03212023</t>
        </is>
      </c>
      <c r="H2631" t="n">
        <v>2500</v>
      </c>
      <c r="I2631" t="inlineStr">
        <is>
          <t>202304079579730433</t>
        </is>
      </c>
      <c r="J2631" t="inlineStr">
        <is>
          <t>https://docquery.fec.gov/cgi-bin/fecimg/?202304079579730433</t>
        </is>
      </c>
    </row>
    <row r="2632">
      <c r="A2632" t="inlineStr">
        <is>
          <t>2024</t>
        </is>
      </c>
      <c r="B2632" t="inlineStr">
        <is>
          <t>C00513549</t>
        </is>
      </c>
      <c r="C2632" t="inlineStr">
        <is>
          <t>Phillips 66 PAC</t>
        </is>
      </c>
      <c r="D2632" t="inlineStr">
        <is>
          <t>CAPTAIN HIGGINS FOR CONGRESS</t>
        </is>
      </c>
      <c r="E2632" t="inlineStr">
        <is>
          <t>H6LA03148</t>
        </is>
      </c>
      <c r="F2632" t="inlineStr">
        <is>
          <t>REP</t>
        </is>
      </c>
      <c r="G2632" t="inlineStr">
        <is>
          <t>03282024</t>
        </is>
      </c>
      <c r="H2632" t="n">
        <v>2500</v>
      </c>
      <c r="I2632" t="inlineStr">
        <is>
          <t>202404199633492265</t>
        </is>
      </c>
      <c r="J2632" t="inlineStr">
        <is>
          <t>https://docquery.fec.gov/cgi-bin/fecimg/?202404199633492265</t>
        </is>
      </c>
    </row>
    <row r="2633">
      <c r="A2633" t="inlineStr">
        <is>
          <t>2024</t>
        </is>
      </c>
      <c r="B2633" t="inlineStr">
        <is>
          <t>C00513549</t>
        </is>
      </c>
      <c r="C2633" t="inlineStr">
        <is>
          <t>Phillips 66 PAC</t>
        </is>
      </c>
      <c r="D2633" t="inlineStr">
        <is>
          <t>GARRET GRAVES FOR CONGRESS</t>
        </is>
      </c>
      <c r="E2633" t="inlineStr">
        <is>
          <t>H4LA06153</t>
        </is>
      </c>
      <c r="F2633" t="inlineStr">
        <is>
          <t>REP</t>
        </is>
      </c>
      <c r="G2633" t="inlineStr">
        <is>
          <t>03282024</t>
        </is>
      </c>
      <c r="H2633" t="n">
        <v>2500</v>
      </c>
      <c r="I2633" t="inlineStr">
        <is>
          <t>202404199633492266</t>
        </is>
      </c>
      <c r="J2633" t="inlineStr">
        <is>
          <t>https://docquery.fec.gov/cgi-bin/fecimg/?202404199633492266</t>
        </is>
      </c>
    </row>
    <row r="2634">
      <c r="A2634" t="inlineStr">
        <is>
          <t>2024</t>
        </is>
      </c>
      <c r="B2634" t="inlineStr">
        <is>
          <t>C00513549</t>
        </is>
      </c>
      <c r="C2634" t="inlineStr">
        <is>
          <t>Phillips 66 PAC</t>
        </is>
      </c>
      <c r="D2634" t="inlineStr">
        <is>
          <t>HUDSON FOR CONGRESS</t>
        </is>
      </c>
      <c r="E2634" t="inlineStr">
        <is>
          <t>H2NC08185</t>
        </is>
      </c>
      <c r="F2634" t="inlineStr">
        <is>
          <t>REP</t>
        </is>
      </c>
      <c r="G2634" t="inlineStr">
        <is>
          <t>03282024</t>
        </is>
      </c>
      <c r="H2634" t="n">
        <v>2500</v>
      </c>
      <c r="I2634" t="inlineStr">
        <is>
          <t>202404199633492267</t>
        </is>
      </c>
      <c r="J2634" t="inlineStr">
        <is>
          <t>https://docquery.fec.gov/cgi-bin/fecimg/?202404199633492267</t>
        </is>
      </c>
    </row>
    <row r="2635">
      <c r="A2635" t="inlineStr">
        <is>
          <t>2024</t>
        </is>
      </c>
      <c r="B2635" t="inlineStr">
        <is>
          <t>C00513549</t>
        </is>
      </c>
      <c r="C2635" t="inlineStr">
        <is>
          <t>Phillips 66 PAC</t>
        </is>
      </c>
      <c r="D2635" t="inlineStr">
        <is>
          <t>NEHLS FOR CONGRESS</t>
        </is>
      </c>
      <c r="E2635" t="inlineStr">
        <is>
          <t>H0TX22302</t>
        </is>
      </c>
      <c r="F2635" t="inlineStr">
        <is>
          <t>REP</t>
        </is>
      </c>
      <c r="G2635" t="inlineStr">
        <is>
          <t>03282024</t>
        </is>
      </c>
      <c r="H2635" t="n">
        <v>2500</v>
      </c>
      <c r="I2635" t="inlineStr">
        <is>
          <t>202404199633492269</t>
        </is>
      </c>
      <c r="J2635" t="inlineStr">
        <is>
          <t>https://docquery.fec.gov/cgi-bin/fecimg/?202404199633492269</t>
        </is>
      </c>
    </row>
    <row r="2636">
      <c r="A2636" t="inlineStr">
        <is>
          <t>2024</t>
        </is>
      </c>
      <c r="B2636" t="inlineStr">
        <is>
          <t>C00513549</t>
        </is>
      </c>
      <c r="C2636" t="inlineStr">
        <is>
          <t>Phillips 66 PAC</t>
        </is>
      </c>
      <c r="D2636" t="inlineStr">
        <is>
          <t>FRIENDS OF JOHN BARRASSO</t>
        </is>
      </c>
      <c r="E2636" t="inlineStr">
        <is>
          <t>S6WY00068</t>
        </is>
      </c>
      <c r="F2636" t="inlineStr">
        <is>
          <t>REP</t>
        </is>
      </c>
      <c r="G2636" t="inlineStr">
        <is>
          <t>03292023</t>
        </is>
      </c>
      <c r="H2636" t="n">
        <v>5000</v>
      </c>
      <c r="I2636" t="inlineStr">
        <is>
          <t>202304079579730427</t>
        </is>
      </c>
      <c r="J2636" t="inlineStr">
        <is>
          <t>https://docquery.fec.gov/cgi-bin/fecimg/?202304079579730427</t>
        </is>
      </c>
    </row>
    <row r="2637">
      <c r="A2637" t="inlineStr">
        <is>
          <t>2024</t>
        </is>
      </c>
      <c r="B2637" t="inlineStr">
        <is>
          <t>C00513549</t>
        </is>
      </c>
      <c r="C2637" t="inlineStr">
        <is>
          <t>Phillips 66 PAC</t>
        </is>
      </c>
      <c r="D2637" t="inlineStr">
        <is>
          <t>GRAVES FOR CONGRESS</t>
        </is>
      </c>
      <c r="E2637" t="inlineStr">
        <is>
          <t>H0MO06073</t>
        </is>
      </c>
      <c r="F2637" t="inlineStr">
        <is>
          <t>REP</t>
        </is>
      </c>
      <c r="G2637" t="inlineStr">
        <is>
          <t>03292023</t>
        </is>
      </c>
      <c r="H2637" t="n">
        <v>5000</v>
      </c>
      <c r="I2637" t="inlineStr">
        <is>
          <t>202304079579730428</t>
        </is>
      </c>
      <c r="J2637" t="inlineStr">
        <is>
          <t>https://docquery.fec.gov/cgi-bin/fecimg/?202304079579730428</t>
        </is>
      </c>
    </row>
    <row r="2638">
      <c r="A2638" t="inlineStr">
        <is>
          <t>2024</t>
        </is>
      </c>
      <c r="B2638" t="inlineStr">
        <is>
          <t>C00513549</t>
        </is>
      </c>
      <c r="C2638" t="inlineStr">
        <is>
          <t>Phillips 66 PAC</t>
        </is>
      </c>
      <c r="D2638" t="inlineStr">
        <is>
          <t>MONICA FOR CONGRESS</t>
        </is>
      </c>
      <c r="E2638" t="inlineStr">
        <is>
          <t>H0TX15124</t>
        </is>
      </c>
      <c r="F2638" t="inlineStr">
        <is>
          <t>REP</t>
        </is>
      </c>
      <c r="G2638" t="inlineStr">
        <is>
          <t>03292023</t>
        </is>
      </c>
      <c r="H2638" t="n">
        <v>1000</v>
      </c>
      <c r="I2638" t="inlineStr">
        <is>
          <t>202304079579730430</t>
        </is>
      </c>
      <c r="J2638" t="inlineStr">
        <is>
          <t>https://docquery.fec.gov/cgi-bin/fecimg/?202304079579730430</t>
        </is>
      </c>
    </row>
    <row r="2639">
      <c r="A2639" t="inlineStr">
        <is>
          <t>2024</t>
        </is>
      </c>
      <c r="B2639" t="inlineStr">
        <is>
          <t>C00513549</t>
        </is>
      </c>
      <c r="C2639" t="inlineStr">
        <is>
          <t>Phillips 66 PAC</t>
        </is>
      </c>
      <c r="D2639" t="inlineStr">
        <is>
          <t>SINEMA FOR ARIZONA</t>
        </is>
      </c>
      <c r="E2639" t="inlineStr">
        <is>
          <t>S8AZ00197</t>
        </is>
      </c>
      <c r="F2639" t="inlineStr">
        <is>
          <t>IND</t>
        </is>
      </c>
      <c r="G2639" t="inlineStr">
        <is>
          <t>03292023</t>
        </is>
      </c>
      <c r="H2639" t="n">
        <v>5000</v>
      </c>
      <c r="I2639" t="inlineStr">
        <is>
          <t>202304079579730431</t>
        </is>
      </c>
      <c r="J2639" t="inlineStr">
        <is>
          <t>https://docquery.fec.gov/cgi-bin/fecimg/?202304079579730431</t>
        </is>
      </c>
    </row>
    <row r="2640">
      <c r="A2640" t="inlineStr">
        <is>
          <t>2024</t>
        </is>
      </c>
      <c r="B2640" t="inlineStr">
        <is>
          <t>C00513549</t>
        </is>
      </c>
      <c r="C2640" t="inlineStr">
        <is>
          <t>Phillips 66 PAC</t>
        </is>
      </c>
      <c r="D2640" t="inlineStr">
        <is>
          <t>BALDERSON FOR CONGRESS</t>
        </is>
      </c>
      <c r="E2640" t="inlineStr">
        <is>
          <t>H8OH12180</t>
        </is>
      </c>
      <c r="F2640" t="inlineStr">
        <is>
          <t>REP</t>
        </is>
      </c>
      <c r="G2640" t="inlineStr">
        <is>
          <t>04112023</t>
        </is>
      </c>
      <c r="H2640" t="n">
        <v>2500</v>
      </c>
      <c r="I2640" t="inlineStr">
        <is>
          <t>202305159581443049</t>
        </is>
      </c>
      <c r="J2640" t="inlineStr">
        <is>
          <t>https://docquery.fec.gov/cgi-bin/fecimg/?202305159581443049</t>
        </is>
      </c>
    </row>
    <row r="2641">
      <c r="A2641" t="inlineStr">
        <is>
          <t>2024</t>
        </is>
      </c>
      <c r="B2641" t="inlineStr">
        <is>
          <t>C00513549</t>
        </is>
      </c>
      <c r="C2641" t="inlineStr">
        <is>
          <t>Phillips 66 PAC</t>
        </is>
      </c>
      <c r="D2641" t="inlineStr">
        <is>
          <t>DAN CRENSHAW FOR CONGRESS</t>
        </is>
      </c>
      <c r="E2641" t="inlineStr">
        <is>
          <t>H8TX02166</t>
        </is>
      </c>
      <c r="F2641" t="inlineStr">
        <is>
          <t>REP</t>
        </is>
      </c>
      <c r="G2641" t="inlineStr">
        <is>
          <t>04112023</t>
        </is>
      </c>
      <c r="H2641" t="n">
        <v>1000</v>
      </c>
      <c r="I2641" t="inlineStr">
        <is>
          <t>202305159581443050</t>
        </is>
      </c>
      <c r="J2641" t="inlineStr">
        <is>
          <t>https://docquery.fec.gov/cgi-bin/fecimg/?202305159581443050</t>
        </is>
      </c>
    </row>
    <row r="2642">
      <c r="A2642" t="inlineStr">
        <is>
          <t>2024</t>
        </is>
      </c>
      <c r="B2642" t="inlineStr">
        <is>
          <t>C00513549</t>
        </is>
      </c>
      <c r="C2642" t="inlineStr">
        <is>
          <t>Phillips 66 PAC</t>
        </is>
      </c>
      <c r="D2642" t="inlineStr">
        <is>
          <t>LATTA FOR CONGRESS</t>
        </is>
      </c>
      <c r="E2642" t="inlineStr">
        <is>
          <t>H8OH05036</t>
        </is>
      </c>
      <c r="F2642" t="inlineStr">
        <is>
          <t>REP</t>
        </is>
      </c>
      <c r="G2642" t="inlineStr">
        <is>
          <t>04112023</t>
        </is>
      </c>
      <c r="H2642" t="n">
        <v>2500</v>
      </c>
      <c r="I2642" t="inlineStr">
        <is>
          <t>202305159581443051</t>
        </is>
      </c>
      <c r="J2642" t="inlineStr">
        <is>
          <t>https://docquery.fec.gov/cgi-bin/fecimg/?202305159581443051</t>
        </is>
      </c>
    </row>
    <row r="2643">
      <c r="A2643" t="inlineStr">
        <is>
          <t>2024</t>
        </is>
      </c>
      <c r="B2643" t="inlineStr">
        <is>
          <t>C00513549</t>
        </is>
      </c>
      <c r="C2643" t="inlineStr">
        <is>
          <t>Phillips 66 PAC</t>
        </is>
      </c>
      <c r="D2643" t="inlineStr">
        <is>
          <t>LUCAS FOR CONGRESS</t>
        </is>
      </c>
      <c r="E2643" t="inlineStr">
        <is>
          <t>H4OK06056</t>
        </is>
      </c>
      <c r="F2643" t="inlineStr">
        <is>
          <t>REP</t>
        </is>
      </c>
      <c r="G2643" t="inlineStr">
        <is>
          <t>04112023</t>
        </is>
      </c>
      <c r="H2643" t="n">
        <v>2500</v>
      </c>
      <c r="I2643" t="inlineStr">
        <is>
          <t>202305159581443051</t>
        </is>
      </c>
      <c r="J2643" t="inlineStr">
        <is>
          <t>https://docquery.fec.gov/cgi-bin/fecimg/?202305159581443051</t>
        </is>
      </c>
    </row>
    <row r="2644">
      <c r="A2644" t="inlineStr">
        <is>
          <t>2024</t>
        </is>
      </c>
      <c r="B2644" t="inlineStr">
        <is>
          <t>C00513549</t>
        </is>
      </c>
      <c r="C2644" t="inlineStr">
        <is>
          <t>Phillips 66 PAC</t>
        </is>
      </c>
      <c r="D2644" t="inlineStr">
        <is>
          <t>MILLER-MEEKS FOR CONGRESS</t>
        </is>
      </c>
      <c r="E2644" t="inlineStr">
        <is>
          <t>H8IA02043</t>
        </is>
      </c>
      <c r="F2644" t="inlineStr">
        <is>
          <t>REP</t>
        </is>
      </c>
      <c r="G2644" t="inlineStr">
        <is>
          <t>04112023</t>
        </is>
      </c>
      <c r="H2644" t="n">
        <v>2500</v>
      </c>
      <c r="I2644" t="inlineStr">
        <is>
          <t>202305159581443052</t>
        </is>
      </c>
      <c r="J2644" t="inlineStr">
        <is>
          <t>https://docquery.fec.gov/cgi-bin/fecimg/?202305159581443052</t>
        </is>
      </c>
    </row>
    <row r="2645">
      <c r="A2645" t="inlineStr">
        <is>
          <t>2024</t>
        </is>
      </c>
      <c r="B2645" t="inlineStr">
        <is>
          <t>C00513549</t>
        </is>
      </c>
      <c r="C2645" t="inlineStr">
        <is>
          <t>Phillips 66 PAC</t>
        </is>
      </c>
      <c r="D2645" t="inlineStr">
        <is>
          <t>WESTERMAN FOR CONGRESS</t>
        </is>
      </c>
      <c r="E2645" t="inlineStr">
        <is>
          <t>H4AR04048</t>
        </is>
      </c>
      <c r="F2645" t="inlineStr">
        <is>
          <t>REP</t>
        </is>
      </c>
      <c r="G2645" t="inlineStr">
        <is>
          <t>04112023</t>
        </is>
      </c>
      <c r="H2645" t="n">
        <v>2500</v>
      </c>
      <c r="I2645" t="inlineStr">
        <is>
          <t>202305159581443053</t>
        </is>
      </c>
      <c r="J2645" t="inlineStr">
        <is>
          <t>https://docquery.fec.gov/cgi-bin/fecimg/?202305159581443053</t>
        </is>
      </c>
    </row>
    <row r="2646">
      <c r="A2646" t="inlineStr">
        <is>
          <t>2024</t>
        </is>
      </c>
      <c r="B2646" t="inlineStr">
        <is>
          <t>C00513549</t>
        </is>
      </c>
      <c r="C2646" t="inlineStr">
        <is>
          <t>Phillips 66 PAC</t>
        </is>
      </c>
      <c r="D2646" t="inlineStr">
        <is>
          <t>JEFF CRANK FOR CONGRESS</t>
        </is>
      </c>
      <c r="E2646" t="inlineStr">
        <is>
          <t>H6CO05142</t>
        </is>
      </c>
      <c r="F2646" t="inlineStr">
        <is>
          <t>REP</t>
        </is>
      </c>
      <c r="G2646" t="inlineStr">
        <is>
          <t>04152024</t>
        </is>
      </c>
      <c r="H2646" t="n">
        <v>2500</v>
      </c>
      <c r="I2646" t="inlineStr">
        <is>
          <t>202405169646011203</t>
        </is>
      </c>
      <c r="J2646" t="inlineStr">
        <is>
          <t>https://docquery.fec.gov/cgi-bin/fecimg/?202405169646011203</t>
        </is>
      </c>
    </row>
    <row r="2647">
      <c r="A2647" t="inlineStr">
        <is>
          <t>2024</t>
        </is>
      </c>
      <c r="B2647" t="inlineStr">
        <is>
          <t>C00513549</t>
        </is>
      </c>
      <c r="C2647" t="inlineStr">
        <is>
          <t>Phillips 66 PAC</t>
        </is>
      </c>
      <c r="D2647" t="inlineStr">
        <is>
          <t>TONY GONZALES FOR CONGRESS</t>
        </is>
      </c>
      <c r="E2647" t="inlineStr">
        <is>
          <t>H0TX35015</t>
        </is>
      </c>
      <c r="F2647" t="inlineStr">
        <is>
          <t>REP</t>
        </is>
      </c>
      <c r="G2647" t="inlineStr">
        <is>
          <t>04152024</t>
        </is>
      </c>
      <c r="H2647" t="n">
        <v>5000</v>
      </c>
      <c r="I2647" t="inlineStr">
        <is>
          <t>202405169646011206</t>
        </is>
      </c>
      <c r="J2647" t="inlineStr">
        <is>
          <t>https://docquery.fec.gov/cgi-bin/fecimg/?202405169646011206</t>
        </is>
      </c>
    </row>
    <row r="2648">
      <c r="A2648" t="inlineStr">
        <is>
          <t>2024</t>
        </is>
      </c>
      <c r="B2648" t="inlineStr">
        <is>
          <t>C00513549</t>
        </is>
      </c>
      <c r="C2648" t="inlineStr">
        <is>
          <t>Phillips 66 PAC</t>
        </is>
      </c>
      <c r="D2648" t="inlineStr">
        <is>
          <t>CRAIG GOLDMAN FOR CONGRESS</t>
        </is>
      </c>
      <c r="E2648" t="inlineStr">
        <is>
          <t>H4TX12065</t>
        </is>
      </c>
      <c r="F2648" t="inlineStr">
        <is>
          <t>REP</t>
        </is>
      </c>
      <c r="G2648" t="inlineStr">
        <is>
          <t>04152024</t>
        </is>
      </c>
      <c r="H2648" t="n">
        <v>2500</v>
      </c>
      <c r="I2648" t="inlineStr">
        <is>
          <t>202405169646011200</t>
        </is>
      </c>
      <c r="J2648" t="inlineStr">
        <is>
          <t>https://docquery.fec.gov/cgi-bin/fecimg/?202405169646011200</t>
        </is>
      </c>
    </row>
    <row r="2649">
      <c r="A2649" t="inlineStr">
        <is>
          <t>2024</t>
        </is>
      </c>
      <c r="B2649" t="inlineStr">
        <is>
          <t>C00513549</t>
        </is>
      </c>
      <c r="C2649" t="inlineStr">
        <is>
          <t>Phillips 66 PAC</t>
        </is>
      </c>
      <c r="D2649" t="inlineStr">
        <is>
          <t>SINEMA FOR ARIZONA</t>
        </is>
      </c>
      <c r="E2649" t="inlineStr">
        <is>
          <t>S8AZ00197</t>
        </is>
      </c>
      <c r="F2649" t="inlineStr">
        <is>
          <t>IND</t>
        </is>
      </c>
      <c r="G2649" t="inlineStr">
        <is>
          <t>04232024</t>
        </is>
      </c>
      <c r="H2649" t="n">
        <v>-5000</v>
      </c>
      <c r="I2649" t="inlineStr">
        <is>
          <t>202405169646011196</t>
        </is>
      </c>
      <c r="J2649" t="inlineStr">
        <is>
          <t>https://docquery.fec.gov/cgi-bin/fecimg/?202405169646011196</t>
        </is>
      </c>
    </row>
    <row r="2650">
      <c r="A2650" t="inlineStr">
        <is>
          <t>2024</t>
        </is>
      </c>
      <c r="B2650" t="inlineStr">
        <is>
          <t>C00513549</t>
        </is>
      </c>
      <c r="C2650" t="inlineStr">
        <is>
          <t>Phillips 66 PAC</t>
        </is>
      </c>
      <c r="D2650" t="inlineStr">
        <is>
          <t>GARRET GRAVES FOR CONGRESS</t>
        </is>
      </c>
      <c r="E2650" t="inlineStr">
        <is>
          <t>H4LA06153</t>
        </is>
      </c>
      <c r="F2650" t="inlineStr">
        <is>
          <t>REP</t>
        </is>
      </c>
      <c r="G2650" t="inlineStr">
        <is>
          <t>04252023</t>
        </is>
      </c>
      <c r="H2650" t="n">
        <v>3000</v>
      </c>
      <c r="I2650" t="inlineStr">
        <is>
          <t>202305159581443050</t>
        </is>
      </c>
      <c r="J2650" t="inlineStr">
        <is>
          <t>https://docquery.fec.gov/cgi-bin/fecimg/?202305159581443050</t>
        </is>
      </c>
    </row>
    <row r="2651">
      <c r="A2651" t="inlineStr">
        <is>
          <t>2024</t>
        </is>
      </c>
      <c r="B2651" t="inlineStr">
        <is>
          <t>C00513549</t>
        </is>
      </c>
      <c r="C2651" t="inlineStr">
        <is>
          <t>Phillips 66 PAC</t>
        </is>
      </c>
      <c r="D2651" t="inlineStr">
        <is>
          <t>MORGAN GRIFFITH FOR CONGRESS</t>
        </is>
      </c>
      <c r="E2651" t="inlineStr">
        <is>
          <t>H0VA09055</t>
        </is>
      </c>
      <c r="F2651" t="inlineStr">
        <is>
          <t>REP</t>
        </is>
      </c>
      <c r="G2651" t="inlineStr">
        <is>
          <t>04252023</t>
        </is>
      </c>
      <c r="H2651" t="n">
        <v>2500</v>
      </c>
      <c r="I2651" t="inlineStr">
        <is>
          <t>202305159581443052</t>
        </is>
      </c>
      <c r="J2651" t="inlineStr">
        <is>
          <t>https://docquery.fec.gov/cgi-bin/fecimg/?202305159581443052</t>
        </is>
      </c>
    </row>
    <row r="2652">
      <c r="A2652" t="inlineStr">
        <is>
          <t>2024</t>
        </is>
      </c>
      <c r="B2652" t="inlineStr">
        <is>
          <t>C00513549</t>
        </is>
      </c>
      <c r="C2652" t="inlineStr">
        <is>
          <t>Phillips 66 PAC</t>
        </is>
      </c>
      <c r="D2652" t="inlineStr">
        <is>
          <t>ARMSTRONG FOR CONGRESS</t>
        </is>
      </c>
      <c r="E2652" t="inlineStr">
        <is>
          <t>H8ND00096</t>
        </is>
      </c>
      <c r="F2652" t="inlineStr">
        <is>
          <t>REP</t>
        </is>
      </c>
      <c r="G2652" t="inlineStr">
        <is>
          <t>04282023</t>
        </is>
      </c>
      <c r="H2652" t="n">
        <v>2500</v>
      </c>
      <c r="I2652" t="inlineStr">
        <is>
          <t>202305159581443049</t>
        </is>
      </c>
      <c r="J2652" t="inlineStr">
        <is>
          <t>https://docquery.fec.gov/cgi-bin/fecimg/?202305159581443049</t>
        </is>
      </c>
    </row>
    <row r="2653">
      <c r="A2653" t="inlineStr">
        <is>
          <t>2024</t>
        </is>
      </c>
      <c r="B2653" t="inlineStr">
        <is>
          <t>C00513549</t>
        </is>
      </c>
      <c r="C2653" t="inlineStr">
        <is>
          <t>Phillips 66 PAC</t>
        </is>
      </c>
      <c r="D2653" t="inlineStr">
        <is>
          <t>DEB FISCHER FOR US SENATE INC</t>
        </is>
      </c>
      <c r="E2653" t="inlineStr">
        <is>
          <t>S2NE00094</t>
        </is>
      </c>
      <c r="F2653" t="inlineStr">
        <is>
          <t>REP</t>
        </is>
      </c>
      <c r="G2653" t="inlineStr">
        <is>
          <t>04282023</t>
        </is>
      </c>
      <c r="H2653" t="n">
        <v>2000</v>
      </c>
      <c r="I2653" t="inlineStr">
        <is>
          <t>202305159581443050</t>
        </is>
      </c>
      <c r="J2653" t="inlineStr">
        <is>
          <t>https://docquery.fec.gov/cgi-bin/fecimg/?202305159581443050</t>
        </is>
      </c>
    </row>
    <row r="2654">
      <c r="A2654" t="inlineStr">
        <is>
          <t>2024</t>
        </is>
      </c>
      <c r="B2654" t="inlineStr">
        <is>
          <t>C00513549</t>
        </is>
      </c>
      <c r="C2654" t="inlineStr">
        <is>
          <t>Phillips 66 PAC</t>
        </is>
      </c>
      <c r="D2654" t="inlineStr">
        <is>
          <t>GARRET GRAVES FOR CONGRESS</t>
        </is>
      </c>
      <c r="E2654" t="inlineStr">
        <is>
          <t>H4LA06153</t>
        </is>
      </c>
      <c r="F2654" t="inlineStr">
        <is>
          <t>REP</t>
        </is>
      </c>
      <c r="G2654" t="inlineStr">
        <is>
          <t>04282023</t>
        </is>
      </c>
      <c r="H2654" t="n">
        <v>2000</v>
      </c>
      <c r="I2654" t="inlineStr">
        <is>
          <t>202305159581443051</t>
        </is>
      </c>
      <c r="J2654" t="inlineStr">
        <is>
          <t>https://docquery.fec.gov/cgi-bin/fecimg/?202305159581443051</t>
        </is>
      </c>
    </row>
    <row r="2655">
      <c r="A2655" t="inlineStr">
        <is>
          <t>2024</t>
        </is>
      </c>
      <c r="B2655" t="inlineStr">
        <is>
          <t>C00513549</t>
        </is>
      </c>
      <c r="C2655" t="inlineStr">
        <is>
          <t>Phillips 66 PAC</t>
        </is>
      </c>
      <c r="D2655" t="inlineStr">
        <is>
          <t>MARSHA FOR SENATE</t>
        </is>
      </c>
      <c r="E2655" t="inlineStr">
        <is>
          <t>S8TN00337</t>
        </is>
      </c>
      <c r="F2655" t="inlineStr">
        <is>
          <t>REP</t>
        </is>
      </c>
      <c r="G2655" t="inlineStr">
        <is>
          <t>04282023</t>
        </is>
      </c>
      <c r="H2655" t="n">
        <v>2000</v>
      </c>
      <c r="I2655" t="inlineStr">
        <is>
          <t>202305159581443052</t>
        </is>
      </c>
      <c r="J2655" t="inlineStr">
        <is>
          <t>https://docquery.fec.gov/cgi-bin/fecimg/?202305159581443052</t>
        </is>
      </c>
    </row>
    <row r="2656">
      <c r="A2656" t="inlineStr">
        <is>
          <t>2024</t>
        </is>
      </c>
      <c r="B2656" t="inlineStr">
        <is>
          <t>C00513549</t>
        </is>
      </c>
      <c r="C2656" t="inlineStr">
        <is>
          <t>Phillips 66 PAC</t>
        </is>
      </c>
      <c r="D2656" t="inlineStr">
        <is>
          <t>TEXANS FOR JODEY ARRINGTON</t>
        </is>
      </c>
      <c r="E2656" t="inlineStr">
        <is>
          <t>H6TX19099</t>
        </is>
      </c>
      <c r="F2656" t="inlineStr">
        <is>
          <t>REP</t>
        </is>
      </c>
      <c r="G2656" t="inlineStr">
        <is>
          <t>04282023</t>
        </is>
      </c>
      <c r="H2656" t="n">
        <v>2500</v>
      </c>
      <c r="I2656" t="inlineStr">
        <is>
          <t>202305159581443053</t>
        </is>
      </c>
      <c r="J2656" t="inlineStr">
        <is>
          <t>https://docquery.fec.gov/cgi-bin/fecimg/?202305159581443053</t>
        </is>
      </c>
    </row>
    <row r="2657">
      <c r="A2657" t="inlineStr">
        <is>
          <t>2024</t>
        </is>
      </c>
      <c r="B2657" t="inlineStr">
        <is>
          <t>C00513549</t>
        </is>
      </c>
      <c r="C2657" t="inlineStr">
        <is>
          <t>Phillips 66 PAC</t>
        </is>
      </c>
      <c r="D2657" t="inlineStr">
        <is>
          <t>WICKER FOR SENATE</t>
        </is>
      </c>
      <c r="E2657" t="inlineStr">
        <is>
          <t>S8MS00196</t>
        </is>
      </c>
      <c r="F2657" t="inlineStr">
        <is>
          <t>REP</t>
        </is>
      </c>
      <c r="G2657" t="inlineStr">
        <is>
          <t>04282023</t>
        </is>
      </c>
      <c r="H2657" t="n">
        <v>2000</v>
      </c>
      <c r="I2657" t="inlineStr">
        <is>
          <t>202305159581443053</t>
        </is>
      </c>
      <c r="J2657" t="inlineStr">
        <is>
          <t>https://docquery.fec.gov/cgi-bin/fecimg/?202305159581443053</t>
        </is>
      </c>
    </row>
    <row r="2658">
      <c r="A2658" t="inlineStr">
        <is>
          <t>2024</t>
        </is>
      </c>
      <c r="B2658" t="inlineStr">
        <is>
          <t>C00513549</t>
        </is>
      </c>
      <c r="C2658" t="inlineStr">
        <is>
          <t>Phillips 66 PAC</t>
        </is>
      </c>
      <c r="D2658" t="inlineStr">
        <is>
          <t>ELISE FOR CONGRESS</t>
        </is>
      </c>
      <c r="E2658" t="inlineStr">
        <is>
          <t>H4NY21079</t>
        </is>
      </c>
      <c r="F2658" t="inlineStr">
        <is>
          <t>REP</t>
        </is>
      </c>
      <c r="G2658" t="inlineStr">
        <is>
          <t>04292024</t>
        </is>
      </c>
      <c r="H2658" t="n">
        <v>5000</v>
      </c>
      <c r="I2658" t="inlineStr">
        <is>
          <t>202405169646011200</t>
        </is>
      </c>
      <c r="J2658" t="inlineStr">
        <is>
          <t>https://docquery.fec.gov/cgi-bin/fecimg/?202405169646011200</t>
        </is>
      </c>
    </row>
    <row r="2659">
      <c r="A2659" t="inlineStr">
        <is>
          <t>2024</t>
        </is>
      </c>
      <c r="B2659" t="inlineStr">
        <is>
          <t>C00513549</t>
        </is>
      </c>
      <c r="C2659" t="inlineStr">
        <is>
          <t>Phillips 66 PAC</t>
        </is>
      </c>
      <c r="D2659" t="inlineStr">
        <is>
          <t>ELIZABETH PANNILL FLETCHER FOR CONGRESS</t>
        </is>
      </c>
      <c r="E2659" t="inlineStr">
        <is>
          <t>H8TX07140</t>
        </is>
      </c>
      <c r="F2659" t="inlineStr">
        <is>
          <t>DEM</t>
        </is>
      </c>
      <c r="G2659" t="inlineStr">
        <is>
          <t>04292024</t>
        </is>
      </c>
      <c r="H2659" t="n">
        <v>2500</v>
      </c>
      <c r="I2659" t="inlineStr">
        <is>
          <t>202405169646011201</t>
        </is>
      </c>
      <c r="J2659" t="inlineStr">
        <is>
          <t>https://docquery.fec.gov/cgi-bin/fecimg/?202405169646011201</t>
        </is>
      </c>
    </row>
    <row r="2660">
      <c r="A2660" t="inlineStr">
        <is>
          <t>2024</t>
        </is>
      </c>
      <c r="B2660" t="inlineStr">
        <is>
          <t>C00513549</t>
        </is>
      </c>
      <c r="C2660" t="inlineStr">
        <is>
          <t>Phillips 66 PAC</t>
        </is>
      </c>
      <c r="D2660" t="inlineStr">
        <is>
          <t>GRAVES FOR CONGRESS</t>
        </is>
      </c>
      <c r="E2660" t="inlineStr">
        <is>
          <t>H0MO06073</t>
        </is>
      </c>
      <c r="F2660" t="inlineStr">
        <is>
          <t>REP</t>
        </is>
      </c>
      <c r="G2660" t="inlineStr">
        <is>
          <t>04292024</t>
        </is>
      </c>
      <c r="H2660" t="n">
        <v>5000</v>
      </c>
      <c r="I2660" t="inlineStr">
        <is>
          <t>202405169646011201</t>
        </is>
      </c>
      <c r="J2660" t="inlineStr">
        <is>
          <t>https://docquery.fec.gov/cgi-bin/fecimg/?202405169646011201</t>
        </is>
      </c>
    </row>
    <row r="2661">
      <c r="A2661" t="inlineStr">
        <is>
          <t>2024</t>
        </is>
      </c>
      <c r="B2661" t="inlineStr">
        <is>
          <t>C00513549</t>
        </is>
      </c>
      <c r="C2661" t="inlineStr">
        <is>
          <t>Phillips 66 PAC</t>
        </is>
      </c>
      <c r="D2661" t="inlineStr">
        <is>
          <t>GUY FOR CONGRESS</t>
        </is>
      </c>
      <c r="E2661" t="inlineStr">
        <is>
          <t>H8PA18199</t>
        </is>
      </c>
      <c r="F2661" t="inlineStr">
        <is>
          <t>REP</t>
        </is>
      </c>
      <c r="G2661" t="inlineStr">
        <is>
          <t>04292024</t>
        </is>
      </c>
      <c r="H2661" t="n">
        <v>2500</v>
      </c>
      <c r="I2661" t="inlineStr">
        <is>
          <t>202405169646011202</t>
        </is>
      </c>
      <c r="J2661" t="inlineStr">
        <is>
          <t>https://docquery.fec.gov/cgi-bin/fecimg/?202405169646011202</t>
        </is>
      </c>
    </row>
    <row r="2662">
      <c r="A2662" t="inlineStr">
        <is>
          <t>2024</t>
        </is>
      </c>
      <c r="B2662" t="inlineStr">
        <is>
          <t>C00513549</t>
        </is>
      </c>
      <c r="C2662" t="inlineStr">
        <is>
          <t>Phillips 66 PAC</t>
        </is>
      </c>
      <c r="D2662" t="inlineStr">
        <is>
          <t>HERN FOR CONGRESS</t>
        </is>
      </c>
      <c r="E2662" t="inlineStr">
        <is>
          <t>H8OK01157</t>
        </is>
      </c>
      <c r="F2662" t="inlineStr">
        <is>
          <t>REP</t>
        </is>
      </c>
      <c r="G2662" t="inlineStr">
        <is>
          <t>04292024</t>
        </is>
      </c>
      <c r="H2662" t="n">
        <v>2500</v>
      </c>
      <c r="I2662" t="inlineStr">
        <is>
          <t>202405169646011202</t>
        </is>
      </c>
      <c r="J2662" t="inlineStr">
        <is>
          <t>https://docquery.fec.gov/cgi-bin/fecimg/?202405169646011202</t>
        </is>
      </c>
    </row>
    <row r="2663">
      <c r="A2663" t="inlineStr">
        <is>
          <t>2024</t>
        </is>
      </c>
      <c r="B2663" t="inlineStr">
        <is>
          <t>C00513549</t>
        </is>
      </c>
      <c r="C2663" t="inlineStr">
        <is>
          <t>Phillips 66 PAC</t>
        </is>
      </c>
      <c r="D2663" t="inlineStr">
        <is>
          <t>HOGAN FOR MARYLAND INC.</t>
        </is>
      </c>
      <c r="E2663" t="inlineStr">
        <is>
          <t>S4MD00483</t>
        </is>
      </c>
      <c r="F2663" t="inlineStr">
        <is>
          <t>REP</t>
        </is>
      </c>
      <c r="G2663" t="inlineStr">
        <is>
          <t>04292024</t>
        </is>
      </c>
      <c r="H2663" t="n">
        <v>2500</v>
      </c>
      <c r="I2663" t="inlineStr">
        <is>
          <t>202405169646011203</t>
        </is>
      </c>
      <c r="J2663" t="inlineStr">
        <is>
          <t>https://docquery.fec.gov/cgi-bin/fecimg/?202405169646011203</t>
        </is>
      </c>
    </row>
    <row r="2664">
      <c r="A2664" t="inlineStr">
        <is>
          <t>2024</t>
        </is>
      </c>
      <c r="B2664" t="inlineStr">
        <is>
          <t>C00513549</t>
        </is>
      </c>
      <c r="C2664" t="inlineStr">
        <is>
          <t>Phillips 66 PAC</t>
        </is>
      </c>
      <c r="D2664" t="inlineStr">
        <is>
          <t>HUNT FOR CONGRESS</t>
        </is>
      </c>
      <c r="E2664" t="inlineStr">
        <is>
          <t>H0TX07170</t>
        </is>
      </c>
      <c r="F2664" t="inlineStr">
        <is>
          <t>REP</t>
        </is>
      </c>
      <c r="G2664" t="inlineStr">
        <is>
          <t>04292024</t>
        </is>
      </c>
      <c r="H2664" t="n">
        <v>2500</v>
      </c>
      <c r="I2664" t="inlineStr">
        <is>
          <t>202405169646011203</t>
        </is>
      </c>
      <c r="J2664" t="inlineStr">
        <is>
          <t>https://docquery.fec.gov/cgi-bin/fecimg/?202405169646011203</t>
        </is>
      </c>
    </row>
    <row r="2665">
      <c r="A2665" t="inlineStr">
        <is>
          <t>2024</t>
        </is>
      </c>
      <c r="B2665" t="inlineStr">
        <is>
          <t>C00513549</t>
        </is>
      </c>
      <c r="C2665" t="inlineStr">
        <is>
          <t>Phillips 66 PAC</t>
        </is>
      </c>
      <c r="D2665" t="inlineStr">
        <is>
          <t>KEAN FOR CONGRESS INC</t>
        </is>
      </c>
      <c r="E2665" t="inlineStr">
        <is>
          <t>H0NJ07261</t>
        </is>
      </c>
      <c r="F2665" t="inlineStr">
        <is>
          <t>REP</t>
        </is>
      </c>
      <c r="G2665" t="inlineStr">
        <is>
          <t>04292024</t>
        </is>
      </c>
      <c r="H2665" t="n">
        <v>2500</v>
      </c>
      <c r="I2665" t="inlineStr">
        <is>
          <t>202405169646011204</t>
        </is>
      </c>
      <c r="J2665" t="inlineStr">
        <is>
          <t>https://docquery.fec.gov/cgi-bin/fecimg/?202405169646011204</t>
        </is>
      </c>
    </row>
    <row r="2666">
      <c r="A2666" t="inlineStr">
        <is>
          <t>2024</t>
        </is>
      </c>
      <c r="B2666" t="inlineStr">
        <is>
          <t>C00513549</t>
        </is>
      </c>
      <c r="C2666" t="inlineStr">
        <is>
          <t>Phillips 66 PAC</t>
        </is>
      </c>
      <c r="D2666" t="inlineStr">
        <is>
          <t>LUCAS FOR CONGRESS</t>
        </is>
      </c>
      <c r="E2666" t="inlineStr">
        <is>
          <t>H4OK06056</t>
        </is>
      </c>
      <c r="F2666" t="inlineStr">
        <is>
          <t>REP</t>
        </is>
      </c>
      <c r="G2666" t="inlineStr">
        <is>
          <t>04292024</t>
        </is>
      </c>
      <c r="H2666" t="n">
        <v>1000</v>
      </c>
      <c r="I2666" t="inlineStr">
        <is>
          <t>202405169646011204</t>
        </is>
      </c>
      <c r="J2666" t="inlineStr">
        <is>
          <t>https://docquery.fec.gov/cgi-bin/fecimg/?202405169646011204</t>
        </is>
      </c>
    </row>
    <row r="2667">
      <c r="A2667" t="inlineStr">
        <is>
          <t>2024</t>
        </is>
      </c>
      <c r="B2667" t="inlineStr">
        <is>
          <t>C00513549</t>
        </is>
      </c>
      <c r="C2667" t="inlineStr">
        <is>
          <t>Phillips 66 PAC</t>
        </is>
      </c>
      <c r="D2667" t="inlineStr">
        <is>
          <t>MARY PELTOLA FOR ALASKA</t>
        </is>
      </c>
      <c r="E2667" t="inlineStr">
        <is>
          <t>H2AK01158</t>
        </is>
      </c>
      <c r="F2667" t="inlineStr">
        <is>
          <t>DEM</t>
        </is>
      </c>
      <c r="G2667" t="inlineStr">
        <is>
          <t>04292024</t>
        </is>
      </c>
      <c r="H2667" t="n">
        <v>5000</v>
      </c>
      <c r="I2667" t="inlineStr">
        <is>
          <t>202405169646011204</t>
        </is>
      </c>
      <c r="J2667" t="inlineStr">
        <is>
          <t>https://docquery.fec.gov/cgi-bin/fecimg/?202405169646011204</t>
        </is>
      </c>
    </row>
    <row r="2668">
      <c r="A2668" t="inlineStr">
        <is>
          <t>2024</t>
        </is>
      </c>
      <c r="B2668" t="inlineStr">
        <is>
          <t>C00513549</t>
        </is>
      </c>
      <c r="C2668" t="inlineStr">
        <is>
          <t>Phillips 66 PAC</t>
        </is>
      </c>
      <c r="D2668" t="inlineStr">
        <is>
          <t>MILLER-MEEKS FOR CONGRESS</t>
        </is>
      </c>
      <c r="E2668" t="inlineStr">
        <is>
          <t>H8IA02043</t>
        </is>
      </c>
      <c r="F2668" t="inlineStr">
        <is>
          <t>REP</t>
        </is>
      </c>
      <c r="G2668" t="inlineStr">
        <is>
          <t>04292024</t>
        </is>
      </c>
      <c r="H2668" t="n">
        <v>1000</v>
      </c>
      <c r="I2668" t="inlineStr">
        <is>
          <t>202405169646011205</t>
        </is>
      </c>
      <c r="J2668" t="inlineStr">
        <is>
          <t>https://docquery.fec.gov/cgi-bin/fecimg/?202405169646011205</t>
        </is>
      </c>
    </row>
    <row r="2669">
      <c r="A2669" t="inlineStr">
        <is>
          <t>2024</t>
        </is>
      </c>
      <c r="B2669" t="inlineStr">
        <is>
          <t>C00513549</t>
        </is>
      </c>
      <c r="C2669" t="inlineStr">
        <is>
          <t>Phillips 66 PAC</t>
        </is>
      </c>
      <c r="D2669" t="inlineStr">
        <is>
          <t>SCALISE FOR CONGRESS</t>
        </is>
      </c>
      <c r="E2669" t="inlineStr">
        <is>
          <t>H0LA01087</t>
        </is>
      </c>
      <c r="F2669" t="inlineStr">
        <is>
          <t>REP</t>
        </is>
      </c>
      <c r="G2669" t="inlineStr">
        <is>
          <t>04292024</t>
        </is>
      </c>
      <c r="H2669" t="n">
        <v>2500</v>
      </c>
      <c r="I2669" t="inlineStr">
        <is>
          <t>202405169646011205</t>
        </is>
      </c>
      <c r="J2669" t="inlineStr">
        <is>
          <t>https://docquery.fec.gov/cgi-bin/fecimg/?202405169646011205</t>
        </is>
      </c>
    </row>
    <row r="2670">
      <c r="A2670" t="inlineStr">
        <is>
          <t>2024</t>
        </is>
      </c>
      <c r="B2670" t="inlineStr">
        <is>
          <t>C00513549</t>
        </is>
      </c>
      <c r="C2670" t="inlineStr">
        <is>
          <t>Phillips 66 PAC</t>
        </is>
      </c>
      <c r="D2670" t="inlineStr">
        <is>
          <t>VICENTE GONZALEZ FOR CONGRESS</t>
        </is>
      </c>
      <c r="E2670" t="inlineStr">
        <is>
          <t>H6TX15162</t>
        </is>
      </c>
      <c r="F2670" t="inlineStr">
        <is>
          <t>DEM</t>
        </is>
      </c>
      <c r="G2670" t="inlineStr">
        <is>
          <t>04292024</t>
        </is>
      </c>
      <c r="H2670" t="n">
        <v>2500</v>
      </c>
      <c r="I2670" t="inlineStr">
        <is>
          <t>202405169646011206</t>
        </is>
      </c>
      <c r="J2670" t="inlineStr">
        <is>
          <t>https://docquery.fec.gov/cgi-bin/fecimg/?202405169646011206</t>
        </is>
      </c>
    </row>
    <row r="2671">
      <c r="A2671" t="inlineStr">
        <is>
          <t>2024</t>
        </is>
      </c>
      <c r="B2671" t="inlineStr">
        <is>
          <t>C00513549</t>
        </is>
      </c>
      <c r="C2671" t="inlineStr">
        <is>
          <t>Phillips 66 PAC</t>
        </is>
      </c>
      <c r="D2671" t="inlineStr">
        <is>
          <t>VINCE FONG FOR CONGRESS</t>
        </is>
      </c>
      <c r="E2671" t="inlineStr">
        <is>
          <t>H4CA20181</t>
        </is>
      </c>
      <c r="F2671" t="inlineStr">
        <is>
          <t>REP</t>
        </is>
      </c>
      <c r="G2671" t="inlineStr">
        <is>
          <t>04292024</t>
        </is>
      </c>
      <c r="H2671" t="n">
        <v>2500</v>
      </c>
      <c r="I2671" t="inlineStr">
        <is>
          <t>202405169646011207</t>
        </is>
      </c>
      <c r="J2671" t="inlineStr">
        <is>
          <t>https://docquery.fec.gov/cgi-bin/fecimg/?202405169646011207</t>
        </is>
      </c>
    </row>
    <row r="2672">
      <c r="A2672" t="inlineStr">
        <is>
          <t>2024</t>
        </is>
      </c>
      <c r="B2672" t="inlineStr">
        <is>
          <t>C00513549</t>
        </is>
      </c>
      <c r="C2672" t="inlineStr">
        <is>
          <t>Phillips 66 PAC</t>
        </is>
      </c>
      <c r="D2672" t="inlineStr">
        <is>
          <t>ASHLEY HINSON FOR CONGRESS</t>
        </is>
      </c>
      <c r="E2672" t="inlineStr">
        <is>
          <t>H0IA01174</t>
        </is>
      </c>
      <c r="F2672" t="inlineStr">
        <is>
          <t>REP</t>
        </is>
      </c>
      <c r="G2672" t="inlineStr">
        <is>
          <t>04292024</t>
        </is>
      </c>
      <c r="H2672" t="n">
        <v>1000</v>
      </c>
      <c r="I2672" t="inlineStr">
        <is>
          <t>202405169646011199</t>
        </is>
      </c>
      <c r="J2672" t="inlineStr">
        <is>
          <t>https://docquery.fec.gov/cgi-bin/fecimg/?202405169646011199</t>
        </is>
      </c>
    </row>
    <row r="2673">
      <c r="A2673" t="inlineStr">
        <is>
          <t>2024</t>
        </is>
      </c>
      <c r="B2673" t="inlineStr">
        <is>
          <t>C00513549</t>
        </is>
      </c>
      <c r="C2673" t="inlineStr">
        <is>
          <t>Phillips 66 PAC</t>
        </is>
      </c>
      <c r="D2673" t="inlineStr">
        <is>
          <t>BALDERSON FOR CONGRESS</t>
        </is>
      </c>
      <c r="E2673" t="inlineStr">
        <is>
          <t>H8OH12180</t>
        </is>
      </c>
      <c r="F2673" t="inlineStr">
        <is>
          <t>REP</t>
        </is>
      </c>
      <c r="G2673" t="inlineStr">
        <is>
          <t>04292024</t>
        </is>
      </c>
      <c r="H2673" t="n">
        <v>1500</v>
      </c>
      <c r="I2673" t="inlineStr">
        <is>
          <t>202405169646011199</t>
        </is>
      </c>
      <c r="J2673" t="inlineStr">
        <is>
          <t>https://docquery.fec.gov/cgi-bin/fecimg/?202405169646011199</t>
        </is>
      </c>
    </row>
    <row r="2674">
      <c r="A2674" t="inlineStr">
        <is>
          <t>2024</t>
        </is>
      </c>
      <c r="B2674" t="inlineStr">
        <is>
          <t>C00513549</t>
        </is>
      </c>
      <c r="C2674" t="inlineStr">
        <is>
          <t>Phillips 66 PAC</t>
        </is>
      </c>
      <c r="D2674" t="inlineStr">
        <is>
          <t>CITIZENS TO ELECT RICK LARSEN</t>
        </is>
      </c>
      <c r="E2674" t="inlineStr">
        <is>
          <t>H0WA02080</t>
        </is>
      </c>
      <c r="F2674" t="inlineStr">
        <is>
          <t>DEM</t>
        </is>
      </c>
      <c r="G2674" t="inlineStr">
        <is>
          <t>04292024</t>
        </is>
      </c>
      <c r="H2674" t="n">
        <v>2500</v>
      </c>
      <c r="I2674" t="inlineStr">
        <is>
          <t>202405169646011200</t>
        </is>
      </c>
      <c r="J2674" t="inlineStr">
        <is>
          <t>https://docquery.fec.gov/cgi-bin/fecimg/?202405169646011200</t>
        </is>
      </c>
    </row>
    <row r="2675">
      <c r="A2675" t="inlineStr">
        <is>
          <t>2024</t>
        </is>
      </c>
      <c r="B2675" t="inlineStr">
        <is>
          <t>C00513549</t>
        </is>
      </c>
      <c r="C2675" t="inlineStr">
        <is>
          <t>Phillips 66 PAC</t>
        </is>
      </c>
      <c r="D2675" t="inlineStr">
        <is>
          <t>ANDY BARR FOR CONGRESS, INC.</t>
        </is>
      </c>
      <c r="E2675" t="inlineStr">
        <is>
          <t>H0KY06104</t>
        </is>
      </c>
      <c r="F2675" t="inlineStr">
        <is>
          <t>REP</t>
        </is>
      </c>
      <c r="G2675" t="inlineStr">
        <is>
          <t>04292024</t>
        </is>
      </c>
      <c r="H2675" t="n">
        <v>2500</v>
      </c>
      <c r="I2675" t="inlineStr">
        <is>
          <t>202405169646011199</t>
        </is>
      </c>
      <c r="J2675" t="inlineStr">
        <is>
          <t>https://docquery.fec.gov/cgi-bin/fecimg/?202405169646011199</t>
        </is>
      </c>
    </row>
    <row r="2676">
      <c r="A2676" t="inlineStr">
        <is>
          <t>2024</t>
        </is>
      </c>
      <c r="B2676" t="inlineStr">
        <is>
          <t>C00513549</t>
        </is>
      </c>
      <c r="C2676" t="inlineStr">
        <is>
          <t>Phillips 66 PAC</t>
        </is>
      </c>
      <c r="D2676" t="inlineStr">
        <is>
          <t>TEXANS FOR RONNY JACKSON</t>
        </is>
      </c>
      <c r="E2676" t="inlineStr">
        <is>
          <t>H0TX13228</t>
        </is>
      </c>
      <c r="F2676" t="inlineStr">
        <is>
          <t>REP</t>
        </is>
      </c>
      <c r="G2676" t="inlineStr">
        <is>
          <t>04292024</t>
        </is>
      </c>
      <c r="H2676" t="n">
        <v>2500</v>
      </c>
      <c r="I2676" t="inlineStr">
        <is>
          <t>202405169646011205</t>
        </is>
      </c>
      <c r="J2676" t="inlineStr">
        <is>
          <t>https://docquery.fec.gov/cgi-bin/fecimg/?202405169646011205</t>
        </is>
      </c>
    </row>
    <row r="2677">
      <c r="A2677" t="inlineStr">
        <is>
          <t>2024</t>
        </is>
      </c>
      <c r="B2677" t="inlineStr">
        <is>
          <t>C00513549</t>
        </is>
      </c>
      <c r="C2677" t="inlineStr">
        <is>
          <t>Phillips 66 PAC</t>
        </is>
      </c>
      <c r="D2677" t="inlineStr">
        <is>
          <t>CAPITO FOR WEST VIRGINIA</t>
        </is>
      </c>
      <c r="E2677" t="inlineStr">
        <is>
          <t>S4WV00159</t>
        </is>
      </c>
      <c r="F2677" t="inlineStr">
        <is>
          <t>REP</t>
        </is>
      </c>
      <c r="G2677" t="inlineStr">
        <is>
          <t>05062024</t>
        </is>
      </c>
      <c r="H2677" t="n">
        <v>2500</v>
      </c>
      <c r="I2677" t="inlineStr">
        <is>
          <t>202406189649207495</t>
        </is>
      </c>
      <c r="J2677" t="inlineStr">
        <is>
          <t>https://docquery.fec.gov/cgi-bin/fecimg/?202406189649207495</t>
        </is>
      </c>
    </row>
    <row r="2678">
      <c r="A2678" t="inlineStr">
        <is>
          <t>2024</t>
        </is>
      </c>
      <c r="B2678" t="inlineStr">
        <is>
          <t>C00513549</t>
        </is>
      </c>
      <c r="C2678" t="inlineStr">
        <is>
          <t>Phillips 66 PAC</t>
        </is>
      </c>
      <c r="D2678" t="inlineStr">
        <is>
          <t>FRIENDS OF DAVE MCCORMICK</t>
        </is>
      </c>
      <c r="E2678" t="inlineStr">
        <is>
          <t>S2PA00661</t>
        </is>
      </c>
      <c r="F2678" t="inlineStr">
        <is>
          <t>REP</t>
        </is>
      </c>
      <c r="G2678" t="inlineStr">
        <is>
          <t>05062024</t>
        </is>
      </c>
      <c r="H2678" t="n">
        <v>2500</v>
      </c>
      <c r="I2678" t="inlineStr">
        <is>
          <t>202406189649207496</t>
        </is>
      </c>
      <c r="J2678" t="inlineStr">
        <is>
          <t>https://docquery.fec.gov/cgi-bin/fecimg/?202406189649207496</t>
        </is>
      </c>
    </row>
    <row r="2679">
      <c r="A2679" t="inlineStr">
        <is>
          <t>2024</t>
        </is>
      </c>
      <c r="B2679" t="inlineStr">
        <is>
          <t>C00513549</t>
        </is>
      </c>
      <c r="C2679" t="inlineStr">
        <is>
          <t>Phillips 66 PAC</t>
        </is>
      </c>
      <c r="D2679" t="inlineStr">
        <is>
          <t>JIM COSTA FOR CONGRESS</t>
        </is>
      </c>
      <c r="E2679" t="inlineStr">
        <is>
          <t>H4CA20082</t>
        </is>
      </c>
      <c r="F2679" t="inlineStr">
        <is>
          <t>DEM</t>
        </is>
      </c>
      <c r="G2679" t="inlineStr">
        <is>
          <t>05062024</t>
        </is>
      </c>
      <c r="H2679" t="n">
        <v>2500</v>
      </c>
      <c r="I2679" t="inlineStr">
        <is>
          <t>202406189649207497</t>
        </is>
      </c>
      <c r="J2679" t="inlineStr">
        <is>
          <t>https://docquery.fec.gov/cgi-bin/fecimg/?202406189649207497</t>
        </is>
      </c>
    </row>
    <row r="2680">
      <c r="A2680" t="inlineStr">
        <is>
          <t>2024</t>
        </is>
      </c>
      <c r="B2680" t="inlineStr">
        <is>
          <t>C00513549</t>
        </is>
      </c>
      <c r="C2680" t="inlineStr">
        <is>
          <t>Phillips 66 PAC</t>
        </is>
      </c>
      <c r="D2680" t="inlineStr">
        <is>
          <t>JIM JUSTICE FOR U.S. SENATE</t>
        </is>
      </c>
      <c r="E2680" t="inlineStr">
        <is>
          <t>S4WV00332</t>
        </is>
      </c>
      <c r="F2680" t="inlineStr">
        <is>
          <t>REP</t>
        </is>
      </c>
      <c r="G2680" t="inlineStr">
        <is>
          <t>05062024</t>
        </is>
      </c>
      <c r="H2680" t="n">
        <v>2500</v>
      </c>
      <c r="I2680" t="inlineStr">
        <is>
          <t>202406189649207497</t>
        </is>
      </c>
      <c r="J2680" t="inlineStr">
        <is>
          <t>https://docquery.fec.gov/cgi-bin/fecimg/?202406189649207497</t>
        </is>
      </c>
    </row>
    <row r="2681">
      <c r="A2681" t="inlineStr">
        <is>
          <t>2024</t>
        </is>
      </c>
      <c r="B2681" t="inlineStr">
        <is>
          <t>C00513549</t>
        </is>
      </c>
      <c r="C2681" t="inlineStr">
        <is>
          <t>Phillips 66 PAC</t>
        </is>
      </c>
      <c r="D2681" t="inlineStr">
        <is>
          <t>KEAN FOR CONGRESS INC</t>
        </is>
      </c>
      <c r="E2681" t="inlineStr">
        <is>
          <t>H0NJ07261</t>
        </is>
      </c>
      <c r="F2681" t="inlineStr">
        <is>
          <t>REP</t>
        </is>
      </c>
      <c r="G2681" t="inlineStr">
        <is>
          <t>05062024</t>
        </is>
      </c>
      <c r="H2681" t="n">
        <v>1000</v>
      </c>
      <c r="I2681" t="inlineStr">
        <is>
          <t>202406189649207497</t>
        </is>
      </c>
      <c r="J2681" t="inlineStr">
        <is>
          <t>https://docquery.fec.gov/cgi-bin/fecimg/?202406189649207497</t>
        </is>
      </c>
    </row>
    <row r="2682">
      <c r="A2682" t="inlineStr">
        <is>
          <t>2024</t>
        </is>
      </c>
      <c r="B2682" t="inlineStr">
        <is>
          <t>C00513549</t>
        </is>
      </c>
      <c r="C2682" t="inlineStr">
        <is>
          <t>Phillips 66 PAC</t>
        </is>
      </c>
      <c r="D2682" t="inlineStr">
        <is>
          <t>KEAN FOR CONGRESS INC</t>
        </is>
      </c>
      <c r="E2682" t="inlineStr">
        <is>
          <t>H0NJ07261</t>
        </is>
      </c>
      <c r="F2682" t="inlineStr">
        <is>
          <t>REP</t>
        </is>
      </c>
      <c r="G2682" t="inlineStr">
        <is>
          <t>05062024</t>
        </is>
      </c>
      <c r="H2682" t="n">
        <v>2500</v>
      </c>
      <c r="I2682" t="inlineStr">
        <is>
          <t>202406189649207498</t>
        </is>
      </c>
      <c r="J2682" t="inlineStr">
        <is>
          <t>https://docquery.fec.gov/cgi-bin/fecimg/?202406189649207498</t>
        </is>
      </c>
    </row>
    <row r="2683">
      <c r="A2683" t="inlineStr">
        <is>
          <t>2024</t>
        </is>
      </c>
      <c r="B2683" t="inlineStr">
        <is>
          <t>C00513549</t>
        </is>
      </c>
      <c r="C2683" t="inlineStr">
        <is>
          <t>Phillips 66 PAC</t>
        </is>
      </c>
      <c r="D2683" t="inlineStr">
        <is>
          <t>KUSTOFF FOR CONGRESS</t>
        </is>
      </c>
      <c r="E2683" t="inlineStr">
        <is>
          <t>H2TN07103</t>
        </is>
      </c>
      <c r="F2683" t="inlineStr">
        <is>
          <t>REP</t>
        </is>
      </c>
      <c r="G2683" t="inlineStr">
        <is>
          <t>05062024</t>
        </is>
      </c>
      <c r="H2683" t="n">
        <v>2500</v>
      </c>
      <c r="I2683" t="inlineStr">
        <is>
          <t>202406189649207498</t>
        </is>
      </c>
      <c r="J2683" t="inlineStr">
        <is>
          <t>https://docquery.fec.gov/cgi-bin/fecimg/?202406189649207498</t>
        </is>
      </c>
    </row>
    <row r="2684">
      <c r="A2684" t="inlineStr">
        <is>
          <t>2024</t>
        </is>
      </c>
      <c r="B2684" t="inlineStr">
        <is>
          <t>C00513549</t>
        </is>
      </c>
      <c r="C2684" t="inlineStr">
        <is>
          <t>Phillips 66 PAC</t>
        </is>
      </c>
      <c r="D2684" t="inlineStr">
        <is>
          <t>LOU CORREA FOR CONGRESS</t>
        </is>
      </c>
      <c r="E2684" t="inlineStr">
        <is>
          <t>H6CA46116</t>
        </is>
      </c>
      <c r="F2684" t="inlineStr">
        <is>
          <t>DEM</t>
        </is>
      </c>
      <c r="G2684" t="inlineStr">
        <is>
          <t>05062024</t>
        </is>
      </c>
      <c r="H2684" t="n">
        <v>2500</v>
      </c>
      <c r="I2684" t="inlineStr">
        <is>
          <t>202406189649207499</t>
        </is>
      </c>
      <c r="J2684" t="inlineStr">
        <is>
          <t>https://docquery.fec.gov/cgi-bin/fecimg/?202406189649207499</t>
        </is>
      </c>
    </row>
    <row r="2685">
      <c r="A2685" t="inlineStr">
        <is>
          <t>2024</t>
        </is>
      </c>
      <c r="B2685" t="inlineStr">
        <is>
          <t>C00513549</t>
        </is>
      </c>
      <c r="C2685" t="inlineStr">
        <is>
          <t>Phillips 66 PAC</t>
        </is>
      </c>
      <c r="D2685" t="inlineStr">
        <is>
          <t>MONICA FOR CONGRESS</t>
        </is>
      </c>
      <c r="E2685" t="inlineStr">
        <is>
          <t>H0TX15124</t>
        </is>
      </c>
      <c r="F2685" t="inlineStr">
        <is>
          <t>REP</t>
        </is>
      </c>
      <c r="G2685" t="inlineStr">
        <is>
          <t>05062024</t>
        </is>
      </c>
      <c r="H2685" t="n">
        <v>5000</v>
      </c>
      <c r="I2685" t="inlineStr">
        <is>
          <t>202406189649207500</t>
        </is>
      </c>
      <c r="J2685" t="inlineStr">
        <is>
          <t>https://docquery.fec.gov/cgi-bin/fecimg/?202406189649207500</t>
        </is>
      </c>
    </row>
    <row r="2686">
      <c r="A2686" t="inlineStr">
        <is>
          <t>2024</t>
        </is>
      </c>
      <c r="B2686" t="inlineStr">
        <is>
          <t>C00513549</t>
        </is>
      </c>
      <c r="C2686" t="inlineStr">
        <is>
          <t>Phillips 66 PAC</t>
        </is>
      </c>
      <c r="D2686" t="inlineStr">
        <is>
          <t>RICK SCOTT FOR FLORIDA</t>
        </is>
      </c>
      <c r="E2686" t="inlineStr">
        <is>
          <t>S8FL00273</t>
        </is>
      </c>
      <c r="F2686" t="inlineStr">
        <is>
          <t>REP</t>
        </is>
      </c>
      <c r="G2686" t="inlineStr">
        <is>
          <t>05062024</t>
        </is>
      </c>
      <c r="H2686" t="n">
        <v>2500</v>
      </c>
      <c r="I2686" t="inlineStr">
        <is>
          <t>202406189649207500</t>
        </is>
      </c>
      <c r="J2686" t="inlineStr">
        <is>
          <t>https://docquery.fec.gov/cgi-bin/fecimg/?202406189649207500</t>
        </is>
      </c>
    </row>
    <row r="2687">
      <c r="A2687" t="inlineStr">
        <is>
          <t>2024</t>
        </is>
      </c>
      <c r="B2687" t="inlineStr">
        <is>
          <t>C00513549</t>
        </is>
      </c>
      <c r="C2687" t="inlineStr">
        <is>
          <t>Phillips 66 PAC</t>
        </is>
      </c>
      <c r="D2687" t="inlineStr">
        <is>
          <t>ROGERS FOR SENATE</t>
        </is>
      </c>
      <c r="E2687" t="inlineStr">
        <is>
          <t>S4MI00595</t>
        </is>
      </c>
      <c r="F2687" t="inlineStr">
        <is>
          <t>REP</t>
        </is>
      </c>
      <c r="G2687" t="inlineStr">
        <is>
          <t>05062024</t>
        </is>
      </c>
      <c r="H2687" t="n">
        <v>2500</v>
      </c>
      <c r="I2687" t="inlineStr">
        <is>
          <t>202406189649207501</t>
        </is>
      </c>
      <c r="J2687" t="inlineStr">
        <is>
          <t>https://docquery.fec.gov/cgi-bin/fecimg/?202406189649207501</t>
        </is>
      </c>
    </row>
    <row r="2688">
      <c r="A2688" t="inlineStr">
        <is>
          <t>2024</t>
        </is>
      </c>
      <c r="B2688" t="inlineStr">
        <is>
          <t>C00513549</t>
        </is>
      </c>
      <c r="C2688" t="inlineStr">
        <is>
          <t>Phillips 66 PAC</t>
        </is>
      </c>
      <c r="D2688" t="inlineStr">
        <is>
          <t>TEXANS FOR JODEY ARRINGTON</t>
        </is>
      </c>
      <c r="E2688" t="inlineStr">
        <is>
          <t>H6TX19099</t>
        </is>
      </c>
      <c r="F2688" t="inlineStr">
        <is>
          <t>REP</t>
        </is>
      </c>
      <c r="G2688" t="inlineStr">
        <is>
          <t>05062024</t>
        </is>
      </c>
      <c r="H2688" t="n">
        <v>5000</v>
      </c>
      <c r="I2688" t="inlineStr">
        <is>
          <t>202406189649207501</t>
        </is>
      </c>
      <c r="J2688" t="inlineStr">
        <is>
          <t>https://docquery.fec.gov/cgi-bin/fecimg/?202406189649207501</t>
        </is>
      </c>
    </row>
    <row r="2689">
      <c r="A2689" t="inlineStr">
        <is>
          <t>2024</t>
        </is>
      </c>
      <c r="B2689" t="inlineStr">
        <is>
          <t>C00513549</t>
        </is>
      </c>
      <c r="C2689" t="inlineStr">
        <is>
          <t>Phillips 66 PAC</t>
        </is>
      </c>
      <c r="D2689" t="inlineStr">
        <is>
          <t>JOHN DUARTE FOR CONGRESS</t>
        </is>
      </c>
      <c r="E2689" t="inlineStr">
        <is>
          <t>H2CA13131</t>
        </is>
      </c>
      <c r="F2689" t="inlineStr">
        <is>
          <t>REP</t>
        </is>
      </c>
      <c r="G2689" t="inlineStr">
        <is>
          <t>05112023</t>
        </is>
      </c>
      <c r="H2689" t="n">
        <v>1000</v>
      </c>
      <c r="I2689" t="inlineStr">
        <is>
          <t>202306089581777550</t>
        </is>
      </c>
      <c r="J2689" t="inlineStr">
        <is>
          <t>https://docquery.fec.gov/cgi-bin/fecimg/?202306089581777550</t>
        </is>
      </c>
    </row>
    <row r="2690">
      <c r="A2690" t="inlineStr">
        <is>
          <t>2024</t>
        </is>
      </c>
      <c r="B2690" t="inlineStr">
        <is>
          <t>C00513549</t>
        </is>
      </c>
      <c r="C2690" t="inlineStr">
        <is>
          <t>Phillips 66 PAC</t>
        </is>
      </c>
      <c r="D2690" t="inlineStr">
        <is>
          <t>JOHN JAMES FOR CONGRESS, INC.</t>
        </is>
      </c>
      <c r="E2690" t="inlineStr">
        <is>
          <t>H2MI10150</t>
        </is>
      </c>
      <c r="F2690" t="inlineStr">
        <is>
          <t>REP</t>
        </is>
      </c>
      <c r="G2690" t="inlineStr">
        <is>
          <t>05112023</t>
        </is>
      </c>
      <c r="H2690" t="n">
        <v>1000</v>
      </c>
      <c r="I2690" t="inlineStr">
        <is>
          <t>202306089581777550</t>
        </is>
      </c>
      <c r="J2690" t="inlineStr">
        <is>
          <t>https://docquery.fec.gov/cgi-bin/fecimg/?202306089581777550</t>
        </is>
      </c>
    </row>
    <row r="2691">
      <c r="A2691" t="inlineStr">
        <is>
          <t>2024</t>
        </is>
      </c>
      <c r="B2691" t="inlineStr">
        <is>
          <t>C00513549</t>
        </is>
      </c>
      <c r="C2691" t="inlineStr">
        <is>
          <t>Phillips 66 PAC</t>
        </is>
      </c>
      <c r="D2691" t="inlineStr">
        <is>
          <t>LORI CHAVEZ-DEREMER FOR CONGRESS</t>
        </is>
      </c>
      <c r="E2691" t="inlineStr">
        <is>
          <t>H2OR05209</t>
        </is>
      </c>
      <c r="F2691" t="inlineStr">
        <is>
          <t>REP</t>
        </is>
      </c>
      <c r="G2691" t="inlineStr">
        <is>
          <t>05112023</t>
        </is>
      </c>
      <c r="H2691" t="n">
        <v>1000</v>
      </c>
      <c r="I2691" t="inlineStr">
        <is>
          <t>202306089581777551</t>
        </is>
      </c>
      <c r="J2691" t="inlineStr">
        <is>
          <t>https://docquery.fec.gov/cgi-bin/fecimg/?202306089581777551</t>
        </is>
      </c>
    </row>
    <row r="2692">
      <c r="A2692" t="inlineStr">
        <is>
          <t>2024</t>
        </is>
      </c>
      <c r="B2692" t="inlineStr">
        <is>
          <t>C00513549</t>
        </is>
      </c>
      <c r="C2692" t="inlineStr">
        <is>
          <t>Phillips 66 PAC</t>
        </is>
      </c>
      <c r="D2692" t="inlineStr">
        <is>
          <t>MULLIN FOR AMERICA</t>
        </is>
      </c>
      <c r="E2692" t="inlineStr">
        <is>
          <t>S2OK00186</t>
        </is>
      </c>
      <c r="F2692" t="inlineStr">
        <is>
          <t>REP</t>
        </is>
      </c>
      <c r="G2692" t="inlineStr">
        <is>
          <t>05112023</t>
        </is>
      </c>
      <c r="H2692" t="n">
        <v>2500</v>
      </c>
      <c r="I2692" t="inlineStr">
        <is>
          <t>202306089581777551</t>
        </is>
      </c>
      <c r="J2692" t="inlineStr">
        <is>
          <t>https://docquery.fec.gov/cgi-bin/fecimg/?202306089581777551</t>
        </is>
      </c>
    </row>
    <row r="2693">
      <c r="A2693" t="inlineStr">
        <is>
          <t>2024</t>
        </is>
      </c>
      <c r="B2693" t="inlineStr">
        <is>
          <t>C00513549</t>
        </is>
      </c>
      <c r="C2693" t="inlineStr">
        <is>
          <t>Phillips 66 PAC</t>
        </is>
      </c>
      <c r="D2693" t="inlineStr">
        <is>
          <t>SCALISE FOR CONGRESS</t>
        </is>
      </c>
      <c r="E2693" t="inlineStr">
        <is>
          <t>H0LA01087</t>
        </is>
      </c>
      <c r="F2693" t="inlineStr">
        <is>
          <t>REP</t>
        </is>
      </c>
      <c r="G2693" t="inlineStr">
        <is>
          <t>05112023</t>
        </is>
      </c>
      <c r="H2693" t="n">
        <v>2500</v>
      </c>
      <c r="I2693" t="inlineStr">
        <is>
          <t>202306089581777552</t>
        </is>
      </c>
      <c r="J2693" t="inlineStr">
        <is>
          <t>https://docquery.fec.gov/cgi-bin/fecimg/?202306089581777552</t>
        </is>
      </c>
    </row>
    <row r="2694">
      <c r="A2694" t="inlineStr">
        <is>
          <t>2024</t>
        </is>
      </c>
      <c r="B2694" t="inlineStr">
        <is>
          <t>C00513549</t>
        </is>
      </c>
      <c r="C2694" t="inlineStr">
        <is>
          <t>Phillips 66 PAC</t>
        </is>
      </c>
      <c r="D2694" t="inlineStr">
        <is>
          <t>BETH VAN DUYNE FOR CONGRESS</t>
        </is>
      </c>
      <c r="E2694" t="inlineStr">
        <is>
          <t>H0TX24209</t>
        </is>
      </c>
      <c r="F2694" t="inlineStr">
        <is>
          <t>REP</t>
        </is>
      </c>
      <c r="G2694" t="inlineStr">
        <is>
          <t>05112023</t>
        </is>
      </c>
      <c r="H2694" t="n">
        <v>2500</v>
      </c>
      <c r="I2694" t="inlineStr">
        <is>
          <t>202306089581777548</t>
        </is>
      </c>
      <c r="J2694" t="inlineStr">
        <is>
          <t>https://docquery.fec.gov/cgi-bin/fecimg/?202306089581777548</t>
        </is>
      </c>
    </row>
    <row r="2695">
      <c r="A2695" t="inlineStr">
        <is>
          <t>2024</t>
        </is>
      </c>
      <c r="B2695" t="inlineStr">
        <is>
          <t>C00513549</t>
        </is>
      </c>
      <c r="C2695" t="inlineStr">
        <is>
          <t>Phillips 66 PAC</t>
        </is>
      </c>
      <c r="D2695" t="inlineStr">
        <is>
          <t>DAN CRENSHAW FOR CONGRESS</t>
        </is>
      </c>
      <c r="E2695" t="inlineStr">
        <is>
          <t>H8TX02166</t>
        </is>
      </c>
      <c r="F2695" t="inlineStr">
        <is>
          <t>REP</t>
        </is>
      </c>
      <c r="G2695" t="inlineStr">
        <is>
          <t>05112023</t>
        </is>
      </c>
      <c r="H2695" t="n">
        <v>2500</v>
      </c>
      <c r="I2695" t="inlineStr">
        <is>
          <t>202306089581777549</t>
        </is>
      </c>
      <c r="J2695" t="inlineStr">
        <is>
          <t>https://docquery.fec.gov/cgi-bin/fecimg/?202306089581777549</t>
        </is>
      </c>
    </row>
    <row r="2696">
      <c r="A2696" t="inlineStr">
        <is>
          <t>2024</t>
        </is>
      </c>
      <c r="B2696" t="inlineStr">
        <is>
          <t>C00513549</t>
        </is>
      </c>
      <c r="C2696" t="inlineStr">
        <is>
          <t>Phillips 66 PAC</t>
        </is>
      </c>
      <c r="D2696" t="inlineStr">
        <is>
          <t>DAVID ROUZER FOR CONGRESS</t>
        </is>
      </c>
      <c r="E2696" t="inlineStr">
        <is>
          <t>H2NC07096</t>
        </is>
      </c>
      <c r="F2696" t="inlineStr">
        <is>
          <t>REP</t>
        </is>
      </c>
      <c r="G2696" t="inlineStr">
        <is>
          <t>05112023</t>
        </is>
      </c>
      <c r="H2696" t="n">
        <v>2500</v>
      </c>
      <c r="I2696" t="inlineStr">
        <is>
          <t>202306089581777549</t>
        </is>
      </c>
      <c r="J2696" t="inlineStr">
        <is>
          <t>https://docquery.fec.gov/cgi-bin/fecimg/?202306089581777549</t>
        </is>
      </c>
    </row>
    <row r="2697">
      <c r="A2697" t="inlineStr">
        <is>
          <t>2024</t>
        </is>
      </c>
      <c r="B2697" t="inlineStr">
        <is>
          <t>C00513549</t>
        </is>
      </c>
      <c r="C2697" t="inlineStr">
        <is>
          <t>Phillips 66 PAC</t>
        </is>
      </c>
      <c r="D2697" t="inlineStr">
        <is>
          <t>EVAN LOW FOR CONGRESS</t>
        </is>
      </c>
      <c r="E2697" t="inlineStr">
        <is>
          <t>H4CA16239</t>
        </is>
      </c>
      <c r="F2697" t="inlineStr">
        <is>
          <t>DEM</t>
        </is>
      </c>
      <c r="G2697" t="inlineStr">
        <is>
          <t>05152024</t>
        </is>
      </c>
      <c r="H2697" t="n">
        <v>2500</v>
      </c>
      <c r="I2697" t="inlineStr">
        <is>
          <t>202406189649207495</t>
        </is>
      </c>
      <c r="J2697" t="inlineStr">
        <is>
          <t>https://docquery.fec.gov/cgi-bin/fecimg/?202406189649207495</t>
        </is>
      </c>
    </row>
    <row r="2698">
      <c r="A2698" t="inlineStr">
        <is>
          <t>2024</t>
        </is>
      </c>
      <c r="B2698" t="inlineStr">
        <is>
          <t>C00513549</t>
        </is>
      </c>
      <c r="C2698" t="inlineStr">
        <is>
          <t>Phillips 66 PAC</t>
        </is>
      </c>
      <c r="D2698" t="inlineStr">
        <is>
          <t>FEENSTRA FOR CONGRESS</t>
        </is>
      </c>
      <c r="E2698" t="inlineStr">
        <is>
          <t>H0IA04145</t>
        </is>
      </c>
      <c r="F2698" t="inlineStr">
        <is>
          <t>REP</t>
        </is>
      </c>
      <c r="G2698" t="inlineStr">
        <is>
          <t>05152024</t>
        </is>
      </c>
      <c r="H2698" t="n">
        <v>1500</v>
      </c>
      <c r="I2698" t="inlineStr">
        <is>
          <t>202406189649207496</t>
        </is>
      </c>
      <c r="J2698" t="inlineStr">
        <is>
          <t>https://docquery.fec.gov/cgi-bin/fecimg/?202406189649207496</t>
        </is>
      </c>
    </row>
    <row r="2699">
      <c r="A2699" t="inlineStr">
        <is>
          <t>2024</t>
        </is>
      </c>
      <c r="B2699" t="inlineStr">
        <is>
          <t>C00513549</t>
        </is>
      </c>
      <c r="C2699" t="inlineStr">
        <is>
          <t>Phillips 66 PAC</t>
        </is>
      </c>
      <c r="D2699" t="inlineStr">
        <is>
          <t>HOGAN FOR MARYLAND INC.</t>
        </is>
      </c>
      <c r="E2699" t="inlineStr">
        <is>
          <t>S4MD00483</t>
        </is>
      </c>
      <c r="F2699" t="inlineStr">
        <is>
          <t>REP</t>
        </is>
      </c>
      <c r="G2699" t="inlineStr">
        <is>
          <t>05152024</t>
        </is>
      </c>
      <c r="H2699" t="n">
        <v>2500</v>
      </c>
      <c r="I2699" t="inlineStr">
        <is>
          <t>202406189649207496</t>
        </is>
      </c>
      <c r="J2699" t="inlineStr">
        <is>
          <t>https://docquery.fec.gov/cgi-bin/fecimg/?202406189649207496</t>
        </is>
      </c>
    </row>
    <row r="2700">
      <c r="A2700" t="inlineStr">
        <is>
          <t>2024</t>
        </is>
      </c>
      <c r="B2700" t="inlineStr">
        <is>
          <t>C00513549</t>
        </is>
      </c>
      <c r="C2700" t="inlineStr">
        <is>
          <t>Phillips 66 PAC</t>
        </is>
      </c>
      <c r="D2700" t="inlineStr">
        <is>
          <t>LATTA FOR CONGRESS</t>
        </is>
      </c>
      <c r="E2700" t="inlineStr">
        <is>
          <t>H8OH05036</t>
        </is>
      </c>
      <c r="F2700" t="inlineStr">
        <is>
          <t>REP</t>
        </is>
      </c>
      <c r="G2700" t="inlineStr">
        <is>
          <t>05152024</t>
        </is>
      </c>
      <c r="H2700" t="n">
        <v>1500</v>
      </c>
      <c r="I2700" t="inlineStr">
        <is>
          <t>202406189649207498</t>
        </is>
      </c>
      <c r="J2700" t="inlineStr">
        <is>
          <t>https://docquery.fec.gov/cgi-bin/fecimg/?202406189649207498</t>
        </is>
      </c>
    </row>
    <row r="2701">
      <c r="A2701" t="inlineStr">
        <is>
          <t>2024</t>
        </is>
      </c>
      <c r="B2701" t="inlineStr">
        <is>
          <t>C00513549</t>
        </is>
      </c>
      <c r="C2701" t="inlineStr">
        <is>
          <t>Phillips 66 PAC</t>
        </is>
      </c>
      <c r="D2701" t="inlineStr">
        <is>
          <t>LORI CHAVEZ-DEREMER FOR CONGRESS</t>
        </is>
      </c>
      <c r="E2701" t="inlineStr">
        <is>
          <t>H2OR05209</t>
        </is>
      </c>
      <c r="F2701" t="inlineStr">
        <is>
          <t>REP</t>
        </is>
      </c>
      <c r="G2701" t="inlineStr">
        <is>
          <t>05152024</t>
        </is>
      </c>
      <c r="H2701" t="n">
        <v>1500</v>
      </c>
      <c r="I2701" t="inlineStr">
        <is>
          <t>202406189649207499</t>
        </is>
      </c>
      <c r="J2701" t="inlineStr">
        <is>
          <t>https://docquery.fec.gov/cgi-bin/fecimg/?202406189649207499</t>
        </is>
      </c>
    </row>
    <row r="2702">
      <c r="A2702" t="inlineStr">
        <is>
          <t>2024</t>
        </is>
      </c>
      <c r="B2702" t="inlineStr">
        <is>
          <t>C00513549</t>
        </is>
      </c>
      <c r="C2702" t="inlineStr">
        <is>
          <t>Phillips 66 PAC</t>
        </is>
      </c>
      <c r="D2702" t="inlineStr">
        <is>
          <t>MIKE THOMPSON FOR CONGRESS</t>
        </is>
      </c>
      <c r="E2702" t="inlineStr">
        <is>
          <t>H8CA01109</t>
        </is>
      </c>
      <c r="F2702" t="inlineStr">
        <is>
          <t>DEM</t>
        </is>
      </c>
      <c r="G2702" t="inlineStr">
        <is>
          <t>05152024</t>
        </is>
      </c>
      <c r="H2702" t="n">
        <v>2500</v>
      </c>
      <c r="I2702" t="inlineStr">
        <is>
          <t>202406189649207499</t>
        </is>
      </c>
      <c r="J2702" t="inlineStr">
        <is>
          <t>https://docquery.fec.gov/cgi-bin/fecimg/?202406189649207499</t>
        </is>
      </c>
    </row>
    <row r="2703">
      <c r="A2703" t="inlineStr">
        <is>
          <t>2024</t>
        </is>
      </c>
      <c r="B2703" t="inlineStr">
        <is>
          <t>C00513549</t>
        </is>
      </c>
      <c r="C2703" t="inlineStr">
        <is>
          <t>Phillips 66 PAC</t>
        </is>
      </c>
      <c r="D2703" t="inlineStr">
        <is>
          <t>PETE STAUBER FOR CONGRESS</t>
        </is>
      </c>
      <c r="E2703" t="inlineStr">
        <is>
          <t>H8MN08043</t>
        </is>
      </c>
      <c r="F2703" t="inlineStr">
        <is>
          <t>REP</t>
        </is>
      </c>
      <c r="G2703" t="inlineStr">
        <is>
          <t>05152024</t>
        </is>
      </c>
      <c r="H2703" t="n">
        <v>1000</v>
      </c>
      <c r="I2703" t="inlineStr">
        <is>
          <t>202406189649207500</t>
        </is>
      </c>
      <c r="J2703" t="inlineStr">
        <is>
          <t>https://docquery.fec.gov/cgi-bin/fecimg/?202406189649207500</t>
        </is>
      </c>
    </row>
    <row r="2704">
      <c r="A2704" t="inlineStr">
        <is>
          <t>2024</t>
        </is>
      </c>
      <c r="B2704" t="inlineStr">
        <is>
          <t>C00513549</t>
        </is>
      </c>
      <c r="C2704" t="inlineStr">
        <is>
          <t>Phillips 66 PAC</t>
        </is>
      </c>
      <c r="D2704" t="inlineStr">
        <is>
          <t>SCHNEIDER FOR CONGRESS</t>
        </is>
      </c>
      <c r="E2704" t="inlineStr">
        <is>
          <t>H2IL10068</t>
        </is>
      </c>
      <c r="F2704" t="inlineStr">
        <is>
          <t>DEM</t>
        </is>
      </c>
      <c r="G2704" t="inlineStr">
        <is>
          <t>05152024</t>
        </is>
      </c>
      <c r="H2704" t="n">
        <v>2500</v>
      </c>
      <c r="I2704" t="inlineStr">
        <is>
          <t>202406189649207501</t>
        </is>
      </c>
      <c r="J2704" t="inlineStr">
        <is>
          <t>https://docquery.fec.gov/cgi-bin/fecimg/?202406189649207501</t>
        </is>
      </c>
    </row>
    <row r="2705">
      <c r="A2705" t="inlineStr">
        <is>
          <t>2024</t>
        </is>
      </c>
      <c r="B2705" t="inlineStr">
        <is>
          <t>C00513549</t>
        </is>
      </c>
      <c r="C2705" t="inlineStr">
        <is>
          <t>Phillips 66 PAC</t>
        </is>
      </c>
      <c r="D2705" t="inlineStr">
        <is>
          <t>WESTERMAN FOR CONGRESS</t>
        </is>
      </c>
      <c r="E2705" t="inlineStr">
        <is>
          <t>H4AR04048</t>
        </is>
      </c>
      <c r="F2705" t="inlineStr">
        <is>
          <t>REP</t>
        </is>
      </c>
      <c r="G2705" t="inlineStr">
        <is>
          <t>05152024</t>
        </is>
      </c>
      <c r="H2705" t="n">
        <v>5000</v>
      </c>
      <c r="I2705" t="inlineStr">
        <is>
          <t>202406189649207502</t>
        </is>
      </c>
      <c r="J2705" t="inlineStr">
        <is>
          <t>https://docquery.fec.gov/cgi-bin/fecimg/?202406189649207502</t>
        </is>
      </c>
    </row>
    <row r="2706">
      <c r="A2706" t="inlineStr">
        <is>
          <t>2024</t>
        </is>
      </c>
      <c r="B2706" t="inlineStr">
        <is>
          <t>C00513549</t>
        </is>
      </c>
      <c r="C2706" t="inlineStr">
        <is>
          <t>Phillips 66 PAC</t>
        </is>
      </c>
      <c r="D2706" t="inlineStr">
        <is>
          <t>JAY OBERNOLTE FOR CONGRESS</t>
        </is>
      </c>
      <c r="E2706" t="inlineStr">
        <is>
          <t>H0CA08135</t>
        </is>
      </c>
      <c r="F2706" t="inlineStr">
        <is>
          <t>REP</t>
        </is>
      </c>
      <c r="G2706" t="inlineStr">
        <is>
          <t>05312023</t>
        </is>
      </c>
      <c r="H2706" t="n">
        <v>2500</v>
      </c>
      <c r="I2706" t="inlineStr">
        <is>
          <t>202306089581777550</t>
        </is>
      </c>
      <c r="J2706" t="inlineStr">
        <is>
          <t>https://docquery.fec.gov/cgi-bin/fecimg/?202306089581777550</t>
        </is>
      </c>
    </row>
    <row r="2707">
      <c r="A2707" t="inlineStr">
        <is>
          <t>2024</t>
        </is>
      </c>
      <c r="B2707" t="inlineStr">
        <is>
          <t>C00513549</t>
        </is>
      </c>
      <c r="C2707" t="inlineStr">
        <is>
          <t>Phillips 66 PAC</t>
        </is>
      </c>
      <c r="D2707" t="inlineStr">
        <is>
          <t>MARY PELTOLA FOR ALASKA</t>
        </is>
      </c>
      <c r="E2707" t="inlineStr">
        <is>
          <t>H2AK01158</t>
        </is>
      </c>
      <c r="F2707" t="inlineStr">
        <is>
          <t>DEM</t>
        </is>
      </c>
      <c r="G2707" t="inlineStr">
        <is>
          <t>05312023</t>
        </is>
      </c>
      <c r="H2707" t="n">
        <v>2500</v>
      </c>
      <c r="I2707" t="inlineStr">
        <is>
          <t>202306089581777551</t>
        </is>
      </c>
      <c r="J2707" t="inlineStr">
        <is>
          <t>https://docquery.fec.gov/cgi-bin/fecimg/?202306089581777551</t>
        </is>
      </c>
    </row>
    <row r="2708">
      <c r="A2708" t="inlineStr">
        <is>
          <t>2024</t>
        </is>
      </c>
      <c r="B2708" t="inlineStr">
        <is>
          <t>C00513549</t>
        </is>
      </c>
      <c r="C2708" t="inlineStr">
        <is>
          <t>Phillips 66 PAC</t>
        </is>
      </c>
      <c r="D2708" t="inlineStr">
        <is>
          <t>MULLIN FOR AMERICA</t>
        </is>
      </c>
      <c r="E2708" t="inlineStr">
        <is>
          <t>S2OK00186</t>
        </is>
      </c>
      <c r="F2708" t="inlineStr">
        <is>
          <t>REP</t>
        </is>
      </c>
      <c r="G2708" t="inlineStr">
        <is>
          <t>05312023</t>
        </is>
      </c>
      <c r="H2708" t="n">
        <v>2500</v>
      </c>
      <c r="I2708" t="inlineStr">
        <is>
          <t>202306089581777552</t>
        </is>
      </c>
      <c r="J2708" t="inlineStr">
        <is>
          <t>https://docquery.fec.gov/cgi-bin/fecimg/?202306089581777552</t>
        </is>
      </c>
    </row>
    <row r="2709">
      <c r="A2709" t="inlineStr">
        <is>
          <t>2024</t>
        </is>
      </c>
      <c r="B2709" t="inlineStr">
        <is>
          <t>C00513549</t>
        </is>
      </c>
      <c r="C2709" t="inlineStr">
        <is>
          <t>Phillips 66 PAC</t>
        </is>
      </c>
      <c r="D2709" t="inlineStr">
        <is>
          <t>NEHLS FOR CONGRESS</t>
        </is>
      </c>
      <c r="E2709" t="inlineStr">
        <is>
          <t>H0TX22302</t>
        </is>
      </c>
      <c r="F2709" t="inlineStr">
        <is>
          <t>REP</t>
        </is>
      </c>
      <c r="G2709" t="inlineStr">
        <is>
          <t>05312023</t>
        </is>
      </c>
      <c r="H2709" t="n">
        <v>1000</v>
      </c>
      <c r="I2709" t="inlineStr">
        <is>
          <t>202306089581777552</t>
        </is>
      </c>
      <c r="J2709" t="inlineStr">
        <is>
          <t>https://docquery.fec.gov/cgi-bin/fecimg/?202306089581777552</t>
        </is>
      </c>
    </row>
    <row r="2710">
      <c r="A2710" t="inlineStr">
        <is>
          <t>2024</t>
        </is>
      </c>
      <c r="B2710" t="inlineStr">
        <is>
          <t>C00513549</t>
        </is>
      </c>
      <c r="C2710" t="inlineStr">
        <is>
          <t>Phillips 66 PAC</t>
        </is>
      </c>
      <c r="D2710" t="inlineStr">
        <is>
          <t>TEXANS FOR MORGAN LUTTRELL</t>
        </is>
      </c>
      <c r="E2710" t="inlineStr">
        <is>
          <t>H2TX08182</t>
        </is>
      </c>
      <c r="F2710" t="inlineStr">
        <is>
          <t>REP</t>
        </is>
      </c>
      <c r="G2710" t="inlineStr">
        <is>
          <t>05312023</t>
        </is>
      </c>
      <c r="H2710" t="n">
        <v>2500</v>
      </c>
      <c r="I2710" t="inlineStr">
        <is>
          <t>202306089581777553</t>
        </is>
      </c>
      <c r="J2710" t="inlineStr">
        <is>
          <t>https://docquery.fec.gov/cgi-bin/fecimg/?202306089581777553</t>
        </is>
      </c>
    </row>
    <row r="2711">
      <c r="A2711" t="inlineStr">
        <is>
          <t>2024</t>
        </is>
      </c>
      <c r="B2711" t="inlineStr">
        <is>
          <t>C00513549</t>
        </is>
      </c>
      <c r="C2711" t="inlineStr">
        <is>
          <t>Phillips 66 PAC</t>
        </is>
      </c>
      <c r="D2711" t="inlineStr">
        <is>
          <t>CITIZENS TO ELECT RICK LARSEN</t>
        </is>
      </c>
      <c r="E2711" t="inlineStr">
        <is>
          <t>H0WA02080</t>
        </is>
      </c>
      <c r="F2711" t="inlineStr">
        <is>
          <t>DEM</t>
        </is>
      </c>
      <c r="G2711" t="inlineStr">
        <is>
          <t>05312023</t>
        </is>
      </c>
      <c r="H2711" t="n">
        <v>5000</v>
      </c>
      <c r="I2711" t="inlineStr">
        <is>
          <t>202306089581777548</t>
        </is>
      </c>
      <c r="J2711" t="inlineStr">
        <is>
          <t>https://docquery.fec.gov/cgi-bin/fecimg/?202306089581777548</t>
        </is>
      </c>
    </row>
    <row r="2712">
      <c r="A2712" t="inlineStr">
        <is>
          <t>2024</t>
        </is>
      </c>
      <c r="B2712" t="inlineStr">
        <is>
          <t>C00513549</t>
        </is>
      </c>
      <c r="C2712" t="inlineStr">
        <is>
          <t>Phillips 66 PAC</t>
        </is>
      </c>
      <c r="D2712" t="inlineStr">
        <is>
          <t>CURTIS FOR CONGRESS</t>
        </is>
      </c>
      <c r="E2712" t="inlineStr">
        <is>
          <t>H8UT03238</t>
        </is>
      </c>
      <c r="F2712" t="inlineStr">
        <is>
          <t>REP</t>
        </is>
      </c>
      <c r="G2712" t="inlineStr">
        <is>
          <t>05312023</t>
        </is>
      </c>
      <c r="H2712" t="n">
        <v>1000</v>
      </c>
      <c r="I2712" t="inlineStr">
        <is>
          <t>202306089581777548</t>
        </is>
      </c>
      <c r="J2712" t="inlineStr">
        <is>
          <t>https://docquery.fec.gov/cgi-bin/fecimg/?202306089581777548</t>
        </is>
      </c>
    </row>
    <row r="2713">
      <c r="A2713" t="inlineStr">
        <is>
          <t>2024</t>
        </is>
      </c>
      <c r="B2713" t="inlineStr">
        <is>
          <t>C00513549</t>
        </is>
      </c>
      <c r="C2713" t="inlineStr">
        <is>
          <t>Phillips 66 PAC</t>
        </is>
      </c>
      <c r="D2713" t="inlineStr">
        <is>
          <t>MCHENRY FOR CONGRESS</t>
        </is>
      </c>
      <c r="E2713" t="inlineStr">
        <is>
          <t>H4NC10047</t>
        </is>
      </c>
      <c r="F2713" t="inlineStr">
        <is>
          <t>REP</t>
        </is>
      </c>
      <c r="G2713" t="inlineStr">
        <is>
          <t>06072023</t>
        </is>
      </c>
      <c r="H2713" t="n">
        <v>2500</v>
      </c>
      <c r="I2713" t="inlineStr">
        <is>
          <t>202307179583771486</t>
        </is>
      </c>
      <c r="J2713" t="inlineStr">
        <is>
          <t>https://docquery.fec.gov/cgi-bin/fecimg/?202307179583771486</t>
        </is>
      </c>
    </row>
    <row r="2714">
      <c r="A2714" t="inlineStr">
        <is>
          <t>2024</t>
        </is>
      </c>
      <c r="B2714" t="inlineStr">
        <is>
          <t>C00513549</t>
        </is>
      </c>
      <c r="C2714" t="inlineStr">
        <is>
          <t>Phillips 66 PAC</t>
        </is>
      </c>
      <c r="D2714" t="inlineStr">
        <is>
          <t>AUGUST PFLUGER FOR CONGRESS</t>
        </is>
      </c>
      <c r="E2714" t="inlineStr">
        <is>
          <t>H0TX11230</t>
        </is>
      </c>
      <c r="F2714" t="inlineStr">
        <is>
          <t>REP</t>
        </is>
      </c>
      <c r="G2714" t="inlineStr">
        <is>
          <t>06072023</t>
        </is>
      </c>
      <c r="H2714" t="n">
        <v>1000</v>
      </c>
      <c r="I2714" t="inlineStr">
        <is>
          <t>202307179583771484</t>
        </is>
      </c>
      <c r="J2714" t="inlineStr">
        <is>
          <t>https://docquery.fec.gov/cgi-bin/fecimg/?202307179583771484</t>
        </is>
      </c>
    </row>
    <row r="2715">
      <c r="A2715" t="inlineStr">
        <is>
          <t>2024</t>
        </is>
      </c>
      <c r="B2715" t="inlineStr">
        <is>
          <t>C00513549</t>
        </is>
      </c>
      <c r="C2715" t="inlineStr">
        <is>
          <t>Phillips 66 PAC</t>
        </is>
      </c>
      <c r="D2715" t="inlineStr">
        <is>
          <t>DAN CRENSHAW FOR CONGRESS</t>
        </is>
      </c>
      <c r="E2715" t="inlineStr">
        <is>
          <t>H8TX02166</t>
        </is>
      </c>
      <c r="F2715" t="inlineStr">
        <is>
          <t>REP</t>
        </is>
      </c>
      <c r="G2715" t="inlineStr">
        <is>
          <t>06072023</t>
        </is>
      </c>
      <c r="H2715" t="n">
        <v>1500</v>
      </c>
      <c r="I2715" t="inlineStr">
        <is>
          <t>202307179583771484</t>
        </is>
      </c>
      <c r="J2715" t="inlineStr">
        <is>
          <t>https://docquery.fec.gov/cgi-bin/fecimg/?202307179583771484</t>
        </is>
      </c>
    </row>
    <row r="2716">
      <c r="A2716" t="inlineStr">
        <is>
          <t>2024</t>
        </is>
      </c>
      <c r="B2716" t="inlineStr">
        <is>
          <t>C00513549</t>
        </is>
      </c>
      <c r="C2716" t="inlineStr">
        <is>
          <t>Phillips 66 PAC</t>
        </is>
      </c>
      <c r="D2716" t="inlineStr">
        <is>
          <t>FEENSTRA FOR CONGRESS</t>
        </is>
      </c>
      <c r="E2716" t="inlineStr">
        <is>
          <t>H0IA04145</t>
        </is>
      </c>
      <c r="F2716" t="inlineStr">
        <is>
          <t>REP</t>
        </is>
      </c>
      <c r="G2716" t="inlineStr">
        <is>
          <t>06152023</t>
        </is>
      </c>
      <c r="H2716" t="n">
        <v>2500</v>
      </c>
      <c r="I2716" t="inlineStr">
        <is>
          <t>202307179583771485</t>
        </is>
      </c>
      <c r="J2716" t="inlineStr">
        <is>
          <t>https://docquery.fec.gov/cgi-bin/fecimg/?202307179583771485</t>
        </is>
      </c>
    </row>
    <row r="2717">
      <c r="A2717" t="inlineStr">
        <is>
          <t>2024</t>
        </is>
      </c>
      <c r="B2717" t="inlineStr">
        <is>
          <t>C00513549</t>
        </is>
      </c>
      <c r="C2717" t="inlineStr">
        <is>
          <t>Phillips 66 PAC</t>
        </is>
      </c>
      <c r="D2717" t="inlineStr">
        <is>
          <t>LAWLER FOR CONGRESS</t>
        </is>
      </c>
      <c r="E2717" t="inlineStr">
        <is>
          <t>H2NY17162</t>
        </is>
      </c>
      <c r="F2717" t="inlineStr">
        <is>
          <t>REP</t>
        </is>
      </c>
      <c r="G2717" t="inlineStr">
        <is>
          <t>06172024</t>
        </is>
      </c>
      <c r="H2717" t="n">
        <v>2500</v>
      </c>
      <c r="I2717" t="inlineStr">
        <is>
          <t>202407199661309066</t>
        </is>
      </c>
      <c r="J2717" t="inlineStr">
        <is>
          <t>https://docquery.fec.gov/cgi-bin/fecimg/?202407199661309066</t>
        </is>
      </c>
    </row>
    <row r="2718">
      <c r="A2718" t="inlineStr">
        <is>
          <t>2024</t>
        </is>
      </c>
      <c r="B2718" t="inlineStr">
        <is>
          <t>C00513549</t>
        </is>
      </c>
      <c r="C2718" t="inlineStr">
        <is>
          <t>Phillips 66 PAC</t>
        </is>
      </c>
      <c r="D2718" t="inlineStr">
        <is>
          <t>MARC VEASEY CONGRESSIONAL CAMPAIGN COMMITTEE</t>
        </is>
      </c>
      <c r="E2718" t="inlineStr">
        <is>
          <t>H2TX33073</t>
        </is>
      </c>
      <c r="F2718" t="inlineStr">
        <is>
          <t>DEM</t>
        </is>
      </c>
      <c r="G2718" t="inlineStr">
        <is>
          <t>06172024</t>
        </is>
      </c>
      <c r="H2718" t="n">
        <v>2500</v>
      </c>
      <c r="I2718" t="inlineStr">
        <is>
          <t>202407199661309067</t>
        </is>
      </c>
      <c r="J2718" t="inlineStr">
        <is>
          <t>https://docquery.fec.gov/cgi-bin/fecimg/?202407199661309067</t>
        </is>
      </c>
    </row>
    <row r="2719">
      <c r="A2719" t="inlineStr">
        <is>
          <t>2024</t>
        </is>
      </c>
      <c r="B2719" t="inlineStr">
        <is>
          <t>C00513549</t>
        </is>
      </c>
      <c r="C2719" t="inlineStr">
        <is>
          <t>Phillips 66 PAC</t>
        </is>
      </c>
      <c r="D2719" t="inlineStr">
        <is>
          <t>MARSHA FOR SENATE</t>
        </is>
      </c>
      <c r="E2719" t="inlineStr">
        <is>
          <t>S8TN00337</t>
        </is>
      </c>
      <c r="F2719" t="inlineStr">
        <is>
          <t>REP</t>
        </is>
      </c>
      <c r="G2719" t="inlineStr">
        <is>
          <t>06172024</t>
        </is>
      </c>
      <c r="H2719" t="n">
        <v>3000</v>
      </c>
      <c r="I2719" t="inlineStr">
        <is>
          <t>202407199661309067</t>
        </is>
      </c>
      <c r="J2719" t="inlineStr">
        <is>
          <t>https://docquery.fec.gov/cgi-bin/fecimg/?202407199661309067</t>
        </is>
      </c>
    </row>
    <row r="2720">
      <c r="A2720" t="inlineStr">
        <is>
          <t>2024</t>
        </is>
      </c>
      <c r="B2720" t="inlineStr">
        <is>
          <t>C00513549</t>
        </is>
      </c>
      <c r="C2720" t="inlineStr">
        <is>
          <t>Phillips 66 PAC</t>
        </is>
      </c>
      <c r="D2720" t="inlineStr">
        <is>
          <t>TIM SHEEHY FOR MONTANA</t>
        </is>
      </c>
      <c r="E2720" t="inlineStr">
        <is>
          <t>S4MT00183</t>
        </is>
      </c>
      <c r="F2720" t="inlineStr">
        <is>
          <t>REP</t>
        </is>
      </c>
      <c r="G2720" t="inlineStr">
        <is>
          <t>06172024</t>
        </is>
      </c>
      <c r="H2720" t="n">
        <v>2500</v>
      </c>
      <c r="I2720" t="inlineStr">
        <is>
          <t>202407199661309070</t>
        </is>
      </c>
      <c r="J2720" t="inlineStr">
        <is>
          <t>https://docquery.fec.gov/cgi-bin/fecimg/?202407199661309070</t>
        </is>
      </c>
    </row>
    <row r="2721">
      <c r="A2721" t="inlineStr">
        <is>
          <t>2024</t>
        </is>
      </c>
      <c r="B2721" t="inlineStr">
        <is>
          <t>C00513549</t>
        </is>
      </c>
      <c r="C2721" t="inlineStr">
        <is>
          <t>Phillips 66 PAC</t>
        </is>
      </c>
      <c r="D2721" t="inlineStr">
        <is>
          <t>COLE FOR CONGRESS</t>
        </is>
      </c>
      <c r="E2721" t="inlineStr">
        <is>
          <t>H2OK04055</t>
        </is>
      </c>
      <c r="F2721" t="inlineStr">
        <is>
          <t>REP</t>
        </is>
      </c>
      <c r="G2721" t="inlineStr">
        <is>
          <t>06172024</t>
        </is>
      </c>
      <c r="H2721" t="n">
        <v>2500</v>
      </c>
      <c r="I2721" t="inlineStr">
        <is>
          <t>202407199661309063</t>
        </is>
      </c>
      <c r="J2721" t="inlineStr">
        <is>
          <t>https://docquery.fec.gov/cgi-bin/fecimg/?202407199661309063</t>
        </is>
      </c>
    </row>
    <row r="2722">
      <c r="A2722" t="inlineStr">
        <is>
          <t>2024</t>
        </is>
      </c>
      <c r="B2722" t="inlineStr">
        <is>
          <t>C00513549</t>
        </is>
      </c>
      <c r="C2722" t="inlineStr">
        <is>
          <t>Phillips 66 PAC</t>
        </is>
      </c>
      <c r="D2722" t="inlineStr">
        <is>
          <t>TERRI SEWELL FOR CONGRESS</t>
        </is>
      </c>
      <c r="E2722" t="inlineStr">
        <is>
          <t>H0AL07086</t>
        </is>
      </c>
      <c r="F2722" t="inlineStr">
        <is>
          <t>DEM</t>
        </is>
      </c>
      <c r="G2722" t="inlineStr">
        <is>
          <t>06242024</t>
        </is>
      </c>
      <c r="H2722" t="n">
        <v>1500</v>
      </c>
      <c r="I2722" t="inlineStr">
        <is>
          <t>202407199661309069</t>
        </is>
      </c>
      <c r="J2722" t="inlineStr">
        <is>
          <t>https://docquery.fec.gov/cgi-bin/fecimg/?202407199661309069</t>
        </is>
      </c>
    </row>
    <row r="2723">
      <c r="A2723" t="inlineStr">
        <is>
          <t>2024</t>
        </is>
      </c>
      <c r="B2723" t="inlineStr">
        <is>
          <t>C00513549</t>
        </is>
      </c>
      <c r="C2723" t="inlineStr">
        <is>
          <t>Phillips 66 PAC</t>
        </is>
      </c>
      <c r="D2723" t="inlineStr">
        <is>
          <t>KANSANS FOR MARSHALL</t>
        </is>
      </c>
      <c r="E2723" t="inlineStr">
        <is>
          <t>S0KS00315</t>
        </is>
      </c>
      <c r="F2723" t="inlineStr">
        <is>
          <t>REP</t>
        </is>
      </c>
      <c r="G2723" t="inlineStr">
        <is>
          <t>06242024</t>
        </is>
      </c>
      <c r="H2723" t="n">
        <v>2500</v>
      </c>
      <c r="I2723" t="inlineStr">
        <is>
          <t>202407199661309066</t>
        </is>
      </c>
      <c r="J2723" t="inlineStr">
        <is>
          <t>https://docquery.fec.gov/cgi-bin/fecimg/?202407199661309066</t>
        </is>
      </c>
    </row>
    <row r="2724">
      <c r="A2724" t="inlineStr">
        <is>
          <t>2024</t>
        </is>
      </c>
      <c r="B2724" t="inlineStr">
        <is>
          <t>C00513549</t>
        </is>
      </c>
      <c r="C2724" t="inlineStr">
        <is>
          <t>Phillips 66 PAC</t>
        </is>
      </c>
      <c r="D2724" t="inlineStr">
        <is>
          <t>KEN CALVERT FOR CONGRESS COMMITTEE</t>
        </is>
      </c>
      <c r="E2724" t="inlineStr">
        <is>
          <t>H2CA37023</t>
        </is>
      </c>
      <c r="F2724" t="inlineStr">
        <is>
          <t>REP</t>
        </is>
      </c>
      <c r="G2724" t="inlineStr">
        <is>
          <t>06242024</t>
        </is>
      </c>
      <c r="H2724" t="n">
        <v>1500</v>
      </c>
      <c r="I2724" t="inlineStr">
        <is>
          <t>202407199661309066</t>
        </is>
      </c>
      <c r="J2724" t="inlineStr">
        <is>
          <t>https://docquery.fec.gov/cgi-bin/fecimg/?202407199661309066</t>
        </is>
      </c>
    </row>
    <row r="2725">
      <c r="A2725" t="inlineStr">
        <is>
          <t>2024</t>
        </is>
      </c>
      <c r="B2725" t="inlineStr">
        <is>
          <t>C00513549</t>
        </is>
      </c>
      <c r="C2725" t="inlineStr">
        <is>
          <t>Phillips 66 PAC</t>
        </is>
      </c>
      <c r="D2725" t="inlineStr">
        <is>
          <t>LUCAS FOR CONGRESS</t>
        </is>
      </c>
      <c r="E2725" t="inlineStr">
        <is>
          <t>H4OK06056</t>
        </is>
      </c>
      <c r="F2725" t="inlineStr">
        <is>
          <t>REP</t>
        </is>
      </c>
      <c r="G2725" t="inlineStr">
        <is>
          <t>06242024</t>
        </is>
      </c>
      <c r="H2725" t="n">
        <v>2500</v>
      </c>
      <c r="I2725" t="inlineStr">
        <is>
          <t>202407199661309067</t>
        </is>
      </c>
      <c r="J2725" t="inlineStr">
        <is>
          <t>https://docquery.fec.gov/cgi-bin/fecimg/?202407199661309067</t>
        </is>
      </c>
    </row>
    <row r="2726">
      <c r="A2726" t="inlineStr">
        <is>
          <t>2024</t>
        </is>
      </c>
      <c r="B2726" t="inlineStr">
        <is>
          <t>C00513549</t>
        </is>
      </c>
      <c r="C2726" t="inlineStr">
        <is>
          <t>Phillips 66 PAC</t>
        </is>
      </c>
      <c r="D2726" t="inlineStr">
        <is>
          <t>MCCAUL FOR CONGRESS INC.</t>
        </is>
      </c>
      <c r="E2726" t="inlineStr">
        <is>
          <t>H4TX10093</t>
        </is>
      </c>
      <c r="F2726" t="inlineStr">
        <is>
          <t>REP</t>
        </is>
      </c>
      <c r="G2726" t="inlineStr">
        <is>
          <t>06242024</t>
        </is>
      </c>
      <c r="H2726" t="n">
        <v>1500</v>
      </c>
      <c r="I2726" t="inlineStr">
        <is>
          <t>202407199661309068</t>
        </is>
      </c>
      <c r="J2726" t="inlineStr">
        <is>
          <t>https://docquery.fec.gov/cgi-bin/fecimg/?202407199661309068</t>
        </is>
      </c>
    </row>
    <row r="2727">
      <c r="A2727" t="inlineStr">
        <is>
          <t>2024</t>
        </is>
      </c>
      <c r="B2727" t="inlineStr">
        <is>
          <t>C00513549</t>
        </is>
      </c>
      <c r="C2727" t="inlineStr">
        <is>
          <t>Phillips 66 PAC</t>
        </is>
      </c>
      <c r="D2727" t="inlineStr">
        <is>
          <t>MIKE GARCIA FOR CONGRESS</t>
        </is>
      </c>
      <c r="E2727" t="inlineStr">
        <is>
          <t>H0CA25105</t>
        </is>
      </c>
      <c r="F2727" t="inlineStr">
        <is>
          <t>REP</t>
        </is>
      </c>
      <c r="G2727" t="inlineStr">
        <is>
          <t>06242024</t>
        </is>
      </c>
      <c r="H2727" t="n">
        <v>2500</v>
      </c>
      <c r="I2727" t="inlineStr">
        <is>
          <t>202407199661309068</t>
        </is>
      </c>
      <c r="J2727" t="inlineStr">
        <is>
          <t>https://docquery.fec.gov/cgi-bin/fecimg/?202407199661309068</t>
        </is>
      </c>
    </row>
    <row r="2728">
      <c r="A2728" t="inlineStr">
        <is>
          <t>2024</t>
        </is>
      </c>
      <c r="B2728" t="inlineStr">
        <is>
          <t>C00513549</t>
        </is>
      </c>
      <c r="C2728" t="inlineStr">
        <is>
          <t>Phillips 66 PAC</t>
        </is>
      </c>
      <c r="D2728" t="inlineStr">
        <is>
          <t>RON ESTES FOR CONGRESS</t>
        </is>
      </c>
      <c r="E2728" t="inlineStr">
        <is>
          <t>H8KS04112</t>
        </is>
      </c>
      <c r="F2728" t="inlineStr">
        <is>
          <t>REP</t>
        </is>
      </c>
      <c r="G2728" t="inlineStr">
        <is>
          <t>06242024</t>
        </is>
      </c>
      <c r="H2728" t="n">
        <v>1000</v>
      </c>
      <c r="I2728" t="inlineStr">
        <is>
          <t>202407199661309068</t>
        </is>
      </c>
      <c r="J2728" t="inlineStr">
        <is>
          <t>https://docquery.fec.gov/cgi-bin/fecimg/?202407199661309068</t>
        </is>
      </c>
    </row>
    <row r="2729">
      <c r="A2729" t="inlineStr">
        <is>
          <t>2024</t>
        </is>
      </c>
      <c r="B2729" t="inlineStr">
        <is>
          <t>C00513549</t>
        </is>
      </c>
      <c r="C2729" t="inlineStr">
        <is>
          <t>Phillips 66 PAC</t>
        </is>
      </c>
      <c r="D2729" t="inlineStr">
        <is>
          <t>SANFORD BISHOP FOR CONGRESS</t>
        </is>
      </c>
      <c r="E2729" t="inlineStr">
        <is>
          <t>H2GA02031</t>
        </is>
      </c>
      <c r="F2729" t="inlineStr">
        <is>
          <t>DEM</t>
        </is>
      </c>
      <c r="G2729" t="inlineStr">
        <is>
          <t>06242024</t>
        </is>
      </c>
      <c r="H2729" t="n">
        <v>1000</v>
      </c>
      <c r="I2729" t="inlineStr">
        <is>
          <t>202407199661309069</t>
        </is>
      </c>
      <c r="J2729" t="inlineStr">
        <is>
          <t>https://docquery.fec.gov/cgi-bin/fecimg/?202407199661309069</t>
        </is>
      </c>
    </row>
    <row r="2730">
      <c r="A2730" t="inlineStr">
        <is>
          <t>2024</t>
        </is>
      </c>
      <c r="B2730" t="inlineStr">
        <is>
          <t>C00513549</t>
        </is>
      </c>
      <c r="C2730" t="inlineStr">
        <is>
          <t>Phillips 66 PAC</t>
        </is>
      </c>
      <c r="D2730" t="inlineStr">
        <is>
          <t>SIMPSON FOR CONGRESS</t>
        </is>
      </c>
      <c r="E2730" t="inlineStr">
        <is>
          <t>H8ID02064</t>
        </is>
      </c>
      <c r="F2730" t="inlineStr">
        <is>
          <t>REP</t>
        </is>
      </c>
      <c r="G2730" t="inlineStr">
        <is>
          <t>06242024</t>
        </is>
      </c>
      <c r="H2730" t="n">
        <v>1000</v>
      </c>
      <c r="I2730" t="inlineStr">
        <is>
          <t>202407199661309069</t>
        </is>
      </c>
      <c r="J2730" t="inlineStr">
        <is>
          <t>https://docquery.fec.gov/cgi-bin/fecimg/?202407199661309069</t>
        </is>
      </c>
    </row>
    <row r="2731">
      <c r="A2731" t="inlineStr">
        <is>
          <t>2024</t>
        </is>
      </c>
      <c r="B2731" t="inlineStr">
        <is>
          <t>C00513549</t>
        </is>
      </c>
      <c r="C2731" t="inlineStr">
        <is>
          <t>Phillips 66 PAC</t>
        </is>
      </c>
      <c r="D2731" t="inlineStr">
        <is>
          <t>YOUNG KIM FOR CONGRESS</t>
        </is>
      </c>
      <c r="E2731" t="inlineStr">
        <is>
          <t>H8CA39240</t>
        </is>
      </c>
      <c r="F2731" t="inlineStr">
        <is>
          <t>REP</t>
        </is>
      </c>
      <c r="G2731" t="inlineStr">
        <is>
          <t>06242024</t>
        </is>
      </c>
      <c r="H2731" t="n">
        <v>2500</v>
      </c>
      <c r="I2731" t="inlineStr">
        <is>
          <t>202407199661309070</t>
        </is>
      </c>
      <c r="J2731" t="inlineStr">
        <is>
          <t>https://docquery.fec.gov/cgi-bin/fecimg/?202407199661309070</t>
        </is>
      </c>
    </row>
    <row r="2732">
      <c r="A2732" t="inlineStr">
        <is>
          <t>2024</t>
        </is>
      </c>
      <c r="B2732" t="inlineStr">
        <is>
          <t>C00513549</t>
        </is>
      </c>
      <c r="C2732" t="inlineStr">
        <is>
          <t>Phillips 66 PAC</t>
        </is>
      </c>
      <c r="D2732" t="inlineStr">
        <is>
          <t>ZINKE FOR CONGRESS</t>
        </is>
      </c>
      <c r="E2732" t="inlineStr">
        <is>
          <t>H4MT01041</t>
        </is>
      </c>
      <c r="F2732" t="inlineStr">
        <is>
          <t>REP</t>
        </is>
      </c>
      <c r="G2732" t="inlineStr">
        <is>
          <t>06242024</t>
        </is>
      </c>
      <c r="H2732" t="n">
        <v>1000</v>
      </c>
      <c r="I2732" t="inlineStr">
        <is>
          <t>202407199661309070</t>
        </is>
      </c>
      <c r="J2732" t="inlineStr">
        <is>
          <t>https://docquery.fec.gov/cgi-bin/fecimg/?202407199661309070</t>
        </is>
      </c>
    </row>
    <row r="2733">
      <c r="A2733" t="inlineStr">
        <is>
          <t>2024</t>
        </is>
      </c>
      <c r="B2733" t="inlineStr">
        <is>
          <t>C00513549</t>
        </is>
      </c>
      <c r="C2733" t="inlineStr">
        <is>
          <t>Phillips 66 PAC</t>
        </is>
      </c>
      <c r="D2733" t="inlineStr">
        <is>
          <t>AUGUST PFLUGER FOR CONGRESS</t>
        </is>
      </c>
      <c r="E2733" t="inlineStr">
        <is>
          <t>H0TX11230</t>
        </is>
      </c>
      <c r="F2733" t="inlineStr">
        <is>
          <t>REP</t>
        </is>
      </c>
      <c r="G2733" t="inlineStr">
        <is>
          <t>06242024</t>
        </is>
      </c>
      <c r="H2733" t="n">
        <v>2500</v>
      </c>
      <c r="I2733" t="inlineStr">
        <is>
          <t>202407199661309062</t>
        </is>
      </c>
      <c r="J2733" t="inlineStr">
        <is>
          <t>https://docquery.fec.gov/cgi-bin/fecimg/?202407199661309062</t>
        </is>
      </c>
    </row>
    <row r="2734">
      <c r="A2734" t="inlineStr">
        <is>
          <t>2024</t>
        </is>
      </c>
      <c r="B2734" t="inlineStr">
        <is>
          <t>C00513549</t>
        </is>
      </c>
      <c r="C2734" t="inlineStr">
        <is>
          <t>Phillips 66 PAC</t>
        </is>
      </c>
      <c r="D2734" t="inlineStr">
        <is>
          <t>CAPTAIN HIGGINS FOR CONGRESS</t>
        </is>
      </c>
      <c r="E2734" t="inlineStr">
        <is>
          <t>H6LA03148</t>
        </is>
      </c>
      <c r="F2734" t="inlineStr">
        <is>
          <t>REP</t>
        </is>
      </c>
      <c r="G2734" t="inlineStr">
        <is>
          <t>06242024</t>
        </is>
      </c>
      <c r="H2734" t="n">
        <v>1500</v>
      </c>
      <c r="I2734" t="inlineStr">
        <is>
          <t>202407199661309062</t>
        </is>
      </c>
      <c r="J2734" t="inlineStr">
        <is>
          <t>https://docquery.fec.gov/cgi-bin/fecimg/?202407199661309062</t>
        </is>
      </c>
    </row>
    <row r="2735">
      <c r="A2735" t="inlineStr">
        <is>
          <t>2024</t>
        </is>
      </c>
      <c r="B2735" t="inlineStr">
        <is>
          <t>C00513549</t>
        </is>
      </c>
      <c r="C2735" t="inlineStr">
        <is>
          <t>Phillips 66 PAC</t>
        </is>
      </c>
      <c r="D2735" t="inlineStr">
        <is>
          <t>CAREY FOR CONGRESS</t>
        </is>
      </c>
      <c r="E2735" t="inlineStr">
        <is>
          <t>H2OH15228</t>
        </is>
      </c>
      <c r="F2735" t="inlineStr">
        <is>
          <t>REP</t>
        </is>
      </c>
      <c r="G2735" t="inlineStr">
        <is>
          <t>06242024</t>
        </is>
      </c>
      <c r="H2735" t="n">
        <v>2500</v>
      </c>
      <c r="I2735" t="inlineStr">
        <is>
          <t>202407199661309063</t>
        </is>
      </c>
      <c r="J2735" t="inlineStr">
        <is>
          <t>https://docquery.fec.gov/cgi-bin/fecimg/?202407199661309063</t>
        </is>
      </c>
    </row>
    <row r="2736">
      <c r="A2736" t="inlineStr">
        <is>
          <t>2024</t>
        </is>
      </c>
      <c r="B2736" t="inlineStr">
        <is>
          <t>C00513549</t>
        </is>
      </c>
      <c r="C2736" t="inlineStr">
        <is>
          <t>Phillips 66 PAC</t>
        </is>
      </c>
      <c r="D2736" t="inlineStr">
        <is>
          <t>COLE FOR CONGRESS</t>
        </is>
      </c>
      <c r="E2736" t="inlineStr">
        <is>
          <t>H2OK04055</t>
        </is>
      </c>
      <c r="F2736" t="inlineStr">
        <is>
          <t>REP</t>
        </is>
      </c>
      <c r="G2736" t="inlineStr">
        <is>
          <t>06242024</t>
        </is>
      </c>
      <c r="H2736" t="n">
        <v>2500</v>
      </c>
      <c r="I2736" t="inlineStr">
        <is>
          <t>202407199661309063</t>
        </is>
      </c>
      <c r="J2736" t="inlineStr">
        <is>
          <t>https://docquery.fec.gov/cgi-bin/fecimg/?202407199661309063</t>
        </is>
      </c>
    </row>
    <row r="2737">
      <c r="A2737" t="inlineStr">
        <is>
          <t>2024</t>
        </is>
      </c>
      <c r="B2737" t="inlineStr">
        <is>
          <t>C00513549</t>
        </is>
      </c>
      <c r="C2737" t="inlineStr">
        <is>
          <t>Phillips 66 PAC</t>
        </is>
      </c>
      <c r="D2737" t="inlineStr">
        <is>
          <t>DAN CRENSHAW FOR CONGRESS</t>
        </is>
      </c>
      <c r="E2737" t="inlineStr">
        <is>
          <t>H8TX02166</t>
        </is>
      </c>
      <c r="F2737" t="inlineStr">
        <is>
          <t>REP</t>
        </is>
      </c>
      <c r="G2737" t="inlineStr">
        <is>
          <t>06242024</t>
        </is>
      </c>
      <c r="H2737" t="n">
        <v>1500</v>
      </c>
      <c r="I2737" t="inlineStr">
        <is>
          <t>202407199661309064</t>
        </is>
      </c>
      <c r="J2737" t="inlineStr">
        <is>
          <t>https://docquery.fec.gov/cgi-bin/fecimg/?202407199661309064</t>
        </is>
      </c>
    </row>
    <row r="2738">
      <c r="A2738" t="inlineStr">
        <is>
          <t>2024</t>
        </is>
      </c>
      <c r="B2738" t="inlineStr">
        <is>
          <t>C00513549</t>
        </is>
      </c>
      <c r="C2738" t="inlineStr">
        <is>
          <t>Phillips 66 PAC</t>
        </is>
      </c>
      <c r="D2738" t="inlineStr">
        <is>
          <t>GUTHRIE FOR CONGRESS</t>
        </is>
      </c>
      <c r="E2738" t="inlineStr">
        <is>
          <t>H8KY02031</t>
        </is>
      </c>
      <c r="F2738" t="inlineStr">
        <is>
          <t>REP</t>
        </is>
      </c>
      <c r="G2738" t="inlineStr">
        <is>
          <t>06242024</t>
        </is>
      </c>
      <c r="H2738" t="n">
        <v>2500</v>
      </c>
      <c r="I2738" t="inlineStr">
        <is>
          <t>202407199661309064</t>
        </is>
      </c>
      <c r="J2738" t="inlineStr">
        <is>
          <t>https://docquery.fec.gov/cgi-bin/fecimg/?202407199661309064</t>
        </is>
      </c>
    </row>
    <row r="2739">
      <c r="A2739" t="inlineStr">
        <is>
          <t>2024</t>
        </is>
      </c>
      <c r="B2739" t="inlineStr">
        <is>
          <t>C00513549</t>
        </is>
      </c>
      <c r="C2739" t="inlineStr">
        <is>
          <t>Phillips 66 PAC</t>
        </is>
      </c>
      <c r="D2739" t="inlineStr">
        <is>
          <t>HOYER FOR CONGRESS</t>
        </is>
      </c>
      <c r="E2739" t="inlineStr">
        <is>
          <t>H2MD05155</t>
        </is>
      </c>
      <c r="F2739" t="inlineStr">
        <is>
          <t>DEM</t>
        </is>
      </c>
      <c r="G2739" t="inlineStr">
        <is>
          <t>06242024</t>
        </is>
      </c>
      <c r="H2739" t="n">
        <v>2500</v>
      </c>
      <c r="I2739" t="inlineStr">
        <is>
          <t>202407199661309065</t>
        </is>
      </c>
      <c r="J2739" t="inlineStr">
        <is>
          <t>https://docquery.fec.gov/cgi-bin/fecimg/?202407199661309065</t>
        </is>
      </c>
    </row>
    <row r="2740">
      <c r="A2740" t="inlineStr">
        <is>
          <t>2024</t>
        </is>
      </c>
      <c r="B2740" t="inlineStr">
        <is>
          <t>C00513549</t>
        </is>
      </c>
      <c r="C2740" t="inlineStr">
        <is>
          <t>Phillips 66 PAC</t>
        </is>
      </c>
      <c r="D2740" t="inlineStr">
        <is>
          <t>HUNT FOR CONGRESS</t>
        </is>
      </c>
      <c r="E2740" t="inlineStr">
        <is>
          <t>H0TX07170</t>
        </is>
      </c>
      <c r="F2740" t="inlineStr">
        <is>
          <t>REP</t>
        </is>
      </c>
      <c r="G2740" t="inlineStr">
        <is>
          <t>06242024</t>
        </is>
      </c>
      <c r="H2740" t="n">
        <v>2500</v>
      </c>
      <c r="I2740" t="inlineStr">
        <is>
          <t>202407199661309065</t>
        </is>
      </c>
      <c r="J2740" t="inlineStr">
        <is>
          <t>https://docquery.fec.gov/cgi-bin/fecimg/?202407199661309065</t>
        </is>
      </c>
    </row>
    <row r="2741">
      <c r="A2741" t="inlineStr">
        <is>
          <t>2024</t>
        </is>
      </c>
      <c r="B2741" t="inlineStr">
        <is>
          <t>C00513549</t>
        </is>
      </c>
      <c r="C2741" t="inlineStr">
        <is>
          <t>Phillips 66 PAC</t>
        </is>
      </c>
      <c r="D2741" t="inlineStr">
        <is>
          <t>JOHN DUARTE FOR CONGRESS</t>
        </is>
      </c>
      <c r="E2741" t="inlineStr">
        <is>
          <t>H2CA13131</t>
        </is>
      </c>
      <c r="F2741" t="inlineStr">
        <is>
          <t>REP</t>
        </is>
      </c>
      <c r="G2741" t="inlineStr">
        <is>
          <t>06242024</t>
        </is>
      </c>
      <c r="H2741" t="n">
        <v>1500</v>
      </c>
      <c r="I2741" t="inlineStr">
        <is>
          <t>202407199661309065</t>
        </is>
      </c>
      <c r="J2741" t="inlineStr">
        <is>
          <t>https://docquery.fec.gov/cgi-bin/fecimg/?202407199661309065</t>
        </is>
      </c>
    </row>
    <row r="2742">
      <c r="A2742" t="inlineStr">
        <is>
          <t>2024</t>
        </is>
      </c>
      <c r="B2742" t="inlineStr">
        <is>
          <t>C00513549</t>
        </is>
      </c>
      <c r="C2742" t="inlineStr">
        <is>
          <t>Phillips 66 PAC</t>
        </is>
      </c>
      <c r="D2742" t="inlineStr">
        <is>
          <t>CURTIS FOR CONGRESS</t>
        </is>
      </c>
      <c r="E2742" t="inlineStr">
        <is>
          <t>H8UT03238</t>
        </is>
      </c>
      <c r="F2742" t="inlineStr">
        <is>
          <t>REP</t>
        </is>
      </c>
      <c r="G2742" t="inlineStr">
        <is>
          <t>07062023</t>
        </is>
      </c>
      <c r="H2742" t="n">
        <v>1000</v>
      </c>
      <c r="I2742" t="inlineStr">
        <is>
          <t>202308179596587033</t>
        </is>
      </c>
      <c r="J2742" t="inlineStr">
        <is>
          <t>https://docquery.fec.gov/cgi-bin/fecimg/?202308179596587033</t>
        </is>
      </c>
    </row>
    <row r="2743">
      <c r="A2743" t="inlineStr">
        <is>
          <t>2024</t>
        </is>
      </c>
      <c r="B2743" t="inlineStr">
        <is>
          <t>C00513549</t>
        </is>
      </c>
      <c r="C2743" t="inlineStr">
        <is>
          <t>Phillips 66 PAC</t>
        </is>
      </c>
      <c r="D2743" t="inlineStr">
        <is>
          <t>CAPTAIN HIGGINS FOR CONGRESS</t>
        </is>
      </c>
      <c r="E2743" t="inlineStr">
        <is>
          <t>H6LA03148</t>
        </is>
      </c>
      <c r="F2743" t="inlineStr">
        <is>
          <t>REP</t>
        </is>
      </c>
      <c r="G2743" t="inlineStr">
        <is>
          <t>07112024</t>
        </is>
      </c>
      <c r="H2743" t="n">
        <v>3500</v>
      </c>
      <c r="I2743" t="inlineStr">
        <is>
          <t>202408199666437970</t>
        </is>
      </c>
      <c r="J2743" t="inlineStr">
        <is>
          <t>https://docquery.fec.gov/cgi-bin/fecimg/?202408199666437970</t>
        </is>
      </c>
    </row>
    <row r="2744">
      <c r="A2744" t="inlineStr">
        <is>
          <t>2024</t>
        </is>
      </c>
      <c r="B2744" t="inlineStr">
        <is>
          <t>C00513549</t>
        </is>
      </c>
      <c r="C2744" t="inlineStr">
        <is>
          <t>Phillips 66 PAC</t>
        </is>
      </c>
      <c r="D2744" t="inlineStr">
        <is>
          <t>CAROL FOR CONGRESS</t>
        </is>
      </c>
      <c r="E2744" t="inlineStr">
        <is>
          <t>H8WV03097</t>
        </is>
      </c>
      <c r="F2744" t="inlineStr">
        <is>
          <t>REP</t>
        </is>
      </c>
      <c r="G2744" t="inlineStr">
        <is>
          <t>07112024</t>
        </is>
      </c>
      <c r="H2744" t="n">
        <v>2500</v>
      </c>
      <c r="I2744" t="inlineStr">
        <is>
          <t>202408199666437970</t>
        </is>
      </c>
      <c r="J2744" t="inlineStr">
        <is>
          <t>https://docquery.fec.gov/cgi-bin/fecimg/?202408199666437970</t>
        </is>
      </c>
    </row>
    <row r="2745">
      <c r="A2745" t="inlineStr">
        <is>
          <t>2024</t>
        </is>
      </c>
      <c r="B2745" t="inlineStr">
        <is>
          <t>C00513549</t>
        </is>
      </c>
      <c r="C2745" t="inlineStr">
        <is>
          <t>Phillips 66 PAC</t>
        </is>
      </c>
      <c r="D2745" t="inlineStr">
        <is>
          <t>CURTIS FOR SENATE</t>
        </is>
      </c>
      <c r="E2745" t="inlineStr">
        <is>
          <t>H8UT03238</t>
        </is>
      </c>
      <c r="F2745" t="inlineStr">
        <is>
          <t>REP</t>
        </is>
      </c>
      <c r="G2745" t="inlineStr">
        <is>
          <t>07112024</t>
        </is>
      </c>
      <c r="H2745" t="n">
        <v>2500</v>
      </c>
      <c r="I2745" t="inlineStr">
        <is>
          <t>202408199666437971</t>
        </is>
      </c>
      <c r="J2745" t="inlineStr">
        <is>
          <t>https://docquery.fec.gov/cgi-bin/fecimg/?202408199666437971</t>
        </is>
      </c>
    </row>
    <row r="2746">
      <c r="A2746" t="inlineStr">
        <is>
          <t>2024</t>
        </is>
      </c>
      <c r="B2746" t="inlineStr">
        <is>
          <t>C00513549</t>
        </is>
      </c>
      <c r="C2746" t="inlineStr">
        <is>
          <t>Phillips 66 PAC</t>
        </is>
      </c>
      <c r="D2746" t="inlineStr">
        <is>
          <t>ELIZABETH PANNILL FLETCHER FOR CONGRESS</t>
        </is>
      </c>
      <c r="E2746" t="inlineStr">
        <is>
          <t>H8TX07140</t>
        </is>
      </c>
      <c r="F2746" t="inlineStr">
        <is>
          <t>DEM</t>
        </is>
      </c>
      <c r="G2746" t="inlineStr">
        <is>
          <t>07112024</t>
        </is>
      </c>
      <c r="H2746" t="n">
        <v>2500</v>
      </c>
      <c r="I2746" t="inlineStr">
        <is>
          <t>202408199666437971</t>
        </is>
      </c>
      <c r="J2746" t="inlineStr">
        <is>
          <t>https://docquery.fec.gov/cgi-bin/fecimg/?202408199666437971</t>
        </is>
      </c>
    </row>
    <row r="2747">
      <c r="A2747" t="inlineStr">
        <is>
          <t>2024</t>
        </is>
      </c>
      <c r="B2747" t="inlineStr">
        <is>
          <t>C00513549</t>
        </is>
      </c>
      <c r="C2747" t="inlineStr">
        <is>
          <t>Phillips 66 PAC</t>
        </is>
      </c>
      <c r="D2747" t="inlineStr">
        <is>
          <t>FEENSTRA FOR CONGRESS</t>
        </is>
      </c>
      <c r="E2747" t="inlineStr">
        <is>
          <t>H0IA04145</t>
        </is>
      </c>
      <c r="F2747" t="inlineStr">
        <is>
          <t>REP</t>
        </is>
      </c>
      <c r="G2747" t="inlineStr">
        <is>
          <t>07112024</t>
        </is>
      </c>
      <c r="H2747" t="n">
        <v>1000</v>
      </c>
      <c r="I2747" t="inlineStr">
        <is>
          <t>202408199666437971</t>
        </is>
      </c>
      <c r="J2747" t="inlineStr">
        <is>
          <t>https://docquery.fec.gov/cgi-bin/fecimg/?202408199666437971</t>
        </is>
      </c>
    </row>
    <row r="2748">
      <c r="A2748" t="inlineStr">
        <is>
          <t>2024</t>
        </is>
      </c>
      <c r="B2748" t="inlineStr">
        <is>
          <t>C00513549</t>
        </is>
      </c>
      <c r="C2748" t="inlineStr">
        <is>
          <t>Phillips 66 PAC</t>
        </is>
      </c>
      <c r="D2748" t="inlineStr">
        <is>
          <t>JOSH GOTTHEIMER FOR CONGRESS</t>
        </is>
      </c>
      <c r="E2748" t="inlineStr">
        <is>
          <t>H6NJ05171</t>
        </is>
      </c>
      <c r="F2748" t="inlineStr">
        <is>
          <t>DEM</t>
        </is>
      </c>
      <c r="G2748" t="inlineStr">
        <is>
          <t>07112024</t>
        </is>
      </c>
      <c r="H2748" t="n">
        <v>2500</v>
      </c>
      <c r="I2748" t="inlineStr">
        <is>
          <t>202408199666437972</t>
        </is>
      </c>
      <c r="J2748" t="inlineStr">
        <is>
          <t>https://docquery.fec.gov/cgi-bin/fecimg/?202408199666437972</t>
        </is>
      </c>
    </row>
    <row r="2749">
      <c r="A2749" t="inlineStr">
        <is>
          <t>2024</t>
        </is>
      </c>
      <c r="B2749" t="inlineStr">
        <is>
          <t>C00513549</t>
        </is>
      </c>
      <c r="C2749" t="inlineStr">
        <is>
          <t>Phillips 66 PAC</t>
        </is>
      </c>
      <c r="D2749" t="inlineStr">
        <is>
          <t>KAT FOR CONGRESS</t>
        </is>
      </c>
      <c r="E2749" t="inlineStr">
        <is>
          <t>H0FL03175</t>
        </is>
      </c>
      <c r="F2749" t="inlineStr">
        <is>
          <t>REP</t>
        </is>
      </c>
      <c r="G2749" t="inlineStr">
        <is>
          <t>07112024</t>
        </is>
      </c>
      <c r="H2749" t="n">
        <v>1000</v>
      </c>
      <c r="I2749" t="inlineStr">
        <is>
          <t>202408199666437972</t>
        </is>
      </c>
      <c r="J2749" t="inlineStr">
        <is>
          <t>https://docquery.fec.gov/cgi-bin/fecimg/?202408199666437972</t>
        </is>
      </c>
    </row>
    <row r="2750">
      <c r="A2750" t="inlineStr">
        <is>
          <t>2024</t>
        </is>
      </c>
      <c r="B2750" t="inlineStr">
        <is>
          <t>C00513549</t>
        </is>
      </c>
      <c r="C2750" t="inlineStr">
        <is>
          <t>Phillips 66 PAC</t>
        </is>
      </c>
      <c r="D2750" t="inlineStr">
        <is>
          <t>MIKE BOST FOR CONGRESS COMMITTEE</t>
        </is>
      </c>
      <c r="E2750" t="inlineStr">
        <is>
          <t>H4IL12060</t>
        </is>
      </c>
      <c r="F2750" t="inlineStr">
        <is>
          <t>REP</t>
        </is>
      </c>
      <c r="G2750" t="inlineStr">
        <is>
          <t>07112024</t>
        </is>
      </c>
      <c r="H2750" t="n">
        <v>2000</v>
      </c>
      <c r="I2750" t="inlineStr">
        <is>
          <t>202408199666437972</t>
        </is>
      </c>
      <c r="J2750" t="inlineStr">
        <is>
          <t>https://docquery.fec.gov/cgi-bin/fecimg/?202408199666437972</t>
        </is>
      </c>
    </row>
    <row r="2751">
      <c r="A2751" t="inlineStr">
        <is>
          <t>2024</t>
        </is>
      </c>
      <c r="B2751" t="inlineStr">
        <is>
          <t>C00513549</t>
        </is>
      </c>
      <c r="C2751" t="inlineStr">
        <is>
          <t>Phillips 66 PAC</t>
        </is>
      </c>
      <c r="D2751" t="inlineStr">
        <is>
          <t>ROGERS FOR SENATE</t>
        </is>
      </c>
      <c r="E2751" t="inlineStr">
        <is>
          <t>S4MI00595</t>
        </is>
      </c>
      <c r="F2751" t="inlineStr">
        <is>
          <t>REP</t>
        </is>
      </c>
      <c r="G2751" t="inlineStr">
        <is>
          <t>07112024</t>
        </is>
      </c>
      <c r="H2751" t="n">
        <v>2500</v>
      </c>
      <c r="I2751" t="inlineStr">
        <is>
          <t>202408199666437973</t>
        </is>
      </c>
      <c r="J2751" t="inlineStr">
        <is>
          <t>https://docquery.fec.gov/cgi-bin/fecimg/?202408199666437973</t>
        </is>
      </c>
    </row>
    <row r="2752">
      <c r="A2752" t="inlineStr">
        <is>
          <t>2024</t>
        </is>
      </c>
      <c r="B2752" t="inlineStr">
        <is>
          <t>C00513549</t>
        </is>
      </c>
      <c r="C2752" t="inlineStr">
        <is>
          <t>Phillips 66 PAC</t>
        </is>
      </c>
      <c r="D2752" t="inlineStr">
        <is>
          <t>TIM SHEEHY FOR MONTANA</t>
        </is>
      </c>
      <c r="E2752" t="inlineStr">
        <is>
          <t>S4MT00183</t>
        </is>
      </c>
      <c r="F2752" t="inlineStr">
        <is>
          <t>REP</t>
        </is>
      </c>
      <c r="G2752" t="inlineStr">
        <is>
          <t>07112024</t>
        </is>
      </c>
      <c r="H2752" t="n">
        <v>2500</v>
      </c>
      <c r="I2752" t="inlineStr">
        <is>
          <t>202408199666437973</t>
        </is>
      </c>
      <c r="J2752" t="inlineStr">
        <is>
          <t>https://docquery.fec.gov/cgi-bin/fecimg/?202408199666437973</t>
        </is>
      </c>
    </row>
    <row r="2753">
      <c r="A2753" t="inlineStr">
        <is>
          <t>2024</t>
        </is>
      </c>
      <c r="B2753" t="inlineStr">
        <is>
          <t>C00513549</t>
        </is>
      </c>
      <c r="C2753" t="inlineStr">
        <is>
          <t>Phillips 66 PAC</t>
        </is>
      </c>
      <c r="D2753" t="inlineStr">
        <is>
          <t>TONY GONZALES FOR CONGRESS</t>
        </is>
      </c>
      <c r="E2753" t="inlineStr">
        <is>
          <t>H0TX35015</t>
        </is>
      </c>
      <c r="F2753" t="inlineStr">
        <is>
          <t>REP</t>
        </is>
      </c>
      <c r="G2753" t="inlineStr">
        <is>
          <t>07112024</t>
        </is>
      </c>
      <c r="H2753" t="n">
        <v>5000</v>
      </c>
      <c r="I2753" t="inlineStr">
        <is>
          <t>202408199666437974</t>
        </is>
      </c>
      <c r="J2753" t="inlineStr">
        <is>
          <t>https://docquery.fec.gov/cgi-bin/fecimg/?202408199666437974</t>
        </is>
      </c>
    </row>
    <row r="2754">
      <c r="A2754" t="inlineStr">
        <is>
          <t>2024</t>
        </is>
      </c>
      <c r="B2754" t="inlineStr">
        <is>
          <t>C00513549</t>
        </is>
      </c>
      <c r="C2754" t="inlineStr">
        <is>
          <t>Phillips 66 PAC</t>
        </is>
      </c>
      <c r="D2754" t="inlineStr">
        <is>
          <t>TROY DOWNING FOR CONGRESS</t>
        </is>
      </c>
      <c r="E2754" t="inlineStr">
        <is>
          <t>H4MT02098</t>
        </is>
      </c>
      <c r="F2754" t="inlineStr">
        <is>
          <t>REP</t>
        </is>
      </c>
      <c r="G2754" t="inlineStr">
        <is>
          <t>07112024</t>
        </is>
      </c>
      <c r="H2754" t="n">
        <v>2500</v>
      </c>
      <c r="I2754" t="inlineStr">
        <is>
          <t>202408199666437974</t>
        </is>
      </c>
      <c r="J2754" t="inlineStr">
        <is>
          <t>https://docquery.fec.gov/cgi-bin/fecimg/?202408199666437974</t>
        </is>
      </c>
    </row>
    <row r="2755">
      <c r="A2755" t="inlineStr">
        <is>
          <t>2024</t>
        </is>
      </c>
      <c r="B2755" t="inlineStr">
        <is>
          <t>C00513549</t>
        </is>
      </c>
      <c r="C2755" t="inlineStr">
        <is>
          <t>Phillips 66 PAC</t>
        </is>
      </c>
      <c r="D2755" t="inlineStr">
        <is>
          <t>VALADAO FOR CONGRESS</t>
        </is>
      </c>
      <c r="E2755" t="inlineStr">
        <is>
          <t>H2CA20094</t>
        </is>
      </c>
      <c r="F2755" t="inlineStr">
        <is>
          <t>REP</t>
        </is>
      </c>
      <c r="G2755" t="inlineStr">
        <is>
          <t>07112024</t>
        </is>
      </c>
      <c r="H2755" t="n">
        <v>1000</v>
      </c>
      <c r="I2755" t="inlineStr">
        <is>
          <t>202408199666437974</t>
        </is>
      </c>
      <c r="J2755" t="inlineStr">
        <is>
          <t>https://docquery.fec.gov/cgi-bin/fecimg/?202408199666437974</t>
        </is>
      </c>
    </row>
    <row r="2756">
      <c r="A2756" t="inlineStr">
        <is>
          <t>2024</t>
        </is>
      </c>
      <c r="B2756" t="inlineStr">
        <is>
          <t>C00513549</t>
        </is>
      </c>
      <c r="C2756" t="inlineStr">
        <is>
          <t>Phillips 66 PAC</t>
        </is>
      </c>
      <c r="D2756" t="inlineStr">
        <is>
          <t>JEFF DUNCAN FOR CONGRESS</t>
        </is>
      </c>
      <c r="E2756" t="inlineStr">
        <is>
          <t>H0SC03077</t>
        </is>
      </c>
      <c r="F2756" t="inlineStr">
        <is>
          <t>REP</t>
        </is>
      </c>
      <c r="G2756" t="inlineStr">
        <is>
          <t>07122023</t>
        </is>
      </c>
      <c r="H2756" t="n">
        <v>2500</v>
      </c>
      <c r="I2756" t="inlineStr">
        <is>
          <t>202308179596587034</t>
        </is>
      </c>
      <c r="J2756" t="inlineStr">
        <is>
          <t>https://docquery.fec.gov/cgi-bin/fecimg/?202308179596587034</t>
        </is>
      </c>
    </row>
    <row r="2757">
      <c r="A2757" t="inlineStr">
        <is>
          <t>2024</t>
        </is>
      </c>
      <c r="B2757" t="inlineStr">
        <is>
          <t>C00513549</t>
        </is>
      </c>
      <c r="C2757" t="inlineStr">
        <is>
          <t>Phillips 66 PAC</t>
        </is>
      </c>
      <c r="D2757" t="inlineStr">
        <is>
          <t>NEHLS FOR CONGRESS</t>
        </is>
      </c>
      <c r="E2757" t="inlineStr">
        <is>
          <t>H0TX22302</t>
        </is>
      </c>
      <c r="F2757" t="inlineStr">
        <is>
          <t>REP</t>
        </is>
      </c>
      <c r="G2757" t="inlineStr">
        <is>
          <t>07122023</t>
        </is>
      </c>
      <c r="H2757" t="n">
        <v>1500</v>
      </c>
      <c r="I2757" t="inlineStr">
        <is>
          <t>202308179596587036</t>
        </is>
      </c>
      <c r="J2757" t="inlineStr">
        <is>
          <t>https://docquery.fec.gov/cgi-bin/fecimg/?202308179596587036</t>
        </is>
      </c>
    </row>
    <row r="2758">
      <c r="A2758" t="inlineStr">
        <is>
          <t>2024</t>
        </is>
      </c>
      <c r="B2758" t="inlineStr">
        <is>
          <t>C00513549</t>
        </is>
      </c>
      <c r="C2758" t="inlineStr">
        <is>
          <t>Phillips 66 PAC</t>
        </is>
      </c>
      <c r="D2758" t="inlineStr">
        <is>
          <t>CATHY MCMORRIS RODGERS FOR CONGRESS</t>
        </is>
      </c>
      <c r="E2758" t="inlineStr">
        <is>
          <t>H4WA05077</t>
        </is>
      </c>
      <c r="F2758" t="inlineStr">
        <is>
          <t>REP</t>
        </is>
      </c>
      <c r="G2758" t="inlineStr">
        <is>
          <t>07122023</t>
        </is>
      </c>
      <c r="H2758" t="n">
        <v>2500</v>
      </c>
      <c r="I2758" t="inlineStr">
        <is>
          <t>202308179596587033</t>
        </is>
      </c>
      <c r="J2758" t="inlineStr">
        <is>
          <t>https://docquery.fec.gov/cgi-bin/fecimg/?202308179596587033</t>
        </is>
      </c>
    </row>
    <row r="2759">
      <c r="A2759" t="inlineStr">
        <is>
          <t>2024</t>
        </is>
      </c>
      <c r="B2759" t="inlineStr">
        <is>
          <t>C00513549</t>
        </is>
      </c>
      <c r="C2759" t="inlineStr">
        <is>
          <t>Phillips 66 PAC</t>
        </is>
      </c>
      <c r="D2759" t="inlineStr">
        <is>
          <t>GRAVES FOR CONGRESS</t>
        </is>
      </c>
      <c r="E2759" t="inlineStr">
        <is>
          <t>H0MO06073</t>
        </is>
      </c>
      <c r="F2759" t="inlineStr">
        <is>
          <t>REP</t>
        </is>
      </c>
      <c r="G2759" t="inlineStr">
        <is>
          <t>07212023</t>
        </is>
      </c>
      <c r="H2759" t="n">
        <v>5000</v>
      </c>
      <c r="I2759" t="inlineStr">
        <is>
          <t>202308179596587034</t>
        </is>
      </c>
      <c r="J2759" t="inlineStr">
        <is>
          <t>https://docquery.fec.gov/cgi-bin/fecimg/?202308179596587034</t>
        </is>
      </c>
    </row>
    <row r="2760">
      <c r="A2760" t="inlineStr">
        <is>
          <t>2024</t>
        </is>
      </c>
      <c r="B2760" t="inlineStr">
        <is>
          <t>C00513549</t>
        </is>
      </c>
      <c r="C2760" t="inlineStr">
        <is>
          <t>Phillips 66 PAC</t>
        </is>
      </c>
      <c r="D2760" t="inlineStr">
        <is>
          <t>KAT FOR CONGRESS</t>
        </is>
      </c>
      <c r="E2760" t="inlineStr">
        <is>
          <t>H0FL03175</t>
        </is>
      </c>
      <c r="F2760" t="inlineStr">
        <is>
          <t>REP</t>
        </is>
      </c>
      <c r="G2760" t="inlineStr">
        <is>
          <t>07212023</t>
        </is>
      </c>
      <c r="H2760" t="n">
        <v>1500</v>
      </c>
      <c r="I2760" t="inlineStr">
        <is>
          <t>202308179596587034</t>
        </is>
      </c>
      <c r="J2760" t="inlineStr">
        <is>
          <t>https://docquery.fec.gov/cgi-bin/fecimg/?202308179596587034</t>
        </is>
      </c>
    </row>
    <row r="2761">
      <c r="A2761" t="inlineStr">
        <is>
          <t>2024</t>
        </is>
      </c>
      <c r="B2761" t="inlineStr">
        <is>
          <t>C00513549</t>
        </is>
      </c>
      <c r="C2761" t="inlineStr">
        <is>
          <t>Phillips 66 PAC</t>
        </is>
      </c>
      <c r="D2761" t="inlineStr">
        <is>
          <t>MARC VEASEY CONGRESSIONAL CAMPAIGN COMMITTEE</t>
        </is>
      </c>
      <c r="E2761" t="inlineStr">
        <is>
          <t>H2TX33073</t>
        </is>
      </c>
      <c r="F2761" t="inlineStr">
        <is>
          <t>DEM</t>
        </is>
      </c>
      <c r="G2761" t="inlineStr">
        <is>
          <t>07212023</t>
        </is>
      </c>
      <c r="H2761" t="n">
        <v>2500</v>
      </c>
      <c r="I2761" t="inlineStr">
        <is>
          <t>202308179596587035</t>
        </is>
      </c>
      <c r="J2761" t="inlineStr">
        <is>
          <t>https://docquery.fec.gov/cgi-bin/fecimg/?202308179596587035</t>
        </is>
      </c>
    </row>
    <row r="2762">
      <c r="A2762" t="inlineStr">
        <is>
          <t>2024</t>
        </is>
      </c>
      <c r="B2762" t="inlineStr">
        <is>
          <t>C00513549</t>
        </is>
      </c>
      <c r="C2762" t="inlineStr">
        <is>
          <t>Phillips 66 PAC</t>
        </is>
      </c>
      <c r="D2762" t="inlineStr">
        <is>
          <t>MCHENRY FOR CONGRESS</t>
        </is>
      </c>
      <c r="E2762" t="inlineStr">
        <is>
          <t>H4NC10047</t>
        </is>
      </c>
      <c r="F2762" t="inlineStr">
        <is>
          <t>REP</t>
        </is>
      </c>
      <c r="G2762" t="inlineStr">
        <is>
          <t>07212023</t>
        </is>
      </c>
      <c r="H2762" t="n">
        <v>2500</v>
      </c>
      <c r="I2762" t="inlineStr">
        <is>
          <t>202308179596587035</t>
        </is>
      </c>
      <c r="J2762" t="inlineStr">
        <is>
          <t>https://docquery.fec.gov/cgi-bin/fecimg/?202308179596587035</t>
        </is>
      </c>
    </row>
    <row r="2763">
      <c r="A2763" t="inlineStr">
        <is>
          <t>2024</t>
        </is>
      </c>
      <c r="B2763" t="inlineStr">
        <is>
          <t>C00513549</t>
        </is>
      </c>
      <c r="C2763" t="inlineStr">
        <is>
          <t>Phillips 66 PAC</t>
        </is>
      </c>
      <c r="D2763" t="inlineStr">
        <is>
          <t>MIKE BOST FOR CONGRESS COMMITTEE</t>
        </is>
      </c>
      <c r="E2763" t="inlineStr">
        <is>
          <t>H4IL12060</t>
        </is>
      </c>
      <c r="F2763" t="inlineStr">
        <is>
          <t>REP</t>
        </is>
      </c>
      <c r="G2763" t="inlineStr">
        <is>
          <t>07212023</t>
        </is>
      </c>
      <c r="H2763" t="n">
        <v>3000</v>
      </c>
      <c r="I2763" t="inlineStr">
        <is>
          <t>202308179596587035</t>
        </is>
      </c>
      <c r="J2763" t="inlineStr">
        <is>
          <t>https://docquery.fec.gov/cgi-bin/fecimg/?202308179596587035</t>
        </is>
      </c>
    </row>
    <row r="2764">
      <c r="A2764" t="inlineStr">
        <is>
          <t>2024</t>
        </is>
      </c>
      <c r="B2764" t="inlineStr">
        <is>
          <t>C00513549</t>
        </is>
      </c>
      <c r="C2764" t="inlineStr">
        <is>
          <t>Phillips 66 PAC</t>
        </is>
      </c>
      <c r="D2764" t="inlineStr">
        <is>
          <t>WEBER FOR CONGRESS</t>
        </is>
      </c>
      <c r="E2764" t="inlineStr">
        <is>
          <t>H2TX14149</t>
        </is>
      </c>
      <c r="F2764" t="inlineStr">
        <is>
          <t>REP</t>
        </is>
      </c>
      <c r="G2764" t="inlineStr">
        <is>
          <t>07212023</t>
        </is>
      </c>
      <c r="H2764" t="n">
        <v>1000</v>
      </c>
      <c r="I2764" t="inlineStr">
        <is>
          <t>202308179596587036</t>
        </is>
      </c>
      <c r="J2764" t="inlineStr">
        <is>
          <t>https://docquery.fec.gov/cgi-bin/fecimg/?202308179596587036</t>
        </is>
      </c>
    </row>
    <row r="2765">
      <c r="A2765" t="inlineStr">
        <is>
          <t>2024</t>
        </is>
      </c>
      <c r="B2765" t="inlineStr">
        <is>
          <t>C00513549</t>
        </is>
      </c>
      <c r="C2765" t="inlineStr">
        <is>
          <t>Phillips 66 PAC</t>
        </is>
      </c>
      <c r="D2765" t="inlineStr">
        <is>
          <t>GRAVES FOR CONGRESS</t>
        </is>
      </c>
      <c r="E2765" t="inlineStr">
        <is>
          <t>H0MO06073</t>
        </is>
      </c>
      <c r="F2765" t="inlineStr">
        <is>
          <t>REP</t>
        </is>
      </c>
      <c r="G2765" t="inlineStr">
        <is>
          <t>07212023</t>
        </is>
      </c>
      <c r="H2765" t="n">
        <v>-5000</v>
      </c>
      <c r="I2765" t="inlineStr">
        <is>
          <t>202308179596587033</t>
        </is>
      </c>
      <c r="J2765" t="inlineStr">
        <is>
          <t>https://docquery.fec.gov/cgi-bin/fecimg/?202308179596587033</t>
        </is>
      </c>
    </row>
    <row r="2766">
      <c r="A2766" t="inlineStr">
        <is>
          <t>2024</t>
        </is>
      </c>
      <c r="B2766" t="inlineStr">
        <is>
          <t>C00513549</t>
        </is>
      </c>
      <c r="C2766" t="inlineStr">
        <is>
          <t>Phillips 66 PAC</t>
        </is>
      </c>
      <c r="D2766" t="inlineStr">
        <is>
          <t>FRIENDS OF MIKE LEE INC</t>
        </is>
      </c>
      <c r="E2766" t="inlineStr">
        <is>
          <t>S0UT00165</t>
        </is>
      </c>
      <c r="F2766" t="inlineStr">
        <is>
          <t>REP</t>
        </is>
      </c>
      <c r="G2766" t="inlineStr">
        <is>
          <t>08052024</t>
        </is>
      </c>
      <c r="H2766" t="n">
        <v>2500</v>
      </c>
      <c r="I2766" t="inlineStr">
        <is>
          <t>202409209675572524</t>
        </is>
      </c>
      <c r="J2766" t="inlineStr">
        <is>
          <t>https://docquery.fec.gov/cgi-bin/fecimg/?202409209675572524</t>
        </is>
      </c>
    </row>
    <row r="2767">
      <c r="A2767" t="inlineStr">
        <is>
          <t>2024</t>
        </is>
      </c>
      <c r="B2767" t="inlineStr">
        <is>
          <t>C00513549</t>
        </is>
      </c>
      <c r="C2767" t="inlineStr">
        <is>
          <t>Phillips 66 PAC</t>
        </is>
      </c>
      <c r="D2767" t="inlineStr">
        <is>
          <t>VICENTE GONZALEZ FOR CONGRESS</t>
        </is>
      </c>
      <c r="E2767" t="inlineStr">
        <is>
          <t>H6TX15162</t>
        </is>
      </c>
      <c r="F2767" t="inlineStr">
        <is>
          <t>DEM</t>
        </is>
      </c>
      <c r="G2767" t="inlineStr">
        <is>
          <t>08052024</t>
        </is>
      </c>
      <c r="H2767" t="n">
        <v>2500</v>
      </c>
      <c r="I2767" t="inlineStr">
        <is>
          <t>202409209675572537</t>
        </is>
      </c>
      <c r="J2767" t="inlineStr">
        <is>
          <t>https://docquery.fec.gov/cgi-bin/fecimg/?202409209675572537</t>
        </is>
      </c>
    </row>
    <row r="2768">
      <c r="A2768" t="inlineStr">
        <is>
          <t>2024</t>
        </is>
      </c>
      <c r="B2768" t="inlineStr">
        <is>
          <t>C00513549</t>
        </is>
      </c>
      <c r="C2768" t="inlineStr">
        <is>
          <t>Phillips 66 PAC</t>
        </is>
      </c>
      <c r="D2768" t="inlineStr">
        <is>
          <t>WALBERG FOR CONGRESS</t>
        </is>
      </c>
      <c r="E2768" t="inlineStr">
        <is>
          <t>H4MI07103</t>
        </is>
      </c>
      <c r="F2768" t="inlineStr">
        <is>
          <t>REP</t>
        </is>
      </c>
      <c r="G2768" t="inlineStr">
        <is>
          <t>08052024</t>
        </is>
      </c>
      <c r="H2768" t="n">
        <v>3500</v>
      </c>
      <c r="I2768" t="inlineStr">
        <is>
          <t>202409209675572538</t>
        </is>
      </c>
      <c r="J2768" t="inlineStr">
        <is>
          <t>https://docquery.fec.gov/cgi-bin/fecimg/?202409209675572538</t>
        </is>
      </c>
    </row>
    <row r="2769">
      <c r="A2769" t="inlineStr">
        <is>
          <t>2024</t>
        </is>
      </c>
      <c r="B2769" t="inlineStr">
        <is>
          <t>C00513549</t>
        </is>
      </c>
      <c r="C2769" t="inlineStr">
        <is>
          <t>Phillips 66 PAC</t>
        </is>
      </c>
      <c r="D2769" t="inlineStr">
        <is>
          <t>LORI CHAVEZ-DEREMER FOR CONGRESS</t>
        </is>
      </c>
      <c r="E2769" t="inlineStr">
        <is>
          <t>H2OR05209</t>
        </is>
      </c>
      <c r="F2769" t="inlineStr">
        <is>
          <t>REP</t>
        </is>
      </c>
      <c r="G2769" t="inlineStr">
        <is>
          <t>08052024</t>
        </is>
      </c>
      <c r="H2769" t="n">
        <v>2500</v>
      </c>
      <c r="I2769" t="inlineStr">
        <is>
          <t>202409209675572530</t>
        </is>
      </c>
      <c r="J2769" t="inlineStr">
        <is>
          <t>https://docquery.fec.gov/cgi-bin/fecimg/?202409209675572530</t>
        </is>
      </c>
    </row>
    <row r="2770">
      <c r="A2770" t="inlineStr">
        <is>
          <t>2024</t>
        </is>
      </c>
      <c r="B2770" t="inlineStr">
        <is>
          <t>C00513549</t>
        </is>
      </c>
      <c r="C2770" t="inlineStr">
        <is>
          <t>Phillips 66 PAC</t>
        </is>
      </c>
      <c r="D2770" t="inlineStr">
        <is>
          <t>LOU CORREA FOR CONGRESS</t>
        </is>
      </c>
      <c r="E2770" t="inlineStr">
        <is>
          <t>H6CA46116</t>
        </is>
      </c>
      <c r="F2770" t="inlineStr">
        <is>
          <t>DEM</t>
        </is>
      </c>
      <c r="G2770" t="inlineStr">
        <is>
          <t>08052024</t>
        </is>
      </c>
      <c r="H2770" t="n">
        <v>2500</v>
      </c>
      <c r="I2770" t="inlineStr">
        <is>
          <t>202409209675572530</t>
        </is>
      </c>
      <c r="J2770" t="inlineStr">
        <is>
          <t>https://docquery.fec.gov/cgi-bin/fecimg/?202409209675572530</t>
        </is>
      </c>
    </row>
    <row r="2771">
      <c r="A2771" t="inlineStr">
        <is>
          <t>2024</t>
        </is>
      </c>
      <c r="B2771" t="inlineStr">
        <is>
          <t>C00513549</t>
        </is>
      </c>
      <c r="C2771" t="inlineStr">
        <is>
          <t>Phillips 66 PAC</t>
        </is>
      </c>
      <c r="D2771" t="inlineStr">
        <is>
          <t>MARSHA FOR SENATE</t>
        </is>
      </c>
      <c r="E2771" t="inlineStr">
        <is>
          <t>S8TN00337</t>
        </is>
      </c>
      <c r="F2771" t="inlineStr">
        <is>
          <t>REP</t>
        </is>
      </c>
      <c r="G2771" t="inlineStr">
        <is>
          <t>08052024</t>
        </is>
      </c>
      <c r="H2771" t="n">
        <v>2500</v>
      </c>
      <c r="I2771" t="inlineStr">
        <is>
          <t>202409209675572532</t>
        </is>
      </c>
      <c r="J2771" t="inlineStr">
        <is>
          <t>https://docquery.fec.gov/cgi-bin/fecimg/?202409209675572532</t>
        </is>
      </c>
    </row>
    <row r="2772">
      <c r="A2772" t="inlineStr">
        <is>
          <t>2024</t>
        </is>
      </c>
      <c r="B2772" t="inlineStr">
        <is>
          <t>C00513549</t>
        </is>
      </c>
      <c r="C2772" t="inlineStr">
        <is>
          <t>Phillips 66 PAC</t>
        </is>
      </c>
      <c r="D2772" t="inlineStr">
        <is>
          <t>MICHELLE STEEL FOR CONGRESS</t>
        </is>
      </c>
      <c r="E2772" t="inlineStr">
        <is>
          <t>H0CA48198</t>
        </is>
      </c>
      <c r="F2772" t="inlineStr">
        <is>
          <t>REP</t>
        </is>
      </c>
      <c r="G2772" t="inlineStr">
        <is>
          <t>08052024</t>
        </is>
      </c>
      <c r="H2772" t="n">
        <v>2500</v>
      </c>
      <c r="I2772" t="inlineStr">
        <is>
          <t>202409209675572533</t>
        </is>
      </c>
      <c r="J2772" t="inlineStr">
        <is>
          <t>https://docquery.fec.gov/cgi-bin/fecimg/?202409209675572533</t>
        </is>
      </c>
    </row>
    <row r="2773">
      <c r="A2773" t="inlineStr">
        <is>
          <t>2024</t>
        </is>
      </c>
      <c r="B2773" t="inlineStr">
        <is>
          <t>C00513549</t>
        </is>
      </c>
      <c r="C2773" t="inlineStr">
        <is>
          <t>Phillips 66 PAC</t>
        </is>
      </c>
      <c r="D2773" t="inlineStr">
        <is>
          <t>JIM COSTA FOR CONGRESS</t>
        </is>
      </c>
      <c r="E2773" t="inlineStr">
        <is>
          <t>H4CA20082</t>
        </is>
      </c>
      <c r="F2773" t="inlineStr">
        <is>
          <t>DEM</t>
        </is>
      </c>
      <c r="G2773" t="inlineStr">
        <is>
          <t>08052024</t>
        </is>
      </c>
      <c r="H2773" t="n">
        <v>1500</v>
      </c>
      <c r="I2773" t="inlineStr">
        <is>
          <t>202409209675572527</t>
        </is>
      </c>
      <c r="J2773" t="inlineStr">
        <is>
          <t>https://docquery.fec.gov/cgi-bin/fecimg/?202409209675572527</t>
        </is>
      </c>
    </row>
    <row r="2774">
      <c r="A2774" t="inlineStr">
        <is>
          <t>2024</t>
        </is>
      </c>
      <c r="B2774" t="inlineStr">
        <is>
          <t>C00513549</t>
        </is>
      </c>
      <c r="C2774" t="inlineStr">
        <is>
          <t>Phillips 66 PAC</t>
        </is>
      </c>
      <c r="D2774" t="inlineStr">
        <is>
          <t>KEN CALVERT FOR CONGRESS COMMITTEE</t>
        </is>
      </c>
      <c r="E2774" t="inlineStr">
        <is>
          <t>H2CA37023</t>
        </is>
      </c>
      <c r="F2774" t="inlineStr">
        <is>
          <t>REP</t>
        </is>
      </c>
      <c r="G2774" t="inlineStr">
        <is>
          <t>08052024</t>
        </is>
      </c>
      <c r="H2774" t="n">
        <v>2500</v>
      </c>
      <c r="I2774" t="inlineStr">
        <is>
          <t>202409209675572528</t>
        </is>
      </c>
      <c r="J2774" t="inlineStr">
        <is>
          <t>https://docquery.fec.gov/cgi-bin/fecimg/?202409209675572528</t>
        </is>
      </c>
    </row>
    <row r="2775">
      <c r="A2775" t="inlineStr">
        <is>
          <t>2024</t>
        </is>
      </c>
      <c r="B2775" t="inlineStr">
        <is>
          <t>C00513549</t>
        </is>
      </c>
      <c r="C2775" t="inlineStr">
        <is>
          <t>Phillips 66 PAC</t>
        </is>
      </c>
      <c r="D2775" t="inlineStr">
        <is>
          <t>LANCE GOODEN FOR CONGRESS COMMITTEE</t>
        </is>
      </c>
      <c r="E2775" t="inlineStr">
        <is>
          <t>H8TX05144</t>
        </is>
      </c>
      <c r="F2775" t="inlineStr">
        <is>
          <t>REP</t>
        </is>
      </c>
      <c r="G2775" t="inlineStr">
        <is>
          <t>08052024</t>
        </is>
      </c>
      <c r="H2775" t="n">
        <v>5000</v>
      </c>
      <c r="I2775" t="inlineStr">
        <is>
          <t>202409209675572529</t>
        </is>
      </c>
      <c r="J2775" t="inlineStr">
        <is>
          <t>https://docquery.fec.gov/cgi-bin/fecimg/?202409209675572529</t>
        </is>
      </c>
    </row>
    <row r="2776">
      <c r="A2776" t="inlineStr">
        <is>
          <t>2024</t>
        </is>
      </c>
      <c r="B2776" t="inlineStr">
        <is>
          <t>C00513549</t>
        </is>
      </c>
      <c r="C2776" t="inlineStr">
        <is>
          <t>Phillips 66 PAC</t>
        </is>
      </c>
      <c r="D2776" t="inlineStr">
        <is>
          <t>WICKER FOR SENATE</t>
        </is>
      </c>
      <c r="E2776" t="inlineStr">
        <is>
          <t>S8MS00196</t>
        </is>
      </c>
      <c r="F2776" t="inlineStr">
        <is>
          <t>REP</t>
        </is>
      </c>
      <c r="G2776" t="inlineStr">
        <is>
          <t>08052024</t>
        </is>
      </c>
      <c r="H2776" t="n">
        <v>5000</v>
      </c>
      <c r="I2776" t="inlineStr">
        <is>
          <t>202409209675572539</t>
        </is>
      </c>
      <c r="J2776" t="inlineStr">
        <is>
          <t>https://docquery.fec.gov/cgi-bin/fecimg/?202409209675572539</t>
        </is>
      </c>
    </row>
    <row r="2777">
      <c r="A2777" t="inlineStr">
        <is>
          <t>2024</t>
        </is>
      </c>
      <c r="B2777" t="inlineStr">
        <is>
          <t>C00513549</t>
        </is>
      </c>
      <c r="C2777" t="inlineStr">
        <is>
          <t>Phillips 66 PAC</t>
        </is>
      </c>
      <c r="D2777" t="inlineStr">
        <is>
          <t>YOUNG KIM FOR CONGRESS</t>
        </is>
      </c>
      <c r="E2777" t="inlineStr">
        <is>
          <t>H8CA39240</t>
        </is>
      </c>
      <c r="F2777" t="inlineStr">
        <is>
          <t>REP</t>
        </is>
      </c>
      <c r="G2777" t="inlineStr">
        <is>
          <t>08052024</t>
        </is>
      </c>
      <c r="H2777" t="n">
        <v>2500</v>
      </c>
      <c r="I2777" t="inlineStr">
        <is>
          <t>202409209675572539</t>
        </is>
      </c>
      <c r="J2777" t="inlineStr">
        <is>
          <t>https://docquery.fec.gov/cgi-bin/fecimg/?202409209675572539</t>
        </is>
      </c>
    </row>
    <row r="2778">
      <c r="A2778" t="inlineStr">
        <is>
          <t>2024</t>
        </is>
      </c>
      <c r="B2778" t="inlineStr">
        <is>
          <t>C00513549</t>
        </is>
      </c>
      <c r="C2778" t="inlineStr">
        <is>
          <t>Phillips 66 PAC</t>
        </is>
      </c>
      <c r="D2778" t="inlineStr">
        <is>
          <t>ZINKE FOR CONGRESS</t>
        </is>
      </c>
      <c r="E2778" t="inlineStr">
        <is>
          <t>H4MT01041</t>
        </is>
      </c>
      <c r="F2778" t="inlineStr">
        <is>
          <t>REP</t>
        </is>
      </c>
      <c r="G2778" t="inlineStr">
        <is>
          <t>08052024</t>
        </is>
      </c>
      <c r="H2778" t="n">
        <v>1500</v>
      </c>
      <c r="I2778" t="inlineStr">
        <is>
          <t>202409209675572540</t>
        </is>
      </c>
      <c r="J2778" t="inlineStr">
        <is>
          <t>https://docquery.fec.gov/cgi-bin/fecimg/?202409209675572540</t>
        </is>
      </c>
    </row>
    <row r="2779">
      <c r="A2779" t="inlineStr">
        <is>
          <t>2024</t>
        </is>
      </c>
      <c r="B2779" t="inlineStr">
        <is>
          <t>C00513549</t>
        </is>
      </c>
      <c r="C2779" t="inlineStr">
        <is>
          <t>Phillips 66 PAC</t>
        </is>
      </c>
      <c r="D2779" t="inlineStr">
        <is>
          <t>PETE RICKETTS FOR SENATE</t>
        </is>
      </c>
      <c r="E2779" t="inlineStr">
        <is>
          <t>S4NE00173</t>
        </is>
      </c>
      <c r="G2779" t="inlineStr">
        <is>
          <t>08052024</t>
        </is>
      </c>
      <c r="H2779" t="n">
        <v>5000</v>
      </c>
      <c r="I2779" t="inlineStr">
        <is>
          <t>202409209675572534</t>
        </is>
      </c>
      <c r="J2779" t="inlineStr">
        <is>
          <t>https://docquery.fec.gov/cgi-bin/fecimg/?202409209675572534</t>
        </is>
      </c>
    </row>
    <row r="2780">
      <c r="A2780" t="inlineStr">
        <is>
          <t>2024</t>
        </is>
      </c>
      <c r="B2780" t="inlineStr">
        <is>
          <t>C00513549</t>
        </is>
      </c>
      <c r="C2780" t="inlineStr">
        <is>
          <t>Phillips 66 PAC</t>
        </is>
      </c>
      <c r="D2780" t="inlineStr">
        <is>
          <t>RICHARD E. NEAL FOR CONGRESS COMMITTEE</t>
        </is>
      </c>
      <c r="E2780" t="inlineStr">
        <is>
          <t>H8MA02041</t>
        </is>
      </c>
      <c r="F2780" t="inlineStr">
        <is>
          <t>DEM</t>
        </is>
      </c>
      <c r="G2780" t="inlineStr">
        <is>
          <t>08052024</t>
        </is>
      </c>
      <c r="H2780" t="n">
        <v>2500</v>
      </c>
      <c r="I2780" t="inlineStr">
        <is>
          <t>202409209675572534</t>
        </is>
      </c>
      <c r="J2780" t="inlineStr">
        <is>
          <t>https://docquery.fec.gov/cgi-bin/fecimg/?202409209675572534</t>
        </is>
      </c>
    </row>
    <row r="2781">
      <c r="A2781" t="inlineStr">
        <is>
          <t>2024</t>
        </is>
      </c>
      <c r="B2781" t="inlineStr">
        <is>
          <t>C00513549</t>
        </is>
      </c>
      <c r="C2781" t="inlineStr">
        <is>
          <t>Phillips 66 PAC</t>
        </is>
      </c>
      <c r="D2781" t="inlineStr">
        <is>
          <t>SIMPSON FOR CONGRESS</t>
        </is>
      </c>
      <c r="E2781" t="inlineStr">
        <is>
          <t>H8ID02064</t>
        </is>
      </c>
      <c r="F2781" t="inlineStr">
        <is>
          <t>REP</t>
        </is>
      </c>
      <c r="G2781" t="inlineStr">
        <is>
          <t>08052024</t>
        </is>
      </c>
      <c r="H2781" t="n">
        <v>1500</v>
      </c>
      <c r="I2781" t="inlineStr">
        <is>
          <t>202409209675572536</t>
        </is>
      </c>
      <c r="J2781" t="inlineStr">
        <is>
          <t>https://docquery.fec.gov/cgi-bin/fecimg/?202409209675572536</t>
        </is>
      </c>
    </row>
    <row r="2782">
      <c r="A2782" t="inlineStr">
        <is>
          <t>2024</t>
        </is>
      </c>
      <c r="B2782" t="inlineStr">
        <is>
          <t>C00513549</t>
        </is>
      </c>
      <c r="C2782" t="inlineStr">
        <is>
          <t>Phillips 66 PAC</t>
        </is>
      </c>
      <c r="D2782" t="inlineStr">
        <is>
          <t>TERRI SEWELL FOR CONGRESS</t>
        </is>
      </c>
      <c r="E2782" t="inlineStr">
        <is>
          <t>H0AL07086</t>
        </is>
      </c>
      <c r="F2782" t="inlineStr">
        <is>
          <t>DEM</t>
        </is>
      </c>
      <c r="G2782" t="inlineStr">
        <is>
          <t>08052024</t>
        </is>
      </c>
      <c r="H2782" t="n">
        <v>2500</v>
      </c>
      <c r="I2782" t="inlineStr">
        <is>
          <t>202409209675572536</t>
        </is>
      </c>
      <c r="J2782" t="inlineStr">
        <is>
          <t>https://docquery.fec.gov/cgi-bin/fecimg/?202409209675572536</t>
        </is>
      </c>
    </row>
    <row r="2783">
      <c r="A2783" t="inlineStr">
        <is>
          <t>2024</t>
        </is>
      </c>
      <c r="B2783" t="inlineStr">
        <is>
          <t>C00513549</t>
        </is>
      </c>
      <c r="C2783" t="inlineStr">
        <is>
          <t>Phillips 66 PAC</t>
        </is>
      </c>
      <c r="D2783" t="inlineStr">
        <is>
          <t>TEXANS FOR MORGAN LUTTRELL</t>
        </is>
      </c>
      <c r="E2783" t="inlineStr">
        <is>
          <t>H2TX08182</t>
        </is>
      </c>
      <c r="F2783" t="inlineStr">
        <is>
          <t>REP</t>
        </is>
      </c>
      <c r="G2783" t="inlineStr">
        <is>
          <t>08052024</t>
        </is>
      </c>
      <c r="H2783" t="n">
        <v>1500</v>
      </c>
      <c r="I2783" t="inlineStr">
        <is>
          <t>202409209675572536</t>
        </is>
      </c>
      <c r="J2783" t="inlineStr">
        <is>
          <t>https://docquery.fec.gov/cgi-bin/fecimg/?202409209675572536</t>
        </is>
      </c>
    </row>
    <row r="2784">
      <c r="A2784" t="inlineStr">
        <is>
          <t>2024</t>
        </is>
      </c>
      <c r="B2784" t="inlineStr">
        <is>
          <t>C00513549</t>
        </is>
      </c>
      <c r="C2784" t="inlineStr">
        <is>
          <t>Phillips 66 PAC</t>
        </is>
      </c>
      <c r="D2784" t="inlineStr">
        <is>
          <t>COLE FOR CONGRESS</t>
        </is>
      </c>
      <c r="E2784" t="inlineStr">
        <is>
          <t>H2OK04055</t>
        </is>
      </c>
      <c r="F2784" t="inlineStr">
        <is>
          <t>REP</t>
        </is>
      </c>
      <c r="G2784" t="inlineStr">
        <is>
          <t>08052024</t>
        </is>
      </c>
      <c r="H2784" t="n">
        <v>2500</v>
      </c>
      <c r="I2784" t="inlineStr">
        <is>
          <t>202409209675572519</t>
        </is>
      </c>
      <c r="J2784" t="inlineStr">
        <is>
          <t>https://docquery.fec.gov/cgi-bin/fecimg/?202409209675572519</t>
        </is>
      </c>
    </row>
    <row r="2785">
      <c r="A2785" t="inlineStr">
        <is>
          <t>2024</t>
        </is>
      </c>
      <c r="B2785" t="inlineStr">
        <is>
          <t>C00513549</t>
        </is>
      </c>
      <c r="C2785" t="inlineStr">
        <is>
          <t>Phillips 66 PAC</t>
        </is>
      </c>
      <c r="D2785" t="inlineStr">
        <is>
          <t>CURTIS FOR SENATE</t>
        </is>
      </c>
      <c r="E2785" t="inlineStr">
        <is>
          <t>H8UT03238</t>
        </is>
      </c>
      <c r="F2785" t="inlineStr">
        <is>
          <t>REP</t>
        </is>
      </c>
      <c r="G2785" t="inlineStr">
        <is>
          <t>08052024</t>
        </is>
      </c>
      <c r="H2785" t="n">
        <v>2500</v>
      </c>
      <c r="I2785" t="inlineStr">
        <is>
          <t>202409209675572520</t>
        </is>
      </c>
      <c r="J2785" t="inlineStr">
        <is>
          <t>https://docquery.fec.gov/cgi-bin/fecimg/?202409209675572520</t>
        </is>
      </c>
    </row>
    <row r="2786">
      <c r="A2786" t="inlineStr">
        <is>
          <t>2024</t>
        </is>
      </c>
      <c r="B2786" t="inlineStr">
        <is>
          <t>C00513549</t>
        </is>
      </c>
      <c r="C2786" t="inlineStr">
        <is>
          <t>Phillips 66 PAC</t>
        </is>
      </c>
      <c r="D2786" t="inlineStr">
        <is>
          <t>DAN CRENSHAW FOR CONGRESS</t>
        </is>
      </c>
      <c r="E2786" t="inlineStr">
        <is>
          <t>H8TX02166</t>
        </is>
      </c>
      <c r="F2786" t="inlineStr">
        <is>
          <t>REP</t>
        </is>
      </c>
      <c r="G2786" t="inlineStr">
        <is>
          <t>08052024</t>
        </is>
      </c>
      <c r="H2786" t="n">
        <v>2000</v>
      </c>
      <c r="I2786" t="inlineStr">
        <is>
          <t>202409209675572520</t>
        </is>
      </c>
      <c r="J2786" t="inlineStr">
        <is>
          <t>https://docquery.fec.gov/cgi-bin/fecimg/?202409209675572520</t>
        </is>
      </c>
    </row>
    <row r="2787">
      <c r="A2787" t="inlineStr">
        <is>
          <t>2024</t>
        </is>
      </c>
      <c r="B2787" t="inlineStr">
        <is>
          <t>C00513549</t>
        </is>
      </c>
      <c r="C2787" t="inlineStr">
        <is>
          <t>Phillips 66 PAC</t>
        </is>
      </c>
      <c r="D2787" t="inlineStr">
        <is>
          <t>DEB FISCHER FOR US SENATE INC</t>
        </is>
      </c>
      <c r="E2787" t="inlineStr">
        <is>
          <t>S2NE00094</t>
        </is>
      </c>
      <c r="F2787" t="inlineStr">
        <is>
          <t>REP</t>
        </is>
      </c>
      <c r="G2787" t="inlineStr">
        <is>
          <t>08052024</t>
        </is>
      </c>
      <c r="H2787" t="n">
        <v>2500</v>
      </c>
      <c r="I2787" t="inlineStr">
        <is>
          <t>202409209675572521</t>
        </is>
      </c>
      <c r="J2787" t="inlineStr">
        <is>
          <t>https://docquery.fec.gov/cgi-bin/fecimg/?202409209675572521</t>
        </is>
      </c>
    </row>
    <row r="2788">
      <c r="A2788" t="inlineStr">
        <is>
          <t>2024</t>
        </is>
      </c>
      <c r="B2788" t="inlineStr">
        <is>
          <t>C00513549</t>
        </is>
      </c>
      <c r="C2788" t="inlineStr">
        <is>
          <t>Phillips 66 PAC</t>
        </is>
      </c>
      <c r="D2788" t="inlineStr">
        <is>
          <t>DR. BRIAN BABIN FOR CONGRESS</t>
        </is>
      </c>
      <c r="E2788" t="inlineStr">
        <is>
          <t>H6TX02079</t>
        </is>
      </c>
      <c r="F2788" t="inlineStr">
        <is>
          <t>REP</t>
        </is>
      </c>
      <c r="G2788" t="inlineStr">
        <is>
          <t>08052024</t>
        </is>
      </c>
      <c r="H2788" t="n">
        <v>2500</v>
      </c>
      <c r="I2788" t="inlineStr">
        <is>
          <t>202409209675572522</t>
        </is>
      </c>
      <c r="J2788" t="inlineStr">
        <is>
          <t>https://docquery.fec.gov/cgi-bin/fecimg/?202409209675572522</t>
        </is>
      </c>
    </row>
    <row r="2789">
      <c r="A2789" t="inlineStr">
        <is>
          <t>2024</t>
        </is>
      </c>
      <c r="B2789" t="inlineStr">
        <is>
          <t>C00513549</t>
        </is>
      </c>
      <c r="C2789" t="inlineStr">
        <is>
          <t>Phillips 66 PAC</t>
        </is>
      </c>
      <c r="D2789" t="inlineStr">
        <is>
          <t>FRIENDS OF DAVE MCCORMICK</t>
        </is>
      </c>
      <c r="E2789" t="inlineStr">
        <is>
          <t>S2PA00661</t>
        </is>
      </c>
      <c r="F2789" t="inlineStr">
        <is>
          <t>REP</t>
        </is>
      </c>
      <c r="G2789" t="inlineStr">
        <is>
          <t>08052024</t>
        </is>
      </c>
      <c r="H2789" t="n">
        <v>2500</v>
      </c>
      <c r="I2789" t="inlineStr">
        <is>
          <t>202409209675572523</t>
        </is>
      </c>
      <c r="J2789" t="inlineStr">
        <is>
          <t>https://docquery.fec.gov/cgi-bin/fecimg/?202409209675572523</t>
        </is>
      </c>
    </row>
    <row r="2790">
      <c r="A2790" t="inlineStr">
        <is>
          <t>2024</t>
        </is>
      </c>
      <c r="B2790" t="inlineStr">
        <is>
          <t>C00513549</t>
        </is>
      </c>
      <c r="C2790" t="inlineStr">
        <is>
          <t>Phillips 66 PAC</t>
        </is>
      </c>
      <c r="D2790" t="inlineStr">
        <is>
          <t>GARRET GRAVES FOR CONGRESS</t>
        </is>
      </c>
      <c r="E2790" t="inlineStr">
        <is>
          <t>H4LA06153</t>
        </is>
      </c>
      <c r="F2790" t="inlineStr">
        <is>
          <t>REP</t>
        </is>
      </c>
      <c r="G2790" t="inlineStr">
        <is>
          <t>08192024</t>
        </is>
      </c>
      <c r="H2790" t="n">
        <v>-2500</v>
      </c>
      <c r="I2790" t="inlineStr">
        <is>
          <t>202409209675572515</t>
        </is>
      </c>
      <c r="J2790" t="inlineStr">
        <is>
          <t>https://docquery.fec.gov/cgi-bin/fecimg/?202409209675572515</t>
        </is>
      </c>
    </row>
    <row r="2791">
      <c r="A2791" t="inlineStr">
        <is>
          <t>2024</t>
        </is>
      </c>
      <c r="B2791" t="inlineStr">
        <is>
          <t>C00513549</t>
        </is>
      </c>
      <c r="C2791" t="inlineStr">
        <is>
          <t>Phillips 66 PAC</t>
        </is>
      </c>
      <c r="D2791" t="inlineStr">
        <is>
          <t>FRIENDS OF GLENN THOMPSON</t>
        </is>
      </c>
      <c r="E2791" t="inlineStr">
        <is>
          <t>H8PA05071</t>
        </is>
      </c>
      <c r="F2791" t="inlineStr">
        <is>
          <t>REP</t>
        </is>
      </c>
      <c r="G2791" t="inlineStr">
        <is>
          <t>08232024</t>
        </is>
      </c>
      <c r="H2791" t="n">
        <v>2500</v>
      </c>
      <c r="I2791" t="inlineStr">
        <is>
          <t>202409209675572523</t>
        </is>
      </c>
      <c r="J2791" t="inlineStr">
        <is>
          <t>https://docquery.fec.gov/cgi-bin/fecimg/?202409209675572523</t>
        </is>
      </c>
    </row>
    <row r="2792">
      <c r="A2792" t="inlineStr">
        <is>
          <t>2024</t>
        </is>
      </c>
      <c r="B2792" t="inlineStr">
        <is>
          <t>C00513549</t>
        </is>
      </c>
      <c r="C2792" t="inlineStr">
        <is>
          <t>Phillips 66 PAC</t>
        </is>
      </c>
      <c r="D2792" t="inlineStr">
        <is>
          <t>GARY PALMER FOR CONGRESS</t>
        </is>
      </c>
      <c r="E2792" t="inlineStr">
        <is>
          <t>H4AL06098</t>
        </is>
      </c>
      <c r="F2792" t="inlineStr">
        <is>
          <t>REP</t>
        </is>
      </c>
      <c r="G2792" t="inlineStr">
        <is>
          <t>08232024</t>
        </is>
      </c>
      <c r="H2792" t="n">
        <v>2500</v>
      </c>
      <c r="I2792" t="inlineStr">
        <is>
          <t>202409209675572524</t>
        </is>
      </c>
      <c r="J2792" t="inlineStr">
        <is>
          <t>https://docquery.fec.gov/cgi-bin/fecimg/?202409209675572524</t>
        </is>
      </c>
    </row>
    <row r="2793">
      <c r="A2793" t="inlineStr">
        <is>
          <t>2024</t>
        </is>
      </c>
      <c r="B2793" t="inlineStr">
        <is>
          <t>C00513549</t>
        </is>
      </c>
      <c r="C2793" t="inlineStr">
        <is>
          <t>Phillips 66 PAC</t>
        </is>
      </c>
      <c r="D2793" t="inlineStr">
        <is>
          <t>GUTHRIE FOR CONGRESS</t>
        </is>
      </c>
      <c r="E2793" t="inlineStr">
        <is>
          <t>H8KY02031</t>
        </is>
      </c>
      <c r="F2793" t="inlineStr">
        <is>
          <t>REP</t>
        </is>
      </c>
      <c r="G2793" t="inlineStr">
        <is>
          <t>08232024</t>
        </is>
      </c>
      <c r="H2793" t="n">
        <v>2500</v>
      </c>
      <c r="I2793" t="inlineStr">
        <is>
          <t>202409209675572524</t>
        </is>
      </c>
      <c r="J2793" t="inlineStr">
        <is>
          <t>https://docquery.fec.gov/cgi-bin/fecimg/?202409209675572524</t>
        </is>
      </c>
    </row>
    <row r="2794">
      <c r="A2794" t="inlineStr">
        <is>
          <t>2024</t>
        </is>
      </c>
      <c r="B2794" t="inlineStr">
        <is>
          <t>C00513549</t>
        </is>
      </c>
      <c r="C2794" t="inlineStr">
        <is>
          <t>Phillips 66 PAC</t>
        </is>
      </c>
      <c r="D2794" t="inlineStr">
        <is>
          <t>HERN FOR CONGRESS</t>
        </is>
      </c>
      <c r="E2794" t="inlineStr">
        <is>
          <t>H8OK01157</t>
        </is>
      </c>
      <c r="F2794" t="inlineStr">
        <is>
          <t>REP</t>
        </is>
      </c>
      <c r="G2794" t="inlineStr">
        <is>
          <t>08232024</t>
        </is>
      </c>
      <c r="H2794" t="n">
        <v>2500</v>
      </c>
      <c r="I2794" t="inlineStr">
        <is>
          <t>202409209675572525</t>
        </is>
      </c>
      <c r="J2794" t="inlineStr">
        <is>
          <t>https://docquery.fec.gov/cgi-bin/fecimg/?202409209675572525</t>
        </is>
      </c>
    </row>
    <row r="2795">
      <c r="A2795" t="inlineStr">
        <is>
          <t>2024</t>
        </is>
      </c>
      <c r="B2795" t="inlineStr">
        <is>
          <t>C00513549</t>
        </is>
      </c>
      <c r="C2795" t="inlineStr">
        <is>
          <t>Phillips 66 PAC</t>
        </is>
      </c>
      <c r="D2795" t="inlineStr">
        <is>
          <t>HOYER FOR CONGRESS</t>
        </is>
      </c>
      <c r="E2795" t="inlineStr">
        <is>
          <t>H2MD05155</t>
        </is>
      </c>
      <c r="F2795" t="inlineStr">
        <is>
          <t>DEM</t>
        </is>
      </c>
      <c r="G2795" t="inlineStr">
        <is>
          <t>08232024</t>
        </is>
      </c>
      <c r="H2795" t="n">
        <v>2500</v>
      </c>
      <c r="I2795" t="inlineStr">
        <is>
          <t>202409209675572525</t>
        </is>
      </c>
      <c r="J2795" t="inlineStr">
        <is>
          <t>https://docquery.fec.gov/cgi-bin/fecimg/?202409209675572525</t>
        </is>
      </c>
    </row>
    <row r="2796">
      <c r="A2796" t="inlineStr">
        <is>
          <t>2024</t>
        </is>
      </c>
      <c r="B2796" t="inlineStr">
        <is>
          <t>C00513549</t>
        </is>
      </c>
      <c r="C2796" t="inlineStr">
        <is>
          <t>Phillips 66 PAC</t>
        </is>
      </c>
      <c r="D2796" t="inlineStr">
        <is>
          <t>TEXANS FOR RONNY JACKSON</t>
        </is>
      </c>
      <c r="E2796" t="inlineStr">
        <is>
          <t>H0TX13228</t>
        </is>
      </c>
      <c r="F2796" t="inlineStr">
        <is>
          <t>REP</t>
        </is>
      </c>
      <c r="G2796" t="inlineStr">
        <is>
          <t>08232024</t>
        </is>
      </c>
      <c r="H2796" t="n">
        <v>2500</v>
      </c>
      <c r="I2796" t="inlineStr">
        <is>
          <t>202409209675572537</t>
        </is>
      </c>
      <c r="J2796" t="inlineStr">
        <is>
          <t>https://docquery.fec.gov/cgi-bin/fecimg/?202409209675572537</t>
        </is>
      </c>
    </row>
    <row r="2797">
      <c r="A2797" t="inlineStr">
        <is>
          <t>2024</t>
        </is>
      </c>
      <c r="B2797" t="inlineStr">
        <is>
          <t>C00513549</t>
        </is>
      </c>
      <c r="C2797" t="inlineStr">
        <is>
          <t>Phillips 66 PAC</t>
        </is>
      </c>
      <c r="D2797" t="inlineStr">
        <is>
          <t>VALADAO FOR CONGRESS</t>
        </is>
      </c>
      <c r="E2797" t="inlineStr">
        <is>
          <t>H2CA20094</t>
        </is>
      </c>
      <c r="F2797" t="inlineStr">
        <is>
          <t>REP</t>
        </is>
      </c>
      <c r="G2797" t="inlineStr">
        <is>
          <t>08232024</t>
        </is>
      </c>
      <c r="H2797" t="n">
        <v>2500</v>
      </c>
      <c r="I2797" t="inlineStr">
        <is>
          <t>202409209675572537</t>
        </is>
      </c>
      <c r="J2797" t="inlineStr">
        <is>
          <t>https://docquery.fec.gov/cgi-bin/fecimg/?202409209675572537</t>
        </is>
      </c>
    </row>
    <row r="2798">
      <c r="A2798" t="inlineStr">
        <is>
          <t>2024</t>
        </is>
      </c>
      <c r="B2798" t="inlineStr">
        <is>
          <t>C00513549</t>
        </is>
      </c>
      <c r="C2798" t="inlineStr">
        <is>
          <t>Phillips 66 PAC</t>
        </is>
      </c>
      <c r="D2798" t="inlineStr">
        <is>
          <t>VINCE FONG FOR CONGRESS</t>
        </is>
      </c>
      <c r="E2798" t="inlineStr">
        <is>
          <t>H4CA20181</t>
        </is>
      </c>
      <c r="F2798" t="inlineStr">
        <is>
          <t>REP</t>
        </is>
      </c>
      <c r="G2798" t="inlineStr">
        <is>
          <t>08232024</t>
        </is>
      </c>
      <c r="H2798" t="n">
        <v>2500</v>
      </c>
      <c r="I2798" t="inlineStr">
        <is>
          <t>202409209675572538</t>
        </is>
      </c>
      <c r="J2798" t="inlineStr">
        <is>
          <t>https://docquery.fec.gov/cgi-bin/fecimg/?202409209675572538</t>
        </is>
      </c>
    </row>
    <row r="2799">
      <c r="A2799" t="inlineStr">
        <is>
          <t>2024</t>
        </is>
      </c>
      <c r="B2799" t="inlineStr">
        <is>
          <t>C00513549</t>
        </is>
      </c>
      <c r="C2799" t="inlineStr">
        <is>
          <t>Phillips 66 PAC</t>
        </is>
      </c>
      <c r="D2799" t="inlineStr">
        <is>
          <t>LUCAS FOR CONGRESS</t>
        </is>
      </c>
      <c r="E2799" t="inlineStr">
        <is>
          <t>H4OK06056</t>
        </is>
      </c>
      <c r="F2799" t="inlineStr">
        <is>
          <t>REP</t>
        </is>
      </c>
      <c r="G2799" t="inlineStr">
        <is>
          <t>08232024</t>
        </is>
      </c>
      <c r="H2799" t="n">
        <v>1500</v>
      </c>
      <c r="I2799" t="inlineStr">
        <is>
          <t>202409209675572531</t>
        </is>
      </c>
      <c r="J2799" t="inlineStr">
        <is>
          <t>https://docquery.fec.gov/cgi-bin/fecimg/?202409209675572531</t>
        </is>
      </c>
    </row>
    <row r="2800">
      <c r="A2800" t="inlineStr">
        <is>
          <t>2024</t>
        </is>
      </c>
      <c r="B2800" t="inlineStr">
        <is>
          <t>C00513549</t>
        </is>
      </c>
      <c r="C2800" t="inlineStr">
        <is>
          <t>Phillips 66 PAC</t>
        </is>
      </c>
      <c r="D2800" t="inlineStr">
        <is>
          <t>MANN FOR CONGRESS</t>
        </is>
      </c>
      <c r="E2800" t="inlineStr">
        <is>
          <t>H0KS01123</t>
        </is>
      </c>
      <c r="F2800" t="inlineStr">
        <is>
          <t>REP</t>
        </is>
      </c>
      <c r="G2800" t="inlineStr">
        <is>
          <t>08232024</t>
        </is>
      </c>
      <c r="H2800" t="n">
        <v>2500</v>
      </c>
      <c r="I2800" t="inlineStr">
        <is>
          <t>202409209675572531</t>
        </is>
      </c>
      <c r="J2800" t="inlineStr">
        <is>
          <t>https://docquery.fec.gov/cgi-bin/fecimg/?202409209675572531</t>
        </is>
      </c>
    </row>
    <row r="2801">
      <c r="A2801" t="inlineStr">
        <is>
          <t>2024</t>
        </is>
      </c>
      <c r="B2801" t="inlineStr">
        <is>
          <t>C00513549</t>
        </is>
      </c>
      <c r="C2801" t="inlineStr">
        <is>
          <t>Phillips 66 PAC</t>
        </is>
      </c>
      <c r="D2801" t="inlineStr">
        <is>
          <t>MARC FOR US INC.</t>
        </is>
      </c>
      <c r="E2801" t="inlineStr">
        <is>
          <t>H2NY19127</t>
        </is>
      </c>
      <c r="F2801" t="inlineStr">
        <is>
          <t>REP</t>
        </is>
      </c>
      <c r="G2801" t="inlineStr">
        <is>
          <t>08232024</t>
        </is>
      </c>
      <c r="H2801" t="n">
        <v>3500</v>
      </c>
      <c r="I2801" t="inlineStr">
        <is>
          <t>202409209675572531</t>
        </is>
      </c>
      <c r="J2801" t="inlineStr">
        <is>
          <t>https://docquery.fec.gov/cgi-bin/fecimg/?202409209675572531</t>
        </is>
      </c>
    </row>
    <row r="2802">
      <c r="A2802" t="inlineStr">
        <is>
          <t>2024</t>
        </is>
      </c>
      <c r="B2802" t="inlineStr">
        <is>
          <t>C00513549</t>
        </is>
      </c>
      <c r="C2802" t="inlineStr">
        <is>
          <t>Phillips 66 PAC</t>
        </is>
      </c>
      <c r="D2802" t="inlineStr">
        <is>
          <t>MARC VEASEY CONGRESSIONAL CAMPAIGN COMMITTEE</t>
        </is>
      </c>
      <c r="E2802" t="inlineStr">
        <is>
          <t>H2TX33073</t>
        </is>
      </c>
      <c r="F2802" t="inlineStr">
        <is>
          <t>DEM</t>
        </is>
      </c>
      <c r="G2802" t="inlineStr">
        <is>
          <t>08232024</t>
        </is>
      </c>
      <c r="H2802" t="n">
        <v>2500</v>
      </c>
      <c r="I2802" t="inlineStr">
        <is>
          <t>202409209675572532</t>
        </is>
      </c>
      <c r="J2802" t="inlineStr">
        <is>
          <t>https://docquery.fec.gov/cgi-bin/fecimg/?202409209675572532</t>
        </is>
      </c>
    </row>
    <row r="2803">
      <c r="A2803" t="inlineStr">
        <is>
          <t>2024</t>
        </is>
      </c>
      <c r="B2803" t="inlineStr">
        <is>
          <t>C00513549</t>
        </is>
      </c>
      <c r="C2803" t="inlineStr">
        <is>
          <t>Phillips 66 PAC</t>
        </is>
      </c>
      <c r="D2803" t="inlineStr">
        <is>
          <t>MCCAUL FOR CONGRESS INC.</t>
        </is>
      </c>
      <c r="E2803" t="inlineStr">
        <is>
          <t>H4TX10093</t>
        </is>
      </c>
      <c r="F2803" t="inlineStr">
        <is>
          <t>REP</t>
        </is>
      </c>
      <c r="G2803" t="inlineStr">
        <is>
          <t>08232024</t>
        </is>
      </c>
      <c r="H2803" t="n">
        <v>3000</v>
      </c>
      <c r="I2803" t="inlineStr">
        <is>
          <t>202409209675572532</t>
        </is>
      </c>
      <c r="J2803" t="inlineStr">
        <is>
          <t>https://docquery.fec.gov/cgi-bin/fecimg/?202409209675572532</t>
        </is>
      </c>
    </row>
    <row r="2804">
      <c r="A2804" t="inlineStr">
        <is>
          <t>2024</t>
        </is>
      </c>
      <c r="B2804" t="inlineStr">
        <is>
          <t>C00513549</t>
        </is>
      </c>
      <c r="C2804" t="inlineStr">
        <is>
          <t>Phillips 66 PAC</t>
        </is>
      </c>
      <c r="D2804" t="inlineStr">
        <is>
          <t>MIKE GARCIA FOR CONGRESS</t>
        </is>
      </c>
      <c r="E2804" t="inlineStr">
        <is>
          <t>H0CA25105</t>
        </is>
      </c>
      <c r="F2804" t="inlineStr">
        <is>
          <t>REP</t>
        </is>
      </c>
      <c r="G2804" t="inlineStr">
        <is>
          <t>08232024</t>
        </is>
      </c>
      <c r="H2804" t="n">
        <v>2500</v>
      </c>
      <c r="I2804" t="inlineStr">
        <is>
          <t>202409209675572533</t>
        </is>
      </c>
      <c r="J2804" t="inlineStr">
        <is>
          <t>https://docquery.fec.gov/cgi-bin/fecimg/?202409209675572533</t>
        </is>
      </c>
    </row>
    <row r="2805">
      <c r="A2805" t="inlineStr">
        <is>
          <t>2024</t>
        </is>
      </c>
      <c r="B2805" t="inlineStr">
        <is>
          <t>C00513549</t>
        </is>
      </c>
      <c r="C2805" t="inlineStr">
        <is>
          <t>Phillips 66 PAC</t>
        </is>
      </c>
      <c r="D2805" t="inlineStr">
        <is>
          <t>JAY OBERNOLTE FOR CONGRESS</t>
        </is>
      </c>
      <c r="E2805" t="inlineStr">
        <is>
          <t>H0CA08135</t>
        </is>
      </c>
      <c r="F2805" t="inlineStr">
        <is>
          <t>REP</t>
        </is>
      </c>
      <c r="G2805" t="inlineStr">
        <is>
          <t>08232024</t>
        </is>
      </c>
      <c r="H2805" t="n">
        <v>2500</v>
      </c>
      <c r="I2805" t="inlineStr">
        <is>
          <t>202409209675572526</t>
        </is>
      </c>
      <c r="J2805" t="inlineStr">
        <is>
          <t>https://docquery.fec.gov/cgi-bin/fecimg/?202409209675572526</t>
        </is>
      </c>
    </row>
    <row r="2806">
      <c r="A2806" t="inlineStr">
        <is>
          <t>2024</t>
        </is>
      </c>
      <c r="B2806" t="inlineStr">
        <is>
          <t>C00513549</t>
        </is>
      </c>
      <c r="C2806" t="inlineStr">
        <is>
          <t>Phillips 66 PAC</t>
        </is>
      </c>
      <c r="D2806" t="inlineStr">
        <is>
          <t>JEFF CRANK FOR CONGRESS</t>
        </is>
      </c>
      <c r="E2806" t="inlineStr">
        <is>
          <t>H6CO05142</t>
        </is>
      </c>
      <c r="F2806" t="inlineStr">
        <is>
          <t>REP</t>
        </is>
      </c>
      <c r="G2806" t="inlineStr">
        <is>
          <t>08232024</t>
        </is>
      </c>
      <c r="H2806" t="n">
        <v>2500</v>
      </c>
      <c r="I2806" t="inlineStr">
        <is>
          <t>202409209675572526</t>
        </is>
      </c>
      <c r="J2806" t="inlineStr">
        <is>
          <t>https://docquery.fec.gov/cgi-bin/fecimg/?202409209675572526</t>
        </is>
      </c>
    </row>
    <row r="2807">
      <c r="A2807" t="inlineStr">
        <is>
          <t>2024</t>
        </is>
      </c>
      <c r="B2807" t="inlineStr">
        <is>
          <t>C00513549</t>
        </is>
      </c>
      <c r="C2807" t="inlineStr">
        <is>
          <t>Phillips 66 PAC</t>
        </is>
      </c>
      <c r="D2807" t="inlineStr">
        <is>
          <t>JEFF HURD FOR COLORADO</t>
        </is>
      </c>
      <c r="E2807" t="inlineStr">
        <is>
          <t>H4CO03357</t>
        </is>
      </c>
      <c r="F2807" t="inlineStr">
        <is>
          <t>REP</t>
        </is>
      </c>
      <c r="G2807" t="inlineStr">
        <is>
          <t>08232024</t>
        </is>
      </c>
      <c r="H2807" t="n">
        <v>2500</v>
      </c>
      <c r="I2807" t="inlineStr">
        <is>
          <t>202409209675572526</t>
        </is>
      </c>
      <c r="J2807" t="inlineStr">
        <is>
          <t>https://docquery.fec.gov/cgi-bin/fecimg/?202409209675572526</t>
        </is>
      </c>
    </row>
    <row r="2808">
      <c r="A2808" t="inlineStr">
        <is>
          <t>2024</t>
        </is>
      </c>
      <c r="B2808" t="inlineStr">
        <is>
          <t>C00513549</t>
        </is>
      </c>
      <c r="C2808" t="inlineStr">
        <is>
          <t>Phillips 66 PAC</t>
        </is>
      </c>
      <c r="D2808" t="inlineStr">
        <is>
          <t>JIM JUSTICE FOR U.S. SENATE</t>
        </is>
      </c>
      <c r="E2808" t="inlineStr">
        <is>
          <t>S4WV00332</t>
        </is>
      </c>
      <c r="F2808" t="inlineStr">
        <is>
          <t>REP</t>
        </is>
      </c>
      <c r="G2808" t="inlineStr">
        <is>
          <t>08232024</t>
        </is>
      </c>
      <c r="H2808" t="n">
        <v>2500</v>
      </c>
      <c r="I2808" t="inlineStr">
        <is>
          <t>202409209675572527</t>
        </is>
      </c>
      <c r="J2808" t="inlineStr">
        <is>
          <t>https://docquery.fec.gov/cgi-bin/fecimg/?202409209675572527</t>
        </is>
      </c>
    </row>
    <row r="2809">
      <c r="A2809" t="inlineStr">
        <is>
          <t>2024</t>
        </is>
      </c>
      <c r="B2809" t="inlineStr">
        <is>
          <t>C00513549</t>
        </is>
      </c>
      <c r="C2809" t="inlineStr">
        <is>
          <t>Phillips 66 PAC</t>
        </is>
      </c>
      <c r="D2809" t="inlineStr">
        <is>
          <t>JOHN DUARTE FOR CONGRESS</t>
        </is>
      </c>
      <c r="E2809" t="inlineStr">
        <is>
          <t>H2CA13131</t>
        </is>
      </c>
      <c r="F2809" t="inlineStr">
        <is>
          <t>REP</t>
        </is>
      </c>
      <c r="G2809" t="inlineStr">
        <is>
          <t>08232024</t>
        </is>
      </c>
      <c r="H2809" t="n">
        <v>3500</v>
      </c>
      <c r="I2809" t="inlineStr">
        <is>
          <t>202409209675572527</t>
        </is>
      </c>
      <c r="J2809" t="inlineStr">
        <is>
          <t>https://docquery.fec.gov/cgi-bin/fecimg/?202409209675572527</t>
        </is>
      </c>
    </row>
    <row r="2810">
      <c r="A2810" t="inlineStr">
        <is>
          <t>2024</t>
        </is>
      </c>
      <c r="B2810" t="inlineStr">
        <is>
          <t>C00513549</t>
        </is>
      </c>
      <c r="C2810" t="inlineStr">
        <is>
          <t>Phillips 66 PAC</t>
        </is>
      </c>
      <c r="D2810" t="inlineStr">
        <is>
          <t>JOHN JAMES FOR CONGRESS, INC.</t>
        </is>
      </c>
      <c r="E2810" t="inlineStr">
        <is>
          <t>H2MI10150</t>
        </is>
      </c>
      <c r="F2810" t="inlineStr">
        <is>
          <t>REP</t>
        </is>
      </c>
      <c r="G2810" t="inlineStr">
        <is>
          <t>08232024</t>
        </is>
      </c>
      <c r="H2810" t="n">
        <v>5000</v>
      </c>
      <c r="I2810" t="inlineStr">
        <is>
          <t>202409209675572528</t>
        </is>
      </c>
      <c r="J2810" t="inlineStr">
        <is>
          <t>https://docquery.fec.gov/cgi-bin/fecimg/?202409209675572528</t>
        </is>
      </c>
    </row>
    <row r="2811">
      <c r="A2811" t="inlineStr">
        <is>
          <t>2024</t>
        </is>
      </c>
      <c r="B2811" t="inlineStr">
        <is>
          <t>C00513549</t>
        </is>
      </c>
      <c r="C2811" t="inlineStr">
        <is>
          <t>Phillips 66 PAC</t>
        </is>
      </c>
      <c r="D2811" t="inlineStr">
        <is>
          <t>JOSH GOTTHEIMER FOR CONGRESS</t>
        </is>
      </c>
      <c r="E2811" t="inlineStr">
        <is>
          <t>H6NJ05171</t>
        </is>
      </c>
      <c r="F2811" t="inlineStr">
        <is>
          <t>DEM</t>
        </is>
      </c>
      <c r="G2811" t="inlineStr">
        <is>
          <t>08232024</t>
        </is>
      </c>
      <c r="H2811" t="n">
        <v>2500</v>
      </c>
      <c r="I2811" t="inlineStr">
        <is>
          <t>202409209675572528</t>
        </is>
      </c>
      <c r="J2811" t="inlineStr">
        <is>
          <t>https://docquery.fec.gov/cgi-bin/fecimg/?202409209675572528</t>
        </is>
      </c>
    </row>
    <row r="2812">
      <c r="A2812" t="inlineStr">
        <is>
          <t>2024</t>
        </is>
      </c>
      <c r="B2812" t="inlineStr">
        <is>
          <t>C00513549</t>
        </is>
      </c>
      <c r="C2812" t="inlineStr">
        <is>
          <t>Phillips 66 PAC</t>
        </is>
      </c>
      <c r="D2812" t="inlineStr">
        <is>
          <t>KEVIN KILEY FOR CONGRESS</t>
        </is>
      </c>
      <c r="E2812" t="inlineStr">
        <is>
          <t>H2CA03157</t>
        </is>
      </c>
      <c r="F2812" t="inlineStr">
        <is>
          <t>REP</t>
        </is>
      </c>
      <c r="G2812" t="inlineStr">
        <is>
          <t>08232024</t>
        </is>
      </c>
      <c r="H2812" t="n">
        <v>2500</v>
      </c>
      <c r="I2812" t="inlineStr">
        <is>
          <t>202409209675572529</t>
        </is>
      </c>
      <c r="J2812" t="inlineStr">
        <is>
          <t>https://docquery.fec.gov/cgi-bin/fecimg/?202409209675572529</t>
        </is>
      </c>
    </row>
    <row r="2813">
      <c r="A2813" t="inlineStr">
        <is>
          <t>2024</t>
        </is>
      </c>
      <c r="B2813" t="inlineStr">
        <is>
          <t>C00513549</t>
        </is>
      </c>
      <c r="C2813" t="inlineStr">
        <is>
          <t>Phillips 66 PAC</t>
        </is>
      </c>
      <c r="D2813" t="inlineStr">
        <is>
          <t>LALOTA FOR CONGRESS</t>
        </is>
      </c>
      <c r="E2813" t="inlineStr">
        <is>
          <t>H2NY01190</t>
        </is>
      </c>
      <c r="F2813" t="inlineStr">
        <is>
          <t>REP</t>
        </is>
      </c>
      <c r="G2813" t="inlineStr">
        <is>
          <t>08232024</t>
        </is>
      </c>
      <c r="H2813" t="n">
        <v>2500</v>
      </c>
      <c r="I2813" t="inlineStr">
        <is>
          <t>202409209675572529</t>
        </is>
      </c>
      <c r="J2813" t="inlineStr">
        <is>
          <t>https://docquery.fec.gov/cgi-bin/fecimg/?202409209675572529</t>
        </is>
      </c>
    </row>
    <row r="2814">
      <c r="A2814" t="inlineStr">
        <is>
          <t>2024</t>
        </is>
      </c>
      <c r="B2814" t="inlineStr">
        <is>
          <t>C00513549</t>
        </is>
      </c>
      <c r="C2814" t="inlineStr">
        <is>
          <t>Phillips 66 PAC</t>
        </is>
      </c>
      <c r="D2814" t="inlineStr">
        <is>
          <t>LAWLER FOR CONGRESS</t>
        </is>
      </c>
      <c r="E2814" t="inlineStr">
        <is>
          <t>H2NY17162</t>
        </is>
      </c>
      <c r="F2814" t="inlineStr">
        <is>
          <t>REP</t>
        </is>
      </c>
      <c r="G2814" t="inlineStr">
        <is>
          <t>08232024</t>
        </is>
      </c>
      <c r="H2814" t="n">
        <v>2500</v>
      </c>
      <c r="I2814" t="inlineStr">
        <is>
          <t>202409209675572530</t>
        </is>
      </c>
      <c r="J2814" t="inlineStr">
        <is>
          <t>https://docquery.fec.gov/cgi-bin/fecimg/?202409209675572530</t>
        </is>
      </c>
    </row>
    <row r="2815">
      <c r="A2815" t="inlineStr">
        <is>
          <t>2024</t>
        </is>
      </c>
      <c r="B2815" t="inlineStr">
        <is>
          <t>C00513549</t>
        </is>
      </c>
      <c r="C2815" t="inlineStr">
        <is>
          <t>Phillips 66 PAC</t>
        </is>
      </c>
      <c r="D2815" t="inlineStr">
        <is>
          <t>WEBER FOR CONGRESS</t>
        </is>
      </c>
      <c r="E2815" t="inlineStr">
        <is>
          <t>H2TX14149</t>
        </is>
      </c>
      <c r="F2815" t="inlineStr">
        <is>
          <t>REP</t>
        </is>
      </c>
      <c r="G2815" t="inlineStr">
        <is>
          <t>08232024</t>
        </is>
      </c>
      <c r="H2815" t="n">
        <v>1500</v>
      </c>
      <c r="I2815" t="inlineStr">
        <is>
          <t>202409209675572538</t>
        </is>
      </c>
      <c r="J2815" t="inlineStr">
        <is>
          <t>https://docquery.fec.gov/cgi-bin/fecimg/?202409209675572538</t>
        </is>
      </c>
    </row>
    <row r="2816">
      <c r="A2816" t="inlineStr">
        <is>
          <t>2024</t>
        </is>
      </c>
      <c r="B2816" t="inlineStr">
        <is>
          <t>C00513549</t>
        </is>
      </c>
      <c r="C2816" t="inlineStr">
        <is>
          <t>Phillips 66 PAC</t>
        </is>
      </c>
      <c r="D2816" t="inlineStr">
        <is>
          <t>NEVADANS FOR STEVEN HORSFORD</t>
        </is>
      </c>
      <c r="E2816" t="inlineStr">
        <is>
          <t>H2NV04011</t>
        </is>
      </c>
      <c r="F2816" t="inlineStr">
        <is>
          <t>DEM</t>
        </is>
      </c>
      <c r="G2816" t="inlineStr">
        <is>
          <t>08232024</t>
        </is>
      </c>
      <c r="H2816" t="n">
        <v>4000</v>
      </c>
      <c r="I2816" t="inlineStr">
        <is>
          <t>202409209675572533</t>
        </is>
      </c>
      <c r="J2816" t="inlineStr">
        <is>
          <t>https://docquery.fec.gov/cgi-bin/fecimg/?202409209675572533</t>
        </is>
      </c>
    </row>
    <row r="2817">
      <c r="A2817" t="inlineStr">
        <is>
          <t>2024</t>
        </is>
      </c>
      <c r="B2817" t="inlineStr">
        <is>
          <t>C00513549</t>
        </is>
      </c>
      <c r="C2817" t="inlineStr">
        <is>
          <t>Phillips 66 PAC</t>
        </is>
      </c>
      <c r="D2817" t="inlineStr">
        <is>
          <t>RICHARD E. NEAL FOR CONGRESS COMMITTEE</t>
        </is>
      </c>
      <c r="E2817" t="inlineStr">
        <is>
          <t>H8MA02041</t>
        </is>
      </c>
      <c r="F2817" t="inlineStr">
        <is>
          <t>DEM</t>
        </is>
      </c>
      <c r="G2817" t="inlineStr">
        <is>
          <t>08232024</t>
        </is>
      </c>
      <c r="H2817" t="n">
        <v>2500</v>
      </c>
      <c r="I2817" t="inlineStr">
        <is>
          <t>202409209675572534</t>
        </is>
      </c>
      <c r="J2817" t="inlineStr">
        <is>
          <t>https://docquery.fec.gov/cgi-bin/fecimg/?202409209675572534</t>
        </is>
      </c>
    </row>
    <row r="2818">
      <c r="A2818" t="inlineStr">
        <is>
          <t>2024</t>
        </is>
      </c>
      <c r="B2818" t="inlineStr">
        <is>
          <t>C00513549</t>
        </is>
      </c>
      <c r="C2818" t="inlineStr">
        <is>
          <t>Phillips 66 PAC</t>
        </is>
      </c>
      <c r="D2818" t="inlineStr">
        <is>
          <t>SAM BROWN FOR NEVADA</t>
        </is>
      </c>
      <c r="E2818" t="inlineStr">
        <is>
          <t>S2NV00308</t>
        </is>
      </c>
      <c r="F2818" t="inlineStr">
        <is>
          <t>REP</t>
        </is>
      </c>
      <c r="G2818" t="inlineStr">
        <is>
          <t>08232024</t>
        </is>
      </c>
      <c r="H2818" t="n">
        <v>5000</v>
      </c>
      <c r="I2818" t="inlineStr">
        <is>
          <t>202409209675572535</t>
        </is>
      </c>
      <c r="J2818" t="inlineStr">
        <is>
          <t>https://docquery.fec.gov/cgi-bin/fecimg/?202409209675572535</t>
        </is>
      </c>
    </row>
    <row r="2819">
      <c r="A2819" t="inlineStr">
        <is>
          <t>2024</t>
        </is>
      </c>
      <c r="B2819" t="inlineStr">
        <is>
          <t>C00513549</t>
        </is>
      </c>
      <c r="C2819" t="inlineStr">
        <is>
          <t>Phillips 66 PAC</t>
        </is>
      </c>
      <c r="D2819" t="inlineStr">
        <is>
          <t>SANFORD BISHOP FOR CONGRESS</t>
        </is>
      </c>
      <c r="E2819" t="inlineStr">
        <is>
          <t>H2GA02031</t>
        </is>
      </c>
      <c r="F2819" t="inlineStr">
        <is>
          <t>DEM</t>
        </is>
      </c>
      <c r="G2819" t="inlineStr">
        <is>
          <t>08232024</t>
        </is>
      </c>
      <c r="H2819" t="n">
        <v>4000</v>
      </c>
      <c r="I2819" t="inlineStr">
        <is>
          <t>202409209675572535</t>
        </is>
      </c>
      <c r="J2819" t="inlineStr">
        <is>
          <t>https://docquery.fec.gov/cgi-bin/fecimg/?202409209675572535</t>
        </is>
      </c>
    </row>
    <row r="2820">
      <c r="A2820" t="inlineStr">
        <is>
          <t>2024</t>
        </is>
      </c>
      <c r="B2820" t="inlineStr">
        <is>
          <t>C00513549</t>
        </is>
      </c>
      <c r="C2820" t="inlineStr">
        <is>
          <t>Phillips 66 PAC</t>
        </is>
      </c>
      <c r="D2820" t="inlineStr">
        <is>
          <t>SCHNEIDER FOR CONGRESS</t>
        </is>
      </c>
      <c r="E2820" t="inlineStr">
        <is>
          <t>H2IL10068</t>
        </is>
      </c>
      <c r="F2820" t="inlineStr">
        <is>
          <t>DEM</t>
        </is>
      </c>
      <c r="G2820" t="inlineStr">
        <is>
          <t>08232024</t>
        </is>
      </c>
      <c r="H2820" t="n">
        <v>2500</v>
      </c>
      <c r="I2820" t="inlineStr">
        <is>
          <t>202409209675572535</t>
        </is>
      </c>
      <c r="J2820" t="inlineStr">
        <is>
          <t>https://docquery.fec.gov/cgi-bin/fecimg/?202409209675572535</t>
        </is>
      </c>
    </row>
    <row r="2821">
      <c r="A2821" t="inlineStr">
        <is>
          <t>2024</t>
        </is>
      </c>
      <c r="B2821" t="inlineStr">
        <is>
          <t>C00513549</t>
        </is>
      </c>
      <c r="C2821" t="inlineStr">
        <is>
          <t>Phillips 66 PAC</t>
        </is>
      </c>
      <c r="D2821" t="inlineStr">
        <is>
          <t>ANGUS KING FOR US SENATE CAMPAIGN</t>
        </is>
      </c>
      <c r="E2821" t="inlineStr">
        <is>
          <t>S2ME00109</t>
        </is>
      </c>
      <c r="F2821" t="inlineStr">
        <is>
          <t>IND</t>
        </is>
      </c>
      <c r="G2821" t="inlineStr">
        <is>
          <t>08232024</t>
        </is>
      </c>
      <c r="H2821" t="n">
        <v>5000</v>
      </c>
      <c r="I2821" t="inlineStr">
        <is>
          <t>202409209675572517</t>
        </is>
      </c>
      <c r="J2821" t="inlineStr">
        <is>
          <t>https://docquery.fec.gov/cgi-bin/fecimg/?202409209675572517</t>
        </is>
      </c>
    </row>
    <row r="2822">
      <c r="A2822" t="inlineStr">
        <is>
          <t>2024</t>
        </is>
      </c>
      <c r="B2822" t="inlineStr">
        <is>
          <t>C00513549</t>
        </is>
      </c>
      <c r="C2822" t="inlineStr">
        <is>
          <t>Phillips 66 PAC</t>
        </is>
      </c>
      <c r="D2822" t="inlineStr">
        <is>
          <t>BERNIE MORENO FOR SENATE</t>
        </is>
      </c>
      <c r="E2822" t="inlineStr">
        <is>
          <t>S4OH00192</t>
        </is>
      </c>
      <c r="F2822" t="inlineStr">
        <is>
          <t>REP</t>
        </is>
      </c>
      <c r="G2822" t="inlineStr">
        <is>
          <t>08232024</t>
        </is>
      </c>
      <c r="H2822" t="n">
        <v>5000</v>
      </c>
      <c r="I2822" t="inlineStr">
        <is>
          <t>202409209675572517</t>
        </is>
      </c>
      <c r="J2822" t="inlineStr">
        <is>
          <t>https://docquery.fec.gov/cgi-bin/fecimg/?202409209675572517</t>
        </is>
      </c>
    </row>
    <row r="2823">
      <c r="A2823" t="inlineStr">
        <is>
          <t>2024</t>
        </is>
      </c>
      <c r="B2823" t="inlineStr">
        <is>
          <t>C00513549</t>
        </is>
      </c>
      <c r="C2823" t="inlineStr">
        <is>
          <t>Phillips 66 PAC</t>
        </is>
      </c>
      <c r="D2823" t="inlineStr">
        <is>
          <t>BETH VAN DUYNE FOR CONGRESS</t>
        </is>
      </c>
      <c r="E2823" t="inlineStr">
        <is>
          <t>H0TX24209</t>
        </is>
      </c>
      <c r="F2823" t="inlineStr">
        <is>
          <t>REP</t>
        </is>
      </c>
      <c r="G2823" t="inlineStr">
        <is>
          <t>08232024</t>
        </is>
      </c>
      <c r="H2823" t="n">
        <v>1000</v>
      </c>
      <c r="I2823" t="inlineStr">
        <is>
          <t>202409209675572517</t>
        </is>
      </c>
      <c r="J2823" t="inlineStr">
        <is>
          <t>https://docquery.fec.gov/cgi-bin/fecimg/?202409209675572517</t>
        </is>
      </c>
    </row>
    <row r="2824">
      <c r="A2824" t="inlineStr">
        <is>
          <t>2024</t>
        </is>
      </c>
      <c r="B2824" t="inlineStr">
        <is>
          <t>C00513549</t>
        </is>
      </c>
      <c r="C2824" t="inlineStr">
        <is>
          <t>Phillips 66 PAC</t>
        </is>
      </c>
      <c r="D2824" t="inlineStr">
        <is>
          <t>BICE FOR CONGRESS</t>
        </is>
      </c>
      <c r="E2824" t="inlineStr">
        <is>
          <t>H0OK05205</t>
        </is>
      </c>
      <c r="F2824" t="inlineStr">
        <is>
          <t>REP</t>
        </is>
      </c>
      <c r="G2824" t="inlineStr">
        <is>
          <t>08232024</t>
        </is>
      </c>
      <c r="H2824" t="n">
        <v>2500</v>
      </c>
      <c r="I2824" t="inlineStr">
        <is>
          <t>202409209675572518</t>
        </is>
      </c>
      <c r="J2824" t="inlineStr">
        <is>
          <t>https://docquery.fec.gov/cgi-bin/fecimg/?202409209675572518</t>
        </is>
      </c>
    </row>
    <row r="2825">
      <c r="A2825" t="inlineStr">
        <is>
          <t>2024</t>
        </is>
      </c>
      <c r="B2825" t="inlineStr">
        <is>
          <t>C00513549</t>
        </is>
      </c>
      <c r="C2825" t="inlineStr">
        <is>
          <t>Phillips 66 PAC</t>
        </is>
      </c>
      <c r="D2825" t="inlineStr">
        <is>
          <t>BRANDON FOR CONGRESS NY22</t>
        </is>
      </c>
      <c r="E2825" t="inlineStr">
        <is>
          <t>H2NY22212</t>
        </is>
      </c>
      <c r="F2825" t="inlineStr">
        <is>
          <t>REP</t>
        </is>
      </c>
      <c r="G2825" t="inlineStr">
        <is>
          <t>08232024</t>
        </is>
      </c>
      <c r="H2825" t="n">
        <v>3500</v>
      </c>
      <c r="I2825" t="inlineStr">
        <is>
          <t>202409209675572518</t>
        </is>
      </c>
      <c r="J2825" t="inlineStr">
        <is>
          <t>https://docquery.fec.gov/cgi-bin/fecimg/?202409209675572518</t>
        </is>
      </c>
    </row>
    <row r="2826">
      <c r="A2826" t="inlineStr">
        <is>
          <t>2024</t>
        </is>
      </c>
      <c r="B2826" t="inlineStr">
        <is>
          <t>C00513549</t>
        </is>
      </c>
      <c r="C2826" t="inlineStr">
        <is>
          <t>Phillips 66 PAC</t>
        </is>
      </c>
      <c r="D2826" t="inlineStr">
        <is>
          <t>CAREY FOR CONGRESS</t>
        </is>
      </c>
      <c r="E2826" t="inlineStr">
        <is>
          <t>H2OH15228</t>
        </is>
      </c>
      <c r="F2826" t="inlineStr">
        <is>
          <t>REP</t>
        </is>
      </c>
      <c r="G2826" t="inlineStr">
        <is>
          <t>08232024</t>
        </is>
      </c>
      <c r="H2826" t="n">
        <v>2500</v>
      </c>
      <c r="I2826" t="inlineStr">
        <is>
          <t>202409209675572518</t>
        </is>
      </c>
      <c r="J2826" t="inlineStr">
        <is>
          <t>https://docquery.fec.gov/cgi-bin/fecimg/?202409209675572518</t>
        </is>
      </c>
    </row>
    <row r="2827">
      <c r="A2827" t="inlineStr">
        <is>
          <t>2024</t>
        </is>
      </c>
      <c r="B2827" t="inlineStr">
        <is>
          <t>C00513549</t>
        </is>
      </c>
      <c r="C2827" t="inlineStr">
        <is>
          <t>Phillips 66 PAC</t>
        </is>
      </c>
      <c r="D2827" t="inlineStr">
        <is>
          <t>CISCOMANI FOR CONGRESS</t>
        </is>
      </c>
      <c r="E2827" t="inlineStr">
        <is>
          <t>H2AZ02360</t>
        </is>
      </c>
      <c r="F2827" t="inlineStr">
        <is>
          <t>REP</t>
        </is>
      </c>
      <c r="G2827" t="inlineStr">
        <is>
          <t>08232024</t>
        </is>
      </c>
      <c r="H2827" t="n">
        <v>2500</v>
      </c>
      <c r="I2827" t="inlineStr">
        <is>
          <t>202409209675572519</t>
        </is>
      </c>
      <c r="J2827" t="inlineStr">
        <is>
          <t>https://docquery.fec.gov/cgi-bin/fecimg/?202409209675572519</t>
        </is>
      </c>
    </row>
    <row r="2828">
      <c r="A2828" t="inlineStr">
        <is>
          <t>2024</t>
        </is>
      </c>
      <c r="B2828" t="inlineStr">
        <is>
          <t>C00513549</t>
        </is>
      </c>
      <c r="C2828" t="inlineStr">
        <is>
          <t>Phillips 66 PAC</t>
        </is>
      </c>
      <c r="D2828" t="inlineStr">
        <is>
          <t>CITIZENS TO ELECT RICK LARSEN</t>
        </is>
      </c>
      <c r="E2828" t="inlineStr">
        <is>
          <t>H0WA02080</t>
        </is>
      </c>
      <c r="F2828" t="inlineStr">
        <is>
          <t>DEM</t>
        </is>
      </c>
      <c r="G2828" t="inlineStr">
        <is>
          <t>08232024</t>
        </is>
      </c>
      <c r="H2828" t="n">
        <v>2500</v>
      </c>
      <c r="I2828" t="inlineStr">
        <is>
          <t>202409209675572519</t>
        </is>
      </c>
      <c r="J2828" t="inlineStr">
        <is>
          <t>https://docquery.fec.gov/cgi-bin/fecimg/?202409209675572519</t>
        </is>
      </c>
    </row>
    <row r="2829">
      <c r="A2829" t="inlineStr">
        <is>
          <t>2024</t>
        </is>
      </c>
      <c r="B2829" t="inlineStr">
        <is>
          <t>C00513549</t>
        </is>
      </c>
      <c r="C2829" t="inlineStr">
        <is>
          <t>Phillips 66 PAC</t>
        </is>
      </c>
      <c r="D2829" t="inlineStr">
        <is>
          <t>DAVID ROUZER FOR CONGRESS</t>
        </is>
      </c>
      <c r="E2829" t="inlineStr">
        <is>
          <t>H2NC07096</t>
        </is>
      </c>
      <c r="F2829" t="inlineStr">
        <is>
          <t>REP</t>
        </is>
      </c>
      <c r="G2829" t="inlineStr">
        <is>
          <t>08232024</t>
        </is>
      </c>
      <c r="H2829" t="n">
        <v>2500</v>
      </c>
      <c r="I2829" t="inlineStr">
        <is>
          <t>202409209675572520</t>
        </is>
      </c>
      <c r="J2829" t="inlineStr">
        <is>
          <t>https://docquery.fec.gov/cgi-bin/fecimg/?202409209675572520</t>
        </is>
      </c>
    </row>
    <row r="2830">
      <c r="A2830" t="inlineStr">
        <is>
          <t>2024</t>
        </is>
      </c>
      <c r="B2830" t="inlineStr">
        <is>
          <t>C00513549</t>
        </is>
      </c>
      <c r="C2830" t="inlineStr">
        <is>
          <t>Phillips 66 PAC</t>
        </is>
      </c>
      <c r="D2830" t="inlineStr">
        <is>
          <t>DESPOSITO FOR NEW YORK</t>
        </is>
      </c>
      <c r="E2830" t="inlineStr">
        <is>
          <t>H2NY04277</t>
        </is>
      </c>
      <c r="F2830" t="inlineStr">
        <is>
          <t>REP</t>
        </is>
      </c>
      <c r="G2830" t="inlineStr">
        <is>
          <t>08232024</t>
        </is>
      </c>
      <c r="H2830" t="n">
        <v>3500</v>
      </c>
      <c r="I2830" t="inlineStr">
        <is>
          <t>202409209675572521</t>
        </is>
      </c>
      <c r="J2830" t="inlineStr">
        <is>
          <t>https://docquery.fec.gov/cgi-bin/fecimg/?202409209675572521</t>
        </is>
      </c>
    </row>
    <row r="2831">
      <c r="A2831" t="inlineStr">
        <is>
          <t>2024</t>
        </is>
      </c>
      <c r="B2831" t="inlineStr">
        <is>
          <t>C00513549</t>
        </is>
      </c>
      <c r="C2831" t="inlineStr">
        <is>
          <t>Phillips 66 PAC</t>
        </is>
      </c>
      <c r="D2831" t="inlineStr">
        <is>
          <t>DON DAVIS FOR NC</t>
        </is>
      </c>
      <c r="E2831" t="inlineStr">
        <is>
          <t>H2NC02287</t>
        </is>
      </c>
      <c r="F2831" t="inlineStr">
        <is>
          <t>DEM</t>
        </is>
      </c>
      <c r="G2831" t="inlineStr">
        <is>
          <t>08232024</t>
        </is>
      </c>
      <c r="H2831" t="n">
        <v>3500</v>
      </c>
      <c r="I2831" t="inlineStr">
        <is>
          <t>202409209675572521</t>
        </is>
      </c>
      <c r="J2831" t="inlineStr">
        <is>
          <t>https://docquery.fec.gov/cgi-bin/fecimg/?202409209675572521</t>
        </is>
      </c>
    </row>
    <row r="2832">
      <c r="A2832" t="inlineStr">
        <is>
          <t>2024</t>
        </is>
      </c>
      <c r="B2832" t="inlineStr">
        <is>
          <t>C00513549</t>
        </is>
      </c>
      <c r="C2832" t="inlineStr">
        <is>
          <t>Phillips 66 PAC</t>
        </is>
      </c>
      <c r="D2832" t="inlineStr">
        <is>
          <t>ELECTGABEEVANS.COM</t>
        </is>
      </c>
      <c r="E2832" t="inlineStr">
        <is>
          <t>H4CO08034</t>
        </is>
      </c>
      <c r="F2832" t="inlineStr">
        <is>
          <t>REP</t>
        </is>
      </c>
      <c r="G2832" t="inlineStr">
        <is>
          <t>08232024</t>
        </is>
      </c>
      <c r="H2832" t="n">
        <v>2500</v>
      </c>
      <c r="I2832" t="inlineStr">
        <is>
          <t>202409209675572522</t>
        </is>
      </c>
      <c r="J2832" t="inlineStr">
        <is>
          <t>https://docquery.fec.gov/cgi-bin/fecimg/?202409209675572522</t>
        </is>
      </c>
    </row>
    <row r="2833">
      <c r="A2833" t="inlineStr">
        <is>
          <t>2024</t>
        </is>
      </c>
      <c r="B2833" t="inlineStr">
        <is>
          <t>C00513549</t>
        </is>
      </c>
      <c r="C2833" t="inlineStr">
        <is>
          <t>Phillips 66 PAC</t>
        </is>
      </c>
      <c r="D2833" t="inlineStr">
        <is>
          <t>EVAN LOW FOR CONGRESS</t>
        </is>
      </c>
      <c r="E2833" t="inlineStr">
        <is>
          <t>H4CA16239</t>
        </is>
      </c>
      <c r="F2833" t="inlineStr">
        <is>
          <t>DEM</t>
        </is>
      </c>
      <c r="G2833" t="inlineStr">
        <is>
          <t>08232024</t>
        </is>
      </c>
      <c r="H2833" t="n">
        <v>2500</v>
      </c>
      <c r="I2833" t="inlineStr">
        <is>
          <t>202409209675572522</t>
        </is>
      </c>
      <c r="J2833" t="inlineStr">
        <is>
          <t>https://docquery.fec.gov/cgi-bin/fecimg/?202409209675572522</t>
        </is>
      </c>
    </row>
    <row r="2834">
      <c r="A2834" t="inlineStr">
        <is>
          <t>2024</t>
        </is>
      </c>
      <c r="B2834" t="inlineStr">
        <is>
          <t>C00513549</t>
        </is>
      </c>
      <c r="C2834" t="inlineStr">
        <is>
          <t>Phillips 66 PAC</t>
        </is>
      </c>
      <c r="D2834" t="inlineStr">
        <is>
          <t>CAPTAIN HIGGINS FOR CONGRESS</t>
        </is>
      </c>
      <c r="E2834" t="inlineStr">
        <is>
          <t>H6LA03148</t>
        </is>
      </c>
      <c r="F2834" t="inlineStr">
        <is>
          <t>REP</t>
        </is>
      </c>
      <c r="G2834" t="inlineStr">
        <is>
          <t>09012023</t>
        </is>
      </c>
      <c r="H2834" t="n">
        <v>2500</v>
      </c>
      <c r="I2834" t="inlineStr">
        <is>
          <t>202310179598473992</t>
        </is>
      </c>
      <c r="J2834" t="inlineStr">
        <is>
          <t>https://docquery.fec.gov/cgi-bin/fecimg/?202310179598473992</t>
        </is>
      </c>
    </row>
    <row r="2835">
      <c r="A2835" t="inlineStr">
        <is>
          <t>2024</t>
        </is>
      </c>
      <c r="B2835" t="inlineStr">
        <is>
          <t>C00513549</t>
        </is>
      </c>
      <c r="C2835" t="inlineStr">
        <is>
          <t>Phillips 66 PAC</t>
        </is>
      </c>
      <c r="D2835" t="inlineStr">
        <is>
          <t>CAREY FOR CONGRESS</t>
        </is>
      </c>
      <c r="E2835" t="inlineStr">
        <is>
          <t>H2OH15228</t>
        </is>
      </c>
      <c r="F2835" t="inlineStr">
        <is>
          <t>REP</t>
        </is>
      </c>
      <c r="G2835" t="inlineStr">
        <is>
          <t>09012023</t>
        </is>
      </c>
      <c r="H2835" t="n">
        <v>2500</v>
      </c>
      <c r="I2835" t="inlineStr">
        <is>
          <t>202310179598473992</t>
        </is>
      </c>
      <c r="J2835" t="inlineStr">
        <is>
          <t>https://docquery.fec.gov/cgi-bin/fecimg/?202310179598473992</t>
        </is>
      </c>
    </row>
    <row r="2836">
      <c r="A2836" t="inlineStr">
        <is>
          <t>2024</t>
        </is>
      </c>
      <c r="B2836" t="inlineStr">
        <is>
          <t>C00513549</t>
        </is>
      </c>
      <c r="C2836" t="inlineStr">
        <is>
          <t>Phillips 66 PAC</t>
        </is>
      </c>
      <c r="D2836" t="inlineStr">
        <is>
          <t>DONALD M PAYNE JR FOR CONGRESS</t>
        </is>
      </c>
      <c r="E2836" t="inlineStr">
        <is>
          <t>H2NJ10154</t>
        </is>
      </c>
      <c r="F2836" t="inlineStr">
        <is>
          <t>DEM</t>
        </is>
      </c>
      <c r="G2836" t="inlineStr">
        <is>
          <t>09012023</t>
        </is>
      </c>
      <c r="H2836" t="n">
        <v>2500</v>
      </c>
      <c r="I2836" t="inlineStr">
        <is>
          <t>202310179598473993</t>
        </is>
      </c>
      <c r="J2836" t="inlineStr">
        <is>
          <t>https://docquery.fec.gov/cgi-bin/fecimg/?202310179598473993</t>
        </is>
      </c>
    </row>
    <row r="2837">
      <c r="A2837" t="inlineStr">
        <is>
          <t>2024</t>
        </is>
      </c>
      <c r="B2837" t="inlineStr">
        <is>
          <t>C00513549</t>
        </is>
      </c>
      <c r="C2837" t="inlineStr">
        <is>
          <t>Phillips 66 PAC</t>
        </is>
      </c>
      <c r="D2837" t="inlineStr">
        <is>
          <t>MIKE THOMPSON FOR CONGRESS</t>
        </is>
      </c>
      <c r="E2837" t="inlineStr">
        <is>
          <t>H8CA01109</t>
        </is>
      </c>
      <c r="F2837" t="inlineStr">
        <is>
          <t>DEM</t>
        </is>
      </c>
      <c r="G2837" t="inlineStr">
        <is>
          <t>09012023</t>
        </is>
      </c>
      <c r="H2837" t="n">
        <v>2500</v>
      </c>
      <c r="I2837" t="inlineStr">
        <is>
          <t>202310179598473999</t>
        </is>
      </c>
      <c r="J2837" t="inlineStr">
        <is>
          <t>https://docquery.fec.gov/cgi-bin/fecimg/?202310179598473999</t>
        </is>
      </c>
    </row>
    <row r="2838">
      <c r="A2838" t="inlineStr">
        <is>
          <t>2024</t>
        </is>
      </c>
      <c r="B2838" t="inlineStr">
        <is>
          <t>C00513549</t>
        </is>
      </c>
      <c r="C2838" t="inlineStr">
        <is>
          <t>Phillips 66 PAC</t>
        </is>
      </c>
      <c r="D2838" t="inlineStr">
        <is>
          <t>MANN FOR CONGRESS</t>
        </is>
      </c>
      <c r="E2838" t="inlineStr">
        <is>
          <t>H0KS01123</t>
        </is>
      </c>
      <c r="F2838" t="inlineStr">
        <is>
          <t>REP</t>
        </is>
      </c>
      <c r="G2838" t="inlineStr">
        <is>
          <t>09012023</t>
        </is>
      </c>
      <c r="H2838" t="n">
        <v>2500</v>
      </c>
      <c r="I2838" t="inlineStr">
        <is>
          <t>202310179598473998</t>
        </is>
      </c>
      <c r="J2838" t="inlineStr">
        <is>
          <t>https://docquery.fec.gov/cgi-bin/fecimg/?202310179598473998</t>
        </is>
      </c>
    </row>
    <row r="2839">
      <c r="A2839" t="inlineStr">
        <is>
          <t>2024</t>
        </is>
      </c>
      <c r="B2839" t="inlineStr">
        <is>
          <t>C00513549</t>
        </is>
      </c>
      <c r="C2839" t="inlineStr">
        <is>
          <t>Phillips 66 PAC</t>
        </is>
      </c>
      <c r="D2839" t="inlineStr">
        <is>
          <t>MCCAUL FOR CONGRESS INC.</t>
        </is>
      </c>
      <c r="E2839" t="inlineStr">
        <is>
          <t>H4TX10093</t>
        </is>
      </c>
      <c r="F2839" t="inlineStr">
        <is>
          <t>REP</t>
        </is>
      </c>
      <c r="G2839" t="inlineStr">
        <is>
          <t>09012023</t>
        </is>
      </c>
      <c r="H2839" t="n">
        <v>3000</v>
      </c>
      <c r="I2839" t="inlineStr">
        <is>
          <t>202310179598473999</t>
        </is>
      </c>
      <c r="J2839" t="inlineStr">
        <is>
          <t>https://docquery.fec.gov/cgi-bin/fecimg/?202310179598473999</t>
        </is>
      </c>
    </row>
    <row r="2840">
      <c r="A2840" t="inlineStr">
        <is>
          <t>2024</t>
        </is>
      </c>
      <c r="B2840" t="inlineStr">
        <is>
          <t>C00513549</t>
        </is>
      </c>
      <c r="C2840" t="inlineStr">
        <is>
          <t>Phillips 66 PAC</t>
        </is>
      </c>
      <c r="D2840" t="inlineStr">
        <is>
          <t>PETE STAUBER FOR CONGRESS</t>
        </is>
      </c>
      <c r="E2840" t="inlineStr">
        <is>
          <t>H8MN08043</t>
        </is>
      </c>
      <c r="F2840" t="inlineStr">
        <is>
          <t>REP</t>
        </is>
      </c>
      <c r="G2840" t="inlineStr">
        <is>
          <t>09012023</t>
        </is>
      </c>
      <c r="H2840" t="n">
        <v>2500</v>
      </c>
      <c r="I2840" t="inlineStr">
        <is>
          <t>202310179598474000</t>
        </is>
      </c>
      <c r="J2840" t="inlineStr">
        <is>
          <t>https://docquery.fec.gov/cgi-bin/fecimg/?202310179598474000</t>
        </is>
      </c>
    </row>
    <row r="2841">
      <c r="A2841" t="inlineStr">
        <is>
          <t>2024</t>
        </is>
      </c>
      <c r="B2841" t="inlineStr">
        <is>
          <t>C00513549</t>
        </is>
      </c>
      <c r="C2841" t="inlineStr">
        <is>
          <t>Phillips 66 PAC</t>
        </is>
      </c>
      <c r="D2841" t="inlineStr">
        <is>
          <t>ZINKE FOR CONGRESS</t>
        </is>
      </c>
      <c r="E2841" t="inlineStr">
        <is>
          <t>H4MT01041</t>
        </is>
      </c>
      <c r="F2841" t="inlineStr">
        <is>
          <t>REP</t>
        </is>
      </c>
      <c r="G2841" t="inlineStr">
        <is>
          <t>09012023</t>
        </is>
      </c>
      <c r="H2841" t="n">
        <v>2500</v>
      </c>
      <c r="I2841" t="inlineStr">
        <is>
          <t>202310179598474002</t>
        </is>
      </c>
      <c r="J2841" t="inlineStr">
        <is>
          <t>https://docquery.fec.gov/cgi-bin/fecimg/?202310179598474002</t>
        </is>
      </c>
    </row>
    <row r="2842">
      <c r="A2842" t="inlineStr">
        <is>
          <t>2024</t>
        </is>
      </c>
      <c r="B2842" t="inlineStr">
        <is>
          <t>C00513549</t>
        </is>
      </c>
      <c r="C2842" t="inlineStr">
        <is>
          <t>Phillips 66 PAC</t>
        </is>
      </c>
      <c r="D2842" t="inlineStr">
        <is>
          <t>FAMILIES FOR JAMES LANKFORD</t>
        </is>
      </c>
      <c r="E2842" t="inlineStr">
        <is>
          <t>S4OK00232</t>
        </is>
      </c>
      <c r="F2842" t="inlineStr">
        <is>
          <t>REP</t>
        </is>
      </c>
      <c r="G2842" t="inlineStr">
        <is>
          <t>09012023</t>
        </is>
      </c>
      <c r="H2842" t="n">
        <v>2500</v>
      </c>
      <c r="I2842" t="inlineStr">
        <is>
          <t>202310179598473994</t>
        </is>
      </c>
      <c r="J2842" t="inlineStr">
        <is>
          <t>https://docquery.fec.gov/cgi-bin/fecimg/?202310179598473994</t>
        </is>
      </c>
    </row>
    <row r="2843">
      <c r="A2843" t="inlineStr">
        <is>
          <t>2024</t>
        </is>
      </c>
      <c r="B2843" t="inlineStr">
        <is>
          <t>C00513549</t>
        </is>
      </c>
      <c r="C2843" t="inlineStr">
        <is>
          <t>Phillips 66 PAC</t>
        </is>
      </c>
      <c r="D2843" t="inlineStr">
        <is>
          <t>FRIENDS OF GLENN THOMPSON</t>
        </is>
      </c>
      <c r="E2843" t="inlineStr">
        <is>
          <t>H8PA05071</t>
        </is>
      </c>
      <c r="F2843" t="inlineStr">
        <is>
          <t>REP</t>
        </is>
      </c>
      <c r="G2843" t="inlineStr">
        <is>
          <t>09012023</t>
        </is>
      </c>
      <c r="H2843" t="n">
        <v>2500</v>
      </c>
      <c r="I2843" t="inlineStr">
        <is>
          <t>202310179598473995</t>
        </is>
      </c>
      <c r="J2843" t="inlineStr">
        <is>
          <t>https://docquery.fec.gov/cgi-bin/fecimg/?202310179598473995</t>
        </is>
      </c>
    </row>
    <row r="2844">
      <c r="A2844" t="inlineStr">
        <is>
          <t>2024</t>
        </is>
      </c>
      <c r="B2844" t="inlineStr">
        <is>
          <t>C00513549</t>
        </is>
      </c>
      <c r="C2844" t="inlineStr">
        <is>
          <t>Phillips 66 PAC</t>
        </is>
      </c>
      <c r="D2844" t="inlineStr">
        <is>
          <t>HERN FOR CONGRESS</t>
        </is>
      </c>
      <c r="E2844" t="inlineStr">
        <is>
          <t>H8OK01157</t>
        </is>
      </c>
      <c r="F2844" t="inlineStr">
        <is>
          <t>REP</t>
        </is>
      </c>
      <c r="G2844" t="inlineStr">
        <is>
          <t>09012023</t>
        </is>
      </c>
      <c r="H2844" t="n">
        <v>1000</v>
      </c>
      <c r="I2844" t="inlineStr">
        <is>
          <t>202310179598473995</t>
        </is>
      </c>
      <c r="J2844" t="inlineStr">
        <is>
          <t>https://docquery.fec.gov/cgi-bin/fecimg/?202310179598473995</t>
        </is>
      </c>
    </row>
    <row r="2845">
      <c r="A2845" t="inlineStr">
        <is>
          <t>2024</t>
        </is>
      </c>
      <c r="B2845" t="inlineStr">
        <is>
          <t>C00513549</t>
        </is>
      </c>
      <c r="C2845" t="inlineStr">
        <is>
          <t>Phillips 66 PAC</t>
        </is>
      </c>
      <c r="D2845" t="inlineStr">
        <is>
          <t>HUDSON FOR CONGRESS</t>
        </is>
      </c>
      <c r="E2845" t="inlineStr">
        <is>
          <t>H2NC08185</t>
        </is>
      </c>
      <c r="F2845" t="inlineStr">
        <is>
          <t>REP</t>
        </is>
      </c>
      <c r="G2845" t="inlineStr">
        <is>
          <t>09012023</t>
        </is>
      </c>
      <c r="H2845" t="n">
        <v>2500</v>
      </c>
      <c r="I2845" t="inlineStr">
        <is>
          <t>202310179598473996</t>
        </is>
      </c>
      <c r="J2845" t="inlineStr">
        <is>
          <t>https://docquery.fec.gov/cgi-bin/fecimg/?202310179598473996</t>
        </is>
      </c>
    </row>
    <row r="2846">
      <c r="A2846" t="inlineStr">
        <is>
          <t>2024</t>
        </is>
      </c>
      <c r="B2846" t="inlineStr">
        <is>
          <t>C00513549</t>
        </is>
      </c>
      <c r="C2846" t="inlineStr">
        <is>
          <t>Phillips 66 PAC</t>
        </is>
      </c>
      <c r="D2846" t="inlineStr">
        <is>
          <t>HUNT FOR CONGRESS</t>
        </is>
      </c>
      <c r="E2846" t="inlineStr">
        <is>
          <t>H0TX07170</t>
        </is>
      </c>
      <c r="F2846" t="inlineStr">
        <is>
          <t>REP</t>
        </is>
      </c>
      <c r="G2846" t="inlineStr">
        <is>
          <t>09012023</t>
        </is>
      </c>
      <c r="H2846" t="n">
        <v>2500</v>
      </c>
      <c r="I2846" t="inlineStr">
        <is>
          <t>202310179598473996</t>
        </is>
      </c>
      <c r="J2846" t="inlineStr">
        <is>
          <t>https://docquery.fec.gov/cgi-bin/fecimg/?202310179598473996</t>
        </is>
      </c>
    </row>
    <row r="2847">
      <c r="A2847" t="inlineStr">
        <is>
          <t>2024</t>
        </is>
      </c>
      <c r="B2847" t="inlineStr">
        <is>
          <t>C00513549</t>
        </is>
      </c>
      <c r="C2847" t="inlineStr">
        <is>
          <t>Phillips 66 PAC</t>
        </is>
      </c>
      <c r="D2847" t="inlineStr">
        <is>
          <t>LUCAS FOR CONGRESS</t>
        </is>
      </c>
      <c r="E2847" t="inlineStr">
        <is>
          <t>H4OK06056</t>
        </is>
      </c>
      <c r="F2847" t="inlineStr">
        <is>
          <t>REP</t>
        </is>
      </c>
      <c r="G2847" t="inlineStr">
        <is>
          <t>09012023</t>
        </is>
      </c>
      <c r="H2847" t="n">
        <v>2500</v>
      </c>
      <c r="I2847" t="inlineStr">
        <is>
          <t>202310179598473998</t>
        </is>
      </c>
      <c r="J2847" t="inlineStr">
        <is>
          <t>https://docquery.fec.gov/cgi-bin/fecimg/?202310179598473998</t>
        </is>
      </c>
    </row>
    <row r="2848">
      <c r="A2848" t="inlineStr">
        <is>
          <t>2024</t>
        </is>
      </c>
      <c r="B2848" t="inlineStr">
        <is>
          <t>C00513549</t>
        </is>
      </c>
      <c r="C2848" t="inlineStr">
        <is>
          <t>Phillips 66 PAC</t>
        </is>
      </c>
      <c r="D2848" t="inlineStr">
        <is>
          <t>FRIENDS OF DAVID SCHWEIKERT</t>
        </is>
      </c>
      <c r="E2848" t="inlineStr">
        <is>
          <t>H4AZ06045</t>
        </is>
      </c>
      <c r="F2848" t="inlineStr">
        <is>
          <t>REP</t>
        </is>
      </c>
      <c r="G2848" t="inlineStr">
        <is>
          <t>09112024</t>
        </is>
      </c>
      <c r="H2848" t="n">
        <v>2500</v>
      </c>
      <c r="I2848" t="inlineStr">
        <is>
          <t>202410189698673102</t>
        </is>
      </c>
      <c r="J2848" t="inlineStr">
        <is>
          <t>https://docquery.fec.gov/cgi-bin/fecimg/?202410189698673102</t>
        </is>
      </c>
    </row>
    <row r="2849">
      <c r="A2849" t="inlineStr">
        <is>
          <t>2024</t>
        </is>
      </c>
      <c r="B2849" t="inlineStr">
        <is>
          <t>C00513549</t>
        </is>
      </c>
      <c r="C2849" t="inlineStr">
        <is>
          <t>Phillips 66 PAC</t>
        </is>
      </c>
      <c r="D2849" t="inlineStr">
        <is>
          <t>MARIA DUNN FOR CONGRESS</t>
        </is>
      </c>
      <c r="E2849" t="inlineStr">
        <is>
          <t>H4TX18252</t>
        </is>
      </c>
      <c r="F2849" t="inlineStr">
        <is>
          <t>REP</t>
        </is>
      </c>
      <c r="G2849" t="inlineStr">
        <is>
          <t>09112024</t>
        </is>
      </c>
      <c r="H2849" t="n">
        <v>5000</v>
      </c>
      <c r="I2849" t="inlineStr">
        <is>
          <t>202410189698673102</t>
        </is>
      </c>
      <c r="J2849" t="inlineStr">
        <is>
          <t>https://docquery.fec.gov/cgi-bin/fecimg/?202410189698673102</t>
        </is>
      </c>
    </row>
    <row r="2850">
      <c r="A2850" t="inlineStr">
        <is>
          <t>2024</t>
        </is>
      </c>
      <c r="B2850" t="inlineStr">
        <is>
          <t>C00513549</t>
        </is>
      </c>
      <c r="C2850" t="inlineStr">
        <is>
          <t>Phillips 66 PAC</t>
        </is>
      </c>
      <c r="D2850" t="inlineStr">
        <is>
          <t>RUSS FULCHER FOR IDAHO</t>
        </is>
      </c>
      <c r="E2850" t="inlineStr">
        <is>
          <t>H8ID01124</t>
        </is>
      </c>
      <c r="F2850" t="inlineStr">
        <is>
          <t>REP</t>
        </is>
      </c>
      <c r="G2850" t="inlineStr">
        <is>
          <t>09112024</t>
        </is>
      </c>
      <c r="H2850" t="n">
        <v>2500</v>
      </c>
      <c r="I2850" t="inlineStr">
        <is>
          <t>202410189698673102</t>
        </is>
      </c>
      <c r="J2850" t="inlineStr">
        <is>
          <t>https://docquery.fec.gov/cgi-bin/fecimg/?202410189698673102</t>
        </is>
      </c>
    </row>
    <row r="2851">
      <c r="A2851" t="inlineStr">
        <is>
          <t>2024</t>
        </is>
      </c>
      <c r="B2851" t="inlineStr">
        <is>
          <t>C00513549</t>
        </is>
      </c>
      <c r="C2851" t="inlineStr">
        <is>
          <t>Phillips 66 PAC</t>
        </is>
      </c>
      <c r="D2851" t="inlineStr">
        <is>
          <t>CLOUD FOR CONGRESS</t>
        </is>
      </c>
      <c r="E2851" t="inlineStr">
        <is>
          <t>H8TX27049</t>
        </is>
      </c>
      <c r="F2851" t="inlineStr">
        <is>
          <t>REP</t>
        </is>
      </c>
      <c r="G2851" t="inlineStr">
        <is>
          <t>09212023</t>
        </is>
      </c>
      <c r="H2851" t="n">
        <v>2500</v>
      </c>
      <c r="I2851" t="inlineStr">
        <is>
          <t>202310179598473992</t>
        </is>
      </c>
      <c r="J2851" t="inlineStr">
        <is>
          <t>https://docquery.fec.gov/cgi-bin/fecimg/?202310179598473992</t>
        </is>
      </c>
    </row>
    <row r="2852">
      <c r="A2852" t="inlineStr">
        <is>
          <t>2024</t>
        </is>
      </c>
      <c r="B2852" t="inlineStr">
        <is>
          <t>C00513549</t>
        </is>
      </c>
      <c r="C2852" t="inlineStr">
        <is>
          <t>Phillips 66 PAC</t>
        </is>
      </c>
      <c r="D2852" t="inlineStr">
        <is>
          <t>COLE FOR CONGRESS</t>
        </is>
      </c>
      <c r="E2852" t="inlineStr">
        <is>
          <t>H2OK04055</t>
        </is>
      </c>
      <c r="F2852" t="inlineStr">
        <is>
          <t>REP</t>
        </is>
      </c>
      <c r="G2852" t="inlineStr">
        <is>
          <t>09212023</t>
        </is>
      </c>
      <c r="H2852" t="n">
        <v>2500</v>
      </c>
      <c r="I2852" t="inlineStr">
        <is>
          <t>202310179598473993</t>
        </is>
      </c>
      <c r="J2852" t="inlineStr">
        <is>
          <t>https://docquery.fec.gov/cgi-bin/fecimg/?202310179598473993</t>
        </is>
      </c>
    </row>
    <row r="2853">
      <c r="A2853" t="inlineStr">
        <is>
          <t>2024</t>
        </is>
      </c>
      <c r="B2853" t="inlineStr">
        <is>
          <t>C00513549</t>
        </is>
      </c>
      <c r="C2853" t="inlineStr">
        <is>
          <t>Phillips 66 PAC</t>
        </is>
      </c>
      <c r="D2853" t="inlineStr">
        <is>
          <t>CURTIS FOR CONGRESS</t>
        </is>
      </c>
      <c r="E2853" t="inlineStr">
        <is>
          <t>H8UT03238</t>
        </is>
      </c>
      <c r="F2853" t="inlineStr">
        <is>
          <t>REP</t>
        </is>
      </c>
      <c r="G2853" t="inlineStr">
        <is>
          <t>09212023</t>
        </is>
      </c>
      <c r="H2853" t="n">
        <v>1500</v>
      </c>
      <c r="I2853" t="inlineStr">
        <is>
          <t>202310179598473993</t>
        </is>
      </c>
      <c r="J2853" t="inlineStr">
        <is>
          <t>https://docquery.fec.gov/cgi-bin/fecimg/?202310179598473993</t>
        </is>
      </c>
    </row>
    <row r="2854">
      <c r="A2854" t="inlineStr">
        <is>
          <t>2024</t>
        </is>
      </c>
      <c r="B2854" t="inlineStr">
        <is>
          <t>C00513549</t>
        </is>
      </c>
      <c r="C2854" t="inlineStr">
        <is>
          <t>Phillips 66 PAC</t>
        </is>
      </c>
      <c r="D2854" t="inlineStr">
        <is>
          <t>ELISE FOR CONGRESS</t>
        </is>
      </c>
      <c r="E2854" t="inlineStr">
        <is>
          <t>H4NY21079</t>
        </is>
      </c>
      <c r="F2854" t="inlineStr">
        <is>
          <t>REP</t>
        </is>
      </c>
      <c r="G2854" t="inlineStr">
        <is>
          <t>09212023</t>
        </is>
      </c>
      <c r="H2854" t="n">
        <v>5000</v>
      </c>
      <c r="I2854" t="inlineStr">
        <is>
          <t>202310179598473994</t>
        </is>
      </c>
      <c r="J2854" t="inlineStr">
        <is>
          <t>https://docquery.fec.gov/cgi-bin/fecimg/?202310179598473994</t>
        </is>
      </c>
    </row>
    <row r="2855">
      <c r="A2855" t="inlineStr">
        <is>
          <t>2024</t>
        </is>
      </c>
      <c r="B2855" t="inlineStr">
        <is>
          <t>C00513549</t>
        </is>
      </c>
      <c r="C2855" t="inlineStr">
        <is>
          <t>Phillips 66 PAC</t>
        </is>
      </c>
      <c r="D2855" t="inlineStr">
        <is>
          <t>MARC VEASEY CONGRESSIONAL CAMPAIGN COMMITTEE</t>
        </is>
      </c>
      <c r="E2855" t="inlineStr">
        <is>
          <t>H2TX33073</t>
        </is>
      </c>
      <c r="F2855" t="inlineStr">
        <is>
          <t>DEM</t>
        </is>
      </c>
      <c r="G2855" t="inlineStr">
        <is>
          <t>09212023</t>
        </is>
      </c>
      <c r="H2855" t="n">
        <v>2500</v>
      </c>
      <c r="I2855" t="inlineStr">
        <is>
          <t>202310179598473998</t>
        </is>
      </c>
      <c r="J2855" t="inlineStr">
        <is>
          <t>https://docquery.fec.gov/cgi-bin/fecimg/?202310179598473998</t>
        </is>
      </c>
    </row>
    <row r="2856">
      <c r="A2856" t="inlineStr">
        <is>
          <t>2024</t>
        </is>
      </c>
      <c r="B2856" t="inlineStr">
        <is>
          <t>C00513549</t>
        </is>
      </c>
      <c r="C2856" t="inlineStr">
        <is>
          <t>Phillips 66 PAC</t>
        </is>
      </c>
      <c r="D2856" t="inlineStr">
        <is>
          <t>MICHELLE STEEL FOR CONGRESS</t>
        </is>
      </c>
      <c r="E2856" t="inlineStr">
        <is>
          <t>H0CA48198</t>
        </is>
      </c>
      <c r="F2856" t="inlineStr">
        <is>
          <t>REP</t>
        </is>
      </c>
      <c r="G2856" t="inlineStr">
        <is>
          <t>09212023</t>
        </is>
      </c>
      <c r="H2856" t="n">
        <v>2500</v>
      </c>
      <c r="I2856" t="inlineStr">
        <is>
          <t>202310179598473999</t>
        </is>
      </c>
      <c r="J2856" t="inlineStr">
        <is>
          <t>https://docquery.fec.gov/cgi-bin/fecimg/?202310179598473999</t>
        </is>
      </c>
    </row>
    <row r="2857">
      <c r="A2857" t="inlineStr">
        <is>
          <t>2024</t>
        </is>
      </c>
      <c r="B2857" t="inlineStr">
        <is>
          <t>C00513549</t>
        </is>
      </c>
      <c r="C2857" t="inlineStr">
        <is>
          <t>Phillips 66 PAC</t>
        </is>
      </c>
      <c r="D2857" t="inlineStr">
        <is>
          <t>NANCY MACE FOR CONGRESS</t>
        </is>
      </c>
      <c r="E2857" t="inlineStr">
        <is>
          <t>H0SC01394</t>
        </is>
      </c>
      <c r="F2857" t="inlineStr">
        <is>
          <t>REP</t>
        </is>
      </c>
      <c r="G2857" t="inlineStr">
        <is>
          <t>09212023</t>
        </is>
      </c>
      <c r="H2857" t="n">
        <v>2500</v>
      </c>
      <c r="I2857" t="inlineStr">
        <is>
          <t>202310179598474000</t>
        </is>
      </c>
      <c r="J2857" t="inlineStr">
        <is>
          <t>https://docquery.fec.gov/cgi-bin/fecimg/?202310179598474000</t>
        </is>
      </c>
    </row>
    <row r="2858">
      <c r="A2858" t="inlineStr">
        <is>
          <t>2024</t>
        </is>
      </c>
      <c r="B2858" t="inlineStr">
        <is>
          <t>C00513549</t>
        </is>
      </c>
      <c r="C2858" t="inlineStr">
        <is>
          <t>Phillips 66 PAC</t>
        </is>
      </c>
      <c r="D2858" t="inlineStr">
        <is>
          <t>RICHARD E. NEAL FOR CONGRESS COMMITTEE</t>
        </is>
      </c>
      <c r="E2858" t="inlineStr">
        <is>
          <t>H8MA02041</t>
        </is>
      </c>
      <c r="F2858" t="inlineStr">
        <is>
          <t>DEM</t>
        </is>
      </c>
      <c r="G2858" t="inlineStr">
        <is>
          <t>09212023</t>
        </is>
      </c>
      <c r="H2858" t="n">
        <v>2500</v>
      </c>
      <c r="I2858" t="inlineStr">
        <is>
          <t>202310179598474000</t>
        </is>
      </c>
      <c r="J2858" t="inlineStr">
        <is>
          <t>https://docquery.fec.gov/cgi-bin/fecimg/?202310179598474000</t>
        </is>
      </c>
    </row>
    <row r="2859">
      <c r="A2859" t="inlineStr">
        <is>
          <t>2024</t>
        </is>
      </c>
      <c r="B2859" t="inlineStr">
        <is>
          <t>C00513549</t>
        </is>
      </c>
      <c r="C2859" t="inlineStr">
        <is>
          <t>Phillips 66 PAC</t>
        </is>
      </c>
      <c r="D2859" t="inlineStr">
        <is>
          <t>RON ESTES FOR CONGRESS</t>
        </is>
      </c>
      <c r="E2859" t="inlineStr">
        <is>
          <t>H8KS04112</t>
        </is>
      </c>
      <c r="F2859" t="inlineStr">
        <is>
          <t>REP</t>
        </is>
      </c>
      <c r="G2859" t="inlineStr">
        <is>
          <t>09212023</t>
        </is>
      </c>
      <c r="H2859" t="n">
        <v>1500</v>
      </c>
      <c r="I2859" t="inlineStr">
        <is>
          <t>202310179598474001</t>
        </is>
      </c>
      <c r="J2859" t="inlineStr">
        <is>
          <t>https://docquery.fec.gov/cgi-bin/fecimg/?202310179598474001</t>
        </is>
      </c>
    </row>
    <row r="2860">
      <c r="A2860" t="inlineStr">
        <is>
          <t>2024</t>
        </is>
      </c>
      <c r="B2860" t="inlineStr">
        <is>
          <t>C00513549</t>
        </is>
      </c>
      <c r="C2860" t="inlineStr">
        <is>
          <t>Phillips 66 PAC</t>
        </is>
      </c>
      <c r="D2860" t="inlineStr">
        <is>
          <t>TONY GONZALES FOR CONGRESS</t>
        </is>
      </c>
      <c r="E2860" t="inlineStr">
        <is>
          <t>H0TX35015</t>
        </is>
      </c>
      <c r="F2860" t="inlineStr">
        <is>
          <t>REP</t>
        </is>
      </c>
      <c r="G2860" t="inlineStr">
        <is>
          <t>09212023</t>
        </is>
      </c>
      <c r="H2860" t="n">
        <v>2500</v>
      </c>
      <c r="I2860" t="inlineStr">
        <is>
          <t>202310179598474001</t>
        </is>
      </c>
      <c r="J2860" t="inlineStr">
        <is>
          <t>https://docquery.fec.gov/cgi-bin/fecimg/?202310179598474001</t>
        </is>
      </c>
    </row>
    <row r="2861">
      <c r="A2861" t="inlineStr">
        <is>
          <t>2024</t>
        </is>
      </c>
      <c r="B2861" t="inlineStr">
        <is>
          <t>C00513549</t>
        </is>
      </c>
      <c r="C2861" t="inlineStr">
        <is>
          <t>Phillips 66 PAC</t>
        </is>
      </c>
      <c r="D2861" t="inlineStr">
        <is>
          <t>VICENTE GONZALEZ FOR CONGRESS</t>
        </is>
      </c>
      <c r="E2861" t="inlineStr">
        <is>
          <t>H6TX15162</t>
        </is>
      </c>
      <c r="F2861" t="inlineStr">
        <is>
          <t>DEM</t>
        </is>
      </c>
      <c r="G2861" t="inlineStr">
        <is>
          <t>09212023</t>
        </is>
      </c>
      <c r="H2861" t="n">
        <v>2500</v>
      </c>
      <c r="I2861" t="inlineStr">
        <is>
          <t>202310179598474001</t>
        </is>
      </c>
      <c r="J2861" t="inlineStr">
        <is>
          <t>https://docquery.fec.gov/cgi-bin/fecimg/?202310179598474001</t>
        </is>
      </c>
    </row>
    <row r="2862">
      <c r="A2862" t="inlineStr">
        <is>
          <t>2024</t>
        </is>
      </c>
      <c r="B2862" t="inlineStr">
        <is>
          <t>C00513549</t>
        </is>
      </c>
      <c r="C2862" t="inlineStr">
        <is>
          <t>Phillips 66 PAC</t>
        </is>
      </c>
      <c r="D2862" t="inlineStr">
        <is>
          <t>YOUNG KIM FOR CONGRESS</t>
        </is>
      </c>
      <c r="E2862" t="inlineStr">
        <is>
          <t>H8CA39240</t>
        </is>
      </c>
      <c r="F2862" t="inlineStr">
        <is>
          <t>REP</t>
        </is>
      </c>
      <c r="G2862" t="inlineStr">
        <is>
          <t>09212023</t>
        </is>
      </c>
      <c r="H2862" t="n">
        <v>2500</v>
      </c>
      <c r="I2862" t="inlineStr">
        <is>
          <t>202310179598474002</t>
        </is>
      </c>
      <c r="J2862" t="inlineStr">
        <is>
          <t>https://docquery.fec.gov/cgi-bin/fecimg/?202310179598474002</t>
        </is>
      </c>
    </row>
    <row r="2863">
      <c r="A2863" t="inlineStr">
        <is>
          <t>2024</t>
        </is>
      </c>
      <c r="B2863" t="inlineStr">
        <is>
          <t>C00513549</t>
        </is>
      </c>
      <c r="C2863" t="inlineStr">
        <is>
          <t>Phillips 66 PAC</t>
        </is>
      </c>
      <c r="D2863" t="inlineStr">
        <is>
          <t>FRIENDS OF DAN KILDEE</t>
        </is>
      </c>
      <c r="E2863" t="inlineStr">
        <is>
          <t>H2MI05119</t>
        </is>
      </c>
      <c r="F2863" t="inlineStr">
        <is>
          <t>DEM</t>
        </is>
      </c>
      <c r="G2863" t="inlineStr">
        <is>
          <t>09212023</t>
        </is>
      </c>
      <c r="H2863" t="n">
        <v>1000</v>
      </c>
      <c r="I2863" t="inlineStr">
        <is>
          <t>202310179598473994</t>
        </is>
      </c>
      <c r="J2863" t="inlineStr">
        <is>
          <t>https://docquery.fec.gov/cgi-bin/fecimg/?202310179598473994</t>
        </is>
      </c>
    </row>
    <row r="2864">
      <c r="A2864" t="inlineStr">
        <is>
          <t>2024</t>
        </is>
      </c>
      <c r="B2864" t="inlineStr">
        <is>
          <t>C00513549</t>
        </is>
      </c>
      <c r="C2864" t="inlineStr">
        <is>
          <t>Phillips 66 PAC</t>
        </is>
      </c>
      <c r="D2864" t="inlineStr">
        <is>
          <t>HOYER FOR CONGRESS</t>
        </is>
      </c>
      <c r="E2864" t="inlineStr">
        <is>
          <t>H2MD05155</t>
        </is>
      </c>
      <c r="F2864" t="inlineStr">
        <is>
          <t>DEM</t>
        </is>
      </c>
      <c r="G2864" t="inlineStr">
        <is>
          <t>09212023</t>
        </is>
      </c>
      <c r="H2864" t="n">
        <v>2500</v>
      </c>
      <c r="I2864" t="inlineStr">
        <is>
          <t>202310179598473995</t>
        </is>
      </c>
      <c r="J2864" t="inlineStr">
        <is>
          <t>https://docquery.fec.gov/cgi-bin/fecimg/?202310179598473995</t>
        </is>
      </c>
    </row>
    <row r="2865">
      <c r="A2865" t="inlineStr">
        <is>
          <t>2024</t>
        </is>
      </c>
      <c r="B2865" t="inlineStr">
        <is>
          <t>C00513549</t>
        </is>
      </c>
      <c r="C2865" t="inlineStr">
        <is>
          <t>Phillips 66 PAC</t>
        </is>
      </c>
      <c r="D2865" t="inlineStr">
        <is>
          <t>JIM COSTA FOR CONGRESS</t>
        </is>
      </c>
      <c r="E2865" t="inlineStr">
        <is>
          <t>H4CA20082</t>
        </is>
      </c>
      <c r="F2865" t="inlineStr">
        <is>
          <t>DEM</t>
        </is>
      </c>
      <c r="G2865" t="inlineStr">
        <is>
          <t>09212023</t>
        </is>
      </c>
      <c r="H2865" t="n">
        <v>1000</v>
      </c>
      <c r="I2865" t="inlineStr">
        <is>
          <t>202310179598473996</t>
        </is>
      </c>
      <c r="J2865" t="inlineStr">
        <is>
          <t>https://docquery.fec.gov/cgi-bin/fecimg/?202310179598473996</t>
        </is>
      </c>
    </row>
    <row r="2866">
      <c r="A2866" t="inlineStr">
        <is>
          <t>2024</t>
        </is>
      </c>
      <c r="B2866" t="inlineStr">
        <is>
          <t>C00513549</t>
        </is>
      </c>
      <c r="C2866" t="inlineStr">
        <is>
          <t>Phillips 66 PAC</t>
        </is>
      </c>
      <c r="D2866" t="inlineStr">
        <is>
          <t>JOSH GOTTHEIMER FOR CONGRESS</t>
        </is>
      </c>
      <c r="E2866" t="inlineStr">
        <is>
          <t>H6NJ05171</t>
        </is>
      </c>
      <c r="F2866" t="inlineStr">
        <is>
          <t>DEM</t>
        </is>
      </c>
      <c r="G2866" t="inlineStr">
        <is>
          <t>09212023</t>
        </is>
      </c>
      <c r="H2866" t="n">
        <v>2500</v>
      </c>
      <c r="I2866" t="inlineStr">
        <is>
          <t>202310179598473997</t>
        </is>
      </c>
      <c r="J2866" t="inlineStr">
        <is>
          <t>https://docquery.fec.gov/cgi-bin/fecimg/?202310179598473997</t>
        </is>
      </c>
    </row>
    <row r="2867">
      <c r="A2867" t="inlineStr">
        <is>
          <t>2024</t>
        </is>
      </c>
      <c r="B2867" t="inlineStr">
        <is>
          <t>C00513549</t>
        </is>
      </c>
      <c r="C2867" t="inlineStr">
        <is>
          <t>Phillips 66 PAC</t>
        </is>
      </c>
      <c r="D2867" t="inlineStr">
        <is>
          <t>JULIA LETLOW FOR CONGRESS</t>
        </is>
      </c>
      <c r="E2867" t="inlineStr">
        <is>
          <t>H2LA05126</t>
        </is>
      </c>
      <c r="F2867" t="inlineStr">
        <is>
          <t>REP</t>
        </is>
      </c>
      <c r="G2867" t="inlineStr">
        <is>
          <t>09212023</t>
        </is>
      </c>
      <c r="H2867" t="n">
        <v>2500</v>
      </c>
      <c r="I2867" t="inlineStr">
        <is>
          <t>202310179598473997</t>
        </is>
      </c>
      <c r="J2867" t="inlineStr">
        <is>
          <t>https://docquery.fec.gov/cgi-bin/fecimg/?202310179598473997</t>
        </is>
      </c>
    </row>
    <row r="2868">
      <c r="A2868" t="inlineStr">
        <is>
          <t>2024</t>
        </is>
      </c>
      <c r="B2868" t="inlineStr">
        <is>
          <t>C00513549</t>
        </is>
      </c>
      <c r="C2868" t="inlineStr">
        <is>
          <t>Phillips 66 PAC</t>
        </is>
      </c>
      <c r="D2868" t="inlineStr">
        <is>
          <t>LOU CORREA FOR CONGRESS</t>
        </is>
      </c>
      <c r="E2868" t="inlineStr">
        <is>
          <t>H6CA46116</t>
        </is>
      </c>
      <c r="F2868" t="inlineStr">
        <is>
          <t>DEM</t>
        </is>
      </c>
      <c r="G2868" t="inlineStr">
        <is>
          <t>09212023</t>
        </is>
      </c>
      <c r="H2868" t="n">
        <v>2500</v>
      </c>
      <c r="I2868" t="inlineStr">
        <is>
          <t>202310179598473997</t>
        </is>
      </c>
      <c r="J2868" t="inlineStr">
        <is>
          <t>https://docquery.fec.gov/cgi-bin/fecimg/?202310179598473997</t>
        </is>
      </c>
    </row>
    <row r="2869">
      <c r="A2869" t="inlineStr">
        <is>
          <t>2024</t>
        </is>
      </c>
      <c r="B2869" t="inlineStr">
        <is>
          <t>C00513549</t>
        </is>
      </c>
      <c r="C2869" t="inlineStr">
        <is>
          <t>Phillips 66 PAC</t>
        </is>
      </c>
      <c r="D2869" t="inlineStr">
        <is>
          <t>FEDORCHAK FOR ND</t>
        </is>
      </c>
      <c r="E2869" t="inlineStr">
        <is>
          <t>H4ND00061</t>
        </is>
      </c>
      <c r="F2869" t="inlineStr">
        <is>
          <t>REP</t>
        </is>
      </c>
      <c r="G2869" t="inlineStr">
        <is>
          <t>10022024</t>
        </is>
      </c>
      <c r="H2869" t="n">
        <v>2500</v>
      </c>
      <c r="I2869" t="inlineStr">
        <is>
          <t>202410239710131917</t>
        </is>
      </c>
      <c r="J2869" t="inlineStr">
        <is>
          <t>https://docquery.fec.gov/cgi-bin/fecimg/?202410239710131917</t>
        </is>
      </c>
    </row>
    <row r="2870">
      <c r="A2870" t="inlineStr">
        <is>
          <t>2024</t>
        </is>
      </c>
      <c r="B2870" t="inlineStr">
        <is>
          <t>C00513549</t>
        </is>
      </c>
      <c r="C2870" t="inlineStr">
        <is>
          <t>Phillips 66 PAC</t>
        </is>
      </c>
      <c r="D2870" t="inlineStr">
        <is>
          <t>JULIE JOHNSON FOR CONGRESS</t>
        </is>
      </c>
      <c r="E2870" t="inlineStr">
        <is>
          <t>H4TX32089</t>
        </is>
      </c>
      <c r="F2870" t="inlineStr">
        <is>
          <t>DEM</t>
        </is>
      </c>
      <c r="G2870" t="inlineStr">
        <is>
          <t>10022024</t>
        </is>
      </c>
      <c r="H2870" t="n">
        <v>2500</v>
      </c>
      <c r="I2870" t="inlineStr">
        <is>
          <t>202410239710131917</t>
        </is>
      </c>
      <c r="J2870" t="inlineStr">
        <is>
          <t>https://docquery.fec.gov/cgi-bin/fecimg/?202410239710131917</t>
        </is>
      </c>
    </row>
    <row r="2871">
      <c r="A2871" t="inlineStr">
        <is>
          <t>2024</t>
        </is>
      </c>
      <c r="B2871" t="inlineStr">
        <is>
          <t>C00513549</t>
        </is>
      </c>
      <c r="C2871" t="inlineStr">
        <is>
          <t>Phillips 66 PAC</t>
        </is>
      </c>
      <c r="D2871" t="inlineStr">
        <is>
          <t>LAMONICA MCIVER FOR CONGRESS</t>
        </is>
      </c>
      <c r="E2871" t="inlineStr">
        <is>
          <t>H4NJ10176</t>
        </is>
      </c>
      <c r="F2871" t="inlineStr">
        <is>
          <t>DEM</t>
        </is>
      </c>
      <c r="G2871" t="inlineStr">
        <is>
          <t>10022024</t>
        </is>
      </c>
      <c r="H2871" t="n">
        <v>2500</v>
      </c>
      <c r="I2871" t="inlineStr">
        <is>
          <t>202410239710131918</t>
        </is>
      </c>
      <c r="J2871" t="inlineStr">
        <is>
          <t>https://docquery.fec.gov/cgi-bin/fecimg/?202410239710131918</t>
        </is>
      </c>
    </row>
    <row r="2872">
      <c r="A2872" t="inlineStr">
        <is>
          <t>2024</t>
        </is>
      </c>
      <c r="B2872" t="inlineStr">
        <is>
          <t>C00513549</t>
        </is>
      </c>
      <c r="C2872" t="inlineStr">
        <is>
          <t>Phillips 66 PAC</t>
        </is>
      </c>
      <c r="D2872" t="inlineStr">
        <is>
          <t>KEAN FOR CONGRESS INC</t>
        </is>
      </c>
      <c r="E2872" t="inlineStr">
        <is>
          <t>H0NJ07261</t>
        </is>
      </c>
      <c r="F2872" t="inlineStr">
        <is>
          <t>REP</t>
        </is>
      </c>
      <c r="G2872" t="inlineStr">
        <is>
          <t>10082024</t>
        </is>
      </c>
      <c r="H2872" t="n">
        <v>-1000</v>
      </c>
      <c r="I2872" t="inlineStr">
        <is>
          <t>202410239710131918</t>
        </is>
      </c>
      <c r="J2872" t="inlineStr">
        <is>
          <t>https://docquery.fec.gov/cgi-bin/fecimg/?202410239710131918</t>
        </is>
      </c>
    </row>
    <row r="2873">
      <c r="A2873" t="inlineStr">
        <is>
          <t>2024</t>
        </is>
      </c>
      <c r="B2873" t="inlineStr">
        <is>
          <t>C00513549</t>
        </is>
      </c>
      <c r="C2873" t="inlineStr">
        <is>
          <t>Phillips 66 PAC</t>
        </is>
      </c>
      <c r="D2873" t="inlineStr">
        <is>
          <t>PETE RICKETTS FOR SENATE</t>
        </is>
      </c>
      <c r="E2873" t="inlineStr">
        <is>
          <t>S4NE00173</t>
        </is>
      </c>
      <c r="G2873" t="inlineStr">
        <is>
          <t>10082024</t>
        </is>
      </c>
      <c r="H2873" t="n">
        <v>5000</v>
      </c>
      <c r="I2873" t="inlineStr">
        <is>
          <t>202410239710131919</t>
        </is>
      </c>
      <c r="J2873" t="inlineStr">
        <is>
          <t>https://docquery.fec.gov/cgi-bin/fecimg/?202410239710131919</t>
        </is>
      </c>
    </row>
    <row r="2874">
      <c r="A2874" t="inlineStr">
        <is>
          <t>2024</t>
        </is>
      </c>
      <c r="B2874" t="inlineStr">
        <is>
          <t>C00513549</t>
        </is>
      </c>
      <c r="C2874" t="inlineStr">
        <is>
          <t>Phillips 66 PAC</t>
        </is>
      </c>
      <c r="D2874" t="inlineStr">
        <is>
          <t>PETE RICKETTS FOR SENATE</t>
        </is>
      </c>
      <c r="E2874" t="inlineStr">
        <is>
          <t>S4NE00173</t>
        </is>
      </c>
      <c r="G2874" t="inlineStr">
        <is>
          <t>10082024</t>
        </is>
      </c>
      <c r="H2874" t="n">
        <v>-5000</v>
      </c>
      <c r="I2874" t="inlineStr">
        <is>
          <t>202410239710131919</t>
        </is>
      </c>
      <c r="J2874" t="inlineStr">
        <is>
          <t>https://docquery.fec.gov/cgi-bin/fecimg/?202410239710131919</t>
        </is>
      </c>
    </row>
    <row r="2875">
      <c r="A2875" t="inlineStr">
        <is>
          <t>2024</t>
        </is>
      </c>
      <c r="B2875" t="inlineStr">
        <is>
          <t>C00513549</t>
        </is>
      </c>
      <c r="C2875" t="inlineStr">
        <is>
          <t>Phillips 66 PAC</t>
        </is>
      </c>
      <c r="D2875" t="inlineStr">
        <is>
          <t>TROY DOWNING FOR CONGRESS</t>
        </is>
      </c>
      <c r="E2875" t="inlineStr">
        <is>
          <t>H4MT02098</t>
        </is>
      </c>
      <c r="F2875" t="inlineStr">
        <is>
          <t>REP</t>
        </is>
      </c>
      <c r="G2875" t="inlineStr">
        <is>
          <t>10082024</t>
        </is>
      </c>
      <c r="H2875" t="n">
        <v>2500</v>
      </c>
      <c r="I2875" t="inlineStr">
        <is>
          <t>202410239710131919</t>
        </is>
      </c>
      <c r="J2875" t="inlineStr">
        <is>
          <t>https://docquery.fec.gov/cgi-bin/fecimg/?202410239710131919</t>
        </is>
      </c>
    </row>
    <row r="2876">
      <c r="A2876" t="inlineStr">
        <is>
          <t>2024</t>
        </is>
      </c>
      <c r="B2876" t="inlineStr">
        <is>
          <t>C00513549</t>
        </is>
      </c>
      <c r="C2876" t="inlineStr">
        <is>
          <t>Phillips 66 PAC</t>
        </is>
      </c>
      <c r="D2876" t="inlineStr">
        <is>
          <t>TROY DOWNING FOR CONGRESS</t>
        </is>
      </c>
      <c r="E2876" t="inlineStr">
        <is>
          <t>H4MT02098</t>
        </is>
      </c>
      <c r="F2876" t="inlineStr">
        <is>
          <t>REP</t>
        </is>
      </c>
      <c r="G2876" t="inlineStr">
        <is>
          <t>10082024</t>
        </is>
      </c>
      <c r="H2876" t="n">
        <v>-2500</v>
      </c>
      <c r="I2876" t="inlineStr">
        <is>
          <t>202410239710131920</t>
        </is>
      </c>
      <c r="J2876" t="inlineStr">
        <is>
          <t>https://docquery.fec.gov/cgi-bin/fecimg/?202410239710131920</t>
        </is>
      </c>
    </row>
    <row r="2877">
      <c r="A2877" t="inlineStr">
        <is>
          <t>2024</t>
        </is>
      </c>
      <c r="B2877" t="inlineStr">
        <is>
          <t>C00513549</t>
        </is>
      </c>
      <c r="C2877" t="inlineStr">
        <is>
          <t>Phillips 66 PAC</t>
        </is>
      </c>
      <c r="D2877" t="inlineStr">
        <is>
          <t>DR. BRIAN BABIN FOR CONGRESS</t>
        </is>
      </c>
      <c r="E2877" t="inlineStr">
        <is>
          <t>H6TX02079</t>
        </is>
      </c>
      <c r="F2877" t="inlineStr">
        <is>
          <t>REP</t>
        </is>
      </c>
      <c r="G2877" t="inlineStr">
        <is>
          <t>10092024</t>
        </is>
      </c>
      <c r="H2877" t="n">
        <v>-2500</v>
      </c>
      <c r="I2877" t="inlineStr">
        <is>
          <t>202410239710131916</t>
        </is>
      </c>
      <c r="J2877" t="inlineStr">
        <is>
          <t>https://docquery.fec.gov/cgi-bin/fecimg/?202410239710131916</t>
        </is>
      </c>
    </row>
    <row r="2878">
      <c r="A2878" t="inlineStr">
        <is>
          <t>2024</t>
        </is>
      </c>
      <c r="B2878" t="inlineStr">
        <is>
          <t>C00513549</t>
        </is>
      </c>
      <c r="C2878" t="inlineStr">
        <is>
          <t>Phillips 66 PAC</t>
        </is>
      </c>
      <c r="D2878" t="inlineStr">
        <is>
          <t>DR. BRIAN BABIN FOR CONGRESS</t>
        </is>
      </c>
      <c r="E2878" t="inlineStr">
        <is>
          <t>H6TX02079</t>
        </is>
      </c>
      <c r="F2878" t="inlineStr">
        <is>
          <t>REP</t>
        </is>
      </c>
      <c r="G2878" t="inlineStr">
        <is>
          <t>10092024</t>
        </is>
      </c>
      <c r="H2878" t="n">
        <v>2500</v>
      </c>
      <c r="I2878" t="inlineStr">
        <is>
          <t>202410239710131916</t>
        </is>
      </c>
      <c r="J2878" t="inlineStr">
        <is>
          <t>https://docquery.fec.gov/cgi-bin/fecimg/?202410239710131916</t>
        </is>
      </c>
    </row>
    <row r="2879">
      <c r="A2879" t="inlineStr">
        <is>
          <t>2024</t>
        </is>
      </c>
      <c r="B2879" t="inlineStr">
        <is>
          <t>C00513549</t>
        </is>
      </c>
      <c r="C2879" t="inlineStr">
        <is>
          <t>Phillips 66 PAC</t>
        </is>
      </c>
      <c r="D2879" t="inlineStr">
        <is>
          <t>AUGUST PFLUGER FOR CONGRESS</t>
        </is>
      </c>
      <c r="E2879" t="inlineStr">
        <is>
          <t>H0TX11230</t>
        </is>
      </c>
      <c r="F2879" t="inlineStr">
        <is>
          <t>REP</t>
        </is>
      </c>
      <c r="G2879" t="inlineStr">
        <is>
          <t>10202023</t>
        </is>
      </c>
      <c r="H2879" t="n">
        <v>1500</v>
      </c>
      <c r="I2879" t="inlineStr">
        <is>
          <t>202311089598976148</t>
        </is>
      </c>
      <c r="J2879" t="inlineStr">
        <is>
          <t>https://docquery.fec.gov/cgi-bin/fecimg/?202311089598976148</t>
        </is>
      </c>
    </row>
    <row r="2880">
      <c r="A2880" t="inlineStr">
        <is>
          <t>2024</t>
        </is>
      </c>
      <c r="B2880" t="inlineStr">
        <is>
          <t>C00513549</t>
        </is>
      </c>
      <c r="C2880" t="inlineStr">
        <is>
          <t>Phillips 66 PAC</t>
        </is>
      </c>
      <c r="D2880" t="inlineStr">
        <is>
          <t>BALDERSON FOR CONGRESS</t>
        </is>
      </c>
      <c r="E2880" t="inlineStr">
        <is>
          <t>H8OH12180</t>
        </is>
      </c>
      <c r="F2880" t="inlineStr">
        <is>
          <t>REP</t>
        </is>
      </c>
      <c r="G2880" t="inlineStr">
        <is>
          <t>10202023</t>
        </is>
      </c>
      <c r="H2880" t="n">
        <v>1000</v>
      </c>
      <c r="I2880" t="inlineStr">
        <is>
          <t>202311089598976148</t>
        </is>
      </c>
      <c r="J2880" t="inlineStr">
        <is>
          <t>https://docquery.fec.gov/cgi-bin/fecimg/?202311089598976148</t>
        </is>
      </c>
    </row>
    <row r="2881">
      <c r="A2881" t="inlineStr">
        <is>
          <t>2024</t>
        </is>
      </c>
      <c r="B2881" t="inlineStr">
        <is>
          <t>C00513549</t>
        </is>
      </c>
      <c r="C2881" t="inlineStr">
        <is>
          <t>Phillips 66 PAC</t>
        </is>
      </c>
      <c r="D2881" t="inlineStr">
        <is>
          <t>DEB FISCHER FOR US SENATE INC</t>
        </is>
      </c>
      <c r="E2881" t="inlineStr">
        <is>
          <t>S2NE00094</t>
        </is>
      </c>
      <c r="F2881" t="inlineStr">
        <is>
          <t>REP</t>
        </is>
      </c>
      <c r="G2881" t="inlineStr">
        <is>
          <t>10202023</t>
        </is>
      </c>
      <c r="H2881" t="n">
        <v>3000</v>
      </c>
      <c r="I2881" t="inlineStr">
        <is>
          <t>202311089598976148</t>
        </is>
      </c>
      <c r="J2881" t="inlineStr">
        <is>
          <t>https://docquery.fec.gov/cgi-bin/fecimg/?202311089598976148</t>
        </is>
      </c>
    </row>
    <row r="2882">
      <c r="A2882" t="inlineStr">
        <is>
          <t>2024</t>
        </is>
      </c>
      <c r="B2882" t="inlineStr">
        <is>
          <t>C00513549</t>
        </is>
      </c>
      <c r="C2882" t="inlineStr">
        <is>
          <t>Phillips 66 PAC</t>
        </is>
      </c>
      <c r="D2882" t="inlineStr">
        <is>
          <t>DONALD M PAYNE JR FOR CONGRESS</t>
        </is>
      </c>
      <c r="E2882" t="inlineStr">
        <is>
          <t>H2NJ10154</t>
        </is>
      </c>
      <c r="F2882" t="inlineStr">
        <is>
          <t>DEM</t>
        </is>
      </c>
      <c r="G2882" t="inlineStr">
        <is>
          <t>10202023</t>
        </is>
      </c>
      <c r="H2882" t="n">
        <v>2500</v>
      </c>
      <c r="I2882" t="inlineStr">
        <is>
          <t>202311089598976149</t>
        </is>
      </c>
      <c r="J2882" t="inlineStr">
        <is>
          <t>https://docquery.fec.gov/cgi-bin/fecimg/?202311089598976149</t>
        </is>
      </c>
    </row>
    <row r="2883">
      <c r="A2883" t="inlineStr">
        <is>
          <t>2024</t>
        </is>
      </c>
      <c r="B2883" t="inlineStr">
        <is>
          <t>C00513549</t>
        </is>
      </c>
      <c r="C2883" t="inlineStr">
        <is>
          <t>Phillips 66 PAC</t>
        </is>
      </c>
      <c r="D2883" t="inlineStr">
        <is>
          <t>DR. BRIAN BABIN FOR CONGRESS</t>
        </is>
      </c>
      <c r="E2883" t="inlineStr">
        <is>
          <t>H6TX02079</t>
        </is>
      </c>
      <c r="F2883" t="inlineStr">
        <is>
          <t>REP</t>
        </is>
      </c>
      <c r="G2883" t="inlineStr">
        <is>
          <t>10202023</t>
        </is>
      </c>
      <c r="H2883" t="n">
        <v>2500</v>
      </c>
      <c r="I2883" t="inlineStr">
        <is>
          <t>202311089598976149</t>
        </is>
      </c>
      <c r="J2883" t="inlineStr">
        <is>
          <t>https://docquery.fec.gov/cgi-bin/fecimg/?202311089598976149</t>
        </is>
      </c>
    </row>
    <row r="2884">
      <c r="A2884" t="inlineStr">
        <is>
          <t>2024</t>
        </is>
      </c>
      <c r="B2884" t="inlineStr">
        <is>
          <t>C00513549</t>
        </is>
      </c>
      <c r="C2884" t="inlineStr">
        <is>
          <t>Phillips 66 PAC</t>
        </is>
      </c>
      <c r="D2884" t="inlineStr">
        <is>
          <t>JIM COSTA FOR CONGRESS</t>
        </is>
      </c>
      <c r="E2884" t="inlineStr">
        <is>
          <t>H4CA20082</t>
        </is>
      </c>
      <c r="F2884" t="inlineStr">
        <is>
          <t>DEM</t>
        </is>
      </c>
      <c r="G2884" t="inlineStr">
        <is>
          <t>10202023</t>
        </is>
      </c>
      <c r="H2884" t="n">
        <v>1500</v>
      </c>
      <c r="I2884" t="inlineStr">
        <is>
          <t>202311089598976149</t>
        </is>
      </c>
      <c r="J2884" t="inlineStr">
        <is>
          <t>https://docquery.fec.gov/cgi-bin/fecimg/?202311089598976149</t>
        </is>
      </c>
    </row>
    <row r="2885">
      <c r="A2885" t="inlineStr">
        <is>
          <t>2024</t>
        </is>
      </c>
      <c r="B2885" t="inlineStr">
        <is>
          <t>C00513549</t>
        </is>
      </c>
      <c r="C2885" t="inlineStr">
        <is>
          <t>Phillips 66 PAC</t>
        </is>
      </c>
      <c r="D2885" t="inlineStr">
        <is>
          <t>JOSH GOTTHEIMER FOR CONGRESS</t>
        </is>
      </c>
      <c r="E2885" t="inlineStr">
        <is>
          <t>H6NJ05171</t>
        </is>
      </c>
      <c r="F2885" t="inlineStr">
        <is>
          <t>DEM</t>
        </is>
      </c>
      <c r="G2885" t="inlineStr">
        <is>
          <t>10202023</t>
        </is>
      </c>
      <c r="H2885" t="n">
        <v>2500</v>
      </c>
      <c r="I2885" t="inlineStr">
        <is>
          <t>202311089598976150</t>
        </is>
      </c>
      <c r="J2885" t="inlineStr">
        <is>
          <t>https://docquery.fec.gov/cgi-bin/fecimg/?202311089598976150</t>
        </is>
      </c>
    </row>
    <row r="2886">
      <c r="A2886" t="inlineStr">
        <is>
          <t>2024</t>
        </is>
      </c>
      <c r="B2886" t="inlineStr">
        <is>
          <t>C00513549</t>
        </is>
      </c>
      <c r="C2886" t="inlineStr">
        <is>
          <t>Phillips 66 PAC</t>
        </is>
      </c>
      <c r="D2886" t="inlineStr">
        <is>
          <t>LOU CORREA FOR CONGRESS</t>
        </is>
      </c>
      <c r="E2886" t="inlineStr">
        <is>
          <t>H6CA46116</t>
        </is>
      </c>
      <c r="F2886" t="inlineStr">
        <is>
          <t>DEM</t>
        </is>
      </c>
      <c r="G2886" t="inlineStr">
        <is>
          <t>10202023</t>
        </is>
      </c>
      <c r="H2886" t="n">
        <v>2500</v>
      </c>
      <c r="I2886" t="inlineStr">
        <is>
          <t>202311089598976150</t>
        </is>
      </c>
      <c r="J2886" t="inlineStr">
        <is>
          <t>https://docquery.fec.gov/cgi-bin/fecimg/?202311089598976150</t>
        </is>
      </c>
    </row>
    <row r="2887">
      <c r="A2887" t="inlineStr">
        <is>
          <t>2024</t>
        </is>
      </c>
      <c r="B2887" t="inlineStr">
        <is>
          <t>C00513549</t>
        </is>
      </c>
      <c r="C2887" t="inlineStr">
        <is>
          <t>Phillips 66 PAC</t>
        </is>
      </c>
      <c r="D2887" t="inlineStr">
        <is>
          <t>MIKE GARCIA FOR CONGRESS</t>
        </is>
      </c>
      <c r="E2887" t="inlineStr">
        <is>
          <t>H0CA25105</t>
        </is>
      </c>
      <c r="F2887" t="inlineStr">
        <is>
          <t>REP</t>
        </is>
      </c>
      <c r="G2887" t="inlineStr">
        <is>
          <t>10202023</t>
        </is>
      </c>
      <c r="H2887" t="n">
        <v>1000</v>
      </c>
      <c r="I2887" t="inlineStr">
        <is>
          <t>202311089598976150</t>
        </is>
      </c>
      <c r="J2887" t="inlineStr">
        <is>
          <t>https://docquery.fec.gov/cgi-bin/fecimg/?202311089598976150</t>
        </is>
      </c>
    </row>
    <row r="2888">
      <c r="A2888" t="inlineStr">
        <is>
          <t>2024</t>
        </is>
      </c>
      <c r="B2888" t="inlineStr">
        <is>
          <t>C00513549</t>
        </is>
      </c>
      <c r="C2888" t="inlineStr">
        <is>
          <t>Phillips 66 PAC</t>
        </is>
      </c>
      <c r="D2888" t="inlineStr">
        <is>
          <t>MIKE THOMPSON FOR CONGRESS</t>
        </is>
      </c>
      <c r="E2888" t="inlineStr">
        <is>
          <t>H8CA01109</t>
        </is>
      </c>
      <c r="F2888" t="inlineStr">
        <is>
          <t>DEM</t>
        </is>
      </c>
      <c r="G2888" t="inlineStr">
        <is>
          <t>10202023</t>
        </is>
      </c>
      <c r="H2888" t="n">
        <v>2500</v>
      </c>
      <c r="I2888" t="inlineStr">
        <is>
          <t>202311089598976151</t>
        </is>
      </c>
      <c r="J2888" t="inlineStr">
        <is>
          <t>https://docquery.fec.gov/cgi-bin/fecimg/?202311089598976151</t>
        </is>
      </c>
    </row>
    <row r="2889">
      <c r="A2889" t="inlineStr">
        <is>
          <t>2024</t>
        </is>
      </c>
      <c r="B2889" t="inlineStr">
        <is>
          <t>C00513549</t>
        </is>
      </c>
      <c r="C2889" t="inlineStr">
        <is>
          <t>Phillips 66 PAC</t>
        </is>
      </c>
      <c r="D2889" t="inlineStr">
        <is>
          <t>TEXANS FOR RONNY JACKSON</t>
        </is>
      </c>
      <c r="E2889" t="inlineStr">
        <is>
          <t>H0TX13228</t>
        </is>
      </c>
      <c r="F2889" t="inlineStr">
        <is>
          <t>REP</t>
        </is>
      </c>
      <c r="G2889" t="inlineStr">
        <is>
          <t>10202023</t>
        </is>
      </c>
      <c r="H2889" t="n">
        <v>2500</v>
      </c>
      <c r="I2889" t="inlineStr">
        <is>
          <t>202311089598976152</t>
        </is>
      </c>
      <c r="J2889" t="inlineStr">
        <is>
          <t>https://docquery.fec.gov/cgi-bin/fecimg/?202311089598976152</t>
        </is>
      </c>
    </row>
    <row r="2890">
      <c r="A2890" t="inlineStr">
        <is>
          <t>2024</t>
        </is>
      </c>
      <c r="B2890" t="inlineStr">
        <is>
          <t>C00513549</t>
        </is>
      </c>
      <c r="C2890" t="inlineStr">
        <is>
          <t>Phillips 66 PAC</t>
        </is>
      </c>
      <c r="D2890" t="inlineStr">
        <is>
          <t>MONICA FOR CONGRESS</t>
        </is>
      </c>
      <c r="E2890" t="inlineStr">
        <is>
          <t>H0TX15124</t>
        </is>
      </c>
      <c r="F2890" t="inlineStr">
        <is>
          <t>REP</t>
        </is>
      </c>
      <c r="G2890" t="inlineStr">
        <is>
          <t>10202023</t>
        </is>
      </c>
      <c r="H2890" t="n">
        <v>2500</v>
      </c>
      <c r="I2890" t="inlineStr">
        <is>
          <t>202311089598976151</t>
        </is>
      </c>
      <c r="J2890" t="inlineStr">
        <is>
          <t>https://docquery.fec.gov/cgi-bin/fecimg/?202311089598976151</t>
        </is>
      </c>
    </row>
    <row r="2891">
      <c r="A2891" t="inlineStr">
        <is>
          <t>2024</t>
        </is>
      </c>
      <c r="B2891" t="inlineStr">
        <is>
          <t>C00513549</t>
        </is>
      </c>
      <c r="C2891" t="inlineStr">
        <is>
          <t>Phillips 66 PAC</t>
        </is>
      </c>
      <c r="D2891" t="inlineStr">
        <is>
          <t>SCHNEIDER FOR CONGRESS</t>
        </is>
      </c>
      <c r="E2891" t="inlineStr">
        <is>
          <t>H2IL10068</t>
        </is>
      </c>
      <c r="F2891" t="inlineStr">
        <is>
          <t>DEM</t>
        </is>
      </c>
      <c r="G2891" t="inlineStr">
        <is>
          <t>10202023</t>
        </is>
      </c>
      <c r="H2891" t="n">
        <v>2500</v>
      </c>
      <c r="I2891" t="inlineStr">
        <is>
          <t>202311089598976151</t>
        </is>
      </c>
      <c r="J2891" t="inlineStr">
        <is>
          <t>https://docquery.fec.gov/cgi-bin/fecimg/?202311089598976151</t>
        </is>
      </c>
    </row>
    <row r="2892">
      <c r="A2892" t="inlineStr">
        <is>
          <t>2024</t>
        </is>
      </c>
      <c r="B2892" t="inlineStr">
        <is>
          <t>C00513549</t>
        </is>
      </c>
      <c r="C2892" t="inlineStr">
        <is>
          <t>Phillips 66 PAC</t>
        </is>
      </c>
      <c r="D2892" t="inlineStr">
        <is>
          <t>TERRI SEWELL FOR CONGRESS</t>
        </is>
      </c>
      <c r="E2892" t="inlineStr">
        <is>
          <t>H0AL07086</t>
        </is>
      </c>
      <c r="F2892" t="inlineStr">
        <is>
          <t>DEM</t>
        </is>
      </c>
      <c r="G2892" t="inlineStr">
        <is>
          <t>10202023</t>
        </is>
      </c>
      <c r="H2892" t="n">
        <v>1000</v>
      </c>
      <c r="I2892" t="inlineStr">
        <is>
          <t>202311089598976152</t>
        </is>
      </c>
      <c r="J2892" t="inlineStr">
        <is>
          <t>https://docquery.fec.gov/cgi-bin/fecimg/?202311089598976152</t>
        </is>
      </c>
    </row>
    <row r="2893">
      <c r="A2893" t="inlineStr">
        <is>
          <t>2024</t>
        </is>
      </c>
      <c r="B2893" t="inlineStr">
        <is>
          <t>C00513549</t>
        </is>
      </c>
      <c r="C2893" t="inlineStr">
        <is>
          <t>Phillips 66 PAC</t>
        </is>
      </c>
      <c r="D2893" t="inlineStr">
        <is>
          <t>WILEY NICKEL FOR CONGRESS</t>
        </is>
      </c>
      <c r="E2893" t="inlineStr">
        <is>
          <t>H2NC14019</t>
        </is>
      </c>
      <c r="F2893" t="inlineStr">
        <is>
          <t>DEM</t>
        </is>
      </c>
      <c r="G2893" t="inlineStr">
        <is>
          <t>10202023</t>
        </is>
      </c>
      <c r="H2893" t="n">
        <v>1000</v>
      </c>
      <c r="I2893" t="inlineStr">
        <is>
          <t>202311089598976152</t>
        </is>
      </c>
      <c r="J2893" t="inlineStr">
        <is>
          <t>https://docquery.fec.gov/cgi-bin/fecimg/?202311089598976152</t>
        </is>
      </c>
    </row>
    <row r="2894">
      <c r="A2894" t="inlineStr">
        <is>
          <t>2024</t>
        </is>
      </c>
      <c r="B2894" t="inlineStr">
        <is>
          <t>C00513549</t>
        </is>
      </c>
      <c r="C2894" t="inlineStr">
        <is>
          <t>Phillips 66 PAC</t>
        </is>
      </c>
      <c r="D2894" t="inlineStr">
        <is>
          <t>ANGIE CRAIG FOR CONGRESS</t>
        </is>
      </c>
      <c r="E2894" t="inlineStr">
        <is>
          <t>H6MN02131</t>
        </is>
      </c>
      <c r="F2894" t="inlineStr">
        <is>
          <t>DEM</t>
        </is>
      </c>
      <c r="G2894" t="inlineStr">
        <is>
          <t>11132023</t>
        </is>
      </c>
      <c r="H2894" t="n">
        <v>1000</v>
      </c>
      <c r="I2894" t="inlineStr">
        <is>
          <t>202312189599489799</t>
        </is>
      </c>
      <c r="J2894" t="inlineStr">
        <is>
          <t>https://docquery.fec.gov/cgi-bin/fecimg/?202312189599489799</t>
        </is>
      </c>
    </row>
    <row r="2895">
      <c r="A2895" t="inlineStr">
        <is>
          <t>2024</t>
        </is>
      </c>
      <c r="B2895" t="inlineStr">
        <is>
          <t>C00513549</t>
        </is>
      </c>
      <c r="C2895" t="inlineStr">
        <is>
          <t>Phillips 66 PAC</t>
        </is>
      </c>
      <c r="D2895" t="inlineStr">
        <is>
          <t>CURTIS FOR CONGRESS</t>
        </is>
      </c>
      <c r="E2895" t="inlineStr">
        <is>
          <t>H8UT03238</t>
        </is>
      </c>
      <c r="F2895" t="inlineStr">
        <is>
          <t>REP</t>
        </is>
      </c>
      <c r="G2895" t="inlineStr">
        <is>
          <t>11132023</t>
        </is>
      </c>
      <c r="H2895" t="n">
        <v>1500</v>
      </c>
      <c r="I2895" t="inlineStr">
        <is>
          <t>202312189599489799</t>
        </is>
      </c>
      <c r="J2895" t="inlineStr">
        <is>
          <t>https://docquery.fec.gov/cgi-bin/fecimg/?202312189599489799</t>
        </is>
      </c>
    </row>
    <row r="2896">
      <c r="A2896" t="inlineStr">
        <is>
          <t>2024</t>
        </is>
      </c>
      <c r="B2896" t="inlineStr">
        <is>
          <t>C00513549</t>
        </is>
      </c>
      <c r="C2896" t="inlineStr">
        <is>
          <t>Phillips 66 PAC</t>
        </is>
      </c>
      <c r="D2896" t="inlineStr">
        <is>
          <t>FRIENDS OF JOHN BARRASSO</t>
        </is>
      </c>
      <c r="E2896" t="inlineStr">
        <is>
          <t>S6WY00068</t>
        </is>
      </c>
      <c r="F2896" t="inlineStr">
        <is>
          <t>REP</t>
        </is>
      </c>
      <c r="G2896" t="inlineStr">
        <is>
          <t>11132023</t>
        </is>
      </c>
      <c r="H2896" t="n">
        <v>1000</v>
      </c>
      <c r="I2896" t="inlineStr">
        <is>
          <t>202312189599489800</t>
        </is>
      </c>
      <c r="J2896" t="inlineStr">
        <is>
          <t>https://docquery.fec.gov/cgi-bin/fecimg/?202312189599489800</t>
        </is>
      </c>
    </row>
    <row r="2897">
      <c r="A2897" t="inlineStr">
        <is>
          <t>2024</t>
        </is>
      </c>
      <c r="B2897" t="inlineStr">
        <is>
          <t>C00513549</t>
        </is>
      </c>
      <c r="C2897" t="inlineStr">
        <is>
          <t>Phillips 66 PAC</t>
        </is>
      </c>
      <c r="D2897" t="inlineStr">
        <is>
          <t>HERN FOR CONGRESS</t>
        </is>
      </c>
      <c r="E2897" t="inlineStr">
        <is>
          <t>H8OK01157</t>
        </is>
      </c>
      <c r="F2897" t="inlineStr">
        <is>
          <t>REP</t>
        </is>
      </c>
      <c r="G2897" t="inlineStr">
        <is>
          <t>11132023</t>
        </is>
      </c>
      <c r="H2897" t="n">
        <v>1500</v>
      </c>
      <c r="I2897" t="inlineStr">
        <is>
          <t>202312189599489800</t>
        </is>
      </c>
      <c r="J2897" t="inlineStr">
        <is>
          <t>https://docquery.fec.gov/cgi-bin/fecimg/?202312189599489800</t>
        </is>
      </c>
    </row>
    <row r="2898">
      <c r="A2898" t="inlineStr">
        <is>
          <t>2024</t>
        </is>
      </c>
      <c r="B2898" t="inlineStr">
        <is>
          <t>C00513549</t>
        </is>
      </c>
      <c r="C2898" t="inlineStr">
        <is>
          <t>Phillips 66 PAC</t>
        </is>
      </c>
      <c r="D2898" t="inlineStr">
        <is>
          <t>JOHN JAMES FOR CONGRESS, INC.</t>
        </is>
      </c>
      <c r="E2898" t="inlineStr">
        <is>
          <t>H2MI10150</t>
        </is>
      </c>
      <c r="F2898" t="inlineStr">
        <is>
          <t>REP</t>
        </is>
      </c>
      <c r="G2898" t="inlineStr">
        <is>
          <t>11132023</t>
        </is>
      </c>
      <c r="H2898" t="n">
        <v>1500</v>
      </c>
      <c r="I2898" t="inlineStr">
        <is>
          <t>202312189599489801</t>
        </is>
      </c>
      <c r="J2898" t="inlineStr">
        <is>
          <t>https://docquery.fec.gov/cgi-bin/fecimg/?202312189599489801</t>
        </is>
      </c>
    </row>
    <row r="2899">
      <c r="A2899" t="inlineStr">
        <is>
          <t>2024</t>
        </is>
      </c>
      <c r="B2899" t="inlineStr">
        <is>
          <t>C00513549</t>
        </is>
      </c>
      <c r="C2899" t="inlineStr">
        <is>
          <t>Phillips 66 PAC</t>
        </is>
      </c>
      <c r="D2899" t="inlineStr">
        <is>
          <t>KEAN FOR CONGRESS INC</t>
        </is>
      </c>
      <c r="E2899" t="inlineStr">
        <is>
          <t>H0NJ07261</t>
        </is>
      </c>
      <c r="F2899" t="inlineStr">
        <is>
          <t>REP</t>
        </is>
      </c>
      <c r="G2899" t="inlineStr">
        <is>
          <t>11132023</t>
        </is>
      </c>
      <c r="H2899" t="n">
        <v>1500</v>
      </c>
      <c r="I2899" t="inlineStr">
        <is>
          <t>202312189599489801</t>
        </is>
      </c>
      <c r="J2899" t="inlineStr">
        <is>
          <t>https://docquery.fec.gov/cgi-bin/fecimg/?202312189599489801</t>
        </is>
      </c>
    </row>
    <row r="2900">
      <c r="A2900" t="inlineStr">
        <is>
          <t>2024</t>
        </is>
      </c>
      <c r="B2900" t="inlineStr">
        <is>
          <t>C00513549</t>
        </is>
      </c>
      <c r="C2900" t="inlineStr">
        <is>
          <t>Phillips 66 PAC</t>
        </is>
      </c>
      <c r="D2900" t="inlineStr">
        <is>
          <t>KEN CALVERT FOR CONGRESS COMMI</t>
        </is>
      </c>
      <c r="E2900" t="inlineStr">
        <is>
          <t>H2CA37023</t>
        </is>
      </c>
      <c r="F2900" t="inlineStr">
        <is>
          <t>REP</t>
        </is>
      </c>
      <c r="G2900" t="inlineStr">
        <is>
          <t>11132023</t>
        </is>
      </c>
      <c r="H2900" t="n">
        <v>1000</v>
      </c>
      <c r="I2900" t="inlineStr">
        <is>
          <t>202312189599489801</t>
        </is>
      </c>
      <c r="J2900" t="inlineStr">
        <is>
          <t>https://docquery.fec.gov/cgi-bin/fecimg/?202312189599489801</t>
        </is>
      </c>
    </row>
    <row r="2901">
      <c r="A2901" t="inlineStr">
        <is>
          <t>2024</t>
        </is>
      </c>
      <c r="B2901" t="inlineStr">
        <is>
          <t>C00513549</t>
        </is>
      </c>
      <c r="C2901" t="inlineStr">
        <is>
          <t>Phillips 66 PAC</t>
        </is>
      </c>
      <c r="D2901" t="inlineStr">
        <is>
          <t>LAWLER FOR CONGRESS</t>
        </is>
      </c>
      <c r="E2901" t="inlineStr">
        <is>
          <t>H2NY17162</t>
        </is>
      </c>
      <c r="F2901" t="inlineStr">
        <is>
          <t>REP</t>
        </is>
      </c>
      <c r="G2901" t="inlineStr">
        <is>
          <t>11132023</t>
        </is>
      </c>
      <c r="H2901" t="n">
        <v>1000</v>
      </c>
      <c r="I2901" t="inlineStr">
        <is>
          <t>202312189599489802</t>
        </is>
      </c>
      <c r="J2901" t="inlineStr">
        <is>
          <t>https://docquery.fec.gov/cgi-bin/fecimg/?202312189599489802</t>
        </is>
      </c>
    </row>
    <row r="2902">
      <c r="A2902" t="inlineStr">
        <is>
          <t>2024</t>
        </is>
      </c>
      <c r="B2902" t="inlineStr">
        <is>
          <t>C00513549</t>
        </is>
      </c>
      <c r="C2902" t="inlineStr">
        <is>
          <t>Phillips 66 PAC</t>
        </is>
      </c>
      <c r="D2902" t="inlineStr">
        <is>
          <t>MIKIE SHERRILL FOR CONGRESS</t>
        </is>
      </c>
      <c r="E2902" t="inlineStr">
        <is>
          <t>H8NJ11142</t>
        </is>
      </c>
      <c r="F2902" t="inlineStr">
        <is>
          <t>DEM</t>
        </is>
      </c>
      <c r="G2902" t="inlineStr">
        <is>
          <t>11132023</t>
        </is>
      </c>
      <c r="H2902" t="n">
        <v>1000</v>
      </c>
      <c r="I2902" t="inlineStr">
        <is>
          <t>202312189599489802</t>
        </is>
      </c>
      <c r="J2902" t="inlineStr">
        <is>
          <t>https://docquery.fec.gov/cgi-bin/fecimg/?202312189599489802</t>
        </is>
      </c>
    </row>
    <row r="2903">
      <c r="A2903" t="inlineStr">
        <is>
          <t>2024</t>
        </is>
      </c>
      <c r="B2903" t="inlineStr">
        <is>
          <t>C00513549</t>
        </is>
      </c>
      <c r="C2903" t="inlineStr">
        <is>
          <t>Phillips 66 PAC</t>
        </is>
      </c>
      <c r="D2903" t="inlineStr">
        <is>
          <t>TEXANS FOR MORGAN LUTTRELL</t>
        </is>
      </c>
      <c r="E2903" t="inlineStr">
        <is>
          <t>H2TX08182</t>
        </is>
      </c>
      <c r="F2903" t="inlineStr">
        <is>
          <t>REP</t>
        </is>
      </c>
      <c r="G2903" t="inlineStr">
        <is>
          <t>11132023</t>
        </is>
      </c>
      <c r="H2903" t="n">
        <v>1000</v>
      </c>
      <c r="I2903" t="inlineStr">
        <is>
          <t>202312189599489802</t>
        </is>
      </c>
      <c r="J2903" t="inlineStr">
        <is>
          <t>https://docquery.fec.gov/cgi-bin/fecimg/?202312189599489802</t>
        </is>
      </c>
    </row>
    <row r="2904">
      <c r="A2904" t="inlineStr">
        <is>
          <t>2024</t>
        </is>
      </c>
      <c r="B2904" t="inlineStr">
        <is>
          <t>C00513549</t>
        </is>
      </c>
      <c r="C2904" t="inlineStr">
        <is>
          <t>Phillips 66 PAC</t>
        </is>
      </c>
      <c r="D2904" t="inlineStr">
        <is>
          <t>ADRIAN SMITH FOR CONGRESS</t>
        </is>
      </c>
      <c r="E2904" t="inlineStr">
        <is>
          <t>H6NE03115</t>
        </is>
      </c>
      <c r="F2904" t="inlineStr">
        <is>
          <t>REP</t>
        </is>
      </c>
      <c r="G2904" t="inlineStr">
        <is>
          <t>11132023</t>
        </is>
      </c>
      <c r="H2904" t="n">
        <v>2500</v>
      </c>
      <c r="I2904" t="inlineStr">
        <is>
          <t>202312189599489799</t>
        </is>
      </c>
      <c r="J2904" t="inlineStr">
        <is>
          <t>https://docquery.fec.gov/cgi-bin/fecimg/?202312189599489799</t>
        </is>
      </c>
    </row>
    <row r="2905">
      <c r="A2905" t="inlineStr">
        <is>
          <t>2024</t>
        </is>
      </c>
      <c r="B2905" t="inlineStr">
        <is>
          <t>C00513549</t>
        </is>
      </c>
      <c r="C2905" t="inlineStr">
        <is>
          <t>Phillips 66 PAC</t>
        </is>
      </c>
      <c r="D2905" t="inlineStr">
        <is>
          <t>MIKE JOHNSON FOR LOUISIANA</t>
        </is>
      </c>
      <c r="E2905" t="inlineStr">
        <is>
          <t>H6LA04138</t>
        </is>
      </c>
      <c r="F2905" t="inlineStr">
        <is>
          <t>REP</t>
        </is>
      </c>
      <c r="G2905" t="inlineStr">
        <is>
          <t>12112023</t>
        </is>
      </c>
      <c r="H2905" t="n">
        <v>5000</v>
      </c>
      <c r="I2905" t="inlineStr">
        <is>
          <t>202401189600103054</t>
        </is>
      </c>
      <c r="J2905" t="inlineStr">
        <is>
          <t>https://docquery.fec.gov/cgi-bin/fecimg/?202401189600103054</t>
        </is>
      </c>
    </row>
    <row r="2906">
      <c r="A2906" t="inlineStr">
        <is>
          <t>2024</t>
        </is>
      </c>
      <c r="B2906" t="inlineStr">
        <is>
          <t>C00513549</t>
        </is>
      </c>
      <c r="C2906" t="inlineStr">
        <is>
          <t>Phillips 66 PAC</t>
        </is>
      </c>
      <c r="D2906" t="inlineStr">
        <is>
          <t>RUSS FULCHER FOR IDAHO</t>
        </is>
      </c>
      <c r="E2906" t="inlineStr">
        <is>
          <t>H8ID01124</t>
        </is>
      </c>
      <c r="F2906" t="inlineStr">
        <is>
          <t>REP</t>
        </is>
      </c>
      <c r="G2906" t="inlineStr">
        <is>
          <t>12112024</t>
        </is>
      </c>
      <c r="H2906" t="n">
        <v>-2500</v>
      </c>
      <c r="I2906" t="inlineStr">
        <is>
          <t>202501309748279689</t>
        </is>
      </c>
      <c r="J2906" t="inlineStr">
        <is>
          <t>https://docquery.fec.gov/cgi-bin/fecimg/?202501309748279689</t>
        </is>
      </c>
    </row>
    <row r="2907">
      <c r="A2907" t="inlineStr">
        <is>
          <t>2024</t>
        </is>
      </c>
      <c r="B2907" t="inlineStr">
        <is>
          <t>C00513549</t>
        </is>
      </c>
      <c r="C2907" t="inlineStr">
        <is>
          <t>Phillips 66 PAC</t>
        </is>
      </c>
      <c r="D2907" t="inlineStr">
        <is>
          <t>MIKIE SHERRILL FOR CONGRESS</t>
        </is>
      </c>
      <c r="E2907" t="inlineStr">
        <is>
          <t>H8NJ11142</t>
        </is>
      </c>
      <c r="F2907" t="inlineStr">
        <is>
          <t>DEM</t>
        </is>
      </c>
      <c r="G2907" t="inlineStr">
        <is>
          <t>12182023</t>
        </is>
      </c>
      <c r="H2907" t="n">
        <v>-1000</v>
      </c>
      <c r="I2907" t="inlineStr">
        <is>
          <t>202401189600103054</t>
        </is>
      </c>
      <c r="J2907" t="inlineStr">
        <is>
          <t>https://docquery.fec.gov/cgi-bin/fecimg/?202401189600103054</t>
        </is>
      </c>
    </row>
    <row r="2908">
      <c r="A2908" t="inlineStr">
        <is>
          <t>2024</t>
        </is>
      </c>
      <c r="B2908" t="inlineStr">
        <is>
          <t>C00513549</t>
        </is>
      </c>
      <c r="C2908" t="inlineStr">
        <is>
          <t>Phillips 66 PAC</t>
        </is>
      </c>
      <c r="D2908" t="inlineStr">
        <is>
          <t>ANGIE CRAIG FOR CONGRESS</t>
        </is>
      </c>
      <c r="E2908" t="inlineStr">
        <is>
          <t>H6MN02131</t>
        </is>
      </c>
      <c r="F2908" t="inlineStr">
        <is>
          <t>DEM</t>
        </is>
      </c>
      <c r="G2908" t="inlineStr">
        <is>
          <t>12182023</t>
        </is>
      </c>
      <c r="H2908" t="n">
        <v>-1000</v>
      </c>
      <c r="I2908" t="inlineStr">
        <is>
          <t>202401189600103054</t>
        </is>
      </c>
      <c r="J2908" t="inlineStr">
        <is>
          <t>https://docquery.fec.gov/cgi-bin/fecimg/?202401189600103054</t>
        </is>
      </c>
    </row>
    <row r="2909">
      <c r="A2909" t="inlineStr">
        <is>
          <t>2024</t>
        </is>
      </c>
      <c r="B2909" t="inlineStr">
        <is>
          <t>C00109546</t>
        </is>
      </c>
      <c r="C2909" t="inlineStr">
        <is>
          <t>Valero Energy Corp PAC</t>
        </is>
      </c>
      <c r="D2909" t="inlineStr">
        <is>
          <t>BILIRAKIS FOR CONGRESS</t>
        </is>
      </c>
      <c r="E2909" t="inlineStr">
        <is>
          <t>H6FL09070</t>
        </is>
      </c>
      <c r="F2909" t="inlineStr">
        <is>
          <t>REP</t>
        </is>
      </c>
      <c r="G2909" t="inlineStr">
        <is>
          <t>01292024</t>
        </is>
      </c>
      <c r="H2909" t="n">
        <v>5000</v>
      </c>
      <c r="I2909" t="inlineStr">
        <is>
          <t>202402139619761579</t>
        </is>
      </c>
      <c r="J2909" t="inlineStr">
        <is>
          <t>https://docquery.fec.gov/cgi-bin/fecimg/?202402139619761579</t>
        </is>
      </c>
    </row>
    <row r="2910">
      <c r="A2910" t="inlineStr">
        <is>
          <t>2024</t>
        </is>
      </c>
      <c r="B2910" t="inlineStr">
        <is>
          <t>C00109546</t>
        </is>
      </c>
      <c r="C2910" t="inlineStr">
        <is>
          <t>Valero Energy Corp PAC</t>
        </is>
      </c>
      <c r="D2910" t="inlineStr">
        <is>
          <t>DR JOHN JOYCE FOR CONGRESS</t>
        </is>
      </c>
      <c r="E2910" t="inlineStr">
        <is>
          <t>H8PA13125</t>
        </is>
      </c>
      <c r="F2910" t="inlineStr">
        <is>
          <t>REP</t>
        </is>
      </c>
      <c r="G2910" t="inlineStr">
        <is>
          <t>01292024</t>
        </is>
      </c>
      <c r="H2910" t="n">
        <v>5000</v>
      </c>
      <c r="I2910" t="inlineStr">
        <is>
          <t>202402139619761579</t>
        </is>
      </c>
      <c r="J2910" t="inlineStr">
        <is>
          <t>https://docquery.fec.gov/cgi-bin/fecimg/?202402139619761579</t>
        </is>
      </c>
    </row>
    <row r="2911">
      <c r="A2911" t="inlineStr">
        <is>
          <t>2024</t>
        </is>
      </c>
      <c r="B2911" t="inlineStr">
        <is>
          <t>C00109546</t>
        </is>
      </c>
      <c r="C2911" t="inlineStr">
        <is>
          <t>Valero Energy Corp PAC</t>
        </is>
      </c>
      <c r="D2911" t="inlineStr">
        <is>
          <t>JASON SMITH FOR CONGRESS</t>
        </is>
      </c>
      <c r="E2911" t="inlineStr">
        <is>
          <t>H4MO08162</t>
        </is>
      </c>
      <c r="F2911" t="inlineStr">
        <is>
          <t>REP</t>
        </is>
      </c>
      <c r="G2911" t="inlineStr">
        <is>
          <t>01292024</t>
        </is>
      </c>
      <c r="H2911" t="n">
        <v>5000</v>
      </c>
      <c r="I2911" t="inlineStr">
        <is>
          <t>202402139619761580</t>
        </is>
      </c>
      <c r="J2911" t="inlineStr">
        <is>
          <t>https://docquery.fec.gov/cgi-bin/fecimg/?202402139619761580</t>
        </is>
      </c>
    </row>
    <row r="2912">
      <c r="A2912" t="inlineStr">
        <is>
          <t>2024</t>
        </is>
      </c>
      <c r="B2912" t="inlineStr">
        <is>
          <t>C00109546</t>
        </is>
      </c>
      <c r="C2912" t="inlineStr">
        <is>
          <t>Valero Energy Corp PAC</t>
        </is>
      </c>
      <c r="D2912" t="inlineStr">
        <is>
          <t>VINCE FONG FOR CONGRESS</t>
        </is>
      </c>
      <c r="E2912" t="inlineStr">
        <is>
          <t>H4CA20181</t>
        </is>
      </c>
      <c r="F2912" t="inlineStr">
        <is>
          <t>REP</t>
        </is>
      </c>
      <c r="G2912" t="inlineStr">
        <is>
          <t>01292024</t>
        </is>
      </c>
      <c r="H2912" t="n">
        <v>5000</v>
      </c>
      <c r="I2912" t="inlineStr">
        <is>
          <t>202402139619761580</t>
        </is>
      </c>
      <c r="J2912" t="inlineStr">
        <is>
          <t>https://docquery.fec.gov/cgi-bin/fecimg/?202402139619761580</t>
        </is>
      </c>
    </row>
    <row r="2913">
      <c r="A2913" t="inlineStr">
        <is>
          <t>2024</t>
        </is>
      </c>
      <c r="B2913" t="inlineStr">
        <is>
          <t>C00109546</t>
        </is>
      </c>
      <c r="C2913" t="inlineStr">
        <is>
          <t>Valero Energy Corp PAC</t>
        </is>
      </c>
      <c r="D2913" t="inlineStr">
        <is>
          <t>BUCSHON FOR CONGRESS</t>
        </is>
      </c>
      <c r="E2913" t="inlineStr">
        <is>
          <t>H0IN08114</t>
        </is>
      </c>
      <c r="F2913" t="inlineStr">
        <is>
          <t>REP</t>
        </is>
      </c>
      <c r="G2913" t="inlineStr">
        <is>
          <t>02162024</t>
        </is>
      </c>
      <c r="H2913" t="n">
        <v>-2500</v>
      </c>
      <c r="I2913" t="inlineStr">
        <is>
          <t>202403209622585430</t>
        </is>
      </c>
      <c r="J2913" t="inlineStr">
        <is>
          <t>https://docquery.fec.gov/cgi-bin/fecimg/?202403209622585430</t>
        </is>
      </c>
    </row>
    <row r="2914">
      <c r="A2914" t="inlineStr">
        <is>
          <t>2024</t>
        </is>
      </c>
      <c r="B2914" t="inlineStr">
        <is>
          <t>C00109546</t>
        </is>
      </c>
      <c r="C2914" t="inlineStr">
        <is>
          <t>Valero Energy Corp PAC</t>
        </is>
      </c>
      <c r="D2914" t="inlineStr">
        <is>
          <t>GARY PALMER FOR CONGRESS</t>
        </is>
      </c>
      <c r="E2914" t="inlineStr">
        <is>
          <t>H4AL06098</t>
        </is>
      </c>
      <c r="F2914" t="inlineStr">
        <is>
          <t>REP</t>
        </is>
      </c>
      <c r="G2914" t="inlineStr">
        <is>
          <t>02262024</t>
        </is>
      </c>
      <c r="H2914" t="n">
        <v>2500</v>
      </c>
      <c r="I2914" t="inlineStr">
        <is>
          <t>202403209622585432</t>
        </is>
      </c>
      <c r="J2914" t="inlineStr">
        <is>
          <t>https://docquery.fec.gov/cgi-bin/fecimg/?202403209622585432</t>
        </is>
      </c>
    </row>
    <row r="2915">
      <c r="A2915" t="inlineStr">
        <is>
          <t>2024</t>
        </is>
      </c>
      <c r="B2915" t="inlineStr">
        <is>
          <t>C00109546</t>
        </is>
      </c>
      <c r="C2915" t="inlineStr">
        <is>
          <t>Valero Energy Corp PAC</t>
        </is>
      </c>
      <c r="D2915" t="inlineStr">
        <is>
          <t>HUNT FOR CONGRESS</t>
        </is>
      </c>
      <c r="E2915" t="inlineStr">
        <is>
          <t>H0TX07170</t>
        </is>
      </c>
      <c r="F2915" t="inlineStr">
        <is>
          <t>REP</t>
        </is>
      </c>
      <c r="G2915" t="inlineStr">
        <is>
          <t>02262024</t>
        </is>
      </c>
      <c r="H2915" t="n">
        <v>2500</v>
      </c>
      <c r="I2915" t="inlineStr">
        <is>
          <t>202403209622585433</t>
        </is>
      </c>
      <c r="J2915" t="inlineStr">
        <is>
          <t>https://docquery.fec.gov/cgi-bin/fecimg/?202403209622585433</t>
        </is>
      </c>
    </row>
    <row r="2916">
      <c r="A2916" t="inlineStr">
        <is>
          <t>2024</t>
        </is>
      </c>
      <c r="B2916" t="inlineStr">
        <is>
          <t>C00109546</t>
        </is>
      </c>
      <c r="C2916" t="inlineStr">
        <is>
          <t>Valero Energy Corp PAC</t>
        </is>
      </c>
      <c r="D2916" t="inlineStr">
        <is>
          <t>LISA MCCLAIN FOR CONGRESS</t>
        </is>
      </c>
      <c r="E2916" t="inlineStr">
        <is>
          <t>H0MI10287</t>
        </is>
      </c>
      <c r="F2916" t="inlineStr">
        <is>
          <t>REP</t>
        </is>
      </c>
      <c r="G2916" t="inlineStr">
        <is>
          <t>02262024</t>
        </is>
      </c>
      <c r="H2916" t="n">
        <v>5000</v>
      </c>
      <c r="I2916" t="inlineStr">
        <is>
          <t>202403209622585433</t>
        </is>
      </c>
      <c r="J2916" t="inlineStr">
        <is>
          <t>https://docquery.fec.gov/cgi-bin/fecimg/?202403209622585433</t>
        </is>
      </c>
    </row>
    <row r="2917">
      <c r="A2917" t="inlineStr">
        <is>
          <t>2024</t>
        </is>
      </c>
      <c r="B2917" t="inlineStr">
        <is>
          <t>C00109546</t>
        </is>
      </c>
      <c r="C2917" t="inlineStr">
        <is>
          <t>Valero Energy Corp PAC</t>
        </is>
      </c>
      <c r="D2917" t="inlineStr">
        <is>
          <t>WEBER FOR CONGRESS</t>
        </is>
      </c>
      <c r="E2917" t="inlineStr">
        <is>
          <t>H2TX14149</t>
        </is>
      </c>
      <c r="F2917" t="inlineStr">
        <is>
          <t>REP</t>
        </is>
      </c>
      <c r="G2917" t="inlineStr">
        <is>
          <t>02262024</t>
        </is>
      </c>
      <c r="H2917" t="n">
        <v>5000</v>
      </c>
      <c r="I2917" t="inlineStr">
        <is>
          <t>202403209622585436</t>
        </is>
      </c>
      <c r="J2917" t="inlineStr">
        <is>
          <t>https://docquery.fec.gov/cgi-bin/fecimg/?202403209622585436</t>
        </is>
      </c>
    </row>
    <row r="2918">
      <c r="A2918" t="inlineStr">
        <is>
          <t>2024</t>
        </is>
      </c>
      <c r="B2918" t="inlineStr">
        <is>
          <t>C00109546</t>
        </is>
      </c>
      <c r="C2918" t="inlineStr">
        <is>
          <t>Valero Energy Corp PAC</t>
        </is>
      </c>
      <c r="D2918" t="inlineStr">
        <is>
          <t>FALLON FOR CONGRESS</t>
        </is>
      </c>
      <c r="E2918" t="inlineStr">
        <is>
          <t>H0TX04219</t>
        </is>
      </c>
      <c r="F2918" t="inlineStr">
        <is>
          <t>REP</t>
        </is>
      </c>
      <c r="G2918" t="inlineStr">
        <is>
          <t>02262024</t>
        </is>
      </c>
      <c r="H2918" t="n">
        <v>2500</v>
      </c>
      <c r="I2918" t="inlineStr">
        <is>
          <t>202403209622585432</t>
        </is>
      </c>
      <c r="J2918" t="inlineStr">
        <is>
          <t>https://docquery.fec.gov/cgi-bin/fecimg/?202403209622585432</t>
        </is>
      </c>
    </row>
    <row r="2919">
      <c r="A2919" t="inlineStr">
        <is>
          <t>2024</t>
        </is>
      </c>
      <c r="B2919" t="inlineStr">
        <is>
          <t>C00109546</t>
        </is>
      </c>
      <c r="C2919" t="inlineStr">
        <is>
          <t>Valero Energy Corp PAC</t>
        </is>
      </c>
      <c r="D2919" t="inlineStr">
        <is>
          <t>DAN CRENSHAW FOR CONGRESS</t>
        </is>
      </c>
      <c r="E2919" t="inlineStr">
        <is>
          <t>H8TX02166</t>
        </is>
      </c>
      <c r="F2919" t="inlineStr">
        <is>
          <t>REP</t>
        </is>
      </c>
      <c r="G2919" t="inlineStr">
        <is>
          <t>02282023</t>
        </is>
      </c>
      <c r="H2919" t="n">
        <v>-5000</v>
      </c>
      <c r="I2919" t="inlineStr">
        <is>
          <t>202303209579401165</t>
        </is>
      </c>
      <c r="J2919" t="inlineStr">
        <is>
          <t>https://docquery.fec.gov/cgi-bin/fecimg/?202303209579401165</t>
        </is>
      </c>
    </row>
    <row r="2920">
      <c r="A2920" t="inlineStr">
        <is>
          <t>2024</t>
        </is>
      </c>
      <c r="B2920" t="inlineStr">
        <is>
          <t>C00109546</t>
        </is>
      </c>
      <c r="C2920" t="inlineStr">
        <is>
          <t>Valero Energy Corp PAC</t>
        </is>
      </c>
      <c r="D2920" t="inlineStr">
        <is>
          <t>FALLON FOR CONGRESS</t>
        </is>
      </c>
      <c r="E2920" t="inlineStr">
        <is>
          <t>H0TX04219</t>
        </is>
      </c>
      <c r="F2920" t="inlineStr">
        <is>
          <t>REP</t>
        </is>
      </c>
      <c r="G2920" t="inlineStr">
        <is>
          <t>02282023</t>
        </is>
      </c>
      <c r="H2920" t="n">
        <v>-5000</v>
      </c>
      <c r="I2920" t="inlineStr">
        <is>
          <t>202303209579401165</t>
        </is>
      </c>
      <c r="J2920" t="inlineStr">
        <is>
          <t>https://docquery.fec.gov/cgi-bin/fecimg/?202303209579401165</t>
        </is>
      </c>
    </row>
    <row r="2921">
      <c r="A2921" t="inlineStr">
        <is>
          <t>2024</t>
        </is>
      </c>
      <c r="B2921" t="inlineStr">
        <is>
          <t>C00109546</t>
        </is>
      </c>
      <c r="C2921" t="inlineStr">
        <is>
          <t>Valero Energy Corp PAC</t>
        </is>
      </c>
      <c r="D2921" t="inlineStr">
        <is>
          <t>ASHLEY HINSON FOR CONGRESS</t>
        </is>
      </c>
      <c r="E2921" t="inlineStr">
        <is>
          <t>H0IA01174</t>
        </is>
      </c>
      <c r="F2921" t="inlineStr">
        <is>
          <t>REP</t>
        </is>
      </c>
      <c r="G2921" t="inlineStr">
        <is>
          <t>03012023</t>
        </is>
      </c>
      <c r="H2921" t="n">
        <v>5000</v>
      </c>
      <c r="I2921" t="inlineStr">
        <is>
          <t>202304209581167683</t>
        </is>
      </c>
      <c r="J2921" t="inlineStr">
        <is>
          <t>https://docquery.fec.gov/cgi-bin/fecimg/?202304209581167683</t>
        </is>
      </c>
    </row>
    <row r="2922">
      <c r="A2922" t="inlineStr">
        <is>
          <t>2024</t>
        </is>
      </c>
      <c r="B2922" t="inlineStr">
        <is>
          <t>C00109546</t>
        </is>
      </c>
      <c r="C2922" t="inlineStr">
        <is>
          <t>Valero Energy Corp PAC</t>
        </is>
      </c>
      <c r="D2922" t="inlineStr">
        <is>
          <t>AUGUST PFLUGER FOR CONGRESS</t>
        </is>
      </c>
      <c r="E2922" t="inlineStr">
        <is>
          <t>H0TX11230</t>
        </is>
      </c>
      <c r="F2922" t="inlineStr">
        <is>
          <t>REP</t>
        </is>
      </c>
      <c r="G2922" t="inlineStr">
        <is>
          <t>03012023</t>
        </is>
      </c>
      <c r="H2922" t="n">
        <v>5000</v>
      </c>
      <c r="I2922" t="inlineStr">
        <is>
          <t>202304209581167683</t>
        </is>
      </c>
      <c r="J2922" t="inlineStr">
        <is>
          <t>https://docquery.fec.gov/cgi-bin/fecimg/?202304209581167683</t>
        </is>
      </c>
    </row>
    <row r="2923">
      <c r="A2923" t="inlineStr">
        <is>
          <t>2024</t>
        </is>
      </c>
      <c r="B2923" t="inlineStr">
        <is>
          <t>C00109546</t>
        </is>
      </c>
      <c r="C2923" t="inlineStr">
        <is>
          <t>Valero Energy Corp PAC</t>
        </is>
      </c>
      <c r="D2923" t="inlineStr">
        <is>
          <t>HUDSON FOR CONGRESS</t>
        </is>
      </c>
      <c r="E2923" t="inlineStr">
        <is>
          <t>H2NC08185</t>
        </is>
      </c>
      <c r="F2923" t="inlineStr">
        <is>
          <t>REP</t>
        </is>
      </c>
      <c r="G2923" t="inlineStr">
        <is>
          <t>03012023</t>
        </is>
      </c>
      <c r="H2923" t="n">
        <v>5000</v>
      </c>
      <c r="I2923" t="inlineStr">
        <is>
          <t>202304209581167685</t>
        </is>
      </c>
      <c r="J2923" t="inlineStr">
        <is>
          <t>https://docquery.fec.gov/cgi-bin/fecimg/?202304209581167685</t>
        </is>
      </c>
    </row>
    <row r="2924">
      <c r="A2924" t="inlineStr">
        <is>
          <t>2024</t>
        </is>
      </c>
      <c r="B2924" t="inlineStr">
        <is>
          <t>C00109546</t>
        </is>
      </c>
      <c r="C2924" t="inlineStr">
        <is>
          <t>Valero Energy Corp PAC</t>
        </is>
      </c>
      <c r="D2924" t="inlineStr">
        <is>
          <t>LATTA FOR CONGRESS</t>
        </is>
      </c>
      <c r="E2924" t="inlineStr">
        <is>
          <t>H8OH05036</t>
        </is>
      </c>
      <c r="F2924" t="inlineStr">
        <is>
          <t>REP</t>
        </is>
      </c>
      <c r="G2924" t="inlineStr">
        <is>
          <t>03012023</t>
        </is>
      </c>
      <c r="H2924" t="n">
        <v>5000</v>
      </c>
      <c r="I2924" t="inlineStr">
        <is>
          <t>202304209581167686</t>
        </is>
      </c>
      <c r="J2924" t="inlineStr">
        <is>
          <t>https://docquery.fec.gov/cgi-bin/fecimg/?202304209581167686</t>
        </is>
      </c>
    </row>
    <row r="2925">
      <c r="A2925" t="inlineStr">
        <is>
          <t>2024</t>
        </is>
      </c>
      <c r="B2925" t="inlineStr">
        <is>
          <t>C00109546</t>
        </is>
      </c>
      <c r="C2925" t="inlineStr">
        <is>
          <t>Valero Energy Corp PAC</t>
        </is>
      </c>
      <c r="D2925" t="inlineStr">
        <is>
          <t>TEXANS FOR JODEY ARRINGTON</t>
        </is>
      </c>
      <c r="E2925" t="inlineStr">
        <is>
          <t>H6TX19099</t>
        </is>
      </c>
      <c r="F2925" t="inlineStr">
        <is>
          <t>REP</t>
        </is>
      </c>
      <c r="G2925" t="inlineStr">
        <is>
          <t>03012023</t>
        </is>
      </c>
      <c r="H2925" t="n">
        <v>5000</v>
      </c>
      <c r="I2925" t="inlineStr">
        <is>
          <t>202304209581167691</t>
        </is>
      </c>
      <c r="J2925" t="inlineStr">
        <is>
          <t>https://docquery.fec.gov/cgi-bin/fecimg/?202304209581167691</t>
        </is>
      </c>
    </row>
    <row r="2926">
      <c r="A2926" t="inlineStr">
        <is>
          <t>2024</t>
        </is>
      </c>
      <c r="B2926" t="inlineStr">
        <is>
          <t>C00109546</t>
        </is>
      </c>
      <c r="C2926" t="inlineStr">
        <is>
          <t>Valero Energy Corp PAC</t>
        </is>
      </c>
      <c r="D2926" t="inlineStr">
        <is>
          <t>TONY GONZALES FOR CONGRESS</t>
        </is>
      </c>
      <c r="E2926" t="inlineStr">
        <is>
          <t>H0TX35015</t>
        </is>
      </c>
      <c r="F2926" t="inlineStr">
        <is>
          <t>REP</t>
        </is>
      </c>
      <c r="G2926" t="inlineStr">
        <is>
          <t>03012023</t>
        </is>
      </c>
      <c r="H2926" t="n">
        <v>5000</v>
      </c>
      <c r="I2926" t="inlineStr">
        <is>
          <t>202304209581167692</t>
        </is>
      </c>
      <c r="J2926" t="inlineStr">
        <is>
          <t>https://docquery.fec.gov/cgi-bin/fecimg/?202304209581167692</t>
        </is>
      </c>
    </row>
    <row r="2927">
      <c r="A2927" t="inlineStr">
        <is>
          <t>2024</t>
        </is>
      </c>
      <c r="B2927" t="inlineStr">
        <is>
          <t>C00109546</t>
        </is>
      </c>
      <c r="C2927" t="inlineStr">
        <is>
          <t>Valero Energy Corp PAC</t>
        </is>
      </c>
      <c r="D2927" t="inlineStr">
        <is>
          <t>BICE FOR CONGRESS</t>
        </is>
      </c>
      <c r="E2927" t="inlineStr">
        <is>
          <t>H0OK05205</t>
        </is>
      </c>
      <c r="F2927" t="inlineStr">
        <is>
          <t>REP</t>
        </is>
      </c>
      <c r="G2927" t="inlineStr">
        <is>
          <t>03262024</t>
        </is>
      </c>
      <c r="H2927" t="n">
        <v>5000</v>
      </c>
      <c r="I2927" t="inlineStr">
        <is>
          <t>202404169633425514</t>
        </is>
      </c>
      <c r="J2927" t="inlineStr">
        <is>
          <t>https://docquery.fec.gov/cgi-bin/fecimg/?202404169633425514</t>
        </is>
      </c>
    </row>
    <row r="2928">
      <c r="A2928" t="inlineStr">
        <is>
          <t>2024</t>
        </is>
      </c>
      <c r="B2928" t="inlineStr">
        <is>
          <t>C00109546</t>
        </is>
      </c>
      <c r="C2928" t="inlineStr">
        <is>
          <t>Valero Energy Corp PAC</t>
        </is>
      </c>
      <c r="D2928" t="inlineStr">
        <is>
          <t>AUGUST PFLUGER FOR CONGRESS</t>
        </is>
      </c>
      <c r="E2928" t="inlineStr">
        <is>
          <t>H0TX11230</t>
        </is>
      </c>
      <c r="F2928" t="inlineStr">
        <is>
          <t>REP</t>
        </is>
      </c>
      <c r="G2928" t="inlineStr">
        <is>
          <t>03262024</t>
        </is>
      </c>
      <c r="H2928" t="n">
        <v>5000</v>
      </c>
      <c r="I2928" t="inlineStr">
        <is>
          <t>202404169633425514</t>
        </is>
      </c>
      <c r="J2928" t="inlineStr">
        <is>
          <t>https://docquery.fec.gov/cgi-bin/fecimg/?202404169633425514</t>
        </is>
      </c>
    </row>
    <row r="2929">
      <c r="A2929" t="inlineStr">
        <is>
          <t>2024</t>
        </is>
      </c>
      <c r="B2929" t="inlineStr">
        <is>
          <t>C00109546</t>
        </is>
      </c>
      <c r="C2929" t="inlineStr">
        <is>
          <t>Valero Energy Corp PAC</t>
        </is>
      </c>
      <c r="D2929" t="inlineStr">
        <is>
          <t>BANKS FOR SENATE</t>
        </is>
      </c>
      <c r="E2929" t="inlineStr">
        <is>
          <t>S4IN00196</t>
        </is>
      </c>
      <c r="F2929" t="inlineStr">
        <is>
          <t>REP</t>
        </is>
      </c>
      <c r="G2929" t="inlineStr">
        <is>
          <t>03262024</t>
        </is>
      </c>
      <c r="H2929" t="n">
        <v>5000</v>
      </c>
      <c r="I2929" t="inlineStr">
        <is>
          <t>202404169633425514</t>
        </is>
      </c>
      <c r="J2929" t="inlineStr">
        <is>
          <t>https://docquery.fec.gov/cgi-bin/fecimg/?202404169633425514</t>
        </is>
      </c>
    </row>
    <row r="2930">
      <c r="A2930" t="inlineStr">
        <is>
          <t>2024</t>
        </is>
      </c>
      <c r="B2930" t="inlineStr">
        <is>
          <t>C00109546</t>
        </is>
      </c>
      <c r="C2930" t="inlineStr">
        <is>
          <t>Valero Energy Corp PAC</t>
        </is>
      </c>
      <c r="D2930" t="inlineStr">
        <is>
          <t>GUY FOR CONGRESS</t>
        </is>
      </c>
      <c r="E2930" t="inlineStr">
        <is>
          <t>H8PA18199</t>
        </is>
      </c>
      <c r="F2930" t="inlineStr">
        <is>
          <t>REP</t>
        </is>
      </c>
      <c r="G2930" t="inlineStr">
        <is>
          <t>03262024</t>
        </is>
      </c>
      <c r="H2930" t="n">
        <v>5000</v>
      </c>
      <c r="I2930" t="inlineStr">
        <is>
          <t>202404169633425517</t>
        </is>
      </c>
      <c r="J2930" t="inlineStr">
        <is>
          <t>https://docquery.fec.gov/cgi-bin/fecimg/?202404169633425517</t>
        </is>
      </c>
    </row>
    <row r="2931">
      <c r="A2931" t="inlineStr">
        <is>
          <t>2024</t>
        </is>
      </c>
      <c r="B2931" t="inlineStr">
        <is>
          <t>C00109546</t>
        </is>
      </c>
      <c r="C2931" t="inlineStr">
        <is>
          <t>Valero Energy Corp PAC</t>
        </is>
      </c>
      <c r="D2931" t="inlineStr">
        <is>
          <t>TIM SHEEHY FOR MONTANA</t>
        </is>
      </c>
      <c r="E2931" t="inlineStr">
        <is>
          <t>S4MT00183</t>
        </is>
      </c>
      <c r="F2931" t="inlineStr">
        <is>
          <t>REP</t>
        </is>
      </c>
      <c r="G2931" t="inlineStr">
        <is>
          <t>03262024</t>
        </is>
      </c>
      <c r="H2931" t="n">
        <v>5000</v>
      </c>
      <c r="I2931" t="inlineStr">
        <is>
          <t>202404169633425519</t>
        </is>
      </c>
      <c r="J2931" t="inlineStr">
        <is>
          <t>https://docquery.fec.gov/cgi-bin/fecimg/?202404169633425519</t>
        </is>
      </c>
    </row>
    <row r="2932">
      <c r="A2932" t="inlineStr">
        <is>
          <t>2024</t>
        </is>
      </c>
      <c r="B2932" t="inlineStr">
        <is>
          <t>C00109546</t>
        </is>
      </c>
      <c r="C2932" t="inlineStr">
        <is>
          <t>Valero Energy Corp PAC</t>
        </is>
      </c>
      <c r="D2932" t="inlineStr">
        <is>
          <t>ARMSTRONG FOR CONGRESS</t>
        </is>
      </c>
      <c r="E2932" t="inlineStr">
        <is>
          <t>H8ND00096</t>
        </is>
      </c>
      <c r="F2932" t="inlineStr">
        <is>
          <t>REP</t>
        </is>
      </c>
      <c r="G2932" t="inlineStr">
        <is>
          <t>03282023</t>
        </is>
      </c>
      <c r="H2932" t="n">
        <v>2500</v>
      </c>
      <c r="I2932" t="inlineStr">
        <is>
          <t>202304209581167683</t>
        </is>
      </c>
      <c r="J2932" t="inlineStr">
        <is>
          <t>https://docquery.fec.gov/cgi-bin/fecimg/?202304209581167683</t>
        </is>
      </c>
    </row>
    <row r="2933">
      <c r="A2933" t="inlineStr">
        <is>
          <t>2024</t>
        </is>
      </c>
      <c r="B2933" t="inlineStr">
        <is>
          <t>C00109546</t>
        </is>
      </c>
      <c r="C2933" t="inlineStr">
        <is>
          <t>Valero Energy Corp PAC</t>
        </is>
      </c>
      <c r="D2933" t="inlineStr">
        <is>
          <t>HERN FOR CONGRESS</t>
        </is>
      </c>
      <c r="E2933" t="inlineStr">
        <is>
          <t>H8OK01157</t>
        </is>
      </c>
      <c r="F2933" t="inlineStr">
        <is>
          <t>REP</t>
        </is>
      </c>
      <c r="G2933" t="inlineStr">
        <is>
          <t>03282023</t>
        </is>
      </c>
      <c r="H2933" t="n">
        <v>5000</v>
      </c>
      <c r="I2933" t="inlineStr">
        <is>
          <t>202304209581167685</t>
        </is>
      </c>
      <c r="J2933" t="inlineStr">
        <is>
          <t>https://docquery.fec.gov/cgi-bin/fecimg/?202304209581167685</t>
        </is>
      </c>
    </row>
    <row r="2934">
      <c r="A2934" t="inlineStr">
        <is>
          <t>2024</t>
        </is>
      </c>
      <c r="B2934" t="inlineStr">
        <is>
          <t>C00109546</t>
        </is>
      </c>
      <c r="C2934" t="inlineStr">
        <is>
          <t>Valero Energy Corp PAC</t>
        </is>
      </c>
      <c r="D2934" t="inlineStr">
        <is>
          <t>BICE FOR CONGRESS</t>
        </is>
      </c>
      <c r="E2934" t="inlineStr">
        <is>
          <t>H0OK05205</t>
        </is>
      </c>
      <c r="F2934" t="inlineStr">
        <is>
          <t>REP</t>
        </is>
      </c>
      <c r="G2934" t="inlineStr">
        <is>
          <t>03282023</t>
        </is>
      </c>
      <c r="H2934" t="n">
        <v>5000</v>
      </c>
      <c r="I2934" t="inlineStr">
        <is>
          <t>202304209581167684</t>
        </is>
      </c>
      <c r="J2934" t="inlineStr">
        <is>
          <t>https://docquery.fec.gov/cgi-bin/fecimg/?202304209581167684</t>
        </is>
      </c>
    </row>
    <row r="2935">
      <c r="A2935" t="inlineStr">
        <is>
          <t>2024</t>
        </is>
      </c>
      <c r="B2935" t="inlineStr">
        <is>
          <t>C00109546</t>
        </is>
      </c>
      <c r="C2935" t="inlineStr">
        <is>
          <t>Valero Energy Corp PAC</t>
        </is>
      </c>
      <c r="D2935" t="inlineStr">
        <is>
          <t>CATHY MCMORRIS RODGERS FOR CONGRESS</t>
        </is>
      </c>
      <c r="E2935" t="inlineStr">
        <is>
          <t>H4WA05077</t>
        </is>
      </c>
      <c r="F2935" t="inlineStr">
        <is>
          <t>REP</t>
        </is>
      </c>
      <c r="G2935" t="inlineStr">
        <is>
          <t>03282023</t>
        </is>
      </c>
      <c r="H2935" t="n">
        <v>5000</v>
      </c>
      <c r="I2935" t="inlineStr">
        <is>
          <t>202304209581167684</t>
        </is>
      </c>
      <c r="J2935" t="inlineStr">
        <is>
          <t>https://docquery.fec.gov/cgi-bin/fecimg/?202304209581167684</t>
        </is>
      </c>
    </row>
    <row r="2936">
      <c r="A2936" t="inlineStr">
        <is>
          <t>2024</t>
        </is>
      </c>
      <c r="B2936" t="inlineStr">
        <is>
          <t>C00109546</t>
        </is>
      </c>
      <c r="C2936" t="inlineStr">
        <is>
          <t>Valero Energy Corp PAC</t>
        </is>
      </c>
      <c r="D2936" t="inlineStr">
        <is>
          <t>DR JOHN JOYCE FOR CONGRESS</t>
        </is>
      </c>
      <c r="E2936" t="inlineStr">
        <is>
          <t>H8PA13125</t>
        </is>
      </c>
      <c r="F2936" t="inlineStr">
        <is>
          <t>REP</t>
        </is>
      </c>
      <c r="G2936" t="inlineStr">
        <is>
          <t>03282023</t>
        </is>
      </c>
      <c r="H2936" t="n">
        <v>5000</v>
      </c>
      <c r="I2936" t="inlineStr">
        <is>
          <t>202304209581167684</t>
        </is>
      </c>
      <c r="J2936" t="inlineStr">
        <is>
          <t>https://docquery.fec.gov/cgi-bin/fecimg/?202304209581167684</t>
        </is>
      </c>
    </row>
    <row r="2937">
      <c r="A2937" t="inlineStr">
        <is>
          <t>2024</t>
        </is>
      </c>
      <c r="B2937" t="inlineStr">
        <is>
          <t>C00109546</t>
        </is>
      </c>
      <c r="C2937" t="inlineStr">
        <is>
          <t>Valero Energy Corp PAC</t>
        </is>
      </c>
      <c r="D2937" t="inlineStr">
        <is>
          <t>HUDSON FOR CONGRESS</t>
        </is>
      </c>
      <c r="E2937" t="inlineStr">
        <is>
          <t>H2NC08185</t>
        </is>
      </c>
      <c r="F2937" t="inlineStr">
        <is>
          <t>REP</t>
        </is>
      </c>
      <c r="G2937" t="inlineStr">
        <is>
          <t>03282023</t>
        </is>
      </c>
      <c r="H2937" t="n">
        <v>2500</v>
      </c>
      <c r="I2937" t="inlineStr">
        <is>
          <t>202304209581167686</t>
        </is>
      </c>
      <c r="J2937" t="inlineStr">
        <is>
          <t>https://docquery.fec.gov/cgi-bin/fecimg/?202304209581167686</t>
        </is>
      </c>
    </row>
    <row r="2938">
      <c r="A2938" t="inlineStr">
        <is>
          <t>2024</t>
        </is>
      </c>
      <c r="B2938" t="inlineStr">
        <is>
          <t>C00109546</t>
        </is>
      </c>
      <c r="C2938" t="inlineStr">
        <is>
          <t>Valero Energy Corp PAC</t>
        </is>
      </c>
      <c r="D2938" t="inlineStr">
        <is>
          <t>JASON SMITH FOR CONGRESS</t>
        </is>
      </c>
      <c r="E2938" t="inlineStr">
        <is>
          <t>H4MO08162</t>
        </is>
      </c>
      <c r="F2938" t="inlineStr">
        <is>
          <t>REP</t>
        </is>
      </c>
      <c r="G2938" t="inlineStr">
        <is>
          <t>03282023</t>
        </is>
      </c>
      <c r="H2938" t="n">
        <v>5000</v>
      </c>
      <c r="I2938" t="inlineStr">
        <is>
          <t>202304209581167686</t>
        </is>
      </c>
      <c r="J2938" t="inlineStr">
        <is>
          <t>https://docquery.fec.gov/cgi-bin/fecimg/?202304209581167686</t>
        </is>
      </c>
    </row>
    <row r="2939">
      <c r="A2939" t="inlineStr">
        <is>
          <t>2024</t>
        </is>
      </c>
      <c r="B2939" t="inlineStr">
        <is>
          <t>C00109546</t>
        </is>
      </c>
      <c r="C2939" t="inlineStr">
        <is>
          <t>Valero Energy Corp PAC</t>
        </is>
      </c>
      <c r="D2939" t="inlineStr">
        <is>
          <t>WEBER FOR CONGRESS</t>
        </is>
      </c>
      <c r="E2939" t="inlineStr">
        <is>
          <t>H2TX14149</t>
        </is>
      </c>
      <c r="F2939" t="inlineStr">
        <is>
          <t>REP</t>
        </is>
      </c>
      <c r="G2939" t="inlineStr">
        <is>
          <t>03282023</t>
        </is>
      </c>
      <c r="H2939" t="n">
        <v>5000</v>
      </c>
      <c r="I2939" t="inlineStr">
        <is>
          <t>202304209581167692</t>
        </is>
      </c>
      <c r="J2939" t="inlineStr">
        <is>
          <t>https://docquery.fec.gov/cgi-bin/fecimg/?202304209581167692</t>
        </is>
      </c>
    </row>
    <row r="2940">
      <c r="A2940" t="inlineStr">
        <is>
          <t>2024</t>
        </is>
      </c>
      <c r="B2940" t="inlineStr">
        <is>
          <t>C00109546</t>
        </is>
      </c>
      <c r="C2940" t="inlineStr">
        <is>
          <t>Valero Energy Corp PAC</t>
        </is>
      </c>
      <c r="D2940" t="inlineStr">
        <is>
          <t>EMMER FOR CONGRESS</t>
        </is>
      </c>
      <c r="E2940" t="inlineStr">
        <is>
          <t>H4MN06087</t>
        </is>
      </c>
      <c r="F2940" t="inlineStr">
        <is>
          <t>REP</t>
        </is>
      </c>
      <c r="G2940" t="inlineStr">
        <is>
          <t>04262023</t>
        </is>
      </c>
      <c r="H2940" t="n">
        <v>5000</v>
      </c>
      <c r="I2940" t="inlineStr">
        <is>
          <t>202305199581567500</t>
        </is>
      </c>
      <c r="J2940" t="inlineStr">
        <is>
          <t>https://docquery.fec.gov/cgi-bin/fecimg/?202305199581567500</t>
        </is>
      </c>
    </row>
    <row r="2941">
      <c r="A2941" t="inlineStr">
        <is>
          <t>2024</t>
        </is>
      </c>
      <c r="B2941" t="inlineStr">
        <is>
          <t>C00109546</t>
        </is>
      </c>
      <c r="C2941" t="inlineStr">
        <is>
          <t>Valero Energy Corp PAC</t>
        </is>
      </c>
      <c r="D2941" t="inlineStr">
        <is>
          <t>BALDERSON FOR CONGRESS</t>
        </is>
      </c>
      <c r="E2941" t="inlineStr">
        <is>
          <t>H8OH12180</t>
        </is>
      </c>
      <c r="F2941" t="inlineStr">
        <is>
          <t>REP</t>
        </is>
      </c>
      <c r="G2941" t="inlineStr">
        <is>
          <t>04262023</t>
        </is>
      </c>
      <c r="H2941" t="n">
        <v>2500</v>
      </c>
      <c r="I2941" t="inlineStr">
        <is>
          <t>202305199581567499</t>
        </is>
      </c>
      <c r="J2941" t="inlineStr">
        <is>
          <t>https://docquery.fec.gov/cgi-bin/fecimg/?202305199581567499</t>
        </is>
      </c>
    </row>
    <row r="2942">
      <c r="A2942" t="inlineStr">
        <is>
          <t>2024</t>
        </is>
      </c>
      <c r="B2942" t="inlineStr">
        <is>
          <t>C00109546</t>
        </is>
      </c>
      <c r="C2942" t="inlineStr">
        <is>
          <t>Valero Energy Corp PAC</t>
        </is>
      </c>
      <c r="D2942" t="inlineStr">
        <is>
          <t>EMMER FOR CONGRESS</t>
        </is>
      </c>
      <c r="E2942" t="inlineStr">
        <is>
          <t>H4MN06087</t>
        </is>
      </c>
      <c r="F2942" t="inlineStr">
        <is>
          <t>REP</t>
        </is>
      </c>
      <c r="G2942" t="inlineStr">
        <is>
          <t>04262023</t>
        </is>
      </c>
      <c r="H2942" t="n">
        <v>2500</v>
      </c>
      <c r="I2942" t="inlineStr">
        <is>
          <t>202305199581567499</t>
        </is>
      </c>
      <c r="J2942" t="inlineStr">
        <is>
          <t>https://docquery.fec.gov/cgi-bin/fecimg/?202305199581567499</t>
        </is>
      </c>
    </row>
    <row r="2943">
      <c r="A2943" t="inlineStr">
        <is>
          <t>2024</t>
        </is>
      </c>
      <c r="B2943" t="inlineStr">
        <is>
          <t>C00109546</t>
        </is>
      </c>
      <c r="C2943" t="inlineStr">
        <is>
          <t>Valero Energy Corp PAC</t>
        </is>
      </c>
      <c r="D2943" t="inlineStr">
        <is>
          <t>FRIENDS OF JOHN BARRASSO</t>
        </is>
      </c>
      <c r="E2943" t="inlineStr">
        <is>
          <t>S6WY00068</t>
        </is>
      </c>
      <c r="F2943" t="inlineStr">
        <is>
          <t>REP</t>
        </is>
      </c>
      <c r="G2943" t="inlineStr">
        <is>
          <t>04262023</t>
        </is>
      </c>
      <c r="H2943" t="n">
        <v>2500</v>
      </c>
      <c r="I2943" t="inlineStr">
        <is>
          <t>202305199581567500</t>
        </is>
      </c>
      <c r="J2943" t="inlineStr">
        <is>
          <t>https://docquery.fec.gov/cgi-bin/fecimg/?202305199581567500</t>
        </is>
      </c>
    </row>
    <row r="2944">
      <c r="A2944" t="inlineStr">
        <is>
          <t>2024</t>
        </is>
      </c>
      <c r="B2944" t="inlineStr">
        <is>
          <t>C00109546</t>
        </is>
      </c>
      <c r="C2944" t="inlineStr">
        <is>
          <t>Valero Energy Corp PAC</t>
        </is>
      </c>
      <c r="D2944" t="inlineStr">
        <is>
          <t>FRIENDS OF JOHN BARRASSO</t>
        </is>
      </c>
      <c r="E2944" t="inlineStr">
        <is>
          <t>S6WY00068</t>
        </is>
      </c>
      <c r="F2944" t="inlineStr">
        <is>
          <t>REP</t>
        </is>
      </c>
      <c r="G2944" t="inlineStr">
        <is>
          <t>04262023</t>
        </is>
      </c>
      <c r="H2944" t="n">
        <v>2500</v>
      </c>
      <c r="I2944" t="inlineStr">
        <is>
          <t>202305199581567500</t>
        </is>
      </c>
      <c r="J2944" t="inlineStr">
        <is>
          <t>https://docquery.fec.gov/cgi-bin/fecimg/?202305199581567500</t>
        </is>
      </c>
    </row>
    <row r="2945">
      <c r="A2945" t="inlineStr">
        <is>
          <t>2024</t>
        </is>
      </c>
      <c r="B2945" t="inlineStr">
        <is>
          <t>C00109546</t>
        </is>
      </c>
      <c r="C2945" t="inlineStr">
        <is>
          <t>Valero Energy Corp PAC</t>
        </is>
      </c>
      <c r="D2945" t="inlineStr">
        <is>
          <t>GRAVES FOR CONGRESS</t>
        </is>
      </c>
      <c r="E2945" t="inlineStr">
        <is>
          <t>H0MO06073</t>
        </is>
      </c>
      <c r="F2945" t="inlineStr">
        <is>
          <t>REP</t>
        </is>
      </c>
      <c r="G2945" t="inlineStr">
        <is>
          <t>04262023</t>
        </is>
      </c>
      <c r="H2945" t="n">
        <v>5000</v>
      </c>
      <c r="I2945" t="inlineStr">
        <is>
          <t>202305199581567501</t>
        </is>
      </c>
      <c r="J2945" t="inlineStr">
        <is>
          <t>https://docquery.fec.gov/cgi-bin/fecimg/?202305199581567501</t>
        </is>
      </c>
    </row>
    <row r="2946">
      <c r="A2946" t="inlineStr">
        <is>
          <t>2024</t>
        </is>
      </c>
      <c r="B2946" t="inlineStr">
        <is>
          <t>C00109546</t>
        </is>
      </c>
      <c r="C2946" t="inlineStr">
        <is>
          <t>Valero Energy Corp PAC</t>
        </is>
      </c>
      <c r="D2946" t="inlineStr">
        <is>
          <t>HUNT FOR CONGRESS</t>
        </is>
      </c>
      <c r="E2946" t="inlineStr">
        <is>
          <t>H0TX07170</t>
        </is>
      </c>
      <c r="F2946" t="inlineStr">
        <is>
          <t>REP</t>
        </is>
      </c>
      <c r="G2946" t="inlineStr">
        <is>
          <t>04262023</t>
        </is>
      </c>
      <c r="H2946" t="n">
        <v>2500</v>
      </c>
      <c r="I2946" t="inlineStr">
        <is>
          <t>202305199581567501</t>
        </is>
      </c>
      <c r="J2946" t="inlineStr">
        <is>
          <t>https://docquery.fec.gov/cgi-bin/fecimg/?202305199581567501</t>
        </is>
      </c>
    </row>
    <row r="2947">
      <c r="A2947" t="inlineStr">
        <is>
          <t>2024</t>
        </is>
      </c>
      <c r="B2947" t="inlineStr">
        <is>
          <t>C00109546</t>
        </is>
      </c>
      <c r="C2947" t="inlineStr">
        <is>
          <t>Valero Energy Corp PAC</t>
        </is>
      </c>
      <c r="D2947" t="inlineStr">
        <is>
          <t>MILLER-MEEKS FOR CONGRESS</t>
        </is>
      </c>
      <c r="E2947" t="inlineStr">
        <is>
          <t>H8IA02043</t>
        </is>
      </c>
      <c r="F2947" t="inlineStr">
        <is>
          <t>REP</t>
        </is>
      </c>
      <c r="G2947" t="inlineStr">
        <is>
          <t>04262023</t>
        </is>
      </c>
      <c r="H2947" t="n">
        <v>5000</v>
      </c>
      <c r="I2947" t="inlineStr">
        <is>
          <t>202305199581567502</t>
        </is>
      </c>
      <c r="J2947" t="inlineStr">
        <is>
          <t>https://docquery.fec.gov/cgi-bin/fecimg/?202305199581567502</t>
        </is>
      </c>
    </row>
    <row r="2948">
      <c r="A2948" t="inlineStr">
        <is>
          <t>2024</t>
        </is>
      </c>
      <c r="B2948" t="inlineStr">
        <is>
          <t>C00109546</t>
        </is>
      </c>
      <c r="C2948" t="inlineStr">
        <is>
          <t>Valero Energy Corp PAC</t>
        </is>
      </c>
      <c r="D2948" t="inlineStr">
        <is>
          <t>WESTERMAN FOR CONGRESS</t>
        </is>
      </c>
      <c r="E2948" t="inlineStr">
        <is>
          <t>H4AR04048</t>
        </is>
      </c>
      <c r="F2948" t="inlineStr">
        <is>
          <t>REP</t>
        </is>
      </c>
      <c r="G2948" t="inlineStr">
        <is>
          <t>04262023</t>
        </is>
      </c>
      <c r="H2948" t="n">
        <v>5000</v>
      </c>
      <c r="I2948" t="inlineStr">
        <is>
          <t>202305199581567503</t>
        </is>
      </c>
      <c r="J2948" t="inlineStr">
        <is>
          <t>https://docquery.fec.gov/cgi-bin/fecimg/?202305199581567503</t>
        </is>
      </c>
    </row>
    <row r="2949">
      <c r="A2949" t="inlineStr">
        <is>
          <t>2024</t>
        </is>
      </c>
      <c r="B2949" t="inlineStr">
        <is>
          <t>C00109546</t>
        </is>
      </c>
      <c r="C2949" t="inlineStr">
        <is>
          <t>Valero Energy Corp PAC</t>
        </is>
      </c>
      <c r="D2949" t="inlineStr">
        <is>
          <t>TEXANS FOR JODEY ARRINGTON</t>
        </is>
      </c>
      <c r="E2949" t="inlineStr">
        <is>
          <t>H6TX19099</t>
        </is>
      </c>
      <c r="F2949" t="inlineStr">
        <is>
          <t>REP</t>
        </is>
      </c>
      <c r="G2949" t="inlineStr">
        <is>
          <t>04262023</t>
        </is>
      </c>
      <c r="H2949" t="n">
        <v>2500</v>
      </c>
      <c r="I2949" t="inlineStr">
        <is>
          <t>202305199581567502</t>
        </is>
      </c>
      <c r="J2949" t="inlineStr">
        <is>
          <t>https://docquery.fec.gov/cgi-bin/fecimg/?202305199581567502</t>
        </is>
      </c>
    </row>
    <row r="2950">
      <c r="A2950" t="inlineStr">
        <is>
          <t>2024</t>
        </is>
      </c>
      <c r="B2950" t="inlineStr">
        <is>
          <t>C00109546</t>
        </is>
      </c>
      <c r="C2950" t="inlineStr">
        <is>
          <t>Valero Energy Corp PAC</t>
        </is>
      </c>
      <c r="D2950" t="inlineStr">
        <is>
          <t>TEXANS FOR JODEY ARRINGTON</t>
        </is>
      </c>
      <c r="E2950" t="inlineStr">
        <is>
          <t>H6TX19099</t>
        </is>
      </c>
      <c r="F2950" t="inlineStr">
        <is>
          <t>REP</t>
        </is>
      </c>
      <c r="G2950" t="inlineStr">
        <is>
          <t>04292024</t>
        </is>
      </c>
      <c r="H2950" t="n">
        <v>2500</v>
      </c>
      <c r="I2950" t="inlineStr">
        <is>
          <t>202503059754040251</t>
        </is>
      </c>
      <c r="J2950" t="inlineStr">
        <is>
          <t>https://docquery.fec.gov/cgi-bin/fecimg/?202503059754040251</t>
        </is>
      </c>
    </row>
    <row r="2951">
      <c r="A2951" t="inlineStr">
        <is>
          <t>2024</t>
        </is>
      </c>
      <c r="B2951" t="inlineStr">
        <is>
          <t>C00109546</t>
        </is>
      </c>
      <c r="C2951" t="inlineStr">
        <is>
          <t>Valero Energy Corp PAC</t>
        </is>
      </c>
      <c r="D2951" t="inlineStr">
        <is>
          <t>BUDDY CARTER FOR CONGRESS</t>
        </is>
      </c>
      <c r="E2951" t="inlineStr">
        <is>
          <t>H4GA01039</t>
        </is>
      </c>
      <c r="F2951" t="inlineStr">
        <is>
          <t>REP</t>
        </is>
      </c>
      <c r="G2951" t="inlineStr">
        <is>
          <t>04292024</t>
        </is>
      </c>
      <c r="H2951" t="n">
        <v>5000</v>
      </c>
      <c r="I2951" t="inlineStr">
        <is>
          <t>202503059754040246</t>
        </is>
      </c>
      <c r="J2951" t="inlineStr">
        <is>
          <t>https://docquery.fec.gov/cgi-bin/fecimg/?202503059754040246</t>
        </is>
      </c>
    </row>
    <row r="2952">
      <c r="A2952" t="inlineStr">
        <is>
          <t>2024</t>
        </is>
      </c>
      <c r="B2952" t="inlineStr">
        <is>
          <t>C00109546</t>
        </is>
      </c>
      <c r="C2952" t="inlineStr">
        <is>
          <t>Valero Energy Corp PAC</t>
        </is>
      </c>
      <c r="D2952" t="inlineStr">
        <is>
          <t>HUNT FOR CONGRESS</t>
        </is>
      </c>
      <c r="E2952" t="inlineStr">
        <is>
          <t>H0TX07170</t>
        </is>
      </c>
      <c r="F2952" t="inlineStr">
        <is>
          <t>REP</t>
        </is>
      </c>
      <c r="G2952" t="inlineStr">
        <is>
          <t>04292024</t>
        </is>
      </c>
      <c r="H2952" t="n">
        <v>5000</v>
      </c>
      <c r="I2952" t="inlineStr">
        <is>
          <t>202503059754040247</t>
        </is>
      </c>
      <c r="J2952" t="inlineStr">
        <is>
          <t>https://docquery.fec.gov/cgi-bin/fecimg/?202503059754040247</t>
        </is>
      </c>
    </row>
    <row r="2953">
      <c r="A2953" t="inlineStr">
        <is>
          <t>2024</t>
        </is>
      </c>
      <c r="B2953" t="inlineStr">
        <is>
          <t>C00109546</t>
        </is>
      </c>
      <c r="C2953" t="inlineStr">
        <is>
          <t>Valero Energy Corp PAC</t>
        </is>
      </c>
      <c r="D2953" t="inlineStr">
        <is>
          <t>MESSMER FOR CONGRESS</t>
        </is>
      </c>
      <c r="E2953" t="inlineStr">
        <is>
          <t>H4IN08249</t>
        </is>
      </c>
      <c r="F2953" t="inlineStr">
        <is>
          <t>REP</t>
        </is>
      </c>
      <c r="G2953" t="inlineStr">
        <is>
          <t>04292024</t>
        </is>
      </c>
      <c r="H2953" t="n">
        <v>5000</v>
      </c>
      <c r="I2953" t="inlineStr">
        <is>
          <t>202503059754040247</t>
        </is>
      </c>
      <c r="J2953" t="inlineStr">
        <is>
          <t>https://docquery.fec.gov/cgi-bin/fecimg/?202503059754040247</t>
        </is>
      </c>
    </row>
    <row r="2954">
      <c r="A2954" t="inlineStr">
        <is>
          <t>2024</t>
        </is>
      </c>
      <c r="B2954" t="inlineStr">
        <is>
          <t>C00109546</t>
        </is>
      </c>
      <c r="C2954" t="inlineStr">
        <is>
          <t>Valero Energy Corp PAC</t>
        </is>
      </c>
      <c r="D2954" t="inlineStr">
        <is>
          <t>MOORE FOR WEST VIRGINIA, INC.</t>
        </is>
      </c>
      <c r="E2954" t="inlineStr">
        <is>
          <t>H4WV02205</t>
        </is>
      </c>
      <c r="F2954" t="inlineStr">
        <is>
          <t>REP</t>
        </is>
      </c>
      <c r="G2954" t="inlineStr">
        <is>
          <t>04292024</t>
        </is>
      </c>
      <c r="H2954" t="n">
        <v>5000</v>
      </c>
      <c r="I2954" t="inlineStr">
        <is>
          <t>202503059754040247</t>
        </is>
      </c>
      <c r="J2954" t="inlineStr">
        <is>
          <t>https://docquery.fec.gov/cgi-bin/fecimg/?202503059754040247</t>
        </is>
      </c>
    </row>
    <row r="2955">
      <c r="A2955" t="inlineStr">
        <is>
          <t>2024</t>
        </is>
      </c>
      <c r="B2955" t="inlineStr">
        <is>
          <t>C00109546</t>
        </is>
      </c>
      <c r="C2955" t="inlineStr">
        <is>
          <t>Valero Energy Corp PAC</t>
        </is>
      </c>
      <c r="D2955" t="inlineStr">
        <is>
          <t>TEXANS FOR RONNY JACKSON</t>
        </is>
      </c>
      <c r="E2955" t="inlineStr">
        <is>
          <t>H0TX13228</t>
        </is>
      </c>
      <c r="F2955" t="inlineStr">
        <is>
          <t>REP</t>
        </is>
      </c>
      <c r="G2955" t="inlineStr">
        <is>
          <t>04292024</t>
        </is>
      </c>
      <c r="H2955" t="n">
        <v>5000</v>
      </c>
      <c r="I2955" t="inlineStr">
        <is>
          <t>202503059754040252</t>
        </is>
      </c>
      <c r="J2955" t="inlineStr">
        <is>
          <t>https://docquery.fec.gov/cgi-bin/fecimg/?202503059754040252</t>
        </is>
      </c>
    </row>
    <row r="2956">
      <c r="A2956" t="inlineStr">
        <is>
          <t>2024</t>
        </is>
      </c>
      <c r="B2956" t="inlineStr">
        <is>
          <t>C00109546</t>
        </is>
      </c>
      <c r="C2956" t="inlineStr">
        <is>
          <t>Valero Energy Corp PAC</t>
        </is>
      </c>
      <c r="D2956" t="inlineStr">
        <is>
          <t>TONY GONZALES FOR CONGRESS</t>
        </is>
      </c>
      <c r="E2956" t="inlineStr">
        <is>
          <t>H0TX35015</t>
        </is>
      </c>
      <c r="F2956" t="inlineStr">
        <is>
          <t>REP</t>
        </is>
      </c>
      <c r="G2956" t="inlineStr">
        <is>
          <t>04292024</t>
        </is>
      </c>
      <c r="H2956" t="n">
        <v>5000</v>
      </c>
      <c r="I2956" t="inlineStr">
        <is>
          <t>202503059754040252</t>
        </is>
      </c>
      <c r="J2956" t="inlineStr">
        <is>
          <t>https://docquery.fec.gov/cgi-bin/fecimg/?202503059754040252</t>
        </is>
      </c>
    </row>
    <row r="2957">
      <c r="A2957" t="inlineStr">
        <is>
          <t>2024</t>
        </is>
      </c>
      <c r="B2957" t="inlineStr">
        <is>
          <t>C00109546</t>
        </is>
      </c>
      <c r="C2957" t="inlineStr">
        <is>
          <t>Valero Energy Corp PAC</t>
        </is>
      </c>
      <c r="D2957" t="inlineStr">
        <is>
          <t>COLE FOR CONGRESS</t>
        </is>
      </c>
      <c r="E2957" t="inlineStr">
        <is>
          <t>H2OK04055</t>
        </is>
      </c>
      <c r="F2957" t="inlineStr">
        <is>
          <t>REP</t>
        </is>
      </c>
      <c r="G2957" t="inlineStr">
        <is>
          <t>05232024</t>
        </is>
      </c>
      <c r="H2957" t="n">
        <v>2500</v>
      </c>
      <c r="I2957" t="inlineStr">
        <is>
          <t>202406179649045246</t>
        </is>
      </c>
      <c r="J2957" t="inlineStr">
        <is>
          <t>https://docquery.fec.gov/cgi-bin/fecimg/?202406179649045246</t>
        </is>
      </c>
    </row>
    <row r="2958">
      <c r="A2958" t="inlineStr">
        <is>
          <t>2024</t>
        </is>
      </c>
      <c r="B2958" t="inlineStr">
        <is>
          <t>C00109546</t>
        </is>
      </c>
      <c r="C2958" t="inlineStr">
        <is>
          <t>Valero Energy Corp PAC</t>
        </is>
      </c>
      <c r="D2958" t="inlineStr">
        <is>
          <t>ELISE FOR CONGRESS</t>
        </is>
      </c>
      <c r="E2958" t="inlineStr">
        <is>
          <t>H4NY21079</t>
        </is>
      </c>
      <c r="F2958" t="inlineStr">
        <is>
          <t>REP</t>
        </is>
      </c>
      <c r="G2958" t="inlineStr">
        <is>
          <t>05232024</t>
        </is>
      </c>
      <c r="H2958" t="n">
        <v>5000</v>
      </c>
      <c r="I2958" t="inlineStr">
        <is>
          <t>202406179649045246</t>
        </is>
      </c>
      <c r="J2958" t="inlineStr">
        <is>
          <t>https://docquery.fec.gov/cgi-bin/fecimg/?202406179649045246</t>
        </is>
      </c>
    </row>
    <row r="2959">
      <c r="A2959" t="inlineStr">
        <is>
          <t>2024</t>
        </is>
      </c>
      <c r="B2959" t="inlineStr">
        <is>
          <t>C00109546</t>
        </is>
      </c>
      <c r="C2959" t="inlineStr">
        <is>
          <t>Valero Energy Corp PAC</t>
        </is>
      </c>
      <c r="D2959" t="inlineStr">
        <is>
          <t>FINSTAD FOR CONGRESS</t>
        </is>
      </c>
      <c r="E2959" t="inlineStr">
        <is>
          <t>H2MN01223</t>
        </is>
      </c>
      <c r="F2959" t="inlineStr">
        <is>
          <t>REP</t>
        </is>
      </c>
      <c r="G2959" t="inlineStr">
        <is>
          <t>05232024</t>
        </is>
      </c>
      <c r="H2959" t="n">
        <v>5000</v>
      </c>
      <c r="I2959" t="inlineStr">
        <is>
          <t>202406179649045247</t>
        </is>
      </c>
      <c r="J2959" t="inlineStr">
        <is>
          <t>https://docquery.fec.gov/cgi-bin/fecimg/?202406179649045247</t>
        </is>
      </c>
    </row>
    <row r="2960">
      <c r="A2960" t="inlineStr">
        <is>
          <t>2024</t>
        </is>
      </c>
      <c r="B2960" t="inlineStr">
        <is>
          <t>C00109546</t>
        </is>
      </c>
      <c r="C2960" t="inlineStr">
        <is>
          <t>Valero Energy Corp PAC</t>
        </is>
      </c>
      <c r="D2960" t="inlineStr">
        <is>
          <t>HERN FOR CONGRESS</t>
        </is>
      </c>
      <c r="E2960" t="inlineStr">
        <is>
          <t>H8OK01157</t>
        </is>
      </c>
      <c r="F2960" t="inlineStr">
        <is>
          <t>REP</t>
        </is>
      </c>
      <c r="G2960" t="inlineStr">
        <is>
          <t>05232024</t>
        </is>
      </c>
      <c r="H2960" t="n">
        <v>5000</v>
      </c>
      <c r="I2960" t="inlineStr">
        <is>
          <t>202406179649045247</t>
        </is>
      </c>
      <c r="J2960" t="inlineStr">
        <is>
          <t>https://docquery.fec.gov/cgi-bin/fecimg/?202406179649045247</t>
        </is>
      </c>
    </row>
    <row r="2961">
      <c r="A2961" t="inlineStr">
        <is>
          <t>2024</t>
        </is>
      </c>
      <c r="B2961" t="inlineStr">
        <is>
          <t>C00109546</t>
        </is>
      </c>
      <c r="C2961" t="inlineStr">
        <is>
          <t>Valero Energy Corp PAC</t>
        </is>
      </c>
      <c r="D2961" t="inlineStr">
        <is>
          <t>LATTA FOR CONGRESS</t>
        </is>
      </c>
      <c r="E2961" t="inlineStr">
        <is>
          <t>H8OH05036</t>
        </is>
      </c>
      <c r="F2961" t="inlineStr">
        <is>
          <t>REP</t>
        </is>
      </c>
      <c r="G2961" t="inlineStr">
        <is>
          <t>05232024</t>
        </is>
      </c>
      <c r="H2961" t="n">
        <v>5000</v>
      </c>
      <c r="I2961" t="inlineStr">
        <is>
          <t>202406179649045247</t>
        </is>
      </c>
      <c r="J2961" t="inlineStr">
        <is>
          <t>https://docquery.fec.gov/cgi-bin/fecimg/?202406179649045247</t>
        </is>
      </c>
    </row>
    <row r="2962">
      <c r="A2962" t="inlineStr">
        <is>
          <t>2024</t>
        </is>
      </c>
      <c r="B2962" t="inlineStr">
        <is>
          <t>C00109546</t>
        </is>
      </c>
      <c r="C2962" t="inlineStr">
        <is>
          <t>Valero Energy Corp PAC</t>
        </is>
      </c>
      <c r="D2962" t="inlineStr">
        <is>
          <t>MARY PELTOLA FOR ALASKA</t>
        </is>
      </c>
      <c r="E2962" t="inlineStr">
        <is>
          <t>H2AK01158</t>
        </is>
      </c>
      <c r="F2962" t="inlineStr">
        <is>
          <t>DEM</t>
        </is>
      </c>
      <c r="G2962" t="inlineStr">
        <is>
          <t>05232024</t>
        </is>
      </c>
      <c r="H2962" t="n">
        <v>5000</v>
      </c>
      <c r="I2962" t="inlineStr">
        <is>
          <t>202406179649045248</t>
        </is>
      </c>
      <c r="J2962" t="inlineStr">
        <is>
          <t>https://docquery.fec.gov/cgi-bin/fecimg/?202406179649045248</t>
        </is>
      </c>
    </row>
    <row r="2963">
      <c r="A2963" t="inlineStr">
        <is>
          <t>2024</t>
        </is>
      </c>
      <c r="B2963" t="inlineStr">
        <is>
          <t>C00109546</t>
        </is>
      </c>
      <c r="C2963" t="inlineStr">
        <is>
          <t>Valero Energy Corp PAC</t>
        </is>
      </c>
      <c r="D2963" t="inlineStr">
        <is>
          <t>PETE STAUBER FOR CONGRESS</t>
        </is>
      </c>
      <c r="E2963" t="inlineStr">
        <is>
          <t>H8MN08043</t>
        </is>
      </c>
      <c r="F2963" t="inlineStr">
        <is>
          <t>REP</t>
        </is>
      </c>
      <c r="G2963" t="inlineStr">
        <is>
          <t>05232024</t>
        </is>
      </c>
      <c r="H2963" t="n">
        <v>5000</v>
      </c>
      <c r="I2963" t="inlineStr">
        <is>
          <t>202406179649045248</t>
        </is>
      </c>
      <c r="J2963" t="inlineStr">
        <is>
          <t>https://docquery.fec.gov/cgi-bin/fecimg/?202406179649045248</t>
        </is>
      </c>
    </row>
    <row r="2964">
      <c r="A2964" t="inlineStr">
        <is>
          <t>2024</t>
        </is>
      </c>
      <c r="B2964" t="inlineStr">
        <is>
          <t>C00109546</t>
        </is>
      </c>
      <c r="C2964" t="inlineStr">
        <is>
          <t>Valero Energy Corp PAC</t>
        </is>
      </c>
      <c r="D2964" t="inlineStr">
        <is>
          <t>MONICA FOR CONGRESS</t>
        </is>
      </c>
      <c r="E2964" t="inlineStr">
        <is>
          <t>H0TX15124</t>
        </is>
      </c>
      <c r="F2964" t="inlineStr">
        <is>
          <t>REP</t>
        </is>
      </c>
      <c r="G2964" t="inlineStr">
        <is>
          <t>05232024</t>
        </is>
      </c>
      <c r="H2964" t="n">
        <v>5000</v>
      </c>
      <c r="I2964" t="inlineStr">
        <is>
          <t>202406179649045249</t>
        </is>
      </c>
      <c r="J2964" t="inlineStr">
        <is>
          <t>https://docquery.fec.gov/cgi-bin/fecimg/?202406179649045249</t>
        </is>
      </c>
    </row>
    <row r="2965">
      <c r="A2965" t="inlineStr">
        <is>
          <t>2024</t>
        </is>
      </c>
      <c r="B2965" t="inlineStr">
        <is>
          <t>C00109546</t>
        </is>
      </c>
      <c r="C2965" t="inlineStr">
        <is>
          <t>Valero Energy Corp PAC</t>
        </is>
      </c>
      <c r="D2965" t="inlineStr">
        <is>
          <t>ROB FOR PA</t>
        </is>
      </c>
      <c r="E2965" t="inlineStr">
        <is>
          <t>H4PA08124</t>
        </is>
      </c>
      <c r="F2965" t="inlineStr">
        <is>
          <t>REP</t>
        </is>
      </c>
      <c r="G2965" t="inlineStr">
        <is>
          <t>05232024</t>
        </is>
      </c>
      <c r="H2965" t="n">
        <v>5000</v>
      </c>
      <c r="I2965" t="inlineStr">
        <is>
          <t>202406179649045249</t>
        </is>
      </c>
      <c r="J2965" t="inlineStr">
        <is>
          <t>https://docquery.fec.gov/cgi-bin/fecimg/?202406179649045249</t>
        </is>
      </c>
    </row>
    <row r="2966">
      <c r="A2966" t="inlineStr">
        <is>
          <t>2024</t>
        </is>
      </c>
      <c r="B2966" t="inlineStr">
        <is>
          <t>C00109546</t>
        </is>
      </c>
      <c r="C2966" t="inlineStr">
        <is>
          <t>Valero Energy Corp PAC</t>
        </is>
      </c>
      <c r="D2966" t="inlineStr">
        <is>
          <t>WESTERMAN FOR CONGRESS</t>
        </is>
      </c>
      <c r="E2966" t="inlineStr">
        <is>
          <t>H4AR04048</t>
        </is>
      </c>
      <c r="F2966" t="inlineStr">
        <is>
          <t>REP</t>
        </is>
      </c>
      <c r="G2966" t="inlineStr">
        <is>
          <t>05232024</t>
        </is>
      </c>
      <c r="H2966" t="n">
        <v>5000</v>
      </c>
      <c r="I2966" t="inlineStr">
        <is>
          <t>202406179649045249</t>
        </is>
      </c>
      <c r="J2966" t="inlineStr">
        <is>
          <t>https://docquery.fec.gov/cgi-bin/fecimg/?202406179649045249</t>
        </is>
      </c>
    </row>
    <row r="2967">
      <c r="A2967" t="inlineStr">
        <is>
          <t>2024</t>
        </is>
      </c>
      <c r="B2967" t="inlineStr">
        <is>
          <t>C00109546</t>
        </is>
      </c>
      <c r="C2967" t="inlineStr">
        <is>
          <t>Valero Energy Corp PAC</t>
        </is>
      </c>
      <c r="D2967" t="inlineStr">
        <is>
          <t>MILLER-MEEKS FOR CONGRESS</t>
        </is>
      </c>
      <c r="E2967" t="inlineStr">
        <is>
          <t>H8IA02043</t>
        </is>
      </c>
      <c r="F2967" t="inlineStr">
        <is>
          <t>REP</t>
        </is>
      </c>
      <c r="G2967" t="inlineStr">
        <is>
          <t>05312023</t>
        </is>
      </c>
      <c r="H2967" t="n">
        <v>2500</v>
      </c>
      <c r="I2967" t="inlineStr">
        <is>
          <t>202306209582233733</t>
        </is>
      </c>
      <c r="J2967" t="inlineStr">
        <is>
          <t>https://docquery.fec.gov/cgi-bin/fecimg/?202306209582233733</t>
        </is>
      </c>
    </row>
    <row r="2968">
      <c r="A2968" t="inlineStr">
        <is>
          <t>2024</t>
        </is>
      </c>
      <c r="B2968" t="inlineStr">
        <is>
          <t>C00109546</t>
        </is>
      </c>
      <c r="C2968" t="inlineStr">
        <is>
          <t>Valero Energy Corp PAC</t>
        </is>
      </c>
      <c r="D2968" t="inlineStr">
        <is>
          <t>JAY OBERNOLTE FOR CONGRESS</t>
        </is>
      </c>
      <c r="E2968" t="inlineStr">
        <is>
          <t>H0CA08135</t>
        </is>
      </c>
      <c r="F2968" t="inlineStr">
        <is>
          <t>REP</t>
        </is>
      </c>
      <c r="G2968" t="inlineStr">
        <is>
          <t>05312023</t>
        </is>
      </c>
      <c r="H2968" t="n">
        <v>5000</v>
      </c>
      <c r="I2968" t="inlineStr">
        <is>
          <t>202306209582233732</t>
        </is>
      </c>
      <c r="J2968" t="inlineStr">
        <is>
          <t>https://docquery.fec.gov/cgi-bin/fecimg/?202306209582233732</t>
        </is>
      </c>
    </row>
    <row r="2969">
      <c r="A2969" t="inlineStr">
        <is>
          <t>2024</t>
        </is>
      </c>
      <c r="B2969" t="inlineStr">
        <is>
          <t>C00109546</t>
        </is>
      </c>
      <c r="C2969" t="inlineStr">
        <is>
          <t>Valero Energy Corp PAC</t>
        </is>
      </c>
      <c r="D2969" t="inlineStr">
        <is>
          <t>JEFF DUNCAN FOR CONGRESS</t>
        </is>
      </c>
      <c r="E2969" t="inlineStr">
        <is>
          <t>H0SC03077</t>
        </is>
      </c>
      <c r="F2969" t="inlineStr">
        <is>
          <t>REP</t>
        </is>
      </c>
      <c r="G2969" t="inlineStr">
        <is>
          <t>05312023</t>
        </is>
      </c>
      <c r="H2969" t="n">
        <v>5000</v>
      </c>
      <c r="I2969" t="inlineStr">
        <is>
          <t>202306209582233732</t>
        </is>
      </c>
      <c r="J2969" t="inlineStr">
        <is>
          <t>https://docquery.fec.gov/cgi-bin/fecimg/?202306209582233732</t>
        </is>
      </c>
    </row>
    <row r="2970">
      <c r="A2970" t="inlineStr">
        <is>
          <t>2024</t>
        </is>
      </c>
      <c r="B2970" t="inlineStr">
        <is>
          <t>C00109546</t>
        </is>
      </c>
      <c r="C2970" t="inlineStr">
        <is>
          <t>Valero Energy Corp PAC</t>
        </is>
      </c>
      <c r="D2970" t="inlineStr">
        <is>
          <t>MCHENRY FOR CONGRESS</t>
        </is>
      </c>
      <c r="E2970" t="inlineStr">
        <is>
          <t>H4NC10047</t>
        </is>
      </c>
      <c r="F2970" t="inlineStr">
        <is>
          <t>REP</t>
        </is>
      </c>
      <c r="G2970" t="inlineStr">
        <is>
          <t>05312023</t>
        </is>
      </c>
      <c r="H2970" t="n">
        <v>5000</v>
      </c>
      <c r="I2970" t="inlineStr">
        <is>
          <t>202306209582233733</t>
        </is>
      </c>
      <c r="J2970" t="inlineStr">
        <is>
          <t>https://docquery.fec.gov/cgi-bin/fecimg/?202306209582233733</t>
        </is>
      </c>
    </row>
    <row r="2971">
      <c r="A2971" t="inlineStr">
        <is>
          <t>2024</t>
        </is>
      </c>
      <c r="B2971" t="inlineStr">
        <is>
          <t>C00109546</t>
        </is>
      </c>
      <c r="C2971" t="inlineStr">
        <is>
          <t>Valero Energy Corp PAC</t>
        </is>
      </c>
      <c r="D2971" t="inlineStr">
        <is>
          <t>MORGAN GRIFFITH FOR CONGRESS</t>
        </is>
      </c>
      <c r="E2971" t="inlineStr">
        <is>
          <t>H0VA09055</t>
        </is>
      </c>
      <c r="F2971" t="inlineStr">
        <is>
          <t>REP</t>
        </is>
      </c>
      <c r="G2971" t="inlineStr">
        <is>
          <t>05312023</t>
        </is>
      </c>
      <c r="H2971" t="n">
        <v>5000</v>
      </c>
      <c r="I2971" t="inlineStr">
        <is>
          <t>202306209582233733</t>
        </is>
      </c>
      <c r="J2971" t="inlineStr">
        <is>
          <t>https://docquery.fec.gov/cgi-bin/fecimg/?202306209582233733</t>
        </is>
      </c>
    </row>
    <row r="2972">
      <c r="A2972" t="inlineStr">
        <is>
          <t>2024</t>
        </is>
      </c>
      <c r="B2972" t="inlineStr">
        <is>
          <t>C00109546</t>
        </is>
      </c>
      <c r="C2972" t="inlineStr">
        <is>
          <t>Valero Energy Corp PAC</t>
        </is>
      </c>
      <c r="D2972" t="inlineStr">
        <is>
          <t>WICKER FOR SENATE</t>
        </is>
      </c>
      <c r="E2972" t="inlineStr">
        <is>
          <t>S8MS00196</t>
        </is>
      </c>
      <c r="F2972" t="inlineStr">
        <is>
          <t>REP</t>
        </is>
      </c>
      <c r="G2972" t="inlineStr">
        <is>
          <t>05312023</t>
        </is>
      </c>
      <c r="H2972" t="n">
        <v>2500</v>
      </c>
      <c r="I2972" t="inlineStr">
        <is>
          <t>202306209582233734</t>
        </is>
      </c>
      <c r="J2972" t="inlineStr">
        <is>
          <t>https://docquery.fec.gov/cgi-bin/fecimg/?202306209582233734</t>
        </is>
      </c>
    </row>
    <row r="2973">
      <c r="A2973" t="inlineStr">
        <is>
          <t>2024</t>
        </is>
      </c>
      <c r="B2973" t="inlineStr">
        <is>
          <t>C00109546</t>
        </is>
      </c>
      <c r="C2973" t="inlineStr">
        <is>
          <t>Valero Energy Corp PAC</t>
        </is>
      </c>
      <c r="D2973" t="inlineStr">
        <is>
          <t>BANKS FOR SENATE</t>
        </is>
      </c>
      <c r="E2973" t="inlineStr">
        <is>
          <t>S4IN00196</t>
        </is>
      </c>
      <c r="F2973" t="inlineStr">
        <is>
          <t>REP</t>
        </is>
      </c>
      <c r="G2973" t="inlineStr">
        <is>
          <t>05312023</t>
        </is>
      </c>
      <c r="H2973" t="n">
        <v>5000</v>
      </c>
      <c r="I2973" t="inlineStr">
        <is>
          <t>202306209582233731</t>
        </is>
      </c>
      <c r="J2973" t="inlineStr">
        <is>
          <t>https://docquery.fec.gov/cgi-bin/fecimg/?202306209582233731</t>
        </is>
      </c>
    </row>
    <row r="2974">
      <c r="A2974" t="inlineStr">
        <is>
          <t>2024</t>
        </is>
      </c>
      <c r="B2974" t="inlineStr">
        <is>
          <t>C00109546</t>
        </is>
      </c>
      <c r="C2974" t="inlineStr">
        <is>
          <t>Valero Energy Corp PAC</t>
        </is>
      </c>
      <c r="D2974" t="inlineStr">
        <is>
          <t>FEENSTRA FOR CONGRESS</t>
        </is>
      </c>
      <c r="E2974" t="inlineStr">
        <is>
          <t>H0IA04145</t>
        </is>
      </c>
      <c r="F2974" t="inlineStr">
        <is>
          <t>REP</t>
        </is>
      </c>
      <c r="G2974" t="inlineStr">
        <is>
          <t>05312023</t>
        </is>
      </c>
      <c r="H2974" t="n">
        <v>5000</v>
      </c>
      <c r="I2974" t="inlineStr">
        <is>
          <t>202306209582233731</t>
        </is>
      </c>
      <c r="J2974" t="inlineStr">
        <is>
          <t>https://docquery.fec.gov/cgi-bin/fecimg/?202306209582233731</t>
        </is>
      </c>
    </row>
    <row r="2975">
      <c r="A2975" t="inlineStr">
        <is>
          <t>2024</t>
        </is>
      </c>
      <c r="B2975" t="inlineStr">
        <is>
          <t>C00109546</t>
        </is>
      </c>
      <c r="C2975" t="inlineStr">
        <is>
          <t>Valero Energy Corp PAC</t>
        </is>
      </c>
      <c r="D2975" t="inlineStr">
        <is>
          <t>HUDSON FOR CONGRESS</t>
        </is>
      </c>
      <c r="E2975" t="inlineStr">
        <is>
          <t>H2NC08185</t>
        </is>
      </c>
      <c r="F2975" t="inlineStr">
        <is>
          <t>REP</t>
        </is>
      </c>
      <c r="G2975" t="inlineStr">
        <is>
          <t>05312023</t>
        </is>
      </c>
      <c r="H2975" t="n">
        <v>2500</v>
      </c>
      <c r="I2975" t="inlineStr">
        <is>
          <t>202306209582233732</t>
        </is>
      </c>
      <c r="J2975" t="inlineStr">
        <is>
          <t>https://docquery.fec.gov/cgi-bin/fecimg/?202306209582233732</t>
        </is>
      </c>
    </row>
    <row r="2976">
      <c r="A2976" t="inlineStr">
        <is>
          <t>2024</t>
        </is>
      </c>
      <c r="B2976" t="inlineStr">
        <is>
          <t>C00109546</t>
        </is>
      </c>
      <c r="C2976" t="inlineStr">
        <is>
          <t>Valero Energy Corp PAC</t>
        </is>
      </c>
      <c r="D2976" t="inlineStr">
        <is>
          <t>JOHN JAMES FOR CONGRESS, INC.</t>
        </is>
      </c>
      <c r="E2976" t="inlineStr">
        <is>
          <t>H2MI10150</t>
        </is>
      </c>
      <c r="F2976" t="inlineStr">
        <is>
          <t>REP</t>
        </is>
      </c>
      <c r="G2976" t="inlineStr">
        <is>
          <t>06162023</t>
        </is>
      </c>
      <c r="H2976" t="n">
        <v>5000</v>
      </c>
      <c r="I2976" t="inlineStr">
        <is>
          <t>202307199583844660</t>
        </is>
      </c>
      <c r="J2976" t="inlineStr">
        <is>
          <t>https://docquery.fec.gov/cgi-bin/fecimg/?202307199583844660</t>
        </is>
      </c>
    </row>
    <row r="2977">
      <c r="A2977" t="inlineStr">
        <is>
          <t>2024</t>
        </is>
      </c>
      <c r="B2977" t="inlineStr">
        <is>
          <t>C00109546</t>
        </is>
      </c>
      <c r="C2977" t="inlineStr">
        <is>
          <t>Valero Energy Corp PAC</t>
        </is>
      </c>
      <c r="D2977" t="inlineStr">
        <is>
          <t>VAN ORDEN FOR CONGRESS</t>
        </is>
      </c>
      <c r="E2977" t="inlineStr">
        <is>
          <t>H0WI03175</t>
        </is>
      </c>
      <c r="F2977" t="inlineStr">
        <is>
          <t>REP</t>
        </is>
      </c>
      <c r="G2977" t="inlineStr">
        <is>
          <t>06162023</t>
        </is>
      </c>
      <c r="H2977" t="n">
        <v>5000</v>
      </c>
      <c r="I2977" t="inlineStr">
        <is>
          <t>202307199583844660</t>
        </is>
      </c>
      <c r="J2977" t="inlineStr">
        <is>
          <t>https://docquery.fec.gov/cgi-bin/fecimg/?202307199583844660</t>
        </is>
      </c>
    </row>
    <row r="2978">
      <c r="A2978" t="inlineStr">
        <is>
          <t>2024</t>
        </is>
      </c>
      <c r="B2978" t="inlineStr">
        <is>
          <t>C00109546</t>
        </is>
      </c>
      <c r="C2978" t="inlineStr">
        <is>
          <t>Valero Energy Corp PAC</t>
        </is>
      </c>
      <c r="D2978" t="inlineStr">
        <is>
          <t>TEXANS FOR HENRY CUELLAR CONGRESSIONAL CAMPAIGN</t>
        </is>
      </c>
      <c r="E2978" t="inlineStr">
        <is>
          <t>H2TX23082</t>
        </is>
      </c>
      <c r="F2978" t="inlineStr">
        <is>
          <t>DEM</t>
        </is>
      </c>
      <c r="G2978" t="inlineStr">
        <is>
          <t>06162023</t>
        </is>
      </c>
      <c r="H2978" t="n">
        <v>5000</v>
      </c>
      <c r="I2978" t="inlineStr">
        <is>
          <t>202307199583844661</t>
        </is>
      </c>
      <c r="J2978" t="inlineStr">
        <is>
          <t>https://docquery.fec.gov/cgi-bin/fecimg/?202307199583844661</t>
        </is>
      </c>
    </row>
    <row r="2979">
      <c r="A2979" t="inlineStr">
        <is>
          <t>2024</t>
        </is>
      </c>
      <c r="B2979" t="inlineStr">
        <is>
          <t>C00109546</t>
        </is>
      </c>
      <c r="C2979" t="inlineStr">
        <is>
          <t>Valero Energy Corp PAC</t>
        </is>
      </c>
      <c r="D2979" t="inlineStr">
        <is>
          <t>MARSHA FOR SENATE</t>
        </is>
      </c>
      <c r="E2979" t="inlineStr">
        <is>
          <t>S8TN00337</t>
        </is>
      </c>
      <c r="F2979" t="inlineStr">
        <is>
          <t>REP</t>
        </is>
      </c>
      <c r="G2979" t="inlineStr">
        <is>
          <t>06162023</t>
        </is>
      </c>
      <c r="H2979" t="n">
        <v>2500</v>
      </c>
      <c r="I2979" t="inlineStr">
        <is>
          <t>202307199583844659</t>
        </is>
      </c>
      <c r="J2979" t="inlineStr">
        <is>
          <t>https://docquery.fec.gov/cgi-bin/fecimg/?202307199583844659</t>
        </is>
      </c>
    </row>
    <row r="2980">
      <c r="A2980" t="inlineStr">
        <is>
          <t>2024</t>
        </is>
      </c>
      <c r="B2980" t="inlineStr">
        <is>
          <t>C00109546</t>
        </is>
      </c>
      <c r="C2980" t="inlineStr">
        <is>
          <t>Valero Energy Corp PAC</t>
        </is>
      </c>
      <c r="D2980" t="inlineStr">
        <is>
          <t>ELIZABETH PANNILL FLETCHER FOR CONGRESS</t>
        </is>
      </c>
      <c r="E2980" t="inlineStr">
        <is>
          <t>H8TX07140</t>
        </is>
      </c>
      <c r="F2980" t="inlineStr">
        <is>
          <t>DEM</t>
        </is>
      </c>
      <c r="G2980" t="inlineStr">
        <is>
          <t>06162023</t>
        </is>
      </c>
      <c r="H2980" t="n">
        <v>5000</v>
      </c>
      <c r="I2980" t="inlineStr">
        <is>
          <t>202307199583844658</t>
        </is>
      </c>
      <c r="J2980" t="inlineStr">
        <is>
          <t>https://docquery.fec.gov/cgi-bin/fecimg/?202307199583844658</t>
        </is>
      </c>
    </row>
    <row r="2981">
      <c r="A2981" t="inlineStr">
        <is>
          <t>2024</t>
        </is>
      </c>
      <c r="B2981" t="inlineStr">
        <is>
          <t>C00109546</t>
        </is>
      </c>
      <c r="C2981" t="inlineStr">
        <is>
          <t>Valero Energy Corp PAC</t>
        </is>
      </c>
      <c r="D2981" t="inlineStr">
        <is>
          <t>FRIENDS OF JOHN BARRASSO</t>
        </is>
      </c>
      <c r="E2981" t="inlineStr">
        <is>
          <t>S6WY00068</t>
        </is>
      </c>
      <c r="F2981" t="inlineStr">
        <is>
          <t>REP</t>
        </is>
      </c>
      <c r="G2981" t="inlineStr">
        <is>
          <t>06162023</t>
        </is>
      </c>
      <c r="H2981" t="n">
        <v>2500</v>
      </c>
      <c r="I2981" t="inlineStr">
        <is>
          <t>202307199583844658</t>
        </is>
      </c>
      <c r="J2981" t="inlineStr">
        <is>
          <t>https://docquery.fec.gov/cgi-bin/fecimg/?202307199583844658</t>
        </is>
      </c>
    </row>
    <row r="2982">
      <c r="A2982" t="inlineStr">
        <is>
          <t>2024</t>
        </is>
      </c>
      <c r="B2982" t="inlineStr">
        <is>
          <t>C00109546</t>
        </is>
      </c>
      <c r="C2982" t="inlineStr">
        <is>
          <t>Valero Energy Corp PAC</t>
        </is>
      </c>
      <c r="D2982" t="inlineStr">
        <is>
          <t>GUY FOR CONGRESS</t>
        </is>
      </c>
      <c r="E2982" t="inlineStr">
        <is>
          <t>H8PA18199</t>
        </is>
      </c>
      <c r="F2982" t="inlineStr">
        <is>
          <t>REP</t>
        </is>
      </c>
      <c r="G2982" t="inlineStr">
        <is>
          <t>06162023</t>
        </is>
      </c>
      <c r="H2982" t="n">
        <v>5000</v>
      </c>
      <c r="I2982" t="inlineStr">
        <is>
          <t>202307199583844659</t>
        </is>
      </c>
      <c r="J2982" t="inlineStr">
        <is>
          <t>https://docquery.fec.gov/cgi-bin/fecimg/?202307199583844659</t>
        </is>
      </c>
    </row>
    <row r="2983">
      <c r="A2983" t="inlineStr">
        <is>
          <t>2024</t>
        </is>
      </c>
      <c r="B2983" t="inlineStr">
        <is>
          <t>C00109546</t>
        </is>
      </c>
      <c r="C2983" t="inlineStr">
        <is>
          <t>Valero Energy Corp PAC</t>
        </is>
      </c>
      <c r="D2983" t="inlineStr">
        <is>
          <t>NEHLS FOR CONGRESS</t>
        </is>
      </c>
      <c r="E2983" t="inlineStr">
        <is>
          <t>H0TX22302</t>
        </is>
      </c>
      <c r="F2983" t="inlineStr">
        <is>
          <t>REP</t>
        </is>
      </c>
      <c r="G2983" t="inlineStr">
        <is>
          <t>06162023</t>
        </is>
      </c>
      <c r="H2983" t="n">
        <v>2500</v>
      </c>
      <c r="I2983" t="inlineStr">
        <is>
          <t>202307199583844659</t>
        </is>
      </c>
      <c r="J2983" t="inlineStr">
        <is>
          <t>https://docquery.fec.gov/cgi-bin/fecimg/?202307199583844659</t>
        </is>
      </c>
    </row>
    <row r="2984">
      <c r="A2984" t="inlineStr">
        <is>
          <t>2024</t>
        </is>
      </c>
      <c r="B2984" t="inlineStr">
        <is>
          <t>C00109546</t>
        </is>
      </c>
      <c r="C2984" t="inlineStr">
        <is>
          <t>Valero Energy Corp PAC</t>
        </is>
      </c>
      <c r="D2984" t="inlineStr">
        <is>
          <t>ARMSTRONG FOR CONGRESS</t>
        </is>
      </c>
      <c r="E2984" t="inlineStr">
        <is>
          <t>H8ND00096</t>
        </is>
      </c>
      <c r="F2984" t="inlineStr">
        <is>
          <t>REP</t>
        </is>
      </c>
      <c r="G2984" t="inlineStr">
        <is>
          <t>06162023</t>
        </is>
      </c>
      <c r="H2984" t="n">
        <v>2500</v>
      </c>
      <c r="I2984" t="inlineStr">
        <is>
          <t>202307199583844656</t>
        </is>
      </c>
      <c r="J2984" t="inlineStr">
        <is>
          <t>https://docquery.fec.gov/cgi-bin/fecimg/?202307199583844656</t>
        </is>
      </c>
    </row>
    <row r="2985">
      <c r="A2985" t="inlineStr">
        <is>
          <t>2024</t>
        </is>
      </c>
      <c r="B2985" t="inlineStr">
        <is>
          <t>C00109546</t>
        </is>
      </c>
      <c r="C2985" t="inlineStr">
        <is>
          <t>Valero Energy Corp PAC</t>
        </is>
      </c>
      <c r="D2985" t="inlineStr">
        <is>
          <t>BUCSHON FOR CONGRESS</t>
        </is>
      </c>
      <c r="E2985" t="inlineStr">
        <is>
          <t>H0IN08114</t>
        </is>
      </c>
      <c r="F2985" t="inlineStr">
        <is>
          <t>REP</t>
        </is>
      </c>
      <c r="G2985" t="inlineStr">
        <is>
          <t>06162023</t>
        </is>
      </c>
      <c r="H2985" t="n">
        <v>5000</v>
      </c>
      <c r="I2985" t="inlineStr">
        <is>
          <t>202307199583844656</t>
        </is>
      </c>
      <c r="J2985" t="inlineStr">
        <is>
          <t>https://docquery.fec.gov/cgi-bin/fecimg/?202307199583844656</t>
        </is>
      </c>
    </row>
    <row r="2986">
      <c r="A2986" t="inlineStr">
        <is>
          <t>2024</t>
        </is>
      </c>
      <c r="B2986" t="inlineStr">
        <is>
          <t>C00109546</t>
        </is>
      </c>
      <c r="C2986" t="inlineStr">
        <is>
          <t>Valero Energy Corp PAC</t>
        </is>
      </c>
      <c r="D2986" t="inlineStr">
        <is>
          <t>BUCSHON FOR CONGRESS</t>
        </is>
      </c>
      <c r="E2986" t="inlineStr">
        <is>
          <t>H0IN08114</t>
        </is>
      </c>
      <c r="F2986" t="inlineStr">
        <is>
          <t>REP</t>
        </is>
      </c>
      <c r="G2986" t="inlineStr">
        <is>
          <t>06162023</t>
        </is>
      </c>
      <c r="H2986" t="n">
        <v>2500</v>
      </c>
      <c r="I2986" t="inlineStr">
        <is>
          <t>202307199583844656</t>
        </is>
      </c>
      <c r="J2986" t="inlineStr">
        <is>
          <t>https://docquery.fec.gov/cgi-bin/fecimg/?202307199583844656</t>
        </is>
      </c>
    </row>
    <row r="2987">
      <c r="A2987" t="inlineStr">
        <is>
          <t>2024</t>
        </is>
      </c>
      <c r="B2987" t="inlineStr">
        <is>
          <t>C00109546</t>
        </is>
      </c>
      <c r="C2987" t="inlineStr">
        <is>
          <t>Valero Energy Corp PAC</t>
        </is>
      </c>
      <c r="D2987" t="inlineStr">
        <is>
          <t>COMER FOR CONGRESS</t>
        </is>
      </c>
      <c r="E2987" t="inlineStr">
        <is>
          <t>H6KY01110</t>
        </is>
      </c>
      <c r="F2987" t="inlineStr">
        <is>
          <t>REP</t>
        </is>
      </c>
      <c r="G2987" t="inlineStr">
        <is>
          <t>06162023</t>
        </is>
      </c>
      <c r="H2987" t="n">
        <v>5000</v>
      </c>
      <c r="I2987" t="inlineStr">
        <is>
          <t>202307199583844657</t>
        </is>
      </c>
      <c r="J2987" t="inlineStr">
        <is>
          <t>https://docquery.fec.gov/cgi-bin/fecimg/?202307199583844657</t>
        </is>
      </c>
    </row>
    <row r="2988">
      <c r="A2988" t="inlineStr">
        <is>
          <t>2024</t>
        </is>
      </c>
      <c r="B2988" t="inlineStr">
        <is>
          <t>C00109546</t>
        </is>
      </c>
      <c r="C2988" t="inlineStr">
        <is>
          <t>Valero Energy Corp PAC</t>
        </is>
      </c>
      <c r="D2988" t="inlineStr">
        <is>
          <t>CRAMER FOR SENATE</t>
        </is>
      </c>
      <c r="E2988" t="inlineStr">
        <is>
          <t>S8ND00120</t>
        </is>
      </c>
      <c r="F2988" t="inlineStr">
        <is>
          <t>REP</t>
        </is>
      </c>
      <c r="G2988" t="inlineStr">
        <is>
          <t>06162023</t>
        </is>
      </c>
      <c r="H2988" t="n">
        <v>5000</v>
      </c>
      <c r="I2988" t="inlineStr">
        <is>
          <t>202307199583844657</t>
        </is>
      </c>
      <c r="J2988" t="inlineStr">
        <is>
          <t>https://docquery.fec.gov/cgi-bin/fecimg/?202307199583844657</t>
        </is>
      </c>
    </row>
    <row r="2989">
      <c r="A2989" t="inlineStr">
        <is>
          <t>2024</t>
        </is>
      </c>
      <c r="B2989" t="inlineStr">
        <is>
          <t>C00109546</t>
        </is>
      </c>
      <c r="C2989" t="inlineStr">
        <is>
          <t>Valero Energy Corp PAC</t>
        </is>
      </c>
      <c r="D2989" t="inlineStr">
        <is>
          <t>DAN CRENSHAW FOR CONGRESS</t>
        </is>
      </c>
      <c r="E2989" t="inlineStr">
        <is>
          <t>H8TX02166</t>
        </is>
      </c>
      <c r="F2989" t="inlineStr">
        <is>
          <t>REP</t>
        </is>
      </c>
      <c r="G2989" t="inlineStr">
        <is>
          <t>06162023</t>
        </is>
      </c>
      <c r="H2989" t="n">
        <v>5000</v>
      </c>
      <c r="I2989" t="inlineStr">
        <is>
          <t>202307199583844658</t>
        </is>
      </c>
      <c r="J2989" t="inlineStr">
        <is>
          <t>https://docquery.fec.gov/cgi-bin/fecimg/?202307199583844658</t>
        </is>
      </c>
    </row>
    <row r="2990">
      <c r="A2990" t="inlineStr">
        <is>
          <t>2024</t>
        </is>
      </c>
      <c r="B2990" t="inlineStr">
        <is>
          <t>C00109546</t>
        </is>
      </c>
      <c r="C2990" t="inlineStr">
        <is>
          <t>Valero Energy Corp PAC</t>
        </is>
      </c>
      <c r="D2990" t="inlineStr">
        <is>
          <t>BETH VAN DUYNE FOR CONGRESS</t>
        </is>
      </c>
      <c r="E2990" t="inlineStr">
        <is>
          <t>H0TX24209</t>
        </is>
      </c>
      <c r="F2990" t="inlineStr">
        <is>
          <t>REP</t>
        </is>
      </c>
      <c r="G2990" t="inlineStr">
        <is>
          <t>06242024</t>
        </is>
      </c>
      <c r="H2990" t="n">
        <v>2500</v>
      </c>
      <c r="I2990" t="inlineStr">
        <is>
          <t>202407179661198882</t>
        </is>
      </c>
      <c r="J2990" t="inlineStr">
        <is>
          <t>https://docquery.fec.gov/cgi-bin/fecimg/?202407179661198882</t>
        </is>
      </c>
    </row>
    <row r="2991">
      <c r="A2991" t="inlineStr">
        <is>
          <t>2024</t>
        </is>
      </c>
      <c r="B2991" t="inlineStr">
        <is>
          <t>C00109546</t>
        </is>
      </c>
      <c r="C2991" t="inlineStr">
        <is>
          <t>Valero Energy Corp PAC</t>
        </is>
      </c>
      <c r="D2991" t="inlineStr">
        <is>
          <t>COMER FOR CONGRESS</t>
        </is>
      </c>
      <c r="E2991" t="inlineStr">
        <is>
          <t>H6KY01110</t>
        </is>
      </c>
      <c r="F2991" t="inlineStr">
        <is>
          <t>REP</t>
        </is>
      </c>
      <c r="G2991" t="inlineStr">
        <is>
          <t>06242024</t>
        </is>
      </c>
      <c r="H2991" t="n">
        <v>5000</v>
      </c>
      <c r="I2991" t="inlineStr">
        <is>
          <t>202407179661198882</t>
        </is>
      </c>
      <c r="J2991" t="inlineStr">
        <is>
          <t>https://docquery.fec.gov/cgi-bin/fecimg/?202407179661198882</t>
        </is>
      </c>
    </row>
    <row r="2992">
      <c r="A2992" t="inlineStr">
        <is>
          <t>2024</t>
        </is>
      </c>
      <c r="B2992" t="inlineStr">
        <is>
          <t>C00109546</t>
        </is>
      </c>
      <c r="C2992" t="inlineStr">
        <is>
          <t>Valero Energy Corp PAC</t>
        </is>
      </c>
      <c r="D2992" t="inlineStr">
        <is>
          <t>CRAIG GOLDMAN FOR CONGRESS</t>
        </is>
      </c>
      <c r="E2992" t="inlineStr">
        <is>
          <t>H4TX12065</t>
        </is>
      </c>
      <c r="F2992" t="inlineStr">
        <is>
          <t>REP</t>
        </is>
      </c>
      <c r="G2992" t="inlineStr">
        <is>
          <t>06242024</t>
        </is>
      </c>
      <c r="H2992" t="n">
        <v>5000</v>
      </c>
      <c r="I2992" t="inlineStr">
        <is>
          <t>202407179661198883</t>
        </is>
      </c>
      <c r="J2992" t="inlineStr">
        <is>
          <t>https://docquery.fec.gov/cgi-bin/fecimg/?202407179661198883</t>
        </is>
      </c>
    </row>
    <row r="2993">
      <c r="A2993" t="inlineStr">
        <is>
          <t>2024</t>
        </is>
      </c>
      <c r="B2993" t="inlineStr">
        <is>
          <t>C00109546</t>
        </is>
      </c>
      <c r="C2993" t="inlineStr">
        <is>
          <t>Valero Energy Corp PAC</t>
        </is>
      </c>
      <c r="D2993" t="inlineStr">
        <is>
          <t>ASHLEY HINSON FOR CONGRESS</t>
        </is>
      </c>
      <c r="E2993" t="inlineStr">
        <is>
          <t>H0IA01174</t>
        </is>
      </c>
      <c r="F2993" t="inlineStr">
        <is>
          <t>REP</t>
        </is>
      </c>
      <c r="G2993" t="inlineStr">
        <is>
          <t>06242024</t>
        </is>
      </c>
      <c r="H2993" t="n">
        <v>2500</v>
      </c>
      <c r="I2993" t="inlineStr">
        <is>
          <t>202407179661198883</t>
        </is>
      </c>
      <c r="J2993" t="inlineStr">
        <is>
          <t>https://docquery.fec.gov/cgi-bin/fecimg/?202407179661198883</t>
        </is>
      </c>
    </row>
    <row r="2994">
      <c r="A2994" t="inlineStr">
        <is>
          <t>2024</t>
        </is>
      </c>
      <c r="B2994" t="inlineStr">
        <is>
          <t>C00109546</t>
        </is>
      </c>
      <c r="C2994" t="inlineStr">
        <is>
          <t>Valero Energy Corp PAC</t>
        </is>
      </c>
      <c r="D2994" t="inlineStr">
        <is>
          <t>KEAN FOR CONGRESS INC</t>
        </is>
      </c>
      <c r="E2994" t="inlineStr">
        <is>
          <t>H0NJ07261</t>
        </is>
      </c>
      <c r="F2994" t="inlineStr">
        <is>
          <t>REP</t>
        </is>
      </c>
      <c r="G2994" t="inlineStr">
        <is>
          <t>06242024</t>
        </is>
      </c>
      <c r="H2994" t="n">
        <v>5000</v>
      </c>
      <c r="I2994" t="inlineStr">
        <is>
          <t>202407179661198884</t>
        </is>
      </c>
      <c r="J2994" t="inlineStr">
        <is>
          <t>https://docquery.fec.gov/cgi-bin/fecimg/?202407179661198884</t>
        </is>
      </c>
    </row>
    <row r="2995">
      <c r="A2995" t="inlineStr">
        <is>
          <t>2024</t>
        </is>
      </c>
      <c r="B2995" t="inlineStr">
        <is>
          <t>C00109546</t>
        </is>
      </c>
      <c r="C2995" t="inlineStr">
        <is>
          <t>Valero Energy Corp PAC</t>
        </is>
      </c>
      <c r="D2995" t="inlineStr">
        <is>
          <t>GRAVES FOR CONGRESS</t>
        </is>
      </c>
      <c r="E2995" t="inlineStr">
        <is>
          <t>H0MO06073</t>
        </is>
      </c>
      <c r="F2995" t="inlineStr">
        <is>
          <t>REP</t>
        </is>
      </c>
      <c r="G2995" t="inlineStr">
        <is>
          <t>06242024</t>
        </is>
      </c>
      <c r="H2995" t="n">
        <v>5000</v>
      </c>
      <c r="I2995" t="inlineStr">
        <is>
          <t>202407179661198884</t>
        </is>
      </c>
      <c r="J2995" t="inlineStr">
        <is>
          <t>https://docquery.fec.gov/cgi-bin/fecimg/?202407179661198884</t>
        </is>
      </c>
    </row>
    <row r="2996">
      <c r="A2996" t="inlineStr">
        <is>
          <t>2024</t>
        </is>
      </c>
      <c r="B2996" t="inlineStr">
        <is>
          <t>C00109546</t>
        </is>
      </c>
      <c r="C2996" t="inlineStr">
        <is>
          <t>Valero Energy Corp PAC</t>
        </is>
      </c>
      <c r="D2996" t="inlineStr">
        <is>
          <t>GUTHRIE FOR CONGRESS</t>
        </is>
      </c>
      <c r="E2996" t="inlineStr">
        <is>
          <t>H8KY02031</t>
        </is>
      </c>
      <c r="F2996" t="inlineStr">
        <is>
          <t>REP</t>
        </is>
      </c>
      <c r="G2996" t="inlineStr">
        <is>
          <t>06242024</t>
        </is>
      </c>
      <c r="H2996" t="n">
        <v>5000</v>
      </c>
      <c r="I2996" t="inlineStr">
        <is>
          <t>202407179661198885</t>
        </is>
      </c>
      <c r="J2996" t="inlineStr">
        <is>
          <t>https://docquery.fec.gov/cgi-bin/fecimg/?202407179661198885</t>
        </is>
      </c>
    </row>
    <row r="2997">
      <c r="A2997" t="inlineStr">
        <is>
          <t>2024</t>
        </is>
      </c>
      <c r="B2997" t="inlineStr">
        <is>
          <t>C00109546</t>
        </is>
      </c>
      <c r="C2997" t="inlineStr">
        <is>
          <t>Valero Energy Corp PAC</t>
        </is>
      </c>
      <c r="D2997" t="inlineStr">
        <is>
          <t>HOGAN FOR MARYLAND INC.</t>
        </is>
      </c>
      <c r="E2997" t="inlineStr">
        <is>
          <t>S4MD00483</t>
        </is>
      </c>
      <c r="F2997" t="inlineStr">
        <is>
          <t>REP</t>
        </is>
      </c>
      <c r="G2997" t="inlineStr">
        <is>
          <t>06242024</t>
        </is>
      </c>
      <c r="H2997" t="n">
        <v>5000</v>
      </c>
      <c r="I2997" t="inlineStr">
        <is>
          <t>202407179661198885</t>
        </is>
      </c>
      <c r="J2997" t="inlineStr">
        <is>
          <t>https://docquery.fec.gov/cgi-bin/fecimg/?202407179661198885</t>
        </is>
      </c>
    </row>
    <row r="2998">
      <c r="A2998" t="inlineStr">
        <is>
          <t>2024</t>
        </is>
      </c>
      <c r="B2998" t="inlineStr">
        <is>
          <t>C00109546</t>
        </is>
      </c>
      <c r="C2998" t="inlineStr">
        <is>
          <t>Valero Energy Corp PAC</t>
        </is>
      </c>
      <c r="D2998" t="inlineStr">
        <is>
          <t>MILLER-MEEKS FOR CONGRESS</t>
        </is>
      </c>
      <c r="E2998" t="inlineStr">
        <is>
          <t>H8IA02043</t>
        </is>
      </c>
      <c r="F2998" t="inlineStr">
        <is>
          <t>REP</t>
        </is>
      </c>
      <c r="G2998" t="inlineStr">
        <is>
          <t>06242024</t>
        </is>
      </c>
      <c r="H2998" t="n">
        <v>2500</v>
      </c>
      <c r="I2998" t="inlineStr">
        <is>
          <t>202407179661198886</t>
        </is>
      </c>
      <c r="J2998" t="inlineStr">
        <is>
          <t>https://docquery.fec.gov/cgi-bin/fecimg/?202407179661198886</t>
        </is>
      </c>
    </row>
    <row r="2999">
      <c r="A2999" t="inlineStr">
        <is>
          <t>2024</t>
        </is>
      </c>
      <c r="B2999" t="inlineStr">
        <is>
          <t>C00109546</t>
        </is>
      </c>
      <c r="C2999" t="inlineStr">
        <is>
          <t>Valero Energy Corp PAC</t>
        </is>
      </c>
      <c r="D2999" t="inlineStr">
        <is>
          <t>MORGAN GRIFFITH FOR CONGRESS</t>
        </is>
      </c>
      <c r="E2999" t="inlineStr">
        <is>
          <t>H0VA09055</t>
        </is>
      </c>
      <c r="F2999" t="inlineStr">
        <is>
          <t>REP</t>
        </is>
      </c>
      <c r="G2999" t="inlineStr">
        <is>
          <t>06242024</t>
        </is>
      </c>
      <c r="H2999" t="n">
        <v>5000</v>
      </c>
      <c r="I2999" t="inlineStr">
        <is>
          <t>202407179661198886</t>
        </is>
      </c>
      <c r="J2999" t="inlineStr">
        <is>
          <t>https://docquery.fec.gov/cgi-bin/fecimg/?202407179661198886</t>
        </is>
      </c>
    </row>
    <row r="3000">
      <c r="A3000" t="inlineStr">
        <is>
          <t>2024</t>
        </is>
      </c>
      <c r="B3000" t="inlineStr">
        <is>
          <t>C00109546</t>
        </is>
      </c>
      <c r="C3000" t="inlineStr">
        <is>
          <t>Valero Energy Corp PAC</t>
        </is>
      </c>
      <c r="D3000" t="inlineStr">
        <is>
          <t>ROB WITTMAN FOR CONGRESS</t>
        </is>
      </c>
      <c r="E3000" t="inlineStr">
        <is>
          <t>H8VA01147</t>
        </is>
      </c>
      <c r="F3000" t="inlineStr">
        <is>
          <t>REP</t>
        </is>
      </c>
      <c r="G3000" t="inlineStr">
        <is>
          <t>06242024</t>
        </is>
      </c>
      <c r="H3000" t="n">
        <v>2500</v>
      </c>
      <c r="I3000" t="inlineStr">
        <is>
          <t>202407179661198887</t>
        </is>
      </c>
      <c r="J3000" t="inlineStr">
        <is>
          <t>https://docquery.fec.gov/cgi-bin/fecimg/?202407179661198887</t>
        </is>
      </c>
    </row>
    <row r="3001">
      <c r="A3001" t="inlineStr">
        <is>
          <t>2024</t>
        </is>
      </c>
      <c r="B3001" t="inlineStr">
        <is>
          <t>C00109546</t>
        </is>
      </c>
      <c r="C3001" t="inlineStr">
        <is>
          <t>Valero Energy Corp PAC</t>
        </is>
      </c>
      <c r="D3001" t="inlineStr">
        <is>
          <t>STEIL FOR WISCONSIN, INC.</t>
        </is>
      </c>
      <c r="E3001" t="inlineStr">
        <is>
          <t>H8WI01156</t>
        </is>
      </c>
      <c r="F3001" t="inlineStr">
        <is>
          <t>REP</t>
        </is>
      </c>
      <c r="G3001" t="inlineStr">
        <is>
          <t>06242024</t>
        </is>
      </c>
      <c r="H3001" t="n">
        <v>5000</v>
      </c>
      <c r="I3001" t="inlineStr">
        <is>
          <t>202407179661198888</t>
        </is>
      </c>
      <c r="J3001" t="inlineStr">
        <is>
          <t>https://docquery.fec.gov/cgi-bin/fecimg/?202407179661198888</t>
        </is>
      </c>
    </row>
    <row r="3002">
      <c r="A3002" t="inlineStr">
        <is>
          <t>2024</t>
        </is>
      </c>
      <c r="B3002" t="inlineStr">
        <is>
          <t>C00109546</t>
        </is>
      </c>
      <c r="C3002" t="inlineStr">
        <is>
          <t>Valero Energy Corp PAC</t>
        </is>
      </c>
      <c r="D3002" t="inlineStr">
        <is>
          <t>CHIP ROY FOR CONGRESS</t>
        </is>
      </c>
      <c r="E3002" t="inlineStr">
        <is>
          <t>H8TX21307</t>
        </is>
      </c>
      <c r="F3002" t="inlineStr">
        <is>
          <t>REP</t>
        </is>
      </c>
      <c r="G3002" t="inlineStr">
        <is>
          <t>07262023</t>
        </is>
      </c>
      <c r="H3002" t="n">
        <v>2500</v>
      </c>
      <c r="I3002" t="inlineStr">
        <is>
          <t>202308159596559952</t>
        </is>
      </c>
      <c r="J3002" t="inlineStr">
        <is>
          <t>https://docquery.fec.gov/cgi-bin/fecimg/?202308159596559952</t>
        </is>
      </c>
    </row>
    <row r="3003">
      <c r="A3003" t="inlineStr">
        <is>
          <t>2024</t>
        </is>
      </c>
      <c r="B3003" t="inlineStr">
        <is>
          <t>C00109546</t>
        </is>
      </c>
      <c r="C3003" t="inlineStr">
        <is>
          <t>Valero Energy Corp PAC</t>
        </is>
      </c>
      <c r="D3003" t="inlineStr">
        <is>
          <t>FRIENDS OF GLENN THOMPSON</t>
        </is>
      </c>
      <c r="E3003" t="inlineStr">
        <is>
          <t>H8PA05071</t>
        </is>
      </c>
      <c r="F3003" t="inlineStr">
        <is>
          <t>REP</t>
        </is>
      </c>
      <c r="G3003" t="inlineStr">
        <is>
          <t>07262023</t>
        </is>
      </c>
      <c r="H3003" t="n">
        <v>5000</v>
      </c>
      <c r="I3003" t="inlineStr">
        <is>
          <t>202308159596559952</t>
        </is>
      </c>
      <c r="J3003" t="inlineStr">
        <is>
          <t>https://docquery.fec.gov/cgi-bin/fecimg/?202308159596559952</t>
        </is>
      </c>
    </row>
    <row r="3004">
      <c r="A3004" t="inlineStr">
        <is>
          <t>2024</t>
        </is>
      </c>
      <c r="B3004" t="inlineStr">
        <is>
          <t>C00109546</t>
        </is>
      </c>
      <c r="C3004" t="inlineStr">
        <is>
          <t>Valero Energy Corp PAC</t>
        </is>
      </c>
      <c r="D3004" t="inlineStr">
        <is>
          <t>GARRET GRAVES FOR CONGRESS</t>
        </is>
      </c>
      <c r="E3004" t="inlineStr">
        <is>
          <t>H4LA06153</t>
        </is>
      </c>
      <c r="F3004" t="inlineStr">
        <is>
          <t>REP</t>
        </is>
      </c>
      <c r="G3004" t="inlineStr">
        <is>
          <t>07262023</t>
        </is>
      </c>
      <c r="H3004" t="n">
        <v>5000</v>
      </c>
      <c r="I3004" t="inlineStr">
        <is>
          <t>202308159596559952</t>
        </is>
      </c>
      <c r="J3004" t="inlineStr">
        <is>
          <t>https://docquery.fec.gov/cgi-bin/fecimg/?202308159596559952</t>
        </is>
      </c>
    </row>
    <row r="3005">
      <c r="A3005" t="inlineStr">
        <is>
          <t>2024</t>
        </is>
      </c>
      <c r="B3005" t="inlineStr">
        <is>
          <t>C00109546</t>
        </is>
      </c>
      <c r="C3005" t="inlineStr">
        <is>
          <t>Valero Energy Corp PAC</t>
        </is>
      </c>
      <c r="D3005" t="inlineStr">
        <is>
          <t>GARRET GRAVES FOR CONGRESS</t>
        </is>
      </c>
      <c r="E3005" t="inlineStr">
        <is>
          <t>H4LA06153</t>
        </is>
      </c>
      <c r="F3005" t="inlineStr">
        <is>
          <t>REP</t>
        </is>
      </c>
      <c r="G3005" t="inlineStr">
        <is>
          <t>07262023</t>
        </is>
      </c>
      <c r="H3005" t="n">
        <v>5000</v>
      </c>
      <c r="I3005" t="inlineStr">
        <is>
          <t>202308159596559953</t>
        </is>
      </c>
      <c r="J3005" t="inlineStr">
        <is>
          <t>https://docquery.fec.gov/cgi-bin/fecimg/?202308159596559953</t>
        </is>
      </c>
    </row>
    <row r="3006">
      <c r="A3006" t="inlineStr">
        <is>
          <t>2024</t>
        </is>
      </c>
      <c r="B3006" t="inlineStr">
        <is>
          <t>C00109546</t>
        </is>
      </c>
      <c r="C3006" t="inlineStr">
        <is>
          <t>Valero Energy Corp PAC</t>
        </is>
      </c>
      <c r="D3006" t="inlineStr">
        <is>
          <t>PETE STAUBER FOR CONGRESS</t>
        </is>
      </c>
      <c r="E3006" t="inlineStr">
        <is>
          <t>H8MN08043</t>
        </is>
      </c>
      <c r="F3006" t="inlineStr">
        <is>
          <t>REP</t>
        </is>
      </c>
      <c r="G3006" t="inlineStr">
        <is>
          <t>07262023</t>
        </is>
      </c>
      <c r="H3006" t="n">
        <v>5000</v>
      </c>
      <c r="I3006" t="inlineStr">
        <is>
          <t>202308159596559953</t>
        </is>
      </c>
      <c r="J3006" t="inlineStr">
        <is>
          <t>https://docquery.fec.gov/cgi-bin/fecimg/?202308159596559953</t>
        </is>
      </c>
    </row>
    <row r="3007">
      <c r="A3007" t="inlineStr">
        <is>
          <t>2024</t>
        </is>
      </c>
      <c r="B3007" t="inlineStr">
        <is>
          <t>C00109546</t>
        </is>
      </c>
      <c r="C3007" t="inlineStr">
        <is>
          <t>Valero Energy Corp PAC</t>
        </is>
      </c>
      <c r="D3007" t="inlineStr">
        <is>
          <t>RON ESTES FOR CONGRESS</t>
        </is>
      </c>
      <c r="E3007" t="inlineStr">
        <is>
          <t>H8KS04112</t>
        </is>
      </c>
      <c r="F3007" t="inlineStr">
        <is>
          <t>REP</t>
        </is>
      </c>
      <c r="G3007" t="inlineStr">
        <is>
          <t>07262023</t>
        </is>
      </c>
      <c r="H3007" t="n">
        <v>2500</v>
      </c>
      <c r="I3007" t="inlineStr">
        <is>
          <t>202308159596559954</t>
        </is>
      </c>
      <c r="J3007" t="inlineStr">
        <is>
          <t>https://docquery.fec.gov/cgi-bin/fecimg/?202308159596559954</t>
        </is>
      </c>
    </row>
    <row r="3008">
      <c r="A3008" t="inlineStr">
        <is>
          <t>2024</t>
        </is>
      </c>
      <c r="B3008" t="inlineStr">
        <is>
          <t>C00109546</t>
        </is>
      </c>
      <c r="C3008" t="inlineStr">
        <is>
          <t>Valero Energy Corp PAC</t>
        </is>
      </c>
      <c r="D3008" t="inlineStr">
        <is>
          <t>BYRON DONALDS FOR CONGRESS</t>
        </is>
      </c>
      <c r="E3008" t="inlineStr">
        <is>
          <t>H2FL14186</t>
        </is>
      </c>
      <c r="F3008" t="inlineStr">
        <is>
          <t>REP</t>
        </is>
      </c>
      <c r="G3008" t="inlineStr">
        <is>
          <t>07312024</t>
        </is>
      </c>
      <c r="H3008" t="n">
        <v>5000</v>
      </c>
      <c r="I3008" t="inlineStr">
        <is>
          <t>202408169666378619</t>
        </is>
      </c>
      <c r="J3008" t="inlineStr">
        <is>
          <t>https://docquery.fec.gov/cgi-bin/fecimg/?202408169666378619</t>
        </is>
      </c>
    </row>
    <row r="3009">
      <c r="A3009" t="inlineStr">
        <is>
          <t>2024</t>
        </is>
      </c>
      <c r="B3009" t="inlineStr">
        <is>
          <t>C00109546</t>
        </is>
      </c>
      <c r="C3009" t="inlineStr">
        <is>
          <t>Valero Energy Corp PAC</t>
        </is>
      </c>
      <c r="D3009" t="inlineStr">
        <is>
          <t>JAKE ELLZEY FOR CONGRESS</t>
        </is>
      </c>
      <c r="E3009" t="inlineStr">
        <is>
          <t>H8TX06266</t>
        </is>
      </c>
      <c r="F3009" t="inlineStr">
        <is>
          <t>REP</t>
        </is>
      </c>
      <c r="G3009" t="inlineStr">
        <is>
          <t>07312024</t>
        </is>
      </c>
      <c r="H3009" t="n">
        <v>5000</v>
      </c>
      <c r="I3009" t="inlineStr">
        <is>
          <t>202408169666378620</t>
        </is>
      </c>
      <c r="J3009" t="inlineStr">
        <is>
          <t>https://docquery.fec.gov/cgi-bin/fecimg/?202408169666378620</t>
        </is>
      </c>
    </row>
    <row r="3010">
      <c r="A3010" t="inlineStr">
        <is>
          <t>2024</t>
        </is>
      </c>
      <c r="B3010" t="inlineStr">
        <is>
          <t>C00109546</t>
        </is>
      </c>
      <c r="C3010" t="inlineStr">
        <is>
          <t>Valero Energy Corp PAC</t>
        </is>
      </c>
      <c r="D3010" t="inlineStr">
        <is>
          <t>KIGGANS FOR CONGRESS</t>
        </is>
      </c>
      <c r="E3010" t="inlineStr">
        <is>
          <t>H2VA02064</t>
        </is>
      </c>
      <c r="F3010" t="inlineStr">
        <is>
          <t>REP</t>
        </is>
      </c>
      <c r="G3010" t="inlineStr">
        <is>
          <t>08312023</t>
        </is>
      </c>
      <c r="H3010" t="n">
        <v>5000</v>
      </c>
      <c r="I3010" t="inlineStr">
        <is>
          <t>202309199597103291</t>
        </is>
      </c>
      <c r="J3010" t="inlineStr">
        <is>
          <t>https://docquery.fec.gov/cgi-bin/fecimg/?202309199597103291</t>
        </is>
      </c>
    </row>
    <row r="3011">
      <c r="A3011" t="inlineStr">
        <is>
          <t>2024</t>
        </is>
      </c>
      <c r="B3011" t="inlineStr">
        <is>
          <t>C00109546</t>
        </is>
      </c>
      <c r="C3011" t="inlineStr">
        <is>
          <t>Valero Energy Corp PAC</t>
        </is>
      </c>
      <c r="D3011" t="inlineStr">
        <is>
          <t>ASHLEY HINSON FOR CONGRESS</t>
        </is>
      </c>
      <c r="E3011" t="inlineStr">
        <is>
          <t>H0IA01174</t>
        </is>
      </c>
      <c r="F3011" t="inlineStr">
        <is>
          <t>REP</t>
        </is>
      </c>
      <c r="G3011" t="inlineStr">
        <is>
          <t>08312023</t>
        </is>
      </c>
      <c r="H3011" t="n">
        <v>2500</v>
      </c>
      <c r="I3011" t="inlineStr">
        <is>
          <t>202309199597103290</t>
        </is>
      </c>
      <c r="J3011" t="inlineStr">
        <is>
          <t>https://docquery.fec.gov/cgi-bin/fecimg/?202309199597103290</t>
        </is>
      </c>
    </row>
    <row r="3012">
      <c r="A3012" t="inlineStr">
        <is>
          <t>2024</t>
        </is>
      </c>
      <c r="B3012" t="inlineStr">
        <is>
          <t>C00109546</t>
        </is>
      </c>
      <c r="C3012" t="inlineStr">
        <is>
          <t>Valero Energy Corp PAC</t>
        </is>
      </c>
      <c r="D3012" t="inlineStr">
        <is>
          <t>FEENSTRA FOR CONGRESS</t>
        </is>
      </c>
      <c r="E3012" t="inlineStr">
        <is>
          <t>H0IA04145</t>
        </is>
      </c>
      <c r="F3012" t="inlineStr">
        <is>
          <t>REP</t>
        </is>
      </c>
      <c r="G3012" t="inlineStr">
        <is>
          <t>08312023</t>
        </is>
      </c>
      <c r="H3012" t="n">
        <v>2500</v>
      </c>
      <c r="I3012" t="inlineStr">
        <is>
          <t>202309199597103290</t>
        </is>
      </c>
      <c r="J3012" t="inlineStr">
        <is>
          <t>https://docquery.fec.gov/cgi-bin/fecimg/?202309199597103290</t>
        </is>
      </c>
    </row>
    <row r="3013">
      <c r="A3013" t="inlineStr">
        <is>
          <t>2024</t>
        </is>
      </c>
      <c r="B3013" t="inlineStr">
        <is>
          <t>C00109546</t>
        </is>
      </c>
      <c r="C3013" t="inlineStr">
        <is>
          <t>Valero Energy Corp PAC</t>
        </is>
      </c>
      <c r="D3013" t="inlineStr">
        <is>
          <t>CISCOMANI FOR CONGRESS</t>
        </is>
      </c>
      <c r="E3013" t="inlineStr">
        <is>
          <t>H2AZ02360</t>
        </is>
      </c>
      <c r="F3013" t="inlineStr">
        <is>
          <t>REP</t>
        </is>
      </c>
      <c r="G3013" t="inlineStr">
        <is>
          <t>08312023</t>
        </is>
      </c>
      <c r="H3013" t="n">
        <v>5000</v>
      </c>
      <c r="I3013" t="inlineStr">
        <is>
          <t>202309199597103291</t>
        </is>
      </c>
      <c r="J3013" t="inlineStr">
        <is>
          <t>https://docquery.fec.gov/cgi-bin/fecimg/?202309199597103291</t>
        </is>
      </c>
    </row>
    <row r="3014">
      <c r="A3014" t="inlineStr">
        <is>
          <t>2024</t>
        </is>
      </c>
      <c r="B3014" t="inlineStr">
        <is>
          <t>C00109546</t>
        </is>
      </c>
      <c r="C3014" t="inlineStr">
        <is>
          <t>Valero Energy Corp PAC</t>
        </is>
      </c>
      <c r="D3014" t="inlineStr">
        <is>
          <t>GARRET GRAVES FOR CONGRESS</t>
        </is>
      </c>
      <c r="E3014" t="inlineStr">
        <is>
          <t>H4LA06153</t>
        </is>
      </c>
      <c r="F3014" t="inlineStr">
        <is>
          <t>REP</t>
        </is>
      </c>
      <c r="G3014" t="inlineStr">
        <is>
          <t>09112024</t>
        </is>
      </c>
      <c r="H3014" t="n">
        <v>-5000</v>
      </c>
      <c r="I3014" t="inlineStr">
        <is>
          <t>202410189698650674</t>
        </is>
      </c>
      <c r="J3014" t="inlineStr">
        <is>
          <t>https://docquery.fec.gov/cgi-bin/fecimg/?202410189698650674</t>
        </is>
      </c>
    </row>
    <row r="3015">
      <c r="A3015" t="inlineStr">
        <is>
          <t>2024</t>
        </is>
      </c>
      <c r="B3015" t="inlineStr">
        <is>
          <t>C00109546</t>
        </is>
      </c>
      <c r="C3015" t="inlineStr">
        <is>
          <t>Valero Energy Corp PAC</t>
        </is>
      </c>
      <c r="D3015" t="inlineStr">
        <is>
          <t>MIKE BOST FOR CONGRESS COMMITTEE</t>
        </is>
      </c>
      <c r="E3015" t="inlineStr">
        <is>
          <t>H4IL12060</t>
        </is>
      </c>
      <c r="F3015" t="inlineStr">
        <is>
          <t>REP</t>
        </is>
      </c>
      <c r="G3015" t="inlineStr">
        <is>
          <t>09212023</t>
        </is>
      </c>
      <c r="H3015" t="n">
        <v>2500</v>
      </c>
      <c r="I3015" t="inlineStr">
        <is>
          <t>202310209598697782</t>
        </is>
      </c>
      <c r="J3015" t="inlineStr">
        <is>
          <t>https://docquery.fec.gov/cgi-bin/fecimg/?202310209598697782</t>
        </is>
      </c>
    </row>
    <row r="3016">
      <c r="A3016" t="inlineStr">
        <is>
          <t>2024</t>
        </is>
      </c>
      <c r="B3016" t="inlineStr">
        <is>
          <t>C00109546</t>
        </is>
      </c>
      <c r="C3016" t="inlineStr">
        <is>
          <t>Valero Energy Corp PAC</t>
        </is>
      </c>
      <c r="D3016" t="inlineStr">
        <is>
          <t>KAT FOR CONGRESS</t>
        </is>
      </c>
      <c r="E3016" t="inlineStr">
        <is>
          <t>H0FL03175</t>
        </is>
      </c>
      <c r="F3016" t="inlineStr">
        <is>
          <t>REP</t>
        </is>
      </c>
      <c r="G3016" t="inlineStr">
        <is>
          <t>09212023</t>
        </is>
      </c>
      <c r="H3016" t="n">
        <v>2500</v>
      </c>
      <c r="I3016" t="inlineStr">
        <is>
          <t>202310209598697782</t>
        </is>
      </c>
      <c r="J3016" t="inlineStr">
        <is>
          <t>https://docquery.fec.gov/cgi-bin/fecimg/?202310209598697782</t>
        </is>
      </c>
    </row>
    <row r="3017">
      <c r="A3017" t="inlineStr">
        <is>
          <t>2024</t>
        </is>
      </c>
      <c r="B3017" t="inlineStr">
        <is>
          <t>C00109546</t>
        </is>
      </c>
      <c r="C3017" t="inlineStr">
        <is>
          <t>Valero Energy Corp PAC</t>
        </is>
      </c>
      <c r="D3017" t="inlineStr">
        <is>
          <t>MOORE FOR WEST VIRGINIA, INC.</t>
        </is>
      </c>
      <c r="E3017" t="inlineStr">
        <is>
          <t>H4WV02205</t>
        </is>
      </c>
      <c r="F3017" t="inlineStr">
        <is>
          <t>REP</t>
        </is>
      </c>
      <c r="G3017" t="inlineStr">
        <is>
          <t>09212023</t>
        </is>
      </c>
      <c r="H3017" t="n">
        <v>5000</v>
      </c>
      <c r="I3017" t="inlineStr">
        <is>
          <t>202310209598697782</t>
        </is>
      </c>
      <c r="J3017" t="inlineStr">
        <is>
          <t>https://docquery.fec.gov/cgi-bin/fecimg/?202310209598697782</t>
        </is>
      </c>
    </row>
    <row r="3018">
      <c r="A3018" t="inlineStr">
        <is>
          <t>2024</t>
        </is>
      </c>
      <c r="B3018" t="inlineStr">
        <is>
          <t>C00109546</t>
        </is>
      </c>
      <c r="C3018" t="inlineStr">
        <is>
          <t>Valero Energy Corp PAC</t>
        </is>
      </c>
      <c r="D3018" t="inlineStr">
        <is>
          <t>TEXANS FOR RONNY JACKSON</t>
        </is>
      </c>
      <c r="E3018" t="inlineStr">
        <is>
          <t>H0TX13228</t>
        </is>
      </c>
      <c r="F3018" t="inlineStr">
        <is>
          <t>REP</t>
        </is>
      </c>
      <c r="G3018" t="inlineStr">
        <is>
          <t>09212023</t>
        </is>
      </c>
      <c r="H3018" t="n">
        <v>5000</v>
      </c>
      <c r="I3018" t="inlineStr">
        <is>
          <t>202310209598697783</t>
        </is>
      </c>
      <c r="J3018" t="inlineStr">
        <is>
          <t>https://docquery.fec.gov/cgi-bin/fecimg/?202310209598697783</t>
        </is>
      </c>
    </row>
    <row r="3019">
      <c r="A3019" t="inlineStr">
        <is>
          <t>2024</t>
        </is>
      </c>
      <c r="B3019" t="inlineStr">
        <is>
          <t>C00109546</t>
        </is>
      </c>
      <c r="C3019" t="inlineStr">
        <is>
          <t>Valero Energy Corp PAC</t>
        </is>
      </c>
      <c r="D3019" t="inlineStr">
        <is>
          <t>CURTIS FOR CONGRESS</t>
        </is>
      </c>
      <c r="E3019" t="inlineStr">
        <is>
          <t>H8UT03238</t>
        </is>
      </c>
      <c r="F3019" t="inlineStr">
        <is>
          <t>REP</t>
        </is>
      </c>
      <c r="G3019" t="inlineStr">
        <is>
          <t>09212023</t>
        </is>
      </c>
      <c r="H3019" t="n">
        <v>5000</v>
      </c>
      <c r="I3019" t="inlineStr">
        <is>
          <t>202310209598697780</t>
        </is>
      </c>
      <c r="J3019" t="inlineStr">
        <is>
          <t>https://docquery.fec.gov/cgi-bin/fecimg/?202310209598697780</t>
        </is>
      </c>
    </row>
    <row r="3020">
      <c r="A3020" t="inlineStr">
        <is>
          <t>2024</t>
        </is>
      </c>
      <c r="B3020" t="inlineStr">
        <is>
          <t>C00109546</t>
        </is>
      </c>
      <c r="C3020" t="inlineStr">
        <is>
          <t>Valero Energy Corp PAC</t>
        </is>
      </c>
      <c r="D3020" t="inlineStr">
        <is>
          <t>ANDY BARR FOR CONGRESS, INC.</t>
        </is>
      </c>
      <c r="E3020" t="inlineStr">
        <is>
          <t>H0KY06104</t>
        </is>
      </c>
      <c r="F3020" t="inlineStr">
        <is>
          <t>REP</t>
        </is>
      </c>
      <c r="G3020" t="inlineStr">
        <is>
          <t>09212023</t>
        </is>
      </c>
      <c r="H3020" t="n">
        <v>5000</v>
      </c>
      <c r="I3020" t="inlineStr">
        <is>
          <t>202310209598697779</t>
        </is>
      </c>
      <c r="J3020" t="inlineStr">
        <is>
          <t>https://docquery.fec.gov/cgi-bin/fecimg/?202310209598697779</t>
        </is>
      </c>
    </row>
    <row r="3021">
      <c r="A3021" t="inlineStr">
        <is>
          <t>2024</t>
        </is>
      </c>
      <c r="B3021" t="inlineStr">
        <is>
          <t>C00109546</t>
        </is>
      </c>
      <c r="C3021" t="inlineStr">
        <is>
          <t>Valero Energy Corp PAC</t>
        </is>
      </c>
      <c r="D3021" t="inlineStr">
        <is>
          <t>CAREY FOR CONGRESS</t>
        </is>
      </c>
      <c r="E3021" t="inlineStr">
        <is>
          <t>H2OH15228</t>
        </is>
      </c>
      <c r="F3021" t="inlineStr">
        <is>
          <t>REP</t>
        </is>
      </c>
      <c r="G3021" t="inlineStr">
        <is>
          <t>09212023</t>
        </is>
      </c>
      <c r="H3021" t="n">
        <v>2500</v>
      </c>
      <c r="I3021" t="inlineStr">
        <is>
          <t>202310209598697779</t>
        </is>
      </c>
      <c r="J3021" t="inlineStr">
        <is>
          <t>https://docquery.fec.gov/cgi-bin/fecimg/?202310209598697779</t>
        </is>
      </c>
    </row>
    <row r="3022">
      <c r="A3022" t="inlineStr">
        <is>
          <t>2024</t>
        </is>
      </c>
      <c r="B3022" t="inlineStr">
        <is>
          <t>C00109546</t>
        </is>
      </c>
      <c r="C3022" t="inlineStr">
        <is>
          <t>Valero Energy Corp PAC</t>
        </is>
      </c>
      <c r="D3022" t="inlineStr">
        <is>
          <t>DR. BRIAN BABIN FOR CONGRESS</t>
        </is>
      </c>
      <c r="E3022" t="inlineStr">
        <is>
          <t>H6TX02079</t>
        </is>
      </c>
      <c r="F3022" t="inlineStr">
        <is>
          <t>REP</t>
        </is>
      </c>
      <c r="G3022" t="inlineStr">
        <is>
          <t>09212023</t>
        </is>
      </c>
      <c r="H3022" t="n">
        <v>5000</v>
      </c>
      <c r="I3022" t="inlineStr">
        <is>
          <t>202310209598697780</t>
        </is>
      </c>
      <c r="J3022" t="inlineStr">
        <is>
          <t>https://docquery.fec.gov/cgi-bin/fecimg/?202310209598697780</t>
        </is>
      </c>
    </row>
    <row r="3023">
      <c r="A3023" t="inlineStr">
        <is>
          <t>2024</t>
        </is>
      </c>
      <c r="B3023" t="inlineStr">
        <is>
          <t>C00109546</t>
        </is>
      </c>
      <c r="C3023" t="inlineStr">
        <is>
          <t>Valero Energy Corp PAC</t>
        </is>
      </c>
      <c r="D3023" t="inlineStr">
        <is>
          <t>ELISE FOR CONGRESS</t>
        </is>
      </c>
      <c r="E3023" t="inlineStr">
        <is>
          <t>H4NY21079</t>
        </is>
      </c>
      <c r="F3023" t="inlineStr">
        <is>
          <t>REP</t>
        </is>
      </c>
      <c r="G3023" t="inlineStr">
        <is>
          <t>09212023</t>
        </is>
      </c>
      <c r="H3023" t="n">
        <v>5000</v>
      </c>
      <c r="I3023" t="inlineStr">
        <is>
          <t>202310209598697781</t>
        </is>
      </c>
      <c r="J3023" t="inlineStr">
        <is>
          <t>https://docquery.fec.gov/cgi-bin/fecimg/?202310209598697781</t>
        </is>
      </c>
    </row>
    <row r="3024">
      <c r="A3024" t="inlineStr">
        <is>
          <t>2024</t>
        </is>
      </c>
      <c r="B3024" t="inlineStr">
        <is>
          <t>C00109546</t>
        </is>
      </c>
      <c r="C3024" t="inlineStr">
        <is>
          <t>Valero Energy Corp PAC</t>
        </is>
      </c>
      <c r="D3024" t="inlineStr">
        <is>
          <t>FEENSTRA FOR CONGRESS</t>
        </is>
      </c>
      <c r="E3024" t="inlineStr">
        <is>
          <t>H0IA04145</t>
        </is>
      </c>
      <c r="F3024" t="inlineStr">
        <is>
          <t>REP</t>
        </is>
      </c>
      <c r="G3024" t="inlineStr">
        <is>
          <t>09212023</t>
        </is>
      </c>
      <c r="H3024" t="n">
        <v>2500</v>
      </c>
      <c r="I3024" t="inlineStr">
        <is>
          <t>202310209598697781</t>
        </is>
      </c>
      <c r="J3024" t="inlineStr">
        <is>
          <t>https://docquery.fec.gov/cgi-bin/fecimg/?202310209598697781</t>
        </is>
      </c>
    </row>
    <row r="3025">
      <c r="A3025" t="inlineStr">
        <is>
          <t>2024</t>
        </is>
      </c>
      <c r="B3025" t="inlineStr">
        <is>
          <t>C00109546</t>
        </is>
      </c>
      <c r="C3025" t="inlineStr">
        <is>
          <t>Valero Energy Corp PAC</t>
        </is>
      </c>
      <c r="D3025" t="inlineStr">
        <is>
          <t>BETH VAN DUYNE FOR CONGRESS</t>
        </is>
      </c>
      <c r="E3025" t="inlineStr">
        <is>
          <t>H0TX24209</t>
        </is>
      </c>
      <c r="F3025" t="inlineStr">
        <is>
          <t>REP</t>
        </is>
      </c>
      <c r="G3025" t="inlineStr">
        <is>
          <t>09262024</t>
        </is>
      </c>
      <c r="H3025" t="n">
        <v>2500</v>
      </c>
      <c r="I3025" t="inlineStr">
        <is>
          <t>202410189698650676</t>
        </is>
      </c>
      <c r="J3025" t="inlineStr">
        <is>
          <t>https://docquery.fec.gov/cgi-bin/fecimg/?202410189698650676</t>
        </is>
      </c>
    </row>
    <row r="3026">
      <c r="A3026" t="inlineStr">
        <is>
          <t>2024</t>
        </is>
      </c>
      <c r="B3026" t="inlineStr">
        <is>
          <t>C00109546</t>
        </is>
      </c>
      <c r="C3026" t="inlineStr">
        <is>
          <t>Valero Energy Corp PAC</t>
        </is>
      </c>
      <c r="D3026" t="inlineStr">
        <is>
          <t>CAREY FOR CONGRESS</t>
        </is>
      </c>
      <c r="E3026" t="inlineStr">
        <is>
          <t>H2OH15228</t>
        </is>
      </c>
      <c r="F3026" t="inlineStr">
        <is>
          <t>REP</t>
        </is>
      </c>
      <c r="G3026" t="inlineStr">
        <is>
          <t>09262024</t>
        </is>
      </c>
      <c r="H3026" t="n">
        <v>2500</v>
      </c>
      <c r="I3026" t="inlineStr">
        <is>
          <t>202410189698650677</t>
        </is>
      </c>
      <c r="J3026" t="inlineStr">
        <is>
          <t>https://docquery.fec.gov/cgi-bin/fecimg/?202410189698650677</t>
        </is>
      </c>
    </row>
    <row r="3027">
      <c r="A3027" t="inlineStr">
        <is>
          <t>2024</t>
        </is>
      </c>
      <c r="B3027" t="inlineStr">
        <is>
          <t>C00109546</t>
        </is>
      </c>
      <c r="C3027" t="inlineStr">
        <is>
          <t>Valero Energy Corp PAC</t>
        </is>
      </c>
      <c r="D3027" t="inlineStr">
        <is>
          <t>CLOUD FOR CONGRESS</t>
        </is>
      </c>
      <c r="E3027" t="inlineStr">
        <is>
          <t>H8TX27049</t>
        </is>
      </c>
      <c r="F3027" t="inlineStr">
        <is>
          <t>REP</t>
        </is>
      </c>
      <c r="G3027" t="inlineStr">
        <is>
          <t>09262024</t>
        </is>
      </c>
      <c r="H3027" t="n">
        <v>5000</v>
      </c>
      <c r="I3027" t="inlineStr">
        <is>
          <t>202410189698650677</t>
        </is>
      </c>
      <c r="J3027" t="inlineStr">
        <is>
          <t>https://docquery.fec.gov/cgi-bin/fecimg/?202410189698650677</t>
        </is>
      </c>
    </row>
    <row r="3028">
      <c r="A3028" t="inlineStr">
        <is>
          <t>2024</t>
        </is>
      </c>
      <c r="B3028" t="inlineStr">
        <is>
          <t>C00109546</t>
        </is>
      </c>
      <c r="C3028" t="inlineStr">
        <is>
          <t>Valero Energy Corp PAC</t>
        </is>
      </c>
      <c r="D3028" t="inlineStr">
        <is>
          <t>COLE FOR CONGRESS</t>
        </is>
      </c>
      <c r="E3028" t="inlineStr">
        <is>
          <t>H2OK04055</t>
        </is>
      </c>
      <c r="F3028" t="inlineStr">
        <is>
          <t>REP</t>
        </is>
      </c>
      <c r="G3028" t="inlineStr">
        <is>
          <t>09262024</t>
        </is>
      </c>
      <c r="H3028" t="n">
        <v>2500</v>
      </c>
      <c r="I3028" t="inlineStr">
        <is>
          <t>202410189698650677</t>
        </is>
      </c>
      <c r="J3028" t="inlineStr">
        <is>
          <t>https://docquery.fec.gov/cgi-bin/fecimg/?202410189698650677</t>
        </is>
      </c>
    </row>
    <row r="3029">
      <c r="A3029" t="inlineStr">
        <is>
          <t>2024</t>
        </is>
      </c>
      <c r="B3029" t="inlineStr">
        <is>
          <t>C00109546</t>
        </is>
      </c>
      <c r="C3029" t="inlineStr">
        <is>
          <t>Valero Energy Corp PAC</t>
        </is>
      </c>
      <c r="D3029" t="inlineStr">
        <is>
          <t>FISCHBACH FOR CONGRESS</t>
        </is>
      </c>
      <c r="E3029" t="inlineStr">
        <is>
          <t>H0MN07091</t>
        </is>
      </c>
      <c r="F3029" t="inlineStr">
        <is>
          <t>REP</t>
        </is>
      </c>
      <c r="G3029" t="inlineStr">
        <is>
          <t>09262024</t>
        </is>
      </c>
      <c r="H3029" t="n">
        <v>2500</v>
      </c>
      <c r="I3029" t="inlineStr">
        <is>
          <t>202410189698650679</t>
        </is>
      </c>
      <c r="J3029" t="inlineStr">
        <is>
          <t>https://docquery.fec.gov/cgi-bin/fecimg/?202410189698650679</t>
        </is>
      </c>
    </row>
    <row r="3030">
      <c r="A3030" t="inlineStr">
        <is>
          <t>2024</t>
        </is>
      </c>
      <c r="B3030" t="inlineStr">
        <is>
          <t>C00109546</t>
        </is>
      </c>
      <c r="C3030" t="inlineStr">
        <is>
          <t>Valero Energy Corp PAC</t>
        </is>
      </c>
      <c r="D3030" t="inlineStr">
        <is>
          <t>FRIENDS OF DUSTY JOHNSON</t>
        </is>
      </c>
      <c r="E3030" t="inlineStr">
        <is>
          <t>H8SD01055</t>
        </is>
      </c>
      <c r="F3030" t="inlineStr">
        <is>
          <t>REP</t>
        </is>
      </c>
      <c r="G3030" t="inlineStr">
        <is>
          <t>09262024</t>
        </is>
      </c>
      <c r="H3030" t="n">
        <v>2500</v>
      </c>
      <c r="I3030" t="inlineStr">
        <is>
          <t>202410189698650679</t>
        </is>
      </c>
      <c r="J3030" t="inlineStr">
        <is>
          <t>https://docquery.fec.gov/cgi-bin/fecimg/?202410189698650679</t>
        </is>
      </c>
    </row>
    <row r="3031">
      <c r="A3031" t="inlineStr">
        <is>
          <t>2024</t>
        </is>
      </c>
      <c r="B3031" t="inlineStr">
        <is>
          <t>C00109546</t>
        </is>
      </c>
      <c r="C3031" t="inlineStr">
        <is>
          <t>Valero Energy Corp PAC</t>
        </is>
      </c>
      <c r="D3031" t="inlineStr">
        <is>
          <t>JIM COSTA FOR CONGRESS</t>
        </is>
      </c>
      <c r="E3031" t="inlineStr">
        <is>
          <t>H4CA20082</t>
        </is>
      </c>
      <c r="F3031" t="inlineStr">
        <is>
          <t>DEM</t>
        </is>
      </c>
      <c r="G3031" t="inlineStr">
        <is>
          <t>09262024</t>
        </is>
      </c>
      <c r="H3031" t="n">
        <v>2500</v>
      </c>
      <c r="I3031" t="inlineStr">
        <is>
          <t>202410189698650680</t>
        </is>
      </c>
      <c r="J3031" t="inlineStr">
        <is>
          <t>https://docquery.fec.gov/cgi-bin/fecimg/?202410189698650680</t>
        </is>
      </c>
    </row>
    <row r="3032">
      <c r="A3032" t="inlineStr">
        <is>
          <t>2024</t>
        </is>
      </c>
      <c r="B3032" t="inlineStr">
        <is>
          <t>C00109546</t>
        </is>
      </c>
      <c r="C3032" t="inlineStr">
        <is>
          <t>Valero Energy Corp PAC</t>
        </is>
      </c>
      <c r="D3032" t="inlineStr">
        <is>
          <t>JULIA LETLOW FOR CONGRESS</t>
        </is>
      </c>
      <c r="E3032" t="inlineStr">
        <is>
          <t>H2LA05126</t>
        </is>
      </c>
      <c r="F3032" t="inlineStr">
        <is>
          <t>REP</t>
        </is>
      </c>
      <c r="G3032" t="inlineStr">
        <is>
          <t>09262024</t>
        </is>
      </c>
      <c r="H3032" t="n">
        <v>2500</v>
      </c>
      <c r="I3032" t="inlineStr">
        <is>
          <t>202410189698650680</t>
        </is>
      </c>
      <c r="J3032" t="inlineStr">
        <is>
          <t>https://docquery.fec.gov/cgi-bin/fecimg/?202410189698650680</t>
        </is>
      </c>
    </row>
    <row r="3033">
      <c r="A3033" t="inlineStr">
        <is>
          <t>2024</t>
        </is>
      </c>
      <c r="B3033" t="inlineStr">
        <is>
          <t>C00109546</t>
        </is>
      </c>
      <c r="C3033" t="inlineStr">
        <is>
          <t>Valero Energy Corp PAC</t>
        </is>
      </c>
      <c r="D3033" t="inlineStr">
        <is>
          <t>KAT FOR CONGRESS</t>
        </is>
      </c>
      <c r="E3033" t="inlineStr">
        <is>
          <t>H0FL03175</t>
        </is>
      </c>
      <c r="F3033" t="inlineStr">
        <is>
          <t>REP</t>
        </is>
      </c>
      <c r="G3033" t="inlineStr">
        <is>
          <t>09262024</t>
        </is>
      </c>
      <c r="H3033" t="n">
        <v>5000</v>
      </c>
      <c r="I3033" t="inlineStr">
        <is>
          <t>202410189698650681</t>
        </is>
      </c>
      <c r="J3033" t="inlineStr">
        <is>
          <t>https://docquery.fec.gov/cgi-bin/fecimg/?202410189698650681</t>
        </is>
      </c>
    </row>
    <row r="3034">
      <c r="A3034" t="inlineStr">
        <is>
          <t>2024</t>
        </is>
      </c>
      <c r="B3034" t="inlineStr">
        <is>
          <t>C00109546</t>
        </is>
      </c>
      <c r="C3034" t="inlineStr">
        <is>
          <t>Valero Energy Corp PAC</t>
        </is>
      </c>
      <c r="D3034" t="inlineStr">
        <is>
          <t>KUSTOFF FOR CONGRESS</t>
        </is>
      </c>
      <c r="E3034" t="inlineStr">
        <is>
          <t>H2TN07103</t>
        </is>
      </c>
      <c r="F3034" t="inlineStr">
        <is>
          <t>REP</t>
        </is>
      </c>
      <c r="G3034" t="inlineStr">
        <is>
          <t>09262024</t>
        </is>
      </c>
      <c r="H3034" t="n">
        <v>2500</v>
      </c>
      <c r="I3034" t="inlineStr">
        <is>
          <t>202410189698650681</t>
        </is>
      </c>
      <c r="J3034" t="inlineStr">
        <is>
          <t>https://docquery.fec.gov/cgi-bin/fecimg/?202410189698650681</t>
        </is>
      </c>
    </row>
    <row r="3035">
      <c r="A3035" t="inlineStr">
        <is>
          <t>2024</t>
        </is>
      </c>
      <c r="B3035" t="inlineStr">
        <is>
          <t>C00109546</t>
        </is>
      </c>
      <c r="C3035" t="inlineStr">
        <is>
          <t>Valero Energy Corp PAC</t>
        </is>
      </c>
      <c r="D3035" t="inlineStr">
        <is>
          <t>LANCE GOODEN FOR CONGRESS COMMITTEE</t>
        </is>
      </c>
      <c r="E3035" t="inlineStr">
        <is>
          <t>H8TX05144</t>
        </is>
      </c>
      <c r="F3035" t="inlineStr">
        <is>
          <t>REP</t>
        </is>
      </c>
      <c r="G3035" t="inlineStr">
        <is>
          <t>09262024</t>
        </is>
      </c>
      <c r="H3035" t="n">
        <v>2500</v>
      </c>
      <c r="I3035" t="inlineStr">
        <is>
          <t>202410189698650681</t>
        </is>
      </c>
      <c r="J3035" t="inlineStr">
        <is>
          <t>https://docquery.fec.gov/cgi-bin/fecimg/?202410189698650681</t>
        </is>
      </c>
    </row>
    <row r="3036">
      <c r="A3036" t="inlineStr">
        <is>
          <t>2024</t>
        </is>
      </c>
      <c r="B3036" t="inlineStr">
        <is>
          <t>C00109546</t>
        </is>
      </c>
      <c r="C3036" t="inlineStr">
        <is>
          <t>Valero Energy Corp PAC</t>
        </is>
      </c>
      <c r="D3036" t="inlineStr">
        <is>
          <t>MARSHA FOR SENATE</t>
        </is>
      </c>
      <c r="E3036" t="inlineStr">
        <is>
          <t>S8TN00337</t>
        </is>
      </c>
      <c r="F3036" t="inlineStr">
        <is>
          <t>REP</t>
        </is>
      </c>
      <c r="G3036" t="inlineStr">
        <is>
          <t>09262024</t>
        </is>
      </c>
      <c r="H3036" t="n">
        <v>5000</v>
      </c>
      <c r="I3036" t="inlineStr">
        <is>
          <t>202410189698650682</t>
        </is>
      </c>
      <c r="J3036" t="inlineStr">
        <is>
          <t>https://docquery.fec.gov/cgi-bin/fecimg/?202410189698650682</t>
        </is>
      </c>
    </row>
    <row r="3037">
      <c r="A3037" t="inlineStr">
        <is>
          <t>2024</t>
        </is>
      </c>
      <c r="B3037" t="inlineStr">
        <is>
          <t>C00109546</t>
        </is>
      </c>
      <c r="C3037" t="inlineStr">
        <is>
          <t>Valero Energy Corp PAC</t>
        </is>
      </c>
      <c r="D3037" t="inlineStr">
        <is>
          <t>ROGERS FOR SENATE</t>
        </is>
      </c>
      <c r="E3037" t="inlineStr">
        <is>
          <t>S4MI00595</t>
        </is>
      </c>
      <c r="F3037" t="inlineStr">
        <is>
          <t>REP</t>
        </is>
      </c>
      <c r="G3037" t="inlineStr">
        <is>
          <t>09262024</t>
        </is>
      </c>
      <c r="H3037" t="n">
        <v>5000</v>
      </c>
      <c r="I3037" t="inlineStr">
        <is>
          <t>202410189698650683</t>
        </is>
      </c>
      <c r="J3037" t="inlineStr">
        <is>
          <t>https://docquery.fec.gov/cgi-bin/fecimg/?202410189698650683</t>
        </is>
      </c>
    </row>
    <row r="3038">
      <c r="A3038" t="inlineStr">
        <is>
          <t>2024</t>
        </is>
      </c>
      <c r="B3038" t="inlineStr">
        <is>
          <t>C00109546</t>
        </is>
      </c>
      <c r="C3038" t="inlineStr">
        <is>
          <t>Valero Energy Corp PAC</t>
        </is>
      </c>
      <c r="D3038" t="inlineStr">
        <is>
          <t>RUSS FULCHER FOR IDAHO</t>
        </is>
      </c>
      <c r="E3038" t="inlineStr">
        <is>
          <t>H8ID01124</t>
        </is>
      </c>
      <c r="F3038" t="inlineStr">
        <is>
          <t>REP</t>
        </is>
      </c>
      <c r="G3038" t="inlineStr">
        <is>
          <t>09262024</t>
        </is>
      </c>
      <c r="H3038" t="n">
        <v>2500</v>
      </c>
      <c r="I3038" t="inlineStr">
        <is>
          <t>202410189698650684</t>
        </is>
      </c>
      <c r="J3038" t="inlineStr">
        <is>
          <t>https://docquery.fec.gov/cgi-bin/fecimg/?202410189698650684</t>
        </is>
      </c>
    </row>
    <row r="3039">
      <c r="A3039" t="inlineStr">
        <is>
          <t>2024</t>
        </is>
      </c>
      <c r="B3039" t="inlineStr">
        <is>
          <t>C00109546</t>
        </is>
      </c>
      <c r="C3039" t="inlineStr">
        <is>
          <t>Valero Energy Corp PAC</t>
        </is>
      </c>
      <c r="D3039" t="inlineStr">
        <is>
          <t>TEXANS FOR MORGAN LUTTRELL</t>
        </is>
      </c>
      <c r="E3039" t="inlineStr">
        <is>
          <t>H2TX08182</t>
        </is>
      </c>
      <c r="F3039" t="inlineStr">
        <is>
          <t>REP</t>
        </is>
      </c>
      <c r="G3039" t="inlineStr">
        <is>
          <t>09262024</t>
        </is>
      </c>
      <c r="H3039" t="n">
        <v>5000</v>
      </c>
      <c r="I3039" t="inlineStr">
        <is>
          <t>202410189698650684</t>
        </is>
      </c>
      <c r="J3039" t="inlineStr">
        <is>
          <t>https://docquery.fec.gov/cgi-bin/fecimg/?202410189698650684</t>
        </is>
      </c>
    </row>
    <row r="3040">
      <c r="A3040" t="inlineStr">
        <is>
          <t>2024</t>
        </is>
      </c>
      <c r="B3040" t="inlineStr">
        <is>
          <t>C00109546</t>
        </is>
      </c>
      <c r="C3040" t="inlineStr">
        <is>
          <t>Valero Energy Corp PAC</t>
        </is>
      </c>
      <c r="D3040" t="inlineStr">
        <is>
          <t>TONY GONZALES FOR CONGRESS</t>
        </is>
      </c>
      <c r="E3040" t="inlineStr">
        <is>
          <t>H0TX35015</t>
        </is>
      </c>
      <c r="F3040" t="inlineStr">
        <is>
          <t>REP</t>
        </is>
      </c>
      <c r="G3040" t="inlineStr">
        <is>
          <t>09262024</t>
        </is>
      </c>
      <c r="H3040" t="n">
        <v>5000</v>
      </c>
      <c r="I3040" t="inlineStr">
        <is>
          <t>202410189698650685</t>
        </is>
      </c>
      <c r="J3040" t="inlineStr">
        <is>
          <t>https://docquery.fec.gov/cgi-bin/fecimg/?202410189698650685</t>
        </is>
      </c>
    </row>
    <row r="3041">
      <c r="A3041" t="inlineStr">
        <is>
          <t>2024</t>
        </is>
      </c>
      <c r="B3041" t="inlineStr">
        <is>
          <t>C00109546</t>
        </is>
      </c>
      <c r="C3041" t="inlineStr">
        <is>
          <t>Valero Energy Corp PAC</t>
        </is>
      </c>
      <c r="D3041" t="inlineStr">
        <is>
          <t>WALBERG FOR CONGRESS</t>
        </is>
      </c>
      <c r="E3041" t="inlineStr">
        <is>
          <t>H4MI07103</t>
        </is>
      </c>
      <c r="F3041" t="inlineStr">
        <is>
          <t>REP</t>
        </is>
      </c>
      <c r="G3041" t="inlineStr">
        <is>
          <t>09262024</t>
        </is>
      </c>
      <c r="H3041" t="n">
        <v>5000</v>
      </c>
      <c r="I3041" t="inlineStr">
        <is>
          <t>202410189698650685</t>
        </is>
      </c>
      <c r="J3041" t="inlineStr">
        <is>
          <t>https://docquery.fec.gov/cgi-bin/fecimg/?202410189698650685</t>
        </is>
      </c>
    </row>
    <row r="3042">
      <c r="A3042" t="inlineStr">
        <is>
          <t>2024</t>
        </is>
      </c>
      <c r="B3042" t="inlineStr">
        <is>
          <t>C00109546</t>
        </is>
      </c>
      <c r="C3042" t="inlineStr">
        <is>
          <t>Valero Energy Corp PAC</t>
        </is>
      </c>
      <c r="D3042" t="inlineStr">
        <is>
          <t>BALDERSON FOR CONGRESS</t>
        </is>
      </c>
      <c r="E3042" t="inlineStr">
        <is>
          <t>H8OH12180</t>
        </is>
      </c>
      <c r="F3042" t="inlineStr">
        <is>
          <t>REP</t>
        </is>
      </c>
      <c r="G3042" t="inlineStr">
        <is>
          <t>10252024</t>
        </is>
      </c>
      <c r="H3042" t="n">
        <v>2500</v>
      </c>
      <c r="I3042" t="inlineStr">
        <is>
          <t>202412059720591966</t>
        </is>
      </c>
      <c r="J3042" t="inlineStr">
        <is>
          <t>https://docquery.fec.gov/cgi-bin/fecimg/?202412059720591966</t>
        </is>
      </c>
    </row>
    <row r="3043">
      <c r="A3043" t="inlineStr">
        <is>
          <t>2024</t>
        </is>
      </c>
      <c r="B3043" t="inlineStr">
        <is>
          <t>C00109546</t>
        </is>
      </c>
      <c r="C3043" t="inlineStr">
        <is>
          <t>Valero Energy Corp PAC</t>
        </is>
      </c>
      <c r="D3043" t="inlineStr">
        <is>
          <t>MIKE JOHNSON FOR LOUISIANA</t>
        </is>
      </c>
      <c r="E3043" t="inlineStr">
        <is>
          <t>H6LA04138</t>
        </is>
      </c>
      <c r="F3043" t="inlineStr">
        <is>
          <t>REP</t>
        </is>
      </c>
      <c r="G3043" t="inlineStr">
        <is>
          <t>10302023</t>
        </is>
      </c>
      <c r="H3043" t="n">
        <v>5000</v>
      </c>
      <c r="I3043" t="inlineStr">
        <is>
          <t>202311179599151457</t>
        </is>
      </c>
      <c r="J3043" t="inlineStr">
        <is>
          <t>https://docquery.fec.gov/cgi-bin/fecimg/?202311179599151457</t>
        </is>
      </c>
    </row>
    <row r="3044">
      <c r="A3044" t="inlineStr">
        <is>
          <t>2024</t>
        </is>
      </c>
      <c r="B3044" t="inlineStr">
        <is>
          <t>C00109546</t>
        </is>
      </c>
      <c r="C3044" t="inlineStr">
        <is>
          <t>Valero Energy Corp PAC</t>
        </is>
      </c>
      <c r="D3044" t="inlineStr">
        <is>
          <t>MONICA FOR CONGRESS</t>
        </is>
      </c>
      <c r="E3044" t="inlineStr">
        <is>
          <t>H0TX15124</t>
        </is>
      </c>
      <c r="F3044" t="inlineStr">
        <is>
          <t>REP</t>
        </is>
      </c>
      <c r="G3044" t="inlineStr">
        <is>
          <t>10302023</t>
        </is>
      </c>
      <c r="H3044" t="n">
        <v>5000</v>
      </c>
      <c r="I3044" t="inlineStr">
        <is>
          <t>202311179599151457</t>
        </is>
      </c>
      <c r="J3044" t="inlineStr">
        <is>
          <t>https://docquery.fec.gov/cgi-bin/fecimg/?202311179599151457</t>
        </is>
      </c>
    </row>
    <row r="3045">
      <c r="A3045" t="inlineStr">
        <is>
          <t>2024</t>
        </is>
      </c>
      <c r="B3045" t="inlineStr">
        <is>
          <t>C00109546</t>
        </is>
      </c>
      <c r="C3045" t="inlineStr">
        <is>
          <t>Valero Energy Corp PAC</t>
        </is>
      </c>
      <c r="D3045" t="inlineStr">
        <is>
          <t>ADRIAN SMITH FOR CONGRESS</t>
        </is>
      </c>
      <c r="E3045" t="inlineStr">
        <is>
          <t>H6NE03115</t>
        </is>
      </c>
      <c r="F3045" t="inlineStr">
        <is>
          <t>REP</t>
        </is>
      </c>
      <c r="G3045" t="inlineStr">
        <is>
          <t>12012023</t>
        </is>
      </c>
      <c r="H3045" t="n">
        <v>5000</v>
      </c>
      <c r="I3045" t="inlineStr">
        <is>
          <t>202401189600113085</t>
        </is>
      </c>
      <c r="J3045" t="inlineStr">
        <is>
          <t>https://docquery.fec.gov/cgi-bin/fecimg/?202401189600113085</t>
        </is>
      </c>
    </row>
    <row r="3046">
      <c r="A3046" t="inlineStr">
        <is>
          <t>2024</t>
        </is>
      </c>
      <c r="B3046" t="inlineStr">
        <is>
          <t>C00109546</t>
        </is>
      </c>
      <c r="C3046" t="inlineStr">
        <is>
          <t>Valero Energy Corp PAC</t>
        </is>
      </c>
      <c r="D3046" t="inlineStr">
        <is>
          <t>COLE FOR CONGRESS</t>
        </is>
      </c>
      <c r="E3046" t="inlineStr">
        <is>
          <t>H2OK04055</t>
        </is>
      </c>
      <c r="F3046" t="inlineStr">
        <is>
          <t>REP</t>
        </is>
      </c>
      <c r="G3046" t="inlineStr">
        <is>
          <t>12012023</t>
        </is>
      </c>
      <c r="H3046" t="n">
        <v>5000</v>
      </c>
      <c r="I3046" t="inlineStr">
        <is>
          <t>202401189600113086</t>
        </is>
      </c>
      <c r="J3046" t="inlineStr">
        <is>
          <t>https://docquery.fec.gov/cgi-bin/fecimg/?202401189600113086</t>
        </is>
      </c>
    </row>
    <row r="3047">
      <c r="A3047" t="inlineStr">
        <is>
          <t>2024</t>
        </is>
      </c>
      <c r="B3047" t="inlineStr">
        <is>
          <t>C00109546</t>
        </is>
      </c>
      <c r="C3047" t="inlineStr">
        <is>
          <t>Valero Energy Corp PAC</t>
        </is>
      </c>
      <c r="D3047" t="inlineStr">
        <is>
          <t>DEB FISCHER FOR US SENATE</t>
        </is>
      </c>
      <c r="E3047" t="inlineStr">
        <is>
          <t>S2NE00094</t>
        </is>
      </c>
      <c r="F3047" t="inlineStr">
        <is>
          <t>REP</t>
        </is>
      </c>
      <c r="G3047" t="inlineStr">
        <is>
          <t>12012023</t>
        </is>
      </c>
      <c r="H3047" t="n">
        <v>5000</v>
      </c>
      <c r="I3047" t="inlineStr">
        <is>
          <t>202401189600113087</t>
        </is>
      </c>
      <c r="J3047" t="inlineStr">
        <is>
          <t>https://docquery.fec.gov/cgi-bin/fecimg/?202401189600113087</t>
        </is>
      </c>
    </row>
    <row r="3048">
      <c r="A3048" t="inlineStr">
        <is>
          <t>2024</t>
        </is>
      </c>
      <c r="B3048" t="inlineStr">
        <is>
          <t>C00109546</t>
        </is>
      </c>
      <c r="C3048" t="inlineStr">
        <is>
          <t>Valero Energy Corp PAC</t>
        </is>
      </c>
      <c r="D3048" t="inlineStr">
        <is>
          <t>FRIENDS OF DUSTY JOHNSON</t>
        </is>
      </c>
      <c r="E3048" t="inlineStr">
        <is>
          <t>H8SD01055</t>
        </is>
      </c>
      <c r="F3048" t="inlineStr">
        <is>
          <t>REP</t>
        </is>
      </c>
      <c r="G3048" t="inlineStr">
        <is>
          <t>12012023</t>
        </is>
      </c>
      <c r="H3048" t="n">
        <v>2500</v>
      </c>
      <c r="I3048" t="inlineStr">
        <is>
          <t>202401189600113087</t>
        </is>
      </c>
      <c r="J3048" t="inlineStr">
        <is>
          <t>https://docquery.fec.gov/cgi-bin/fecimg/?202401189600113087</t>
        </is>
      </c>
    </row>
    <row r="3049">
      <c r="A3049" t="inlineStr">
        <is>
          <t>2024</t>
        </is>
      </c>
      <c r="B3049" t="inlineStr">
        <is>
          <t>C00109546</t>
        </is>
      </c>
      <c r="C3049" t="inlineStr">
        <is>
          <t>Valero Energy Corp PAC</t>
        </is>
      </c>
      <c r="D3049" t="inlineStr">
        <is>
          <t>FRIENDS OF DUSTY JOHNSON</t>
        </is>
      </c>
      <c r="E3049" t="inlineStr">
        <is>
          <t>H8SD01055</t>
        </is>
      </c>
      <c r="F3049" t="inlineStr">
        <is>
          <t>REP</t>
        </is>
      </c>
      <c r="G3049" t="inlineStr">
        <is>
          <t>12012023</t>
        </is>
      </c>
      <c r="H3049" t="n">
        <v>5000</v>
      </c>
      <c r="I3049" t="inlineStr">
        <is>
          <t>202401189600113088</t>
        </is>
      </c>
      <c r="J3049" t="inlineStr">
        <is>
          <t>https://docquery.fec.gov/cgi-bin/fecimg/?202401189600113088</t>
        </is>
      </c>
    </row>
    <row r="3050">
      <c r="A3050" t="inlineStr">
        <is>
          <t>2024</t>
        </is>
      </c>
      <c r="B3050" t="inlineStr">
        <is>
          <t>C00109546</t>
        </is>
      </c>
      <c r="C3050" t="inlineStr">
        <is>
          <t>Valero Energy Corp PAC</t>
        </is>
      </c>
      <c r="D3050" t="inlineStr">
        <is>
          <t>TEXANS FOR MORGAN LUTTRELL</t>
        </is>
      </c>
      <c r="E3050" t="inlineStr">
        <is>
          <t>H2TX08182</t>
        </is>
      </c>
      <c r="F3050" t="inlineStr">
        <is>
          <t>REP</t>
        </is>
      </c>
      <c r="G3050" t="inlineStr">
        <is>
          <t>12012023</t>
        </is>
      </c>
      <c r="H3050" t="n">
        <v>5000</v>
      </c>
      <c r="I3050" t="inlineStr">
        <is>
          <t>202401189600113092</t>
        </is>
      </c>
      <c r="J3050" t="inlineStr">
        <is>
          <t>https://docquery.fec.gov/cgi-bin/fecimg/?202401189600113092</t>
        </is>
      </c>
    </row>
    <row r="3051">
      <c r="A3051" t="inlineStr">
        <is>
          <t>2024</t>
        </is>
      </c>
      <c r="B3051" t="inlineStr">
        <is>
          <t>C00109546</t>
        </is>
      </c>
      <c r="C3051" t="inlineStr">
        <is>
          <t>Valero Energy Corp PAC</t>
        </is>
      </c>
      <c r="D3051" t="inlineStr">
        <is>
          <t>GREG PENCE FOR CONGRESS</t>
        </is>
      </c>
      <c r="E3051" t="inlineStr">
        <is>
          <t>H8IN06129</t>
        </is>
      </c>
      <c r="F3051" t="inlineStr">
        <is>
          <t>REP</t>
        </is>
      </c>
      <c r="G3051" t="inlineStr">
        <is>
          <t>12012023</t>
        </is>
      </c>
      <c r="H3051" t="n">
        <v>2500</v>
      </c>
      <c r="I3051" t="inlineStr">
        <is>
          <t>202401189600113088</t>
        </is>
      </c>
      <c r="J3051" t="inlineStr">
        <is>
          <t>https://docquery.fec.gov/cgi-bin/fecimg/?202401189600113088</t>
        </is>
      </c>
    </row>
    <row r="3052">
      <c r="A3052" t="inlineStr">
        <is>
          <t>2024</t>
        </is>
      </c>
      <c r="B3052" t="inlineStr">
        <is>
          <t>C00109546</t>
        </is>
      </c>
      <c r="C3052" t="inlineStr">
        <is>
          <t>Valero Energy Corp PAC</t>
        </is>
      </c>
      <c r="D3052" t="inlineStr">
        <is>
          <t>BYRON DONALDS FOR CONGRESS</t>
        </is>
      </c>
      <c r="E3052" t="inlineStr">
        <is>
          <t>H2FL14186</t>
        </is>
      </c>
      <c r="F3052" t="inlineStr">
        <is>
          <t>REP</t>
        </is>
      </c>
      <c r="G3052" t="inlineStr">
        <is>
          <t>12192023</t>
        </is>
      </c>
      <c r="H3052" t="n">
        <v>5000</v>
      </c>
      <c r="I3052" t="inlineStr">
        <is>
          <t>202401189600113086</t>
        </is>
      </c>
      <c r="J3052" t="inlineStr">
        <is>
          <t>https://docquery.fec.gov/cgi-bin/fecimg/?202401189600113086</t>
        </is>
      </c>
    </row>
    <row r="3053">
      <c r="A3053" t="inlineStr">
        <is>
          <t>2024</t>
        </is>
      </c>
      <c r="B3053" t="inlineStr">
        <is>
          <t>C00109546</t>
        </is>
      </c>
      <c r="C3053" t="inlineStr">
        <is>
          <t>Valero Energy Corp PAC</t>
        </is>
      </c>
      <c r="D3053" t="inlineStr">
        <is>
          <t>CRAIG GOLDMAN FOR CONGRESS</t>
        </is>
      </c>
      <c r="E3053" t="inlineStr">
        <is>
          <t>H4TX12065</t>
        </is>
      </c>
      <c r="F3053" t="inlineStr">
        <is>
          <t>REP</t>
        </is>
      </c>
      <c r="G3053" t="inlineStr">
        <is>
          <t>12192023</t>
        </is>
      </c>
      <c r="H3053" t="n">
        <v>5000</v>
      </c>
      <c r="I3053" t="inlineStr">
        <is>
          <t>202401189600113086</t>
        </is>
      </c>
      <c r="J3053" t="inlineStr">
        <is>
          <t>https://docquery.fec.gov/cgi-bin/fecimg/?202401189600113086</t>
        </is>
      </c>
    </row>
    <row r="3054">
      <c r="A3054" t="inlineStr">
        <is>
          <t>2024</t>
        </is>
      </c>
      <c r="B3054" t="inlineStr">
        <is>
          <t>C00109546</t>
        </is>
      </c>
      <c r="C3054" t="inlineStr">
        <is>
          <t>Valero Energy Corp PAC</t>
        </is>
      </c>
      <c r="D3054" t="inlineStr">
        <is>
          <t>LANCE GOODEN FOR CONGRESS COMMITTEE</t>
        </is>
      </c>
      <c r="E3054" t="inlineStr">
        <is>
          <t>H8TX05144</t>
        </is>
      </c>
      <c r="F3054" t="inlineStr">
        <is>
          <t>REP</t>
        </is>
      </c>
      <c r="G3054" t="inlineStr">
        <is>
          <t>12192023</t>
        </is>
      </c>
      <c r="H3054" t="n">
        <v>2500</v>
      </c>
      <c r="I3054" t="inlineStr">
        <is>
          <t>202401189600113090</t>
        </is>
      </c>
      <c r="J3054" t="inlineStr">
        <is>
          <t>https://docquery.fec.gov/cgi-bin/fecimg/?202401189600113090</t>
        </is>
      </c>
    </row>
    <row r="3055">
      <c r="A3055" t="inlineStr">
        <is>
          <t>2024</t>
        </is>
      </c>
      <c r="B3055" t="inlineStr">
        <is>
          <t>C00109546</t>
        </is>
      </c>
      <c r="C3055" t="inlineStr">
        <is>
          <t>Valero Energy Corp PAC</t>
        </is>
      </c>
      <c r="D3055" t="inlineStr">
        <is>
          <t>WALBERG FOR CONGRESS</t>
        </is>
      </c>
      <c r="E3055" t="inlineStr">
        <is>
          <t>H4MI07103</t>
        </is>
      </c>
      <c r="F3055" t="inlineStr">
        <is>
          <t>REP</t>
        </is>
      </c>
      <c r="G3055" t="inlineStr">
        <is>
          <t>12192023</t>
        </is>
      </c>
      <c r="H3055" t="n">
        <v>5000</v>
      </c>
      <c r="I3055" t="inlineStr">
        <is>
          <t>202401189600113092</t>
        </is>
      </c>
      <c r="J3055" t="inlineStr">
        <is>
          <t>https://docquery.fec.gov/cgi-bin/fecimg/?202401189600113092</t>
        </is>
      </c>
    </row>
    <row r="3056">
      <c r="A3056" t="inlineStr">
        <is>
          <t>2024</t>
        </is>
      </c>
      <c r="B3056" t="inlineStr">
        <is>
          <t>C00109546</t>
        </is>
      </c>
      <c r="C3056" t="inlineStr">
        <is>
          <t>Valero Energy Corp PAC</t>
        </is>
      </c>
      <c r="D3056" t="inlineStr">
        <is>
          <t>JAKE ELLZEY FOR CONGRESS</t>
        </is>
      </c>
      <c r="E3056" t="inlineStr">
        <is>
          <t>H8TX06266</t>
        </is>
      </c>
      <c r="F3056" t="inlineStr">
        <is>
          <t>REP</t>
        </is>
      </c>
      <c r="G3056" t="inlineStr">
        <is>
          <t>12192023</t>
        </is>
      </c>
      <c r="H3056" t="n">
        <v>5000</v>
      </c>
      <c r="I3056" t="inlineStr">
        <is>
          <t>202401189600113089</t>
        </is>
      </c>
      <c r="J3056" t="inlineStr">
        <is>
          <t>https://docquery.fec.gov/cgi-bin/fecimg/?202401189600113089</t>
        </is>
      </c>
    </row>
    <row r="3057">
      <c r="A3057" t="inlineStr">
        <is>
          <t>2024</t>
        </is>
      </c>
      <c r="B3057" t="inlineStr">
        <is>
          <t>C00109546</t>
        </is>
      </c>
      <c r="C3057" t="inlineStr">
        <is>
          <t>Valero Energy Corp PAC</t>
        </is>
      </c>
      <c r="D3057" t="inlineStr">
        <is>
          <t>BERNIE MORENO FOR SENATE</t>
        </is>
      </c>
      <c r="E3057" t="inlineStr">
        <is>
          <t>S4OH00192</t>
        </is>
      </c>
      <c r="F3057" t="inlineStr">
        <is>
          <t>REP</t>
        </is>
      </c>
      <c r="G3057" t="inlineStr">
        <is>
          <t>12202024</t>
        </is>
      </c>
      <c r="H3057" t="n">
        <v>5000</v>
      </c>
      <c r="I3057" t="inlineStr">
        <is>
          <t>202501299748117939</t>
        </is>
      </c>
      <c r="J3057" t="inlineStr">
        <is>
          <t>https://docquery.fec.gov/cgi-bin/fecimg/?202501299748117939</t>
        </is>
      </c>
    </row>
    <row r="3058">
      <c r="A3058" t="inlineStr">
        <is>
          <t>2024</t>
        </is>
      </c>
      <c r="B3058" t="inlineStr">
        <is>
          <t>C00109546</t>
        </is>
      </c>
      <c r="C3058" t="inlineStr">
        <is>
          <t>Valero Energy Corp PAC</t>
        </is>
      </c>
      <c r="D3058" t="inlineStr">
        <is>
          <t>STEVE DAINES FOR MONTANA</t>
        </is>
      </c>
      <c r="E3058" t="inlineStr">
        <is>
          <t>S2MT00096</t>
        </is>
      </c>
      <c r="F3058" t="inlineStr">
        <is>
          <t>REP</t>
        </is>
      </c>
      <c r="G3058" t="inlineStr">
        <is>
          <t>12202024</t>
        </is>
      </c>
      <c r="H3058" t="n">
        <v>2500</v>
      </c>
      <c r="I3058" t="inlineStr">
        <is>
          <t>202501299748117939</t>
        </is>
      </c>
      <c r="J3058" t="inlineStr">
        <is>
          <t>https://docquery.fec.gov/cgi-bin/fecimg/?202501299748117939</t>
        </is>
      </c>
    </row>
    <row r="3059">
      <c r="A3059" t="inlineStr">
        <is>
          <t>2026</t>
        </is>
      </c>
      <c r="B3059" t="inlineStr">
        <is>
          <t>C00415026</t>
        </is>
      </c>
      <c r="C3059" t="inlineStr">
        <is>
          <t>American Fuel &amp; Petrochemical Manufacturers PAC (AFPM PAC)</t>
        </is>
      </c>
      <c r="D3059" t="inlineStr">
        <is>
          <t>MIKE KENNEDY FOR UTAH</t>
        </is>
      </c>
      <c r="E3059" t="inlineStr">
        <is>
          <t>H4UT03260</t>
        </is>
      </c>
      <c r="F3059" t="inlineStr">
        <is>
          <t>REP</t>
        </is>
      </c>
      <c r="G3059" t="inlineStr">
        <is>
          <t>01232026</t>
        </is>
      </c>
      <c r="H3059" t="n">
        <v>1000</v>
      </c>
      <c r="I3059" t="inlineStr">
        <is>
          <t>202602189834339276</t>
        </is>
      </c>
      <c r="J3059" t="inlineStr">
        <is>
          <t>https://docquery.fec.gov/cgi-bin/fecimg/?202602189834339276</t>
        </is>
      </c>
    </row>
    <row r="3060">
      <c r="A3060" t="inlineStr">
        <is>
          <t>2026</t>
        </is>
      </c>
      <c r="B3060" t="inlineStr">
        <is>
          <t>C00415026</t>
        </is>
      </c>
      <c r="C3060" t="inlineStr">
        <is>
          <t>American Fuel &amp; Petrochemical Manufacturers PAC (AFPM PAC)</t>
        </is>
      </c>
      <c r="D3060" t="inlineStr">
        <is>
          <t>TEXANS FOR JODEY ARRINGTON</t>
        </is>
      </c>
      <c r="E3060" t="inlineStr">
        <is>
          <t>H6TX19099</t>
        </is>
      </c>
      <c r="F3060" t="inlineStr">
        <is>
          <t>REP</t>
        </is>
      </c>
      <c r="G3060" t="inlineStr">
        <is>
          <t>02142025</t>
        </is>
      </c>
      <c r="H3060" t="n">
        <v>5000</v>
      </c>
      <c r="I3060" t="inlineStr">
        <is>
          <t>202503189754220149</t>
        </is>
      </c>
      <c r="J3060" t="inlineStr">
        <is>
          <t>https://docquery.fec.gov/cgi-bin/fecimg/?202503189754220149</t>
        </is>
      </c>
    </row>
    <row r="3061">
      <c r="A3061" t="inlineStr">
        <is>
          <t>2026</t>
        </is>
      </c>
      <c r="B3061" t="inlineStr">
        <is>
          <t>C00415026</t>
        </is>
      </c>
      <c r="C3061" t="inlineStr">
        <is>
          <t>American Fuel &amp; Petrochemical Manufacturers PAC (AFPM PAC)</t>
        </is>
      </c>
      <c r="D3061" t="inlineStr">
        <is>
          <t>GUY FOR CONGRESS</t>
        </is>
      </c>
      <c r="E3061" t="inlineStr">
        <is>
          <t>H8PA18199</t>
        </is>
      </c>
      <c r="F3061" t="inlineStr">
        <is>
          <t>REP</t>
        </is>
      </c>
      <c r="G3061" t="inlineStr">
        <is>
          <t>02142025</t>
        </is>
      </c>
      <c r="H3061" t="n">
        <v>2500</v>
      </c>
      <c r="I3061" t="inlineStr">
        <is>
          <t>202503189754220148</t>
        </is>
      </c>
      <c r="J3061" t="inlineStr">
        <is>
          <t>https://docquery.fec.gov/cgi-bin/fecimg/?202503189754220148</t>
        </is>
      </c>
    </row>
    <row r="3062">
      <c r="A3062" t="inlineStr">
        <is>
          <t>2026</t>
        </is>
      </c>
      <c r="B3062" t="inlineStr">
        <is>
          <t>C00415026</t>
        </is>
      </c>
      <c r="C3062" t="inlineStr">
        <is>
          <t>American Fuel &amp; Petrochemical Manufacturers PAC (AFPM PAC)</t>
        </is>
      </c>
      <c r="D3062" t="inlineStr">
        <is>
          <t>HUDSON FOR CONGRESS</t>
        </is>
      </c>
      <c r="E3062" t="inlineStr">
        <is>
          <t>H2NC08185</t>
        </is>
      </c>
      <c r="F3062" t="inlineStr">
        <is>
          <t>REP</t>
        </is>
      </c>
      <c r="G3062" t="inlineStr">
        <is>
          <t>02272026</t>
        </is>
      </c>
      <c r="H3062" t="n">
        <v>2500</v>
      </c>
      <c r="I3062" t="inlineStr">
        <is>
          <t>202603169853391841</t>
        </is>
      </c>
      <c r="J3062" t="inlineStr">
        <is>
          <t>https://docquery.fec.gov/cgi-bin/fecimg/?202603169853391841</t>
        </is>
      </c>
    </row>
    <row r="3063">
      <c r="A3063" t="inlineStr">
        <is>
          <t>2026</t>
        </is>
      </c>
      <c r="B3063" t="inlineStr">
        <is>
          <t>C00415026</t>
        </is>
      </c>
      <c r="C3063" t="inlineStr">
        <is>
          <t>American Fuel &amp; Petrochemical Manufacturers PAC (AFPM PAC)</t>
        </is>
      </c>
      <c r="D3063" t="inlineStr">
        <is>
          <t>VICENTE GONZALEZ FOR CONGRESS</t>
        </is>
      </c>
      <c r="E3063" t="inlineStr">
        <is>
          <t>H6TX15162</t>
        </is>
      </c>
      <c r="F3063" t="inlineStr">
        <is>
          <t>DEM</t>
        </is>
      </c>
      <c r="G3063" t="inlineStr">
        <is>
          <t>02272026</t>
        </is>
      </c>
      <c r="H3063" t="n">
        <v>1000</v>
      </c>
      <c r="I3063" t="inlineStr">
        <is>
          <t>202603169853391841</t>
        </is>
      </c>
      <c r="J3063" t="inlineStr">
        <is>
          <t>https://docquery.fec.gov/cgi-bin/fecimg/?202603169853391841</t>
        </is>
      </c>
    </row>
    <row r="3064">
      <c r="A3064" t="inlineStr">
        <is>
          <t>2026</t>
        </is>
      </c>
      <c r="B3064" t="inlineStr">
        <is>
          <t>C00415026</t>
        </is>
      </c>
      <c r="C3064" t="inlineStr">
        <is>
          <t>American Fuel &amp; Petrochemical Manufacturers PAC (AFPM PAC)</t>
        </is>
      </c>
      <c r="D3064" t="inlineStr">
        <is>
          <t>WEBER FOR CONGRESS</t>
        </is>
      </c>
      <c r="E3064" t="inlineStr">
        <is>
          <t>H2TX14149</t>
        </is>
      </c>
      <c r="F3064" t="inlineStr">
        <is>
          <t>REP</t>
        </is>
      </c>
      <c r="G3064" t="inlineStr">
        <is>
          <t>02272026</t>
        </is>
      </c>
      <c r="H3064" t="n">
        <v>1000</v>
      </c>
      <c r="I3064" t="inlineStr">
        <is>
          <t>202603169853391842</t>
        </is>
      </c>
      <c r="J3064" t="inlineStr">
        <is>
          <t>https://docquery.fec.gov/cgi-bin/fecimg/?202603169853391842</t>
        </is>
      </c>
    </row>
    <row r="3065">
      <c r="A3065" t="inlineStr">
        <is>
          <t>2026</t>
        </is>
      </c>
      <c r="B3065" t="inlineStr">
        <is>
          <t>C00415026</t>
        </is>
      </c>
      <c r="C3065" t="inlineStr">
        <is>
          <t>American Fuel &amp; Petrochemical Manufacturers PAC (AFPM PAC)</t>
        </is>
      </c>
      <c r="D3065" t="inlineStr">
        <is>
          <t>DR. BRIAN BABIN FOR CONGRESS</t>
        </is>
      </c>
      <c r="E3065" t="inlineStr">
        <is>
          <t>H6TX02079</t>
        </is>
      </c>
      <c r="F3065" t="inlineStr">
        <is>
          <t>REP</t>
        </is>
      </c>
      <c r="G3065" t="inlineStr">
        <is>
          <t>02272026</t>
        </is>
      </c>
      <c r="H3065" t="n">
        <v>1000</v>
      </c>
      <c r="I3065" t="inlineStr">
        <is>
          <t>202603169853391841</t>
        </is>
      </c>
      <c r="J3065" t="inlineStr">
        <is>
          <t>https://docquery.fec.gov/cgi-bin/fecimg/?202603169853391841</t>
        </is>
      </c>
    </row>
    <row r="3066">
      <c r="A3066" t="inlineStr">
        <is>
          <t>2026</t>
        </is>
      </c>
      <c r="B3066" t="inlineStr">
        <is>
          <t>C00415026</t>
        </is>
      </c>
      <c r="C3066" t="inlineStr">
        <is>
          <t>American Fuel &amp; Petrochemical Manufacturers PAC (AFPM PAC)</t>
        </is>
      </c>
      <c r="D3066" t="inlineStr">
        <is>
          <t>CAREY FOR CONGRESS</t>
        </is>
      </c>
      <c r="E3066" t="inlineStr">
        <is>
          <t>H2OH15228</t>
        </is>
      </c>
      <c r="F3066" t="inlineStr">
        <is>
          <t>REP</t>
        </is>
      </c>
      <c r="G3066" t="inlineStr">
        <is>
          <t>03112026</t>
        </is>
      </c>
      <c r="H3066" t="n">
        <v>1000</v>
      </c>
      <c r="I3066" t="inlineStr">
        <is>
          <t>202605089866912888</t>
        </is>
      </c>
      <c r="J3066" t="inlineStr">
        <is>
          <t>https://docquery.fec.gov/cgi-bin/fecimg/?202605089866912888</t>
        </is>
      </c>
    </row>
    <row r="3067">
      <c r="A3067" t="inlineStr">
        <is>
          <t>2026</t>
        </is>
      </c>
      <c r="B3067" t="inlineStr">
        <is>
          <t>C00415026</t>
        </is>
      </c>
      <c r="C3067" t="inlineStr">
        <is>
          <t>American Fuel &amp; Petrochemical Manufacturers PAC (AFPM PAC)</t>
        </is>
      </c>
      <c r="D3067" t="inlineStr">
        <is>
          <t>FEDORCHAK FOR ND</t>
        </is>
      </c>
      <c r="E3067" t="inlineStr">
        <is>
          <t>H4ND00061</t>
        </is>
      </c>
      <c r="F3067" t="inlineStr">
        <is>
          <t>REP</t>
        </is>
      </c>
      <c r="G3067" t="inlineStr">
        <is>
          <t>03112026</t>
        </is>
      </c>
      <c r="H3067" t="n">
        <v>1000</v>
      </c>
      <c r="I3067" t="inlineStr">
        <is>
          <t>202605089866912888</t>
        </is>
      </c>
      <c r="J3067" t="inlineStr">
        <is>
          <t>https://docquery.fec.gov/cgi-bin/fecimg/?202605089866912888</t>
        </is>
      </c>
    </row>
    <row r="3068">
      <c r="A3068" t="inlineStr">
        <is>
          <t>2026</t>
        </is>
      </c>
      <c r="B3068" t="inlineStr">
        <is>
          <t>C00415026</t>
        </is>
      </c>
      <c r="C3068" t="inlineStr">
        <is>
          <t>American Fuel &amp; Petrochemical Manufacturers PAC (AFPM PAC)</t>
        </is>
      </c>
      <c r="D3068" t="inlineStr">
        <is>
          <t>JEFF CRANK FOR CONGRESS</t>
        </is>
      </c>
      <c r="E3068" t="inlineStr">
        <is>
          <t>H6CO05142</t>
        </is>
      </c>
      <c r="F3068" t="inlineStr">
        <is>
          <t>REP</t>
        </is>
      </c>
      <c r="G3068" t="inlineStr">
        <is>
          <t>03112026</t>
        </is>
      </c>
      <c r="H3068" t="n">
        <v>1000</v>
      </c>
      <c r="I3068" t="inlineStr">
        <is>
          <t>202605089866912888</t>
        </is>
      </c>
      <c r="J3068" t="inlineStr">
        <is>
          <t>https://docquery.fec.gov/cgi-bin/fecimg/?202605089866912888</t>
        </is>
      </c>
    </row>
    <row r="3069">
      <c r="A3069" t="inlineStr">
        <is>
          <t>2026</t>
        </is>
      </c>
      <c r="B3069" t="inlineStr">
        <is>
          <t>C00415026</t>
        </is>
      </c>
      <c r="C3069" t="inlineStr">
        <is>
          <t>American Fuel &amp; Petrochemical Manufacturers PAC (AFPM PAC)</t>
        </is>
      </c>
      <c r="D3069" t="inlineStr">
        <is>
          <t>MOORE FOR WEST VIRGINIA, INC.</t>
        </is>
      </c>
      <c r="E3069" t="inlineStr">
        <is>
          <t>H4WV02205</t>
        </is>
      </c>
      <c r="F3069" t="inlineStr">
        <is>
          <t>REP</t>
        </is>
      </c>
      <c r="G3069" t="inlineStr">
        <is>
          <t>03112026</t>
        </is>
      </c>
      <c r="H3069" t="n">
        <v>1000</v>
      </c>
      <c r="I3069" t="inlineStr">
        <is>
          <t>202605089866912889</t>
        </is>
      </c>
      <c r="J3069" t="inlineStr">
        <is>
          <t>https://docquery.fec.gov/cgi-bin/fecimg/?202605089866912889</t>
        </is>
      </c>
    </row>
    <row r="3070">
      <c r="A3070" t="inlineStr">
        <is>
          <t>2026</t>
        </is>
      </c>
      <c r="B3070" t="inlineStr">
        <is>
          <t>C00415026</t>
        </is>
      </c>
      <c r="C3070" t="inlineStr">
        <is>
          <t>American Fuel &amp; Petrochemical Manufacturers PAC (AFPM PAC)</t>
        </is>
      </c>
      <c r="D3070" t="inlineStr">
        <is>
          <t>WALBERG FOR CONGRESS</t>
        </is>
      </c>
      <c r="E3070" t="inlineStr">
        <is>
          <t>H4MI07103</t>
        </is>
      </c>
      <c r="F3070" t="inlineStr">
        <is>
          <t>REP</t>
        </is>
      </c>
      <c r="G3070" t="inlineStr">
        <is>
          <t>03112026</t>
        </is>
      </c>
      <c r="H3070" t="n">
        <v>1000</v>
      </c>
      <c r="I3070" t="inlineStr">
        <is>
          <t>202605089866912889</t>
        </is>
      </c>
      <c r="J3070" t="inlineStr">
        <is>
          <t>https://docquery.fec.gov/cgi-bin/fecimg/?202605089866912889</t>
        </is>
      </c>
    </row>
    <row r="3071">
      <c r="A3071" t="inlineStr">
        <is>
          <t>2026</t>
        </is>
      </c>
      <c r="B3071" t="inlineStr">
        <is>
          <t>C00415026</t>
        </is>
      </c>
      <c r="C3071" t="inlineStr">
        <is>
          <t>American Fuel &amp; Petrochemical Manufacturers PAC (AFPM PAC)</t>
        </is>
      </c>
      <c r="D3071" t="inlineStr">
        <is>
          <t>HUDSON FOR CONGRESS</t>
        </is>
      </c>
      <c r="E3071" t="inlineStr">
        <is>
          <t>H2NC08185</t>
        </is>
      </c>
      <c r="F3071" t="inlineStr">
        <is>
          <t>REP</t>
        </is>
      </c>
      <c r="G3071" t="inlineStr">
        <is>
          <t>03192025</t>
        </is>
      </c>
      <c r="H3071" t="n">
        <v>5000</v>
      </c>
      <c r="I3071" t="inlineStr">
        <is>
          <t>202504179756108549</t>
        </is>
      </c>
      <c r="J3071" t="inlineStr">
        <is>
          <t>https://docquery.fec.gov/cgi-bin/fecimg/?202504179756108549</t>
        </is>
      </c>
    </row>
    <row r="3072">
      <c r="A3072" t="inlineStr">
        <is>
          <t>2026</t>
        </is>
      </c>
      <c r="B3072" t="inlineStr">
        <is>
          <t>C00415026</t>
        </is>
      </c>
      <c r="C3072" t="inlineStr">
        <is>
          <t>American Fuel &amp; Petrochemical Manufacturers PAC (AFPM PAC)</t>
        </is>
      </c>
      <c r="D3072" t="inlineStr">
        <is>
          <t>FEDORCHAK FOR ND</t>
        </is>
      </c>
      <c r="E3072" t="inlineStr">
        <is>
          <t>H4ND00061</t>
        </is>
      </c>
      <c r="F3072" t="inlineStr">
        <is>
          <t>REP</t>
        </is>
      </c>
      <c r="G3072" t="inlineStr">
        <is>
          <t>03192025</t>
        </is>
      </c>
      <c r="H3072" t="n">
        <v>1000</v>
      </c>
      <c r="I3072" t="inlineStr">
        <is>
          <t>202504179756108549</t>
        </is>
      </c>
      <c r="J3072" t="inlineStr">
        <is>
          <t>https://docquery.fec.gov/cgi-bin/fecimg/?202504179756108549</t>
        </is>
      </c>
    </row>
    <row r="3073">
      <c r="A3073" t="inlineStr">
        <is>
          <t>2026</t>
        </is>
      </c>
      <c r="B3073" t="inlineStr">
        <is>
          <t>C00415026</t>
        </is>
      </c>
      <c r="C3073" t="inlineStr">
        <is>
          <t>American Fuel &amp; Petrochemical Manufacturers PAC (AFPM PAC)</t>
        </is>
      </c>
      <c r="D3073" t="inlineStr">
        <is>
          <t>HERN FOR CONGRESS</t>
        </is>
      </c>
      <c r="E3073" t="inlineStr">
        <is>
          <t>H8OK01157</t>
        </is>
      </c>
      <c r="F3073" t="inlineStr">
        <is>
          <t>REP</t>
        </is>
      </c>
      <c r="G3073" t="inlineStr">
        <is>
          <t>03192025</t>
        </is>
      </c>
      <c r="H3073" t="n">
        <v>2500</v>
      </c>
      <c r="I3073" t="inlineStr">
        <is>
          <t>202504179756108549</t>
        </is>
      </c>
      <c r="J3073" t="inlineStr">
        <is>
          <t>https://docquery.fec.gov/cgi-bin/fecimg/?202504179756108549</t>
        </is>
      </c>
    </row>
    <row r="3074">
      <c r="A3074" t="inlineStr">
        <is>
          <t>2026</t>
        </is>
      </c>
      <c r="B3074" t="inlineStr">
        <is>
          <t>C00415026</t>
        </is>
      </c>
      <c r="C3074" t="inlineStr">
        <is>
          <t>American Fuel &amp; Petrochemical Manufacturers PAC (AFPM PAC)</t>
        </is>
      </c>
      <c r="D3074" t="inlineStr">
        <is>
          <t>MIKE CRAPO FOR US SENATE</t>
        </is>
      </c>
      <c r="E3074" t="inlineStr">
        <is>
          <t>S8ID00027</t>
        </is>
      </c>
      <c r="F3074" t="inlineStr">
        <is>
          <t>REP</t>
        </is>
      </c>
      <c r="G3074" t="inlineStr">
        <is>
          <t>03192025</t>
        </is>
      </c>
      <c r="H3074" t="n">
        <v>5000</v>
      </c>
      <c r="I3074" t="inlineStr">
        <is>
          <t>202504179756108550</t>
        </is>
      </c>
      <c r="J3074" t="inlineStr">
        <is>
          <t>https://docquery.fec.gov/cgi-bin/fecimg/?202504179756108550</t>
        </is>
      </c>
    </row>
    <row r="3075">
      <c r="A3075" t="inlineStr">
        <is>
          <t>2026</t>
        </is>
      </c>
      <c r="B3075" t="inlineStr">
        <is>
          <t>C00415026</t>
        </is>
      </c>
      <c r="C3075" t="inlineStr">
        <is>
          <t>American Fuel &amp; Petrochemical Manufacturers PAC (AFPM PAC)</t>
        </is>
      </c>
      <c r="D3075" t="inlineStr">
        <is>
          <t>VICENTE GONZALEZ FOR CONGRESS</t>
        </is>
      </c>
      <c r="E3075" t="inlineStr">
        <is>
          <t>H6TX15162</t>
        </is>
      </c>
      <c r="F3075" t="inlineStr">
        <is>
          <t>DEM</t>
        </is>
      </c>
      <c r="G3075" t="inlineStr">
        <is>
          <t>03192025</t>
        </is>
      </c>
      <c r="H3075" t="n">
        <v>2500</v>
      </c>
      <c r="I3075" t="inlineStr">
        <is>
          <t>202504179756108551</t>
        </is>
      </c>
      <c r="J3075" t="inlineStr">
        <is>
          <t>https://docquery.fec.gov/cgi-bin/fecimg/?202504179756108551</t>
        </is>
      </c>
    </row>
    <row r="3076">
      <c r="A3076" t="inlineStr">
        <is>
          <t>2026</t>
        </is>
      </c>
      <c r="B3076" t="inlineStr">
        <is>
          <t>C00415026</t>
        </is>
      </c>
      <c r="C3076" t="inlineStr">
        <is>
          <t>American Fuel &amp; Petrochemical Manufacturers PAC (AFPM PAC)</t>
        </is>
      </c>
      <c r="D3076" t="inlineStr">
        <is>
          <t>EMMER FOR CONGRESS</t>
        </is>
      </c>
      <c r="E3076" t="inlineStr">
        <is>
          <t>H4MN06087</t>
        </is>
      </c>
      <c r="F3076" t="inlineStr">
        <is>
          <t>REP</t>
        </is>
      </c>
      <c r="G3076" t="inlineStr">
        <is>
          <t>03192025</t>
        </is>
      </c>
      <c r="H3076" t="n">
        <v>5000</v>
      </c>
      <c r="I3076" t="inlineStr">
        <is>
          <t>202504179756108548</t>
        </is>
      </c>
      <c r="J3076" t="inlineStr">
        <is>
          <t>https://docquery.fec.gov/cgi-bin/fecimg/?202504179756108548</t>
        </is>
      </c>
    </row>
    <row r="3077">
      <c r="A3077" t="inlineStr">
        <is>
          <t>2026</t>
        </is>
      </c>
      <c r="B3077" t="inlineStr">
        <is>
          <t>C00415026</t>
        </is>
      </c>
      <c r="C3077" t="inlineStr">
        <is>
          <t>American Fuel &amp; Petrochemical Manufacturers PAC (AFPM PAC)</t>
        </is>
      </c>
      <c r="D3077" t="inlineStr">
        <is>
          <t>COLE FOR CONGRESS</t>
        </is>
      </c>
      <c r="E3077" t="inlineStr">
        <is>
          <t>H2OK04055</t>
        </is>
      </c>
      <c r="F3077" t="inlineStr">
        <is>
          <t>REP</t>
        </is>
      </c>
      <c r="G3077" t="inlineStr">
        <is>
          <t>03192025</t>
        </is>
      </c>
      <c r="H3077" t="n">
        <v>2500</v>
      </c>
      <c r="I3077" t="inlineStr">
        <is>
          <t>202504179756108548</t>
        </is>
      </c>
      <c r="J3077" t="inlineStr">
        <is>
          <t>https://docquery.fec.gov/cgi-bin/fecimg/?202504179756108548</t>
        </is>
      </c>
    </row>
    <row r="3078">
      <c r="A3078" t="inlineStr">
        <is>
          <t>2026</t>
        </is>
      </c>
      <c r="B3078" t="inlineStr">
        <is>
          <t>C00415026</t>
        </is>
      </c>
      <c r="C3078" t="inlineStr">
        <is>
          <t>American Fuel &amp; Petrochemical Manufacturers PAC (AFPM PAC)</t>
        </is>
      </c>
      <c r="D3078" t="inlineStr">
        <is>
          <t>JASON SMITH FOR CONGRESS</t>
        </is>
      </c>
      <c r="E3078" t="inlineStr">
        <is>
          <t>H4MO08162</t>
        </is>
      </c>
      <c r="F3078" t="inlineStr">
        <is>
          <t>REP</t>
        </is>
      </c>
      <c r="G3078" t="inlineStr">
        <is>
          <t>03272025</t>
        </is>
      </c>
      <c r="H3078" t="n">
        <v>1000</v>
      </c>
      <c r="I3078" t="inlineStr">
        <is>
          <t>202504179756108550</t>
        </is>
      </c>
      <c r="J3078" t="inlineStr">
        <is>
          <t>https://docquery.fec.gov/cgi-bin/fecimg/?202504179756108550</t>
        </is>
      </c>
    </row>
    <row r="3079">
      <c r="A3079" t="inlineStr">
        <is>
          <t>2026</t>
        </is>
      </c>
      <c r="B3079" t="inlineStr">
        <is>
          <t>C00415026</t>
        </is>
      </c>
      <c r="C3079" t="inlineStr">
        <is>
          <t>American Fuel &amp; Petrochemical Manufacturers PAC (AFPM PAC)</t>
        </is>
      </c>
      <c r="D3079" t="inlineStr">
        <is>
          <t>PETE STAUBER FOR CONGRESS</t>
        </is>
      </c>
      <c r="E3079" t="inlineStr">
        <is>
          <t>H8MN08043</t>
        </is>
      </c>
      <c r="F3079" t="inlineStr">
        <is>
          <t>REP</t>
        </is>
      </c>
      <c r="G3079" t="inlineStr">
        <is>
          <t>03272025</t>
        </is>
      </c>
      <c r="H3079" t="n">
        <v>1000</v>
      </c>
      <c r="I3079" t="inlineStr">
        <is>
          <t>202504179756108550</t>
        </is>
      </c>
      <c r="J3079" t="inlineStr">
        <is>
          <t>https://docquery.fec.gov/cgi-bin/fecimg/?202504179756108550</t>
        </is>
      </c>
    </row>
    <row r="3080">
      <c r="A3080" t="inlineStr">
        <is>
          <t>2026</t>
        </is>
      </c>
      <c r="B3080" t="inlineStr">
        <is>
          <t>C00415026</t>
        </is>
      </c>
      <c r="C3080" t="inlineStr">
        <is>
          <t>American Fuel &amp; Petrochemical Manufacturers PAC (AFPM PAC)</t>
        </is>
      </c>
      <c r="D3080" t="inlineStr">
        <is>
          <t>AUGUST PFLUGER FOR CONGRESS</t>
        </is>
      </c>
      <c r="E3080" t="inlineStr">
        <is>
          <t>H0TX11230</t>
        </is>
      </c>
      <c r="F3080" t="inlineStr">
        <is>
          <t>REP</t>
        </is>
      </c>
      <c r="G3080" t="inlineStr">
        <is>
          <t>03272025</t>
        </is>
      </c>
      <c r="H3080" t="n">
        <v>1000</v>
      </c>
      <c r="I3080" t="inlineStr">
        <is>
          <t>202504179756108547</t>
        </is>
      </c>
      <c r="J3080" t="inlineStr">
        <is>
          <t>https://docquery.fec.gov/cgi-bin/fecimg/?202504179756108547</t>
        </is>
      </c>
    </row>
    <row r="3081">
      <c r="A3081" t="inlineStr">
        <is>
          <t>2026</t>
        </is>
      </c>
      <c r="B3081" t="inlineStr">
        <is>
          <t>C00415026</t>
        </is>
      </c>
      <c r="C3081" t="inlineStr">
        <is>
          <t>American Fuel &amp; Petrochemical Manufacturers PAC (AFPM PAC)</t>
        </is>
      </c>
      <c r="D3081" t="inlineStr">
        <is>
          <t>CAPITO FOR WEST VIRGINIA</t>
        </is>
      </c>
      <c r="E3081" t="inlineStr">
        <is>
          <t>S4WV00159</t>
        </is>
      </c>
      <c r="F3081" t="inlineStr">
        <is>
          <t>REP</t>
        </is>
      </c>
      <c r="G3081" t="inlineStr">
        <is>
          <t>03272025</t>
        </is>
      </c>
      <c r="H3081" t="n">
        <v>1000</v>
      </c>
      <c r="I3081" t="inlineStr">
        <is>
          <t>202504179756108547</t>
        </is>
      </c>
      <c r="J3081" t="inlineStr">
        <is>
          <t>https://docquery.fec.gov/cgi-bin/fecimg/?202504179756108547</t>
        </is>
      </c>
    </row>
    <row r="3082">
      <c r="A3082" t="inlineStr">
        <is>
          <t>2026</t>
        </is>
      </c>
      <c r="B3082" t="inlineStr">
        <is>
          <t>C00415026</t>
        </is>
      </c>
      <c r="C3082" t="inlineStr">
        <is>
          <t>American Fuel &amp; Petrochemical Manufacturers PAC (AFPM PAC)</t>
        </is>
      </c>
      <c r="D3082" t="inlineStr">
        <is>
          <t>ELECTGABEEVANS.COM</t>
        </is>
      </c>
      <c r="E3082" t="inlineStr">
        <is>
          <t>H4CO08034</t>
        </is>
      </c>
      <c r="F3082" t="inlineStr">
        <is>
          <t>REP</t>
        </is>
      </c>
      <c r="G3082" t="inlineStr">
        <is>
          <t>03272025</t>
        </is>
      </c>
      <c r="H3082" t="n">
        <v>1000</v>
      </c>
      <c r="I3082" t="inlineStr">
        <is>
          <t>202504179756108548</t>
        </is>
      </c>
      <c r="J3082" t="inlineStr">
        <is>
          <t>https://docquery.fec.gov/cgi-bin/fecimg/?202504179756108548</t>
        </is>
      </c>
    </row>
    <row r="3083">
      <c r="A3083" t="inlineStr">
        <is>
          <t>2026</t>
        </is>
      </c>
      <c r="B3083" t="inlineStr">
        <is>
          <t>C00415026</t>
        </is>
      </c>
      <c r="C3083" t="inlineStr">
        <is>
          <t>American Fuel &amp; Petrochemical Manufacturers PAC (AFPM PAC)</t>
        </is>
      </c>
      <c r="D3083" t="inlineStr">
        <is>
          <t>AUGUST PFLUGER FOR CONGRESS</t>
        </is>
      </c>
      <c r="E3083" t="inlineStr">
        <is>
          <t>H0TX11230</t>
        </is>
      </c>
      <c r="F3083" t="inlineStr">
        <is>
          <t>REP</t>
        </is>
      </c>
      <c r="G3083" t="inlineStr">
        <is>
          <t>05152026</t>
        </is>
      </c>
      <c r="H3083" t="n">
        <v>1000</v>
      </c>
      <c r="I3083" t="inlineStr">
        <is>
          <t>202606189870770821</t>
        </is>
      </c>
      <c r="J3083" t="inlineStr">
        <is>
          <t>https://docquery.fec.gov/cgi-bin/fecimg/?202606189870770821</t>
        </is>
      </c>
    </row>
    <row r="3084">
      <c r="A3084" t="inlineStr">
        <is>
          <t>2026</t>
        </is>
      </c>
      <c r="B3084" t="inlineStr">
        <is>
          <t>C00415026</t>
        </is>
      </c>
      <c r="C3084" t="inlineStr">
        <is>
          <t>American Fuel &amp; Petrochemical Manufacturers PAC (AFPM PAC)</t>
        </is>
      </c>
      <c r="D3084" t="inlineStr">
        <is>
          <t>COLE FOR CONGRESS</t>
        </is>
      </c>
      <c r="E3084" t="inlineStr">
        <is>
          <t>H2OK04055</t>
        </is>
      </c>
      <c r="F3084" t="inlineStr">
        <is>
          <t>REP</t>
        </is>
      </c>
      <c r="G3084" t="inlineStr">
        <is>
          <t>05152026</t>
        </is>
      </c>
      <c r="H3084" t="n">
        <v>1000</v>
      </c>
      <c r="I3084" t="inlineStr">
        <is>
          <t>202606189870770821</t>
        </is>
      </c>
      <c r="J3084" t="inlineStr">
        <is>
          <t>https://docquery.fec.gov/cgi-bin/fecimg/?202606189870770821</t>
        </is>
      </c>
    </row>
    <row r="3085">
      <c r="A3085" t="inlineStr">
        <is>
          <t>2026</t>
        </is>
      </c>
      <c r="B3085" t="inlineStr">
        <is>
          <t>C00415026</t>
        </is>
      </c>
      <c r="C3085" t="inlineStr">
        <is>
          <t>American Fuel &amp; Petrochemical Manufacturers PAC (AFPM PAC)</t>
        </is>
      </c>
      <c r="D3085" t="inlineStr">
        <is>
          <t>JAY OBERNOLTE FOR CONGRESS</t>
        </is>
      </c>
      <c r="E3085" t="inlineStr">
        <is>
          <t>H0CA08135</t>
        </is>
      </c>
      <c r="F3085" t="inlineStr">
        <is>
          <t>REP</t>
        </is>
      </c>
      <c r="G3085" t="inlineStr">
        <is>
          <t>05152026</t>
        </is>
      </c>
      <c r="H3085" t="n">
        <v>1000</v>
      </c>
      <c r="I3085" t="inlineStr">
        <is>
          <t>202606189870770821</t>
        </is>
      </c>
      <c r="J3085" t="inlineStr">
        <is>
          <t>https://docquery.fec.gov/cgi-bin/fecimg/?202606189870770821</t>
        </is>
      </c>
    </row>
    <row r="3086">
      <c r="A3086" t="inlineStr">
        <is>
          <t>2026</t>
        </is>
      </c>
      <c r="B3086" t="inlineStr">
        <is>
          <t>C00415026</t>
        </is>
      </c>
      <c r="C3086" t="inlineStr">
        <is>
          <t>American Fuel &amp; Petrochemical Manufacturers PAC (AFPM PAC)</t>
        </is>
      </c>
      <c r="D3086" t="inlineStr">
        <is>
          <t>MARK TEIXEIRA FOR CONGRESS</t>
        </is>
      </c>
      <c r="E3086" t="inlineStr">
        <is>
          <t>H6TX21301</t>
        </is>
      </c>
      <c r="F3086" t="inlineStr">
        <is>
          <t>REP</t>
        </is>
      </c>
      <c r="G3086" t="inlineStr">
        <is>
          <t>05152026</t>
        </is>
      </c>
      <c r="H3086" t="n">
        <v>1000</v>
      </c>
      <c r="I3086" t="inlineStr">
        <is>
          <t>202606189870770822</t>
        </is>
      </c>
      <c r="J3086" t="inlineStr">
        <is>
          <t>https://docquery.fec.gov/cgi-bin/fecimg/?202606189870770822</t>
        </is>
      </c>
    </row>
    <row r="3087">
      <c r="A3087" t="inlineStr">
        <is>
          <t>2026</t>
        </is>
      </c>
      <c r="B3087" t="inlineStr">
        <is>
          <t>C00415026</t>
        </is>
      </c>
      <c r="C3087" t="inlineStr">
        <is>
          <t>American Fuel &amp; Petrochemical Manufacturers PAC (AFPM PAC)</t>
        </is>
      </c>
      <c r="D3087" t="inlineStr">
        <is>
          <t>MIKE KELLY FOR CONGRESS</t>
        </is>
      </c>
      <c r="E3087" t="inlineStr">
        <is>
          <t>H0PA03271</t>
        </is>
      </c>
      <c r="F3087" t="inlineStr">
        <is>
          <t>REP</t>
        </is>
      </c>
      <c r="G3087" t="inlineStr">
        <is>
          <t>05152026</t>
        </is>
      </c>
      <c r="H3087" t="n">
        <v>1000</v>
      </c>
      <c r="I3087" t="inlineStr">
        <is>
          <t>202606189870770822</t>
        </is>
      </c>
      <c r="J3087" t="inlineStr">
        <is>
          <t>https://docquery.fec.gov/cgi-bin/fecimg/?202606189870770822</t>
        </is>
      </c>
    </row>
    <row r="3088">
      <c r="A3088" t="inlineStr">
        <is>
          <t>2026</t>
        </is>
      </c>
      <c r="B3088" t="inlineStr">
        <is>
          <t>C00415026</t>
        </is>
      </c>
      <c r="C3088" t="inlineStr">
        <is>
          <t>American Fuel &amp; Petrochemical Manufacturers PAC (AFPM PAC)</t>
        </is>
      </c>
      <c r="D3088" t="inlineStr">
        <is>
          <t>WEBER FOR CONGRESS</t>
        </is>
      </c>
      <c r="E3088" t="inlineStr">
        <is>
          <t>H2TX14149</t>
        </is>
      </c>
      <c r="F3088" t="inlineStr">
        <is>
          <t>REP</t>
        </is>
      </c>
      <c r="G3088" t="inlineStr">
        <is>
          <t>05152026</t>
        </is>
      </c>
      <c r="H3088" t="n">
        <v>1000</v>
      </c>
      <c r="I3088" t="inlineStr">
        <is>
          <t>202606189870770822</t>
        </is>
      </c>
      <c r="J3088" t="inlineStr">
        <is>
          <t>https://docquery.fec.gov/cgi-bin/fecimg/?202606189870770822</t>
        </is>
      </c>
    </row>
    <row r="3089">
      <c r="A3089" t="inlineStr">
        <is>
          <t>2026</t>
        </is>
      </c>
      <c r="B3089" t="inlineStr">
        <is>
          <t>C00415026</t>
        </is>
      </c>
      <c r="C3089" t="inlineStr">
        <is>
          <t>American Fuel &amp; Petrochemical Manufacturers PAC (AFPM PAC)</t>
        </is>
      </c>
      <c r="D3089" t="inlineStr">
        <is>
          <t>CAPITO FOR WEST VIRGINIA</t>
        </is>
      </c>
      <c r="E3089" t="inlineStr">
        <is>
          <t>S4WV00159</t>
        </is>
      </c>
      <c r="F3089" t="inlineStr">
        <is>
          <t>REP</t>
        </is>
      </c>
      <c r="G3089" t="inlineStr">
        <is>
          <t>05272025</t>
        </is>
      </c>
      <c r="H3089" t="n">
        <v>1500</v>
      </c>
      <c r="I3089" t="inlineStr">
        <is>
          <t>202506169762153273</t>
        </is>
      </c>
      <c r="J3089" t="inlineStr">
        <is>
          <t>https://docquery.fec.gov/cgi-bin/fecimg/?202506169762153273</t>
        </is>
      </c>
    </row>
    <row r="3090">
      <c r="A3090" t="inlineStr">
        <is>
          <t>2026</t>
        </is>
      </c>
      <c r="B3090" t="inlineStr">
        <is>
          <t>C00415026</t>
        </is>
      </c>
      <c r="C3090" t="inlineStr">
        <is>
          <t>American Fuel &amp; Petrochemical Manufacturers PAC (AFPM PAC)</t>
        </is>
      </c>
      <c r="D3090" t="inlineStr">
        <is>
          <t>DR JOHN JOYCE FOR CONGRESS</t>
        </is>
      </c>
      <c r="E3090" t="inlineStr">
        <is>
          <t>H8PA13125</t>
        </is>
      </c>
      <c r="F3090" t="inlineStr">
        <is>
          <t>REP</t>
        </is>
      </c>
      <c r="G3090" t="inlineStr">
        <is>
          <t>05272025</t>
        </is>
      </c>
      <c r="H3090" t="n">
        <v>1000</v>
      </c>
      <c r="I3090" t="inlineStr">
        <is>
          <t>202506169762153273</t>
        </is>
      </c>
      <c r="J3090" t="inlineStr">
        <is>
          <t>https://docquery.fec.gov/cgi-bin/fecimg/?202506169762153273</t>
        </is>
      </c>
    </row>
    <row r="3091">
      <c r="A3091" t="inlineStr">
        <is>
          <t>2026</t>
        </is>
      </c>
      <c r="B3091" t="inlineStr">
        <is>
          <t>C00415026</t>
        </is>
      </c>
      <c r="C3091" t="inlineStr">
        <is>
          <t>American Fuel &amp; Petrochemical Manufacturers PAC (AFPM PAC)</t>
        </is>
      </c>
      <c r="D3091" t="inlineStr">
        <is>
          <t>FEENSTRA FOR CONGRESS</t>
        </is>
      </c>
      <c r="E3091" t="inlineStr">
        <is>
          <t>H0IA04145</t>
        </is>
      </c>
      <c r="F3091" t="inlineStr">
        <is>
          <t>REP</t>
        </is>
      </c>
      <c r="G3091" t="inlineStr">
        <is>
          <t>05272025</t>
        </is>
      </c>
      <c r="H3091" t="n">
        <v>1000</v>
      </c>
      <c r="I3091" t="inlineStr">
        <is>
          <t>202506169762153273</t>
        </is>
      </c>
      <c r="J3091" t="inlineStr">
        <is>
          <t>https://docquery.fec.gov/cgi-bin/fecimg/?202506169762153273</t>
        </is>
      </c>
    </row>
    <row r="3092">
      <c r="A3092" t="inlineStr">
        <is>
          <t>2026</t>
        </is>
      </c>
      <c r="B3092" t="inlineStr">
        <is>
          <t>C00415026</t>
        </is>
      </c>
      <c r="C3092" t="inlineStr">
        <is>
          <t>American Fuel &amp; Petrochemical Manufacturers PAC (AFPM PAC)</t>
        </is>
      </c>
      <c r="D3092" t="inlineStr">
        <is>
          <t>JIM RISCH FOR U.S. SENATE COMMITTEE</t>
        </is>
      </c>
      <c r="E3092" t="inlineStr">
        <is>
          <t>S8ID00092</t>
        </is>
      </c>
      <c r="F3092" t="inlineStr">
        <is>
          <t>UNK</t>
        </is>
      </c>
      <c r="G3092" t="inlineStr">
        <is>
          <t>05272025</t>
        </is>
      </c>
      <c r="H3092" t="n">
        <v>1000</v>
      </c>
      <c r="I3092" t="inlineStr">
        <is>
          <t>202506169762153274</t>
        </is>
      </c>
      <c r="J3092" t="inlineStr">
        <is>
          <t>https://docquery.fec.gov/cgi-bin/fecimg/?202506169762153274</t>
        </is>
      </c>
    </row>
    <row r="3093">
      <c r="A3093" t="inlineStr">
        <is>
          <t>2026</t>
        </is>
      </c>
      <c r="B3093" t="inlineStr">
        <is>
          <t>C00415026</t>
        </is>
      </c>
      <c r="C3093" t="inlineStr">
        <is>
          <t>American Fuel &amp; Petrochemical Manufacturers PAC (AFPM PAC)</t>
        </is>
      </c>
      <c r="D3093" t="inlineStr">
        <is>
          <t>SCALISE FOR CONGRESS</t>
        </is>
      </c>
      <c r="E3093" t="inlineStr">
        <is>
          <t>H0LA01087</t>
        </is>
      </c>
      <c r="F3093" t="inlineStr">
        <is>
          <t>REP</t>
        </is>
      </c>
      <c r="G3093" t="inlineStr">
        <is>
          <t>05272025</t>
        </is>
      </c>
      <c r="H3093" t="n">
        <v>5000</v>
      </c>
      <c r="I3093" t="inlineStr">
        <is>
          <t>202506169762153274</t>
        </is>
      </c>
      <c r="J3093" t="inlineStr">
        <is>
          <t>https://docquery.fec.gov/cgi-bin/fecimg/?202506169762153274</t>
        </is>
      </c>
    </row>
    <row r="3094">
      <c r="A3094" t="inlineStr">
        <is>
          <t>2026</t>
        </is>
      </c>
      <c r="B3094" t="inlineStr">
        <is>
          <t>C00415026</t>
        </is>
      </c>
      <c r="C3094" t="inlineStr">
        <is>
          <t>American Fuel &amp; Petrochemical Manufacturers PAC (AFPM PAC)</t>
        </is>
      </c>
      <c r="D3094" t="inlineStr">
        <is>
          <t>ASHLEY HINSON FOR CONGRESS</t>
        </is>
      </c>
      <c r="E3094" t="inlineStr">
        <is>
          <t>H0IA01174</t>
        </is>
      </c>
      <c r="F3094" t="inlineStr">
        <is>
          <t>REP</t>
        </is>
      </c>
      <c r="G3094" t="inlineStr">
        <is>
          <t>06052025</t>
        </is>
      </c>
      <c r="H3094" t="n">
        <v>1000</v>
      </c>
      <c r="I3094" t="inlineStr">
        <is>
          <t>202507179763588598</t>
        </is>
      </c>
      <c r="J3094" t="inlineStr">
        <is>
          <t>https://docquery.fec.gov/cgi-bin/fecimg/?202507179763588598</t>
        </is>
      </c>
    </row>
    <row r="3095">
      <c r="A3095" t="inlineStr">
        <is>
          <t>2026</t>
        </is>
      </c>
      <c r="B3095" t="inlineStr">
        <is>
          <t>C00415026</t>
        </is>
      </c>
      <c r="C3095" t="inlineStr">
        <is>
          <t>American Fuel &amp; Petrochemical Manufacturers PAC (AFPM PAC)</t>
        </is>
      </c>
      <c r="D3095" t="inlineStr">
        <is>
          <t>FRIENDS OF MIKE LEE INC</t>
        </is>
      </c>
      <c r="E3095" t="inlineStr">
        <is>
          <t>S0UT00165</t>
        </is>
      </c>
      <c r="F3095" t="inlineStr">
        <is>
          <t>REP</t>
        </is>
      </c>
      <c r="G3095" t="inlineStr">
        <is>
          <t>06052025</t>
        </is>
      </c>
      <c r="H3095" t="n">
        <v>1000</v>
      </c>
      <c r="I3095" t="inlineStr">
        <is>
          <t>202507179763588600</t>
        </is>
      </c>
      <c r="J3095" t="inlineStr">
        <is>
          <t>https://docquery.fec.gov/cgi-bin/fecimg/?202507179763588600</t>
        </is>
      </c>
    </row>
    <row r="3096">
      <c r="A3096" t="inlineStr">
        <is>
          <t>2026</t>
        </is>
      </c>
      <c r="B3096" t="inlineStr">
        <is>
          <t>C00415026</t>
        </is>
      </c>
      <c r="C3096" t="inlineStr">
        <is>
          <t>American Fuel &amp; Petrochemical Manufacturers PAC (AFPM PAC)</t>
        </is>
      </c>
      <c r="D3096" t="inlineStr">
        <is>
          <t>GUTHRIE FOR CONGRESS</t>
        </is>
      </c>
      <c r="E3096" t="inlineStr">
        <is>
          <t>H8KY02031</t>
        </is>
      </c>
      <c r="F3096" t="inlineStr">
        <is>
          <t>REP</t>
        </is>
      </c>
      <c r="G3096" t="inlineStr">
        <is>
          <t>06052025</t>
        </is>
      </c>
      <c r="H3096" t="n">
        <v>2500</v>
      </c>
      <c r="I3096" t="inlineStr">
        <is>
          <t>202507179763588600</t>
        </is>
      </c>
      <c r="J3096" t="inlineStr">
        <is>
          <t>https://docquery.fec.gov/cgi-bin/fecimg/?202507179763588600</t>
        </is>
      </c>
    </row>
    <row r="3097">
      <c r="A3097" t="inlineStr">
        <is>
          <t>2026</t>
        </is>
      </c>
      <c r="B3097" t="inlineStr">
        <is>
          <t>C00415026</t>
        </is>
      </c>
      <c r="C3097" t="inlineStr">
        <is>
          <t>American Fuel &amp; Petrochemical Manufacturers PAC (AFPM PAC)</t>
        </is>
      </c>
      <c r="D3097" t="inlineStr">
        <is>
          <t>HUNT FOR CONGRESS</t>
        </is>
      </c>
      <c r="E3097" t="inlineStr">
        <is>
          <t>H0TX07170</t>
        </is>
      </c>
      <c r="F3097" t="inlineStr">
        <is>
          <t>REP</t>
        </is>
      </c>
      <c r="G3097" t="inlineStr">
        <is>
          <t>06052025</t>
        </is>
      </c>
      <c r="H3097" t="n">
        <v>1000</v>
      </c>
      <c r="I3097" t="inlineStr">
        <is>
          <t>202507179763588600</t>
        </is>
      </c>
      <c r="J3097" t="inlineStr">
        <is>
          <t>https://docquery.fec.gov/cgi-bin/fecimg/?202507179763588600</t>
        </is>
      </c>
    </row>
    <row r="3098">
      <c r="A3098" t="inlineStr">
        <is>
          <t>2026</t>
        </is>
      </c>
      <c r="B3098" t="inlineStr">
        <is>
          <t>C00415026</t>
        </is>
      </c>
      <c r="C3098" t="inlineStr">
        <is>
          <t>American Fuel &amp; Petrochemical Manufacturers PAC (AFPM PAC)</t>
        </is>
      </c>
      <c r="D3098" t="inlineStr">
        <is>
          <t>KEAN FOR CONGRESS INC</t>
        </is>
      </c>
      <c r="E3098" t="inlineStr">
        <is>
          <t>H0NJ07261</t>
        </is>
      </c>
      <c r="F3098" t="inlineStr">
        <is>
          <t>REP</t>
        </is>
      </c>
      <c r="G3098" t="inlineStr">
        <is>
          <t>06052025</t>
        </is>
      </c>
      <c r="H3098" t="n">
        <v>1000</v>
      </c>
      <c r="I3098" t="inlineStr">
        <is>
          <t>202507179763588601</t>
        </is>
      </c>
      <c r="J3098" t="inlineStr">
        <is>
          <t>https://docquery.fec.gov/cgi-bin/fecimg/?202507179763588601</t>
        </is>
      </c>
    </row>
    <row r="3099">
      <c r="A3099" t="inlineStr">
        <is>
          <t>2026</t>
        </is>
      </c>
      <c r="B3099" t="inlineStr">
        <is>
          <t>C00415026</t>
        </is>
      </c>
      <c r="C3099" t="inlineStr">
        <is>
          <t>American Fuel &amp; Petrochemical Manufacturers PAC (AFPM PAC)</t>
        </is>
      </c>
      <c r="D3099" t="inlineStr">
        <is>
          <t>LANGWORTHY FOR CONGRESS</t>
        </is>
      </c>
      <c r="E3099" t="inlineStr">
        <is>
          <t>H2NY23228</t>
        </is>
      </c>
      <c r="F3099" t="inlineStr">
        <is>
          <t>REP</t>
        </is>
      </c>
      <c r="G3099" t="inlineStr">
        <is>
          <t>06052025</t>
        </is>
      </c>
      <c r="H3099" t="n">
        <v>1000</v>
      </c>
      <c r="I3099" t="inlineStr">
        <is>
          <t>202507179763588601</t>
        </is>
      </c>
      <c r="J3099" t="inlineStr">
        <is>
          <t>https://docquery.fec.gov/cgi-bin/fecimg/?202507179763588601</t>
        </is>
      </c>
    </row>
    <row r="3100">
      <c r="A3100" t="inlineStr">
        <is>
          <t>2026</t>
        </is>
      </c>
      <c r="B3100" t="inlineStr">
        <is>
          <t>C00415026</t>
        </is>
      </c>
      <c r="C3100" t="inlineStr">
        <is>
          <t>American Fuel &amp; Petrochemical Manufacturers PAC (AFPM PAC)</t>
        </is>
      </c>
      <c r="D3100" t="inlineStr">
        <is>
          <t>LATTA FOR CONGRESS</t>
        </is>
      </c>
      <c r="E3100" t="inlineStr">
        <is>
          <t>H8OH05036</t>
        </is>
      </c>
      <c r="F3100" t="inlineStr">
        <is>
          <t>REP</t>
        </is>
      </c>
      <c r="G3100" t="inlineStr">
        <is>
          <t>06052025</t>
        </is>
      </c>
      <c r="H3100" t="n">
        <v>1000</v>
      </c>
      <c r="I3100" t="inlineStr">
        <is>
          <t>202507179763588602</t>
        </is>
      </c>
      <c r="J3100" t="inlineStr">
        <is>
          <t>https://docquery.fec.gov/cgi-bin/fecimg/?202507179763588602</t>
        </is>
      </c>
    </row>
    <row r="3101">
      <c r="A3101" t="inlineStr">
        <is>
          <t>2026</t>
        </is>
      </c>
      <c r="B3101" t="inlineStr">
        <is>
          <t>C00415026</t>
        </is>
      </c>
      <c r="C3101" t="inlineStr">
        <is>
          <t>American Fuel &amp; Petrochemical Manufacturers PAC (AFPM PAC)</t>
        </is>
      </c>
      <c r="D3101" t="inlineStr">
        <is>
          <t>LAUREL LEE FOR CONGRESS, INC.</t>
        </is>
      </c>
      <c r="E3101" t="inlineStr">
        <is>
          <t>H2FL15241</t>
        </is>
      </c>
      <c r="F3101" t="inlineStr">
        <is>
          <t>REP</t>
        </is>
      </c>
      <c r="G3101" t="inlineStr">
        <is>
          <t>06052025</t>
        </is>
      </c>
      <c r="H3101" t="n">
        <v>1000</v>
      </c>
      <c r="I3101" t="inlineStr">
        <is>
          <t>202507179763588602</t>
        </is>
      </c>
      <c r="J3101" t="inlineStr">
        <is>
          <t>https://docquery.fec.gov/cgi-bin/fecimg/?202507179763588602</t>
        </is>
      </c>
    </row>
    <row r="3102">
      <c r="A3102" t="inlineStr">
        <is>
          <t>2026</t>
        </is>
      </c>
      <c r="B3102" t="inlineStr">
        <is>
          <t>C00415026</t>
        </is>
      </c>
      <c r="C3102" t="inlineStr">
        <is>
          <t>American Fuel &amp; Petrochemical Manufacturers PAC (AFPM PAC)</t>
        </is>
      </c>
      <c r="D3102" t="inlineStr">
        <is>
          <t>LISA MCCLAIN FOR CONGRESS</t>
        </is>
      </c>
      <c r="E3102" t="inlineStr">
        <is>
          <t>H0MI10287</t>
        </is>
      </c>
      <c r="F3102" t="inlineStr">
        <is>
          <t>REP</t>
        </is>
      </c>
      <c r="G3102" t="inlineStr">
        <is>
          <t>06052025</t>
        </is>
      </c>
      <c r="H3102" t="n">
        <v>1500</v>
      </c>
      <c r="I3102" t="inlineStr">
        <is>
          <t>202507179763588602</t>
        </is>
      </c>
      <c r="J3102" t="inlineStr">
        <is>
          <t>https://docquery.fec.gov/cgi-bin/fecimg/?202507179763588602</t>
        </is>
      </c>
    </row>
    <row r="3103">
      <c r="A3103" t="inlineStr">
        <is>
          <t>2026</t>
        </is>
      </c>
      <c r="B3103" t="inlineStr">
        <is>
          <t>C00415026</t>
        </is>
      </c>
      <c r="C3103" t="inlineStr">
        <is>
          <t>American Fuel &amp; Petrochemical Manufacturers PAC (AFPM PAC)</t>
        </is>
      </c>
      <c r="D3103" t="inlineStr">
        <is>
          <t>MULLIN FOR AMERICA</t>
        </is>
      </c>
      <c r="E3103" t="inlineStr">
        <is>
          <t>S2OK00186</t>
        </is>
      </c>
      <c r="F3103" t="inlineStr">
        <is>
          <t>REP</t>
        </is>
      </c>
      <c r="G3103" t="inlineStr">
        <is>
          <t>06052025</t>
        </is>
      </c>
      <c r="H3103" t="n">
        <v>1000</v>
      </c>
      <c r="I3103" t="inlineStr">
        <is>
          <t>202507179763588603</t>
        </is>
      </c>
      <c r="J3103" t="inlineStr">
        <is>
          <t>https://docquery.fec.gov/cgi-bin/fecimg/?202507179763588603</t>
        </is>
      </c>
    </row>
    <row r="3104">
      <c r="A3104" t="inlineStr">
        <is>
          <t>2026</t>
        </is>
      </c>
      <c r="B3104" t="inlineStr">
        <is>
          <t>C00415026</t>
        </is>
      </c>
      <c r="C3104" t="inlineStr">
        <is>
          <t>American Fuel &amp; Petrochemical Manufacturers PAC (AFPM PAC)</t>
        </is>
      </c>
      <c r="D3104" t="inlineStr">
        <is>
          <t>VINCE FONG FOR CONGRESS</t>
        </is>
      </c>
      <c r="E3104" t="inlineStr">
        <is>
          <t>H4CA20181</t>
        </is>
      </c>
      <c r="F3104" t="inlineStr">
        <is>
          <t>REP</t>
        </is>
      </c>
      <c r="G3104" t="inlineStr">
        <is>
          <t>06182026</t>
        </is>
      </c>
      <c r="H3104" t="n">
        <v>1000</v>
      </c>
      <c r="I3104" t="inlineStr">
        <is>
          <t>202607209890901279</t>
        </is>
      </c>
      <c r="J3104" t="inlineStr">
        <is>
          <t>https://docquery.fec.gov/cgi-bin/fecimg/?202607209890901279</t>
        </is>
      </c>
    </row>
    <row r="3105">
      <c r="A3105" t="inlineStr">
        <is>
          <t>2026</t>
        </is>
      </c>
      <c r="B3105" t="inlineStr">
        <is>
          <t>C00415026</t>
        </is>
      </c>
      <c r="C3105" t="inlineStr">
        <is>
          <t>American Fuel &amp; Petrochemical Manufacturers PAC (AFPM PAC)</t>
        </is>
      </c>
      <c r="D3105" t="inlineStr">
        <is>
          <t>GUTHRIE FOR CONGRESS</t>
        </is>
      </c>
      <c r="E3105" t="inlineStr">
        <is>
          <t>H8KY02031</t>
        </is>
      </c>
      <c r="F3105" t="inlineStr">
        <is>
          <t>REP</t>
        </is>
      </c>
      <c r="G3105" t="inlineStr">
        <is>
          <t>06182026</t>
        </is>
      </c>
      <c r="H3105" t="n">
        <v>1500</v>
      </c>
      <c r="I3105" t="inlineStr">
        <is>
          <t>202607209890901275</t>
        </is>
      </c>
      <c r="J3105" t="inlineStr">
        <is>
          <t>https://docquery.fec.gov/cgi-bin/fecimg/?202607209890901275</t>
        </is>
      </c>
    </row>
    <row r="3106">
      <c r="A3106" t="inlineStr">
        <is>
          <t>2026</t>
        </is>
      </c>
      <c r="B3106" t="inlineStr">
        <is>
          <t>C00415026</t>
        </is>
      </c>
      <c r="C3106" t="inlineStr">
        <is>
          <t>American Fuel &amp; Petrochemical Manufacturers PAC (AFPM PAC)</t>
        </is>
      </c>
      <c r="D3106" t="inlineStr">
        <is>
          <t>GUY FOR CONGRESS</t>
        </is>
      </c>
      <c r="E3106" t="inlineStr">
        <is>
          <t>H8PA18199</t>
        </is>
      </c>
      <c r="F3106" t="inlineStr">
        <is>
          <t>REP</t>
        </is>
      </c>
      <c r="G3106" t="inlineStr">
        <is>
          <t>06182026</t>
        </is>
      </c>
      <c r="H3106" t="n">
        <v>1000</v>
      </c>
      <c r="I3106" t="inlineStr">
        <is>
          <t>202607209890901275</t>
        </is>
      </c>
      <c r="J3106" t="inlineStr">
        <is>
          <t>https://docquery.fec.gov/cgi-bin/fecimg/?202607209890901275</t>
        </is>
      </c>
    </row>
    <row r="3107">
      <c r="A3107" t="inlineStr">
        <is>
          <t>2026</t>
        </is>
      </c>
      <c r="B3107" t="inlineStr">
        <is>
          <t>C00415026</t>
        </is>
      </c>
      <c r="C3107" t="inlineStr">
        <is>
          <t>American Fuel &amp; Petrochemical Manufacturers PAC (AFPM PAC)</t>
        </is>
      </c>
      <c r="D3107" t="inlineStr">
        <is>
          <t>HERN FOR SENATE</t>
        </is>
      </c>
      <c r="E3107" t="inlineStr">
        <is>
          <t>S6OK04247</t>
        </is>
      </c>
      <c r="F3107" t="inlineStr">
        <is>
          <t>REP</t>
        </is>
      </c>
      <c r="G3107" t="inlineStr">
        <is>
          <t>06182026</t>
        </is>
      </c>
      <c r="H3107" t="n">
        <v>1000</v>
      </c>
      <c r="I3107" t="inlineStr">
        <is>
          <t>202607209890901275</t>
        </is>
      </c>
      <c r="J3107" t="inlineStr">
        <is>
          <t>https://docquery.fec.gov/cgi-bin/fecimg/?202607209890901275</t>
        </is>
      </c>
    </row>
    <row r="3108">
      <c r="A3108" t="inlineStr">
        <is>
          <t>2026</t>
        </is>
      </c>
      <c r="B3108" t="inlineStr">
        <is>
          <t>C00415026</t>
        </is>
      </c>
      <c r="C3108" t="inlineStr">
        <is>
          <t>American Fuel &amp; Petrochemical Manufacturers PAC (AFPM PAC)</t>
        </is>
      </c>
      <c r="D3108" t="inlineStr">
        <is>
          <t>JOHN KENNEDY FOR US</t>
        </is>
      </c>
      <c r="E3108" t="inlineStr">
        <is>
          <t>S4LA00065</t>
        </is>
      </c>
      <c r="F3108" t="inlineStr">
        <is>
          <t>REP</t>
        </is>
      </c>
      <c r="G3108" t="inlineStr">
        <is>
          <t>06182026</t>
        </is>
      </c>
      <c r="H3108" t="n">
        <v>1000</v>
      </c>
      <c r="I3108" t="inlineStr">
        <is>
          <t>202607209890901276</t>
        </is>
      </c>
      <c r="J3108" t="inlineStr">
        <is>
          <t>https://docquery.fec.gov/cgi-bin/fecimg/?202607209890901276</t>
        </is>
      </c>
    </row>
    <row r="3109">
      <c r="A3109" t="inlineStr">
        <is>
          <t>2026</t>
        </is>
      </c>
      <c r="B3109" t="inlineStr">
        <is>
          <t>C00415026</t>
        </is>
      </c>
      <c r="C3109" t="inlineStr">
        <is>
          <t>American Fuel &amp; Petrochemical Manufacturers PAC (AFPM PAC)</t>
        </is>
      </c>
      <c r="D3109" t="inlineStr">
        <is>
          <t>JULIA LETLOW FOR LOUISIANA</t>
        </is>
      </c>
      <c r="E3109" t="inlineStr">
        <is>
          <t>S6LA00664</t>
        </is>
      </c>
      <c r="F3109" t="inlineStr">
        <is>
          <t>REP</t>
        </is>
      </c>
      <c r="G3109" t="inlineStr">
        <is>
          <t>06182026</t>
        </is>
      </c>
      <c r="H3109" t="n">
        <v>2500</v>
      </c>
      <c r="I3109" t="inlineStr">
        <is>
          <t>202607209890901276</t>
        </is>
      </c>
      <c r="J3109" t="inlineStr">
        <is>
          <t>https://docquery.fec.gov/cgi-bin/fecimg/?202607209890901276</t>
        </is>
      </c>
    </row>
    <row r="3110">
      <c r="A3110" t="inlineStr">
        <is>
          <t>2026</t>
        </is>
      </c>
      <c r="B3110" t="inlineStr">
        <is>
          <t>C00415026</t>
        </is>
      </c>
      <c r="C3110" t="inlineStr">
        <is>
          <t>American Fuel &amp; Petrochemical Manufacturers PAC (AFPM PAC)</t>
        </is>
      </c>
      <c r="D3110" t="inlineStr">
        <is>
          <t>LANGWORTHY FOR CONGRESS</t>
        </is>
      </c>
      <c r="E3110" t="inlineStr">
        <is>
          <t>H2NY23228</t>
        </is>
      </c>
      <c r="F3110" t="inlineStr">
        <is>
          <t>REP</t>
        </is>
      </c>
      <c r="G3110" t="inlineStr">
        <is>
          <t>06182026</t>
        </is>
      </c>
      <c r="H3110" t="n">
        <v>1000</v>
      </c>
      <c r="I3110" t="inlineStr">
        <is>
          <t>202607209890901276</t>
        </is>
      </c>
      <c r="J3110" t="inlineStr">
        <is>
          <t>https://docquery.fec.gov/cgi-bin/fecimg/?202607209890901276</t>
        </is>
      </c>
    </row>
    <row r="3111">
      <c r="A3111" t="inlineStr">
        <is>
          <t>2026</t>
        </is>
      </c>
      <c r="B3111" t="inlineStr">
        <is>
          <t>C00415026</t>
        </is>
      </c>
      <c r="C3111" t="inlineStr">
        <is>
          <t>American Fuel &amp; Petrochemical Manufacturers PAC (AFPM PAC)</t>
        </is>
      </c>
      <c r="D3111" t="inlineStr">
        <is>
          <t>LISA MCCLAIN FOR CONGRESS</t>
        </is>
      </c>
      <c r="E3111" t="inlineStr">
        <is>
          <t>H0MI10287</t>
        </is>
      </c>
      <c r="F3111" t="inlineStr">
        <is>
          <t>REP</t>
        </is>
      </c>
      <c r="G3111" t="inlineStr">
        <is>
          <t>06182026</t>
        </is>
      </c>
      <c r="H3111" t="n">
        <v>1000</v>
      </c>
      <c r="I3111" t="inlineStr">
        <is>
          <t>202607209890901277</t>
        </is>
      </c>
      <c r="J3111" t="inlineStr">
        <is>
          <t>https://docquery.fec.gov/cgi-bin/fecimg/?202607209890901277</t>
        </is>
      </c>
    </row>
    <row r="3112">
      <c r="A3112" t="inlineStr">
        <is>
          <t>2026</t>
        </is>
      </c>
      <c r="B3112" t="inlineStr">
        <is>
          <t>C00415026</t>
        </is>
      </c>
      <c r="C3112" t="inlineStr">
        <is>
          <t>American Fuel &amp; Petrochemical Manufacturers PAC (AFPM PAC)</t>
        </is>
      </c>
      <c r="D3112" t="inlineStr">
        <is>
          <t>PETE STAUBER FOR CONGRESS</t>
        </is>
      </c>
      <c r="E3112" t="inlineStr">
        <is>
          <t>H8MN08043</t>
        </is>
      </c>
      <c r="F3112" t="inlineStr">
        <is>
          <t>REP</t>
        </is>
      </c>
      <c r="G3112" t="inlineStr">
        <is>
          <t>06182026</t>
        </is>
      </c>
      <c r="H3112" t="n">
        <v>1000</v>
      </c>
      <c r="I3112" t="inlineStr">
        <is>
          <t>202607209890901277</t>
        </is>
      </c>
      <c r="J3112" t="inlineStr">
        <is>
          <t>https://docquery.fec.gov/cgi-bin/fecimg/?202607209890901277</t>
        </is>
      </c>
    </row>
    <row r="3113">
      <c r="A3113" t="inlineStr">
        <is>
          <t>2026</t>
        </is>
      </c>
      <c r="B3113" t="inlineStr">
        <is>
          <t>C00415026</t>
        </is>
      </c>
      <c r="C3113" t="inlineStr">
        <is>
          <t>American Fuel &amp; Petrochemical Manufacturers PAC (AFPM PAC)</t>
        </is>
      </c>
      <c r="D3113" t="inlineStr">
        <is>
          <t>RUDY FOR INDIANA</t>
        </is>
      </c>
      <c r="E3113" t="inlineStr">
        <is>
          <t>H2IN02295</t>
        </is>
      </c>
      <c r="F3113" t="inlineStr">
        <is>
          <t>REP</t>
        </is>
      </c>
      <c r="G3113" t="inlineStr">
        <is>
          <t>06182026</t>
        </is>
      </c>
      <c r="H3113" t="n">
        <v>1000</v>
      </c>
      <c r="I3113" t="inlineStr">
        <is>
          <t>202607209890901278</t>
        </is>
      </c>
      <c r="J3113" t="inlineStr">
        <is>
          <t>https://docquery.fec.gov/cgi-bin/fecimg/?202607209890901278</t>
        </is>
      </c>
    </row>
    <row r="3114">
      <c r="A3114" t="inlineStr">
        <is>
          <t>2026</t>
        </is>
      </c>
      <c r="B3114" t="inlineStr">
        <is>
          <t>C00415026</t>
        </is>
      </c>
      <c r="C3114" t="inlineStr">
        <is>
          <t>American Fuel &amp; Petrochemical Manufacturers PAC (AFPM PAC)</t>
        </is>
      </c>
      <c r="D3114" t="inlineStr">
        <is>
          <t>ANDY BARR FOR SENATE, INC.</t>
        </is>
      </c>
      <c r="E3114" t="inlineStr">
        <is>
          <t>S6KY00286</t>
        </is>
      </c>
      <c r="F3114" t="inlineStr">
        <is>
          <t>REP</t>
        </is>
      </c>
      <c r="G3114" t="inlineStr">
        <is>
          <t>06232025</t>
        </is>
      </c>
      <c r="H3114" t="n">
        <v>1000</v>
      </c>
      <c r="I3114" t="inlineStr">
        <is>
          <t>202507179763588598</t>
        </is>
      </c>
      <c r="J3114" t="inlineStr">
        <is>
          <t>https://docquery.fec.gov/cgi-bin/fecimg/?202507179763588598</t>
        </is>
      </c>
    </row>
    <row r="3115">
      <c r="A3115" t="inlineStr">
        <is>
          <t>2026</t>
        </is>
      </c>
      <c r="B3115" t="inlineStr">
        <is>
          <t>C00415026</t>
        </is>
      </c>
      <c r="C3115" t="inlineStr">
        <is>
          <t>American Fuel &amp; Petrochemical Manufacturers PAC (AFPM PAC)</t>
        </is>
      </c>
      <c r="D3115" t="inlineStr">
        <is>
          <t>BALDERSON FOR CONGRESS</t>
        </is>
      </c>
      <c r="E3115" t="inlineStr">
        <is>
          <t>H8OH12180</t>
        </is>
      </c>
      <c r="F3115" t="inlineStr">
        <is>
          <t>REP</t>
        </is>
      </c>
      <c r="G3115" t="inlineStr">
        <is>
          <t>06232025</t>
        </is>
      </c>
      <c r="H3115" t="n">
        <v>1000</v>
      </c>
      <c r="I3115" t="inlineStr">
        <is>
          <t>202507179763588598</t>
        </is>
      </c>
      <c r="J3115" t="inlineStr">
        <is>
          <t>https://docquery.fec.gov/cgi-bin/fecimg/?202507179763588598</t>
        </is>
      </c>
    </row>
    <row r="3116">
      <c r="A3116" t="inlineStr">
        <is>
          <t>2026</t>
        </is>
      </c>
      <c r="B3116" t="inlineStr">
        <is>
          <t>C00415026</t>
        </is>
      </c>
      <c r="C3116" t="inlineStr">
        <is>
          <t>American Fuel &amp; Petrochemical Manufacturers PAC (AFPM PAC)</t>
        </is>
      </c>
      <c r="D3116" t="inlineStr">
        <is>
          <t>COLLINS FOR CONGRESS</t>
        </is>
      </c>
      <c r="E3116" t="inlineStr">
        <is>
          <t>H4GA10071</t>
        </is>
      </c>
      <c r="F3116" t="inlineStr">
        <is>
          <t>REP</t>
        </is>
      </c>
      <c r="G3116" t="inlineStr">
        <is>
          <t>06232025</t>
        </is>
      </c>
      <c r="H3116" t="n">
        <v>1000</v>
      </c>
      <c r="I3116" t="inlineStr">
        <is>
          <t>202507179763588599</t>
        </is>
      </c>
      <c r="J3116" t="inlineStr">
        <is>
          <t>https://docquery.fec.gov/cgi-bin/fecimg/?202507179763588599</t>
        </is>
      </c>
    </row>
    <row r="3117">
      <c r="A3117" t="inlineStr">
        <is>
          <t>2026</t>
        </is>
      </c>
      <c r="B3117" t="inlineStr">
        <is>
          <t>C00415026</t>
        </is>
      </c>
      <c r="C3117" t="inlineStr">
        <is>
          <t>American Fuel &amp; Petrochemical Manufacturers PAC (AFPM PAC)</t>
        </is>
      </c>
      <c r="D3117" t="inlineStr">
        <is>
          <t>COMER FOR CONGRESS</t>
        </is>
      </c>
      <c r="E3117" t="inlineStr">
        <is>
          <t>H6KY01110</t>
        </is>
      </c>
      <c r="F3117" t="inlineStr">
        <is>
          <t>REP</t>
        </is>
      </c>
      <c r="G3117" t="inlineStr">
        <is>
          <t>06232025</t>
        </is>
      </c>
      <c r="H3117" t="n">
        <v>1000</v>
      </c>
      <c r="I3117" t="inlineStr">
        <is>
          <t>202507179763588599</t>
        </is>
      </c>
      <c r="J3117" t="inlineStr">
        <is>
          <t>https://docquery.fec.gov/cgi-bin/fecimg/?202507179763588599</t>
        </is>
      </c>
    </row>
    <row r="3118">
      <c r="A3118" t="inlineStr">
        <is>
          <t>2026</t>
        </is>
      </c>
      <c r="B3118" t="inlineStr">
        <is>
          <t>C00415026</t>
        </is>
      </c>
      <c r="C3118" t="inlineStr">
        <is>
          <t>American Fuel &amp; Petrochemical Manufacturers PAC (AFPM PAC)</t>
        </is>
      </c>
      <c r="D3118" t="inlineStr">
        <is>
          <t>JAY OBERNOLTE FOR CONGRESS</t>
        </is>
      </c>
      <c r="E3118" t="inlineStr">
        <is>
          <t>H0CA08135</t>
        </is>
      </c>
      <c r="F3118" t="inlineStr">
        <is>
          <t>REP</t>
        </is>
      </c>
      <c r="G3118" t="inlineStr">
        <is>
          <t>06232025</t>
        </is>
      </c>
      <c r="H3118" t="n">
        <v>1000</v>
      </c>
      <c r="I3118" t="inlineStr">
        <is>
          <t>202507179763588601</t>
        </is>
      </c>
      <c r="J3118" t="inlineStr">
        <is>
          <t>https://docquery.fec.gov/cgi-bin/fecimg/?202507179763588601</t>
        </is>
      </c>
    </row>
    <row r="3119">
      <c r="A3119" t="inlineStr">
        <is>
          <t>2026</t>
        </is>
      </c>
      <c r="B3119" t="inlineStr">
        <is>
          <t>C00415026</t>
        </is>
      </c>
      <c r="C3119" t="inlineStr">
        <is>
          <t>American Fuel &amp; Petrochemical Manufacturers PAC (AFPM PAC)</t>
        </is>
      </c>
      <c r="D3119" t="inlineStr">
        <is>
          <t>MORGAN GRIFFITH FOR CONGRESS</t>
        </is>
      </c>
      <c r="E3119" t="inlineStr">
        <is>
          <t>H0VA09055</t>
        </is>
      </c>
      <c r="F3119" t="inlineStr">
        <is>
          <t>REP</t>
        </is>
      </c>
      <c r="G3119" t="inlineStr">
        <is>
          <t>06232025</t>
        </is>
      </c>
      <c r="H3119" t="n">
        <v>2500</v>
      </c>
      <c r="I3119" t="inlineStr">
        <is>
          <t>202507179763588603</t>
        </is>
      </c>
      <c r="J3119" t="inlineStr">
        <is>
          <t>https://docquery.fec.gov/cgi-bin/fecimg/?202507179763588603</t>
        </is>
      </c>
    </row>
    <row r="3120">
      <c r="A3120" t="inlineStr">
        <is>
          <t>2026</t>
        </is>
      </c>
      <c r="B3120" t="inlineStr">
        <is>
          <t>C00415026</t>
        </is>
      </c>
      <c r="C3120" t="inlineStr">
        <is>
          <t>American Fuel &amp; Petrochemical Manufacturers PAC (AFPM PAC)</t>
        </is>
      </c>
      <c r="D3120" t="inlineStr">
        <is>
          <t>VINCE FONG FOR CONGRESS</t>
        </is>
      </c>
      <c r="E3120" t="inlineStr">
        <is>
          <t>H4CA20181</t>
        </is>
      </c>
      <c r="F3120" t="inlineStr">
        <is>
          <t>REP</t>
        </is>
      </c>
      <c r="G3120" t="inlineStr">
        <is>
          <t>06232025</t>
        </is>
      </c>
      <c r="H3120" t="n">
        <v>1000</v>
      </c>
      <c r="I3120" t="inlineStr">
        <is>
          <t>202507179763588604</t>
        </is>
      </c>
      <c r="J3120" t="inlineStr">
        <is>
          <t>https://docquery.fec.gov/cgi-bin/fecimg/?202507179763588604</t>
        </is>
      </c>
    </row>
    <row r="3121">
      <c r="A3121" t="inlineStr">
        <is>
          <t>2026</t>
        </is>
      </c>
      <c r="B3121" t="inlineStr">
        <is>
          <t>C00415026</t>
        </is>
      </c>
      <c r="C3121" t="inlineStr">
        <is>
          <t>American Fuel &amp; Petrochemical Manufacturers PAC (AFPM PAC)</t>
        </is>
      </c>
      <c r="D3121" t="inlineStr">
        <is>
          <t>PETE RICKETTS FOR SENATE</t>
        </is>
      </c>
      <c r="E3121" t="inlineStr">
        <is>
          <t>S6NE00129</t>
        </is>
      </c>
      <c r="F3121" t="inlineStr">
        <is>
          <t>REP</t>
        </is>
      </c>
      <c r="G3121" t="inlineStr">
        <is>
          <t>06242026</t>
        </is>
      </c>
      <c r="H3121" t="n">
        <v>1000</v>
      </c>
      <c r="I3121" t="inlineStr">
        <is>
          <t>202607209890901277</t>
        </is>
      </c>
      <c r="J3121" t="inlineStr">
        <is>
          <t>https://docquery.fec.gov/cgi-bin/fecimg/?202607209890901277</t>
        </is>
      </c>
    </row>
    <row r="3122">
      <c r="A3122" t="inlineStr">
        <is>
          <t>2026</t>
        </is>
      </c>
      <c r="B3122" t="inlineStr">
        <is>
          <t>C00415026</t>
        </is>
      </c>
      <c r="C3122" t="inlineStr">
        <is>
          <t>American Fuel &amp; Petrochemical Manufacturers PAC (AFPM PAC)</t>
        </is>
      </c>
      <c r="D3122" t="inlineStr">
        <is>
          <t>VALADAO FOR CONGRESS</t>
        </is>
      </c>
      <c r="E3122" t="inlineStr">
        <is>
          <t>H2CA20094</t>
        </is>
      </c>
      <c r="F3122" t="inlineStr">
        <is>
          <t>REP</t>
        </is>
      </c>
      <c r="G3122" t="inlineStr">
        <is>
          <t>08212025</t>
        </is>
      </c>
      <c r="H3122" t="n">
        <v>1000</v>
      </c>
      <c r="I3122" t="inlineStr">
        <is>
          <t>202509179790095323</t>
        </is>
      </c>
      <c r="J3122" t="inlineStr">
        <is>
          <t>https://docquery.fec.gov/cgi-bin/fecimg/?202509179790095323</t>
        </is>
      </c>
    </row>
    <row r="3123">
      <c r="A3123" t="inlineStr">
        <is>
          <t>2026</t>
        </is>
      </c>
      <c r="B3123" t="inlineStr">
        <is>
          <t>C00415026</t>
        </is>
      </c>
      <c r="C3123" t="inlineStr">
        <is>
          <t>American Fuel &amp; Petrochemical Manufacturers PAC (AFPM PAC)</t>
        </is>
      </c>
      <c r="D3123" t="inlineStr">
        <is>
          <t>WEBER FOR CONGRESS</t>
        </is>
      </c>
      <c r="E3123" t="inlineStr">
        <is>
          <t>H2TX14149</t>
        </is>
      </c>
      <c r="F3123" t="inlineStr">
        <is>
          <t>REP</t>
        </is>
      </c>
      <c r="G3123" t="inlineStr">
        <is>
          <t>08212025</t>
        </is>
      </c>
      <c r="H3123" t="n">
        <v>1000</v>
      </c>
      <c r="I3123" t="inlineStr">
        <is>
          <t>202509179790095324</t>
        </is>
      </c>
      <c r="J3123" t="inlineStr">
        <is>
          <t>https://docquery.fec.gov/cgi-bin/fecimg/?202509179790095324</t>
        </is>
      </c>
    </row>
    <row r="3124">
      <c r="A3124" t="inlineStr">
        <is>
          <t>2026</t>
        </is>
      </c>
      <c r="B3124" t="inlineStr">
        <is>
          <t>C00415026</t>
        </is>
      </c>
      <c r="C3124" t="inlineStr">
        <is>
          <t>American Fuel &amp; Petrochemical Manufacturers PAC (AFPM PAC)</t>
        </is>
      </c>
      <c r="D3124" t="inlineStr">
        <is>
          <t>ALASKANS FOR DAN SULLIVAN</t>
        </is>
      </c>
      <c r="E3124" t="inlineStr">
        <is>
          <t>S4AK00214</t>
        </is>
      </c>
      <c r="F3124" t="inlineStr">
        <is>
          <t>REP</t>
        </is>
      </c>
      <c r="G3124" t="inlineStr">
        <is>
          <t>08212025</t>
        </is>
      </c>
      <c r="H3124" t="n">
        <v>1000</v>
      </c>
      <c r="I3124" t="inlineStr">
        <is>
          <t>202509179790095322</t>
        </is>
      </c>
      <c r="J3124" t="inlineStr">
        <is>
          <t>https://docquery.fec.gov/cgi-bin/fecimg/?202509179790095322</t>
        </is>
      </c>
    </row>
    <row r="3125">
      <c r="A3125" t="inlineStr">
        <is>
          <t>2026</t>
        </is>
      </c>
      <c r="B3125" t="inlineStr">
        <is>
          <t>C00415026</t>
        </is>
      </c>
      <c r="C3125" t="inlineStr">
        <is>
          <t>American Fuel &amp; Petrochemical Manufacturers PAC (AFPM PAC)</t>
        </is>
      </c>
      <c r="D3125" t="inlineStr">
        <is>
          <t>FRIENDS OF DAVE MCCORMICK</t>
        </is>
      </c>
      <c r="E3125" t="inlineStr">
        <is>
          <t>S2PA00661</t>
        </is>
      </c>
      <c r="F3125" t="inlineStr">
        <is>
          <t>REP</t>
        </is>
      </c>
      <c r="G3125" t="inlineStr">
        <is>
          <t>08212025</t>
        </is>
      </c>
      <c r="H3125" t="n">
        <v>1000</v>
      </c>
      <c r="I3125" t="inlineStr">
        <is>
          <t>202509179790095322</t>
        </is>
      </c>
      <c r="J3125" t="inlineStr">
        <is>
          <t>https://docquery.fec.gov/cgi-bin/fecimg/?202509179790095322</t>
        </is>
      </c>
    </row>
    <row r="3126">
      <c r="A3126" t="inlineStr">
        <is>
          <t>2026</t>
        </is>
      </c>
      <c r="B3126" t="inlineStr">
        <is>
          <t>C00415026</t>
        </is>
      </c>
      <c r="C3126" t="inlineStr">
        <is>
          <t>American Fuel &amp; Petrochemical Manufacturers PAC (AFPM PAC)</t>
        </is>
      </c>
      <c r="D3126" t="inlineStr">
        <is>
          <t>GRAVES FOR CONGRESS</t>
        </is>
      </c>
      <c r="E3126" t="inlineStr">
        <is>
          <t>H0MO06073</t>
        </is>
      </c>
      <c r="F3126" t="inlineStr">
        <is>
          <t>REP</t>
        </is>
      </c>
      <c r="G3126" t="inlineStr">
        <is>
          <t>08212025</t>
        </is>
      </c>
      <c r="H3126" t="n">
        <v>1500</v>
      </c>
      <c r="I3126" t="inlineStr">
        <is>
          <t>202509179790095322</t>
        </is>
      </c>
      <c r="J3126" t="inlineStr">
        <is>
          <t>https://docquery.fec.gov/cgi-bin/fecimg/?202509179790095322</t>
        </is>
      </c>
    </row>
    <row r="3127">
      <c r="A3127" t="inlineStr">
        <is>
          <t>2026</t>
        </is>
      </c>
      <c r="B3127" t="inlineStr">
        <is>
          <t>C00415026</t>
        </is>
      </c>
      <c r="C3127" t="inlineStr">
        <is>
          <t>American Fuel &amp; Petrochemical Manufacturers PAC (AFPM PAC)</t>
        </is>
      </c>
      <c r="D3127" t="inlineStr">
        <is>
          <t>GUTHRIE FOR CONGRESS</t>
        </is>
      </c>
      <c r="E3127" t="inlineStr">
        <is>
          <t>H8KY02031</t>
        </is>
      </c>
      <c r="F3127" t="inlineStr">
        <is>
          <t>REP</t>
        </is>
      </c>
      <c r="G3127" t="inlineStr">
        <is>
          <t>08212025</t>
        </is>
      </c>
      <c r="H3127" t="n">
        <v>2500</v>
      </c>
      <c r="I3127" t="inlineStr">
        <is>
          <t>202509179790095323</t>
        </is>
      </c>
      <c r="J3127" t="inlineStr">
        <is>
          <t>https://docquery.fec.gov/cgi-bin/fecimg/?202509179790095323</t>
        </is>
      </c>
    </row>
    <row r="3128">
      <c r="A3128" t="inlineStr">
        <is>
          <t>2026</t>
        </is>
      </c>
      <c r="B3128" t="inlineStr">
        <is>
          <t>C00415026</t>
        </is>
      </c>
      <c r="C3128" t="inlineStr">
        <is>
          <t>American Fuel &amp; Petrochemical Manufacturers PAC (AFPM PAC)</t>
        </is>
      </c>
      <c r="D3128" t="inlineStr">
        <is>
          <t>HUSTED FOR SENATE</t>
        </is>
      </c>
      <c r="E3128" t="inlineStr">
        <is>
          <t>S6OH00304</t>
        </is>
      </c>
      <c r="F3128" t="inlineStr">
        <is>
          <t>REP</t>
        </is>
      </c>
      <c r="G3128" t="inlineStr">
        <is>
          <t>08212025</t>
        </is>
      </c>
      <c r="H3128" t="n">
        <v>2500</v>
      </c>
      <c r="I3128" t="inlineStr">
        <is>
          <t>202509179790095323</t>
        </is>
      </c>
      <c r="J3128" t="inlineStr">
        <is>
          <t>https://docquery.fec.gov/cgi-bin/fecimg/?202509179790095323</t>
        </is>
      </c>
    </row>
    <row r="3129">
      <c r="A3129" t="inlineStr">
        <is>
          <t>2026</t>
        </is>
      </c>
      <c r="B3129" t="inlineStr">
        <is>
          <t>C00415026</t>
        </is>
      </c>
      <c r="C3129" t="inlineStr">
        <is>
          <t>American Fuel &amp; Petrochemical Manufacturers PAC (AFPM PAC)</t>
        </is>
      </c>
      <c r="D3129" t="inlineStr">
        <is>
          <t>DR JOHN JOYCE FOR CONGRESS</t>
        </is>
      </c>
      <c r="E3129" t="inlineStr">
        <is>
          <t>H8PA13125</t>
        </is>
      </c>
      <c r="F3129" t="inlineStr">
        <is>
          <t>REP</t>
        </is>
      </c>
      <c r="G3129" t="inlineStr">
        <is>
          <t>12082025</t>
        </is>
      </c>
      <c r="H3129" t="n">
        <v>1000</v>
      </c>
      <c r="I3129" t="inlineStr">
        <is>
          <t>202601259794159540</t>
        </is>
      </c>
      <c r="J3129" t="inlineStr">
        <is>
          <t>https://docquery.fec.gov/cgi-bin/fecimg/?202601259794159540</t>
        </is>
      </c>
    </row>
    <row r="3130">
      <c r="A3130" t="inlineStr">
        <is>
          <t>2026</t>
        </is>
      </c>
      <c r="B3130" t="inlineStr">
        <is>
          <t>C00415026</t>
        </is>
      </c>
      <c r="C3130" t="inlineStr">
        <is>
          <t>American Fuel &amp; Petrochemical Manufacturers PAC (AFPM PAC)</t>
        </is>
      </c>
      <c r="D3130" t="inlineStr">
        <is>
          <t>PETE STAUBER FOR CONGRESS</t>
        </is>
      </c>
      <c r="E3130" t="inlineStr">
        <is>
          <t>H8MN08043</t>
        </is>
      </c>
      <c r="F3130" t="inlineStr">
        <is>
          <t>REP</t>
        </is>
      </c>
      <c r="G3130" t="inlineStr">
        <is>
          <t>12082025</t>
        </is>
      </c>
      <c r="H3130" t="n">
        <v>1000</v>
      </c>
      <c r="I3130" t="inlineStr">
        <is>
          <t>202601259794159540</t>
        </is>
      </c>
      <c r="J3130" t="inlineStr">
        <is>
          <t>https://docquery.fec.gov/cgi-bin/fecimg/?202601259794159540</t>
        </is>
      </c>
    </row>
    <row r="3131">
      <c r="A3131" t="inlineStr">
        <is>
          <t>2026</t>
        </is>
      </c>
      <c r="B3131" t="inlineStr">
        <is>
          <t>C00415026</t>
        </is>
      </c>
      <c r="C3131" t="inlineStr">
        <is>
          <t>American Fuel &amp; Petrochemical Manufacturers PAC (AFPM PAC)</t>
        </is>
      </c>
      <c r="D3131" t="inlineStr">
        <is>
          <t>RUSS FULCHER FOR IDAHO</t>
        </is>
      </c>
      <c r="E3131" t="inlineStr">
        <is>
          <t>H8ID01124</t>
        </is>
      </c>
      <c r="F3131" t="inlineStr">
        <is>
          <t>REP</t>
        </is>
      </c>
      <c r="G3131" t="inlineStr">
        <is>
          <t>12082025</t>
        </is>
      </c>
      <c r="H3131" t="n">
        <v>1000</v>
      </c>
      <c r="I3131" t="inlineStr">
        <is>
          <t>202601259794159541</t>
        </is>
      </c>
      <c r="J3131" t="inlineStr">
        <is>
          <t>https://docquery.fec.gov/cgi-bin/fecimg/?202601259794159541</t>
        </is>
      </c>
    </row>
    <row r="3132">
      <c r="A3132" t="inlineStr">
        <is>
          <t>2026</t>
        </is>
      </c>
      <c r="B3132" t="inlineStr">
        <is>
          <t>C00415026</t>
        </is>
      </c>
      <c r="C3132" t="inlineStr">
        <is>
          <t>American Fuel &amp; Petrochemical Manufacturers PAC (AFPM PAC)</t>
        </is>
      </c>
      <c r="D3132" t="inlineStr">
        <is>
          <t>WHATLEY FOR SENATE</t>
        </is>
      </c>
      <c r="E3132" t="inlineStr">
        <is>
          <t>S6NC00415</t>
        </is>
      </c>
      <c r="F3132" t="inlineStr">
        <is>
          <t>REP</t>
        </is>
      </c>
      <c r="G3132" t="inlineStr">
        <is>
          <t>12082025</t>
        </is>
      </c>
      <c r="H3132" t="n">
        <v>1000</v>
      </c>
      <c r="I3132" t="inlineStr">
        <is>
          <t>202601259794159541</t>
        </is>
      </c>
      <c r="J3132" t="inlineStr">
        <is>
          <t>https://docquery.fec.gov/cgi-bin/fecimg/?202601259794159541</t>
        </is>
      </c>
    </row>
    <row r="3133">
      <c r="A3133" t="inlineStr">
        <is>
          <t>2026</t>
        </is>
      </c>
      <c r="B3133" t="inlineStr">
        <is>
          <t>C00415026</t>
        </is>
      </c>
      <c r="C3133" t="inlineStr">
        <is>
          <t>American Fuel &amp; Petrochemical Manufacturers PAC (AFPM PAC)</t>
        </is>
      </c>
      <c r="D3133" t="inlineStr">
        <is>
          <t>FEENSTRA FOR CONGRESS</t>
        </is>
      </c>
      <c r="E3133" t="inlineStr">
        <is>
          <t>H0IA04145</t>
        </is>
      </c>
      <c r="F3133" t="inlineStr">
        <is>
          <t>REP</t>
        </is>
      </c>
      <c r="G3133" t="inlineStr">
        <is>
          <t>12312025</t>
        </is>
      </c>
      <c r="H3133" t="n">
        <v>-1000</v>
      </c>
      <c r="I3133" t="inlineStr">
        <is>
          <t>202601259794159540</t>
        </is>
      </c>
      <c r="J3133" t="inlineStr">
        <is>
          <t>https://docquery.fec.gov/cgi-bin/fecimg/?202601259794159540</t>
        </is>
      </c>
    </row>
    <row r="3134">
      <c r="A3134" t="inlineStr">
        <is>
          <t>2026</t>
        </is>
      </c>
      <c r="B3134" t="inlineStr">
        <is>
          <t>C00483677</t>
        </is>
      </c>
      <c r="C3134" t="inlineStr">
        <is>
          <t>American Petroleum Institute PAC (API PAC)</t>
        </is>
      </c>
      <c r="D3134" t="inlineStr">
        <is>
          <t>MIKE CRAPO FOR US SENATE</t>
        </is>
      </c>
      <c r="E3134" t="inlineStr">
        <is>
          <t>S8ID00027</t>
        </is>
      </c>
      <c r="F3134" t="inlineStr">
        <is>
          <t>REP</t>
        </is>
      </c>
      <c r="G3134" t="inlineStr">
        <is>
          <t>01082025</t>
        </is>
      </c>
      <c r="H3134" t="n">
        <v>1500</v>
      </c>
      <c r="I3134" t="inlineStr">
        <is>
          <t>202507319764529802</t>
        </is>
      </c>
      <c r="J3134" t="inlineStr">
        <is>
          <t>https://docquery.fec.gov/cgi-bin/fecimg/?202507319764529802</t>
        </is>
      </c>
    </row>
    <row r="3135">
      <c r="A3135" t="inlineStr">
        <is>
          <t>2026</t>
        </is>
      </c>
      <c r="B3135" t="inlineStr">
        <is>
          <t>C00483677</t>
        </is>
      </c>
      <c r="C3135" t="inlineStr">
        <is>
          <t>American Petroleum Institute PAC (API PAC)</t>
        </is>
      </c>
      <c r="D3135" t="inlineStr">
        <is>
          <t>AUGUST PFLUGER FOR CONGRESS</t>
        </is>
      </c>
      <c r="E3135" t="inlineStr">
        <is>
          <t>H0TX11230</t>
        </is>
      </c>
      <c r="F3135" t="inlineStr">
        <is>
          <t>REP</t>
        </is>
      </c>
      <c r="G3135" t="inlineStr">
        <is>
          <t>01152026</t>
        </is>
      </c>
      <c r="H3135" t="n">
        <v>1500</v>
      </c>
      <c r="I3135" t="inlineStr">
        <is>
          <t>202602209834838146</t>
        </is>
      </c>
      <c r="J3135" t="inlineStr">
        <is>
          <t>https://docquery.fec.gov/cgi-bin/fecimg/?202602209834838146</t>
        </is>
      </c>
    </row>
    <row r="3136">
      <c r="A3136" t="inlineStr">
        <is>
          <t>2026</t>
        </is>
      </c>
      <c r="B3136" t="inlineStr">
        <is>
          <t>C00483677</t>
        </is>
      </c>
      <c r="C3136" t="inlineStr">
        <is>
          <t>American Petroleum Institute PAC (API PAC)</t>
        </is>
      </c>
      <c r="D3136" t="inlineStr">
        <is>
          <t>VICENTE GONZALEZ FOR CONGRESS</t>
        </is>
      </c>
      <c r="E3136" t="inlineStr">
        <is>
          <t>H6TX15162</t>
        </is>
      </c>
      <c r="F3136" t="inlineStr">
        <is>
          <t>DEM</t>
        </is>
      </c>
      <c r="G3136" t="inlineStr">
        <is>
          <t>01202026</t>
        </is>
      </c>
      <c r="H3136" t="n">
        <v>1000</v>
      </c>
      <c r="I3136" t="inlineStr">
        <is>
          <t>202602209834838146</t>
        </is>
      </c>
      <c r="J3136" t="inlineStr">
        <is>
          <t>https://docquery.fec.gov/cgi-bin/fecimg/?202602209834838146</t>
        </is>
      </c>
    </row>
    <row r="3137">
      <c r="A3137" t="inlineStr">
        <is>
          <t>2026</t>
        </is>
      </c>
      <c r="B3137" t="inlineStr">
        <is>
          <t>C00483677</t>
        </is>
      </c>
      <c r="C3137" t="inlineStr">
        <is>
          <t>American Petroleum Institute PAC (API PAC)</t>
        </is>
      </c>
      <c r="D3137" t="inlineStr">
        <is>
          <t>BERNIE MORENO FOR SENATE</t>
        </is>
      </c>
      <c r="E3137" t="inlineStr">
        <is>
          <t>S4OH00192</t>
        </is>
      </c>
      <c r="F3137" t="inlineStr">
        <is>
          <t>REP</t>
        </is>
      </c>
      <c r="G3137" t="inlineStr">
        <is>
          <t>01222025</t>
        </is>
      </c>
      <c r="H3137" t="n">
        <v>1000</v>
      </c>
      <c r="I3137" t="inlineStr">
        <is>
          <t>202507319764529802</t>
        </is>
      </c>
      <c r="J3137" t="inlineStr">
        <is>
          <t>https://docquery.fec.gov/cgi-bin/fecimg/?202507319764529802</t>
        </is>
      </c>
    </row>
    <row r="3138">
      <c r="A3138" t="inlineStr">
        <is>
          <t>2026</t>
        </is>
      </c>
      <c r="B3138" t="inlineStr">
        <is>
          <t>C00483677</t>
        </is>
      </c>
      <c r="C3138" t="inlineStr">
        <is>
          <t>American Petroleum Institute PAC (API PAC)</t>
        </is>
      </c>
      <c r="D3138" t="inlineStr">
        <is>
          <t>FEDORCHAK FOR ND</t>
        </is>
      </c>
      <c r="E3138" t="inlineStr">
        <is>
          <t>H4ND00061</t>
        </is>
      </c>
      <c r="F3138" t="inlineStr">
        <is>
          <t>REP</t>
        </is>
      </c>
      <c r="G3138" t="inlineStr">
        <is>
          <t>01222026</t>
        </is>
      </c>
      <c r="H3138" t="n">
        <v>1000</v>
      </c>
      <c r="I3138" t="inlineStr">
        <is>
          <t>202602209834838146</t>
        </is>
      </c>
      <c r="J3138" t="inlineStr">
        <is>
          <t>https://docquery.fec.gov/cgi-bin/fecimg/?202602209834838146</t>
        </is>
      </c>
    </row>
    <row r="3139">
      <c r="A3139" t="inlineStr">
        <is>
          <t>2026</t>
        </is>
      </c>
      <c r="B3139" t="inlineStr">
        <is>
          <t>C00483677</t>
        </is>
      </c>
      <c r="C3139" t="inlineStr">
        <is>
          <t>American Petroleum Institute PAC (API PAC)</t>
        </is>
      </c>
      <c r="D3139" t="inlineStr">
        <is>
          <t>FRIENDS OF JOHN BARRASSO</t>
        </is>
      </c>
      <c r="E3139" t="inlineStr">
        <is>
          <t>S6WY00068</t>
        </is>
      </c>
      <c r="F3139" t="inlineStr">
        <is>
          <t>REP</t>
        </is>
      </c>
      <c r="G3139" t="inlineStr">
        <is>
          <t>01232025</t>
        </is>
      </c>
      <c r="H3139" t="n">
        <v>5000</v>
      </c>
      <c r="I3139" t="inlineStr">
        <is>
          <t>202507319764529803</t>
        </is>
      </c>
      <c r="J3139" t="inlineStr">
        <is>
          <t>https://docquery.fec.gov/cgi-bin/fecimg/?202507319764529803</t>
        </is>
      </c>
    </row>
    <row r="3140">
      <c r="A3140" t="inlineStr">
        <is>
          <t>2026</t>
        </is>
      </c>
      <c r="B3140" t="inlineStr">
        <is>
          <t>C00483677</t>
        </is>
      </c>
      <c r="C3140" t="inlineStr">
        <is>
          <t>American Petroleum Institute PAC (API PAC)</t>
        </is>
      </c>
      <c r="D3140" t="inlineStr">
        <is>
          <t>BICE FOR CONGRESS</t>
        </is>
      </c>
      <c r="E3140" t="inlineStr">
        <is>
          <t>H0OK05205</t>
        </is>
      </c>
      <c r="F3140" t="inlineStr">
        <is>
          <t>REP</t>
        </is>
      </c>
      <c r="G3140" t="inlineStr">
        <is>
          <t>01262026</t>
        </is>
      </c>
      <c r="H3140" t="n">
        <v>1000</v>
      </c>
      <c r="I3140" t="inlineStr">
        <is>
          <t>202602209834838147</t>
        </is>
      </c>
      <c r="J3140" t="inlineStr">
        <is>
          <t>https://docquery.fec.gov/cgi-bin/fecimg/?202602209834838147</t>
        </is>
      </c>
    </row>
    <row r="3141">
      <c r="A3141" t="inlineStr">
        <is>
          <t>2026</t>
        </is>
      </c>
      <c r="B3141" t="inlineStr">
        <is>
          <t>C00483677</t>
        </is>
      </c>
      <c r="C3141" t="inlineStr">
        <is>
          <t>American Petroleum Institute PAC (API PAC)</t>
        </is>
      </c>
      <c r="D3141" t="inlineStr">
        <is>
          <t>SCALISE FOR CONGRESS</t>
        </is>
      </c>
      <c r="E3141" t="inlineStr">
        <is>
          <t>H0LA01087</t>
        </is>
      </c>
      <c r="F3141" t="inlineStr">
        <is>
          <t>REP</t>
        </is>
      </c>
      <c r="G3141" t="inlineStr">
        <is>
          <t>01272025</t>
        </is>
      </c>
      <c r="H3141" t="n">
        <v>-2500</v>
      </c>
      <c r="I3141" t="inlineStr">
        <is>
          <t>202507319764529804</t>
        </is>
      </c>
      <c r="J3141" t="inlineStr">
        <is>
          <t>https://docquery.fec.gov/cgi-bin/fecimg/?202507319764529804</t>
        </is>
      </c>
    </row>
    <row r="3142">
      <c r="A3142" t="inlineStr">
        <is>
          <t>2026</t>
        </is>
      </c>
      <c r="B3142" t="inlineStr">
        <is>
          <t>C00483677</t>
        </is>
      </c>
      <c r="C3142" t="inlineStr">
        <is>
          <t>American Petroleum Institute PAC (API PAC)</t>
        </is>
      </c>
      <c r="D3142" t="inlineStr">
        <is>
          <t>ELIZABETH PANNILL FLETCHER FOR CONGRESS</t>
        </is>
      </c>
      <c r="E3142" t="inlineStr">
        <is>
          <t>H8TX07140</t>
        </is>
      </c>
      <c r="F3142" t="inlineStr">
        <is>
          <t>DEM</t>
        </is>
      </c>
      <c r="G3142" t="inlineStr">
        <is>
          <t>01272025</t>
        </is>
      </c>
      <c r="H3142" t="n">
        <v>-1000</v>
      </c>
      <c r="I3142" t="inlineStr">
        <is>
          <t>202507319764529803</t>
        </is>
      </c>
      <c r="J3142" t="inlineStr">
        <is>
          <t>https://docquery.fec.gov/cgi-bin/fecimg/?202507319764529803</t>
        </is>
      </c>
    </row>
    <row r="3143">
      <c r="A3143" t="inlineStr">
        <is>
          <t>2026</t>
        </is>
      </c>
      <c r="B3143" t="inlineStr">
        <is>
          <t>C00483677</t>
        </is>
      </c>
      <c r="C3143" t="inlineStr">
        <is>
          <t>American Petroleum Institute PAC (API PAC)</t>
        </is>
      </c>
      <c r="D3143" t="inlineStr">
        <is>
          <t>MICHAEL BURGESS FOR CONGRESS</t>
        </is>
      </c>
      <c r="E3143" t="inlineStr">
        <is>
          <t>H2TX26093</t>
        </is>
      </c>
      <c r="F3143" t="inlineStr">
        <is>
          <t>REP</t>
        </is>
      </c>
      <c r="G3143" t="inlineStr">
        <is>
          <t>01272025</t>
        </is>
      </c>
      <c r="H3143" t="n">
        <v>-1000</v>
      </c>
      <c r="I3143" t="inlineStr">
        <is>
          <t>202507319764529803</t>
        </is>
      </c>
      <c r="J3143" t="inlineStr">
        <is>
          <t>https://docquery.fec.gov/cgi-bin/fecimg/?202507319764529803</t>
        </is>
      </c>
    </row>
    <row r="3144">
      <c r="A3144" t="inlineStr">
        <is>
          <t>2026</t>
        </is>
      </c>
      <c r="B3144" t="inlineStr">
        <is>
          <t>C00483677</t>
        </is>
      </c>
      <c r="C3144" t="inlineStr">
        <is>
          <t>American Petroleum Institute PAC (API PAC)</t>
        </is>
      </c>
      <c r="D3144" t="inlineStr">
        <is>
          <t>PEOPLE FOR BEN</t>
        </is>
      </c>
      <c r="E3144" t="inlineStr">
        <is>
          <t>S0NM00058</t>
        </is>
      </c>
      <c r="F3144" t="inlineStr">
        <is>
          <t>DEM</t>
        </is>
      </c>
      <c r="G3144" t="inlineStr">
        <is>
          <t>01272025</t>
        </is>
      </c>
      <c r="H3144" t="n">
        <v>-1000</v>
      </c>
      <c r="I3144" t="inlineStr">
        <is>
          <t>202507319764529804</t>
        </is>
      </c>
      <c r="J3144" t="inlineStr">
        <is>
          <t>https://docquery.fec.gov/cgi-bin/fecimg/?202507319764529804</t>
        </is>
      </c>
    </row>
    <row r="3145">
      <c r="A3145" t="inlineStr">
        <is>
          <t>2026</t>
        </is>
      </c>
      <c r="B3145" t="inlineStr">
        <is>
          <t>C00483677</t>
        </is>
      </c>
      <c r="C3145" t="inlineStr">
        <is>
          <t>American Petroleum Institute PAC (API PAC)</t>
        </is>
      </c>
      <c r="D3145" t="inlineStr">
        <is>
          <t>FRIENDS OF MIKE LEE INC</t>
        </is>
      </c>
      <c r="E3145" t="inlineStr">
        <is>
          <t>S0UT00165</t>
        </is>
      </c>
      <c r="F3145" t="inlineStr">
        <is>
          <t>REP</t>
        </is>
      </c>
      <c r="G3145" t="inlineStr">
        <is>
          <t>01302025</t>
        </is>
      </c>
      <c r="H3145" t="n">
        <v>1500</v>
      </c>
      <c r="I3145" t="inlineStr">
        <is>
          <t>202507319764529804</t>
        </is>
      </c>
      <c r="J3145" t="inlineStr">
        <is>
          <t>https://docquery.fec.gov/cgi-bin/fecimg/?202507319764529804</t>
        </is>
      </c>
    </row>
    <row r="3146">
      <c r="A3146" t="inlineStr">
        <is>
          <t>2026</t>
        </is>
      </c>
      <c r="B3146" t="inlineStr">
        <is>
          <t>C00483677</t>
        </is>
      </c>
      <c r="C3146" t="inlineStr">
        <is>
          <t>American Petroleum Institute PAC (API PAC)</t>
        </is>
      </c>
      <c r="D3146" t="inlineStr">
        <is>
          <t>LISA MCCLAIN FOR CONGRESS</t>
        </is>
      </c>
      <c r="E3146" t="inlineStr">
        <is>
          <t>H0MI10287</t>
        </is>
      </c>
      <c r="F3146" t="inlineStr">
        <is>
          <t>REP</t>
        </is>
      </c>
      <c r="G3146" t="inlineStr">
        <is>
          <t>01302025</t>
        </is>
      </c>
      <c r="H3146" t="n">
        <v>1000</v>
      </c>
      <c r="I3146" t="inlineStr">
        <is>
          <t>202507319764529805</t>
        </is>
      </c>
      <c r="J3146" t="inlineStr">
        <is>
          <t>https://docquery.fec.gov/cgi-bin/fecimg/?202507319764529805</t>
        </is>
      </c>
    </row>
    <row r="3147">
      <c r="A3147" t="inlineStr">
        <is>
          <t>2026</t>
        </is>
      </c>
      <c r="B3147" t="inlineStr">
        <is>
          <t>C00483677</t>
        </is>
      </c>
      <c r="C3147" t="inlineStr">
        <is>
          <t>American Petroleum Institute PAC (API PAC)</t>
        </is>
      </c>
      <c r="D3147" t="inlineStr">
        <is>
          <t>ELIZABETH PANNILL FLETCHER FOR CONGRESS</t>
        </is>
      </c>
      <c r="E3147" t="inlineStr">
        <is>
          <t>H8TX07140</t>
        </is>
      </c>
      <c r="F3147" t="inlineStr">
        <is>
          <t>DEM</t>
        </is>
      </c>
      <c r="G3147" t="inlineStr">
        <is>
          <t>02032025</t>
        </is>
      </c>
      <c r="H3147" t="n">
        <v>1000</v>
      </c>
      <c r="I3147" t="inlineStr">
        <is>
          <t>202507319764529805</t>
        </is>
      </c>
      <c r="J3147" t="inlineStr">
        <is>
          <t>https://docquery.fec.gov/cgi-bin/fecimg/?202507319764529805</t>
        </is>
      </c>
    </row>
    <row r="3148">
      <c r="A3148" t="inlineStr">
        <is>
          <t>2026</t>
        </is>
      </c>
      <c r="B3148" t="inlineStr">
        <is>
          <t>C00483677</t>
        </is>
      </c>
      <c r="C3148" t="inlineStr">
        <is>
          <t>American Petroleum Institute PAC (API PAC)</t>
        </is>
      </c>
      <c r="D3148" t="inlineStr">
        <is>
          <t>FRIENDS OF DAVE MCCORMICK</t>
        </is>
      </c>
      <c r="E3148" t="inlineStr">
        <is>
          <t>S2PA00661</t>
        </is>
      </c>
      <c r="F3148" t="inlineStr">
        <is>
          <t>REP</t>
        </is>
      </c>
      <c r="G3148" t="inlineStr">
        <is>
          <t>02032025</t>
        </is>
      </c>
      <c r="H3148" t="n">
        <v>1500</v>
      </c>
      <c r="I3148" t="inlineStr">
        <is>
          <t>202507319764529805</t>
        </is>
      </c>
      <c r="J3148" t="inlineStr">
        <is>
          <t>https://docquery.fec.gov/cgi-bin/fecimg/?202507319764529805</t>
        </is>
      </c>
    </row>
    <row r="3149">
      <c r="A3149" t="inlineStr">
        <is>
          <t>2026</t>
        </is>
      </c>
      <c r="B3149" t="inlineStr">
        <is>
          <t>C00483677</t>
        </is>
      </c>
      <c r="C3149" t="inlineStr">
        <is>
          <t>American Petroleum Institute PAC (API PAC)</t>
        </is>
      </c>
      <c r="D3149" t="inlineStr">
        <is>
          <t>WEBER FOR CONGRESS</t>
        </is>
      </c>
      <c r="E3149" t="inlineStr">
        <is>
          <t>H2TX14149</t>
        </is>
      </c>
      <c r="F3149" t="inlineStr">
        <is>
          <t>REP</t>
        </is>
      </c>
      <c r="G3149" t="inlineStr">
        <is>
          <t>02032025</t>
        </is>
      </c>
      <c r="H3149" t="n">
        <v>1000</v>
      </c>
      <c r="I3149" t="inlineStr">
        <is>
          <t>202507319764529806</t>
        </is>
      </c>
      <c r="J3149" t="inlineStr">
        <is>
          <t>https://docquery.fec.gov/cgi-bin/fecimg/?202507319764529806</t>
        </is>
      </c>
    </row>
    <row r="3150">
      <c r="A3150" t="inlineStr">
        <is>
          <t>2026</t>
        </is>
      </c>
      <c r="B3150" t="inlineStr">
        <is>
          <t>C00483677</t>
        </is>
      </c>
      <c r="C3150" t="inlineStr">
        <is>
          <t>American Petroleum Institute PAC (API PAC)</t>
        </is>
      </c>
      <c r="D3150" t="inlineStr">
        <is>
          <t>HAGEMAN FOR WYOMING</t>
        </is>
      </c>
      <c r="E3150" t="inlineStr">
        <is>
          <t>S6WY00209</t>
        </is>
      </c>
      <c r="F3150" t="inlineStr">
        <is>
          <t>REP</t>
        </is>
      </c>
      <c r="G3150" t="inlineStr">
        <is>
          <t>02032026</t>
        </is>
      </c>
      <c r="H3150" t="n">
        <v>2500</v>
      </c>
      <c r="I3150" t="inlineStr">
        <is>
          <t>202603209853654274</t>
        </is>
      </c>
      <c r="J3150" t="inlineStr">
        <is>
          <t>https://docquery.fec.gov/cgi-bin/fecimg/?202603209853654274</t>
        </is>
      </c>
    </row>
    <row r="3151">
      <c r="A3151" t="inlineStr">
        <is>
          <t>2026</t>
        </is>
      </c>
      <c r="B3151" t="inlineStr">
        <is>
          <t>C00483677</t>
        </is>
      </c>
      <c r="C3151" t="inlineStr">
        <is>
          <t>American Petroleum Institute PAC (API PAC)</t>
        </is>
      </c>
      <c r="D3151" t="inlineStr">
        <is>
          <t>ELIZABETH PANNILL FLETCHER FOR CONGRESS</t>
        </is>
      </c>
      <c r="E3151" t="inlineStr">
        <is>
          <t>H8TX07140</t>
        </is>
      </c>
      <c r="F3151" t="inlineStr">
        <is>
          <t>DEM</t>
        </is>
      </c>
      <c r="G3151" t="inlineStr">
        <is>
          <t>02042026</t>
        </is>
      </c>
      <c r="H3151" t="n">
        <v>1000</v>
      </c>
      <c r="I3151" t="inlineStr">
        <is>
          <t>202603209853654274</t>
        </is>
      </c>
      <c r="J3151" t="inlineStr">
        <is>
          <t>https://docquery.fec.gov/cgi-bin/fecimg/?202603209853654274</t>
        </is>
      </c>
    </row>
    <row r="3152">
      <c r="A3152" t="inlineStr">
        <is>
          <t>2026</t>
        </is>
      </c>
      <c r="B3152" t="inlineStr">
        <is>
          <t>C00483677</t>
        </is>
      </c>
      <c r="C3152" t="inlineStr">
        <is>
          <t>American Petroleum Institute PAC (API PAC)</t>
        </is>
      </c>
      <c r="D3152" t="inlineStr">
        <is>
          <t>THOM TILLIS COMMITTEE</t>
        </is>
      </c>
      <c r="E3152" t="inlineStr">
        <is>
          <t>S4NC00162</t>
        </is>
      </c>
      <c r="F3152" t="inlineStr">
        <is>
          <t>REP</t>
        </is>
      </c>
      <c r="G3152" t="inlineStr">
        <is>
          <t>02062025</t>
        </is>
      </c>
      <c r="H3152" t="n">
        <v>1500</v>
      </c>
      <c r="I3152" t="inlineStr">
        <is>
          <t>202507319764529806</t>
        </is>
      </c>
      <c r="J3152" t="inlineStr">
        <is>
          <t>https://docquery.fec.gov/cgi-bin/fecimg/?202507319764529806</t>
        </is>
      </c>
    </row>
    <row r="3153">
      <c r="A3153" t="inlineStr">
        <is>
          <t>2026</t>
        </is>
      </c>
      <c r="B3153" t="inlineStr">
        <is>
          <t>C00483677</t>
        </is>
      </c>
      <c r="C3153" t="inlineStr">
        <is>
          <t>American Petroleum Institute PAC (API PAC)</t>
        </is>
      </c>
      <c r="D3153" t="inlineStr">
        <is>
          <t>FRIENDS OF JOHN BARRASSO</t>
        </is>
      </c>
      <c r="E3153" t="inlineStr">
        <is>
          <t>S6WY00068</t>
        </is>
      </c>
      <c r="F3153" t="inlineStr">
        <is>
          <t>REP</t>
        </is>
      </c>
      <c r="G3153" t="inlineStr">
        <is>
          <t>02092026</t>
        </is>
      </c>
      <c r="H3153" t="n">
        <v>5000</v>
      </c>
      <c r="I3153" t="inlineStr">
        <is>
          <t>202603209853654274</t>
        </is>
      </c>
      <c r="J3153" t="inlineStr">
        <is>
          <t>https://docquery.fec.gov/cgi-bin/fecimg/?202603209853654274</t>
        </is>
      </c>
    </row>
    <row r="3154">
      <c r="A3154" t="inlineStr">
        <is>
          <t>2026</t>
        </is>
      </c>
      <c r="B3154" t="inlineStr">
        <is>
          <t>C00483677</t>
        </is>
      </c>
      <c r="C3154" t="inlineStr">
        <is>
          <t>American Petroleum Institute PAC (API PAC)</t>
        </is>
      </c>
      <c r="D3154" t="inlineStr">
        <is>
          <t>TEXANS FOR HENRY CUELLAR CONGRESSIONAL CAMPAIGN</t>
        </is>
      </c>
      <c r="E3154" t="inlineStr">
        <is>
          <t>H2TX23082</t>
        </is>
      </c>
      <c r="F3154" t="inlineStr">
        <is>
          <t>DEM</t>
        </is>
      </c>
      <c r="G3154" t="inlineStr">
        <is>
          <t>02092026</t>
        </is>
      </c>
      <c r="H3154" t="n">
        <v>1000</v>
      </c>
      <c r="I3154" t="inlineStr">
        <is>
          <t>202603209853654275</t>
        </is>
      </c>
      <c r="J3154" t="inlineStr">
        <is>
          <t>https://docquery.fec.gov/cgi-bin/fecimg/?202603209853654275</t>
        </is>
      </c>
    </row>
    <row r="3155">
      <c r="A3155" t="inlineStr">
        <is>
          <t>2026</t>
        </is>
      </c>
      <c r="B3155" t="inlineStr">
        <is>
          <t>C00483677</t>
        </is>
      </c>
      <c r="C3155" t="inlineStr">
        <is>
          <t>American Petroleum Institute PAC (API PAC)</t>
        </is>
      </c>
      <c r="D3155" t="inlineStr">
        <is>
          <t>CELESTE FOR CONGRESS</t>
        </is>
      </c>
      <c r="E3155" t="inlineStr">
        <is>
          <t>H4UT02296</t>
        </is>
      </c>
      <c r="F3155" t="inlineStr">
        <is>
          <t>REP</t>
        </is>
      </c>
      <c r="G3155" t="inlineStr">
        <is>
          <t>02182025</t>
        </is>
      </c>
      <c r="H3155" t="n">
        <v>1000</v>
      </c>
      <c r="I3155" t="inlineStr">
        <is>
          <t>202507319764529807</t>
        </is>
      </c>
      <c r="J3155" t="inlineStr">
        <is>
          <t>https://docquery.fec.gov/cgi-bin/fecimg/?202507319764529807</t>
        </is>
      </c>
    </row>
    <row r="3156">
      <c r="A3156" t="inlineStr">
        <is>
          <t>2026</t>
        </is>
      </c>
      <c r="B3156" t="inlineStr">
        <is>
          <t>C00483677</t>
        </is>
      </c>
      <c r="C3156" t="inlineStr">
        <is>
          <t>American Petroleum Institute PAC (API PAC)</t>
        </is>
      </c>
      <c r="D3156" t="inlineStr">
        <is>
          <t>SCHMITT FOR SENATE</t>
        </is>
      </c>
      <c r="E3156" t="inlineStr">
        <is>
          <t>S2MO00544</t>
        </is>
      </c>
      <c r="F3156" t="inlineStr">
        <is>
          <t>REP</t>
        </is>
      </c>
      <c r="G3156" t="inlineStr">
        <is>
          <t>02182025</t>
        </is>
      </c>
      <c r="H3156" t="n">
        <v>1000</v>
      </c>
      <c r="I3156" t="inlineStr">
        <is>
          <t>202507319764529807</t>
        </is>
      </c>
      <c r="J3156" t="inlineStr">
        <is>
          <t>https://docquery.fec.gov/cgi-bin/fecimg/?202507319764529807</t>
        </is>
      </c>
    </row>
    <row r="3157">
      <c r="A3157" t="inlineStr">
        <is>
          <t>2026</t>
        </is>
      </c>
      <c r="B3157" t="inlineStr">
        <is>
          <t>C00483677</t>
        </is>
      </c>
      <c r="C3157" t="inlineStr">
        <is>
          <t>American Petroleum Institute PAC (API PAC)</t>
        </is>
      </c>
      <c r="D3157" t="inlineStr">
        <is>
          <t>MIKE JOHNSON FOR LOUISIANA</t>
        </is>
      </c>
      <c r="E3157" t="inlineStr">
        <is>
          <t>H6LA04138</t>
        </is>
      </c>
      <c r="F3157" t="inlineStr">
        <is>
          <t>REP</t>
        </is>
      </c>
      <c r="G3157" t="inlineStr">
        <is>
          <t>02212025</t>
        </is>
      </c>
      <c r="H3157" t="n">
        <v>5000</v>
      </c>
      <c r="I3157" t="inlineStr">
        <is>
          <t>202507319764529807</t>
        </is>
      </c>
      <c r="J3157" t="inlineStr">
        <is>
          <t>https://docquery.fec.gov/cgi-bin/fecimg/?202507319764529807</t>
        </is>
      </c>
    </row>
    <row r="3158">
      <c r="A3158" t="inlineStr">
        <is>
          <t>2026</t>
        </is>
      </c>
      <c r="B3158" t="inlineStr">
        <is>
          <t>C00483677</t>
        </is>
      </c>
      <c r="C3158" t="inlineStr">
        <is>
          <t>American Petroleum Institute PAC (API PAC)</t>
        </is>
      </c>
      <c r="D3158" t="inlineStr">
        <is>
          <t>SYLVIA GARCIA FOR CONGRESS</t>
        </is>
      </c>
      <c r="E3158" t="inlineStr">
        <is>
          <t>H8TX29052</t>
        </is>
      </c>
      <c r="F3158" t="inlineStr">
        <is>
          <t>DEM</t>
        </is>
      </c>
      <c r="G3158" t="inlineStr">
        <is>
          <t>02252025</t>
        </is>
      </c>
      <c r="H3158" t="n">
        <v>1500</v>
      </c>
      <c r="I3158" t="inlineStr">
        <is>
          <t>202507319764529808</t>
        </is>
      </c>
      <c r="J3158" t="inlineStr">
        <is>
          <t>https://docquery.fec.gov/cgi-bin/fecimg/?202507319764529808</t>
        </is>
      </c>
    </row>
    <row r="3159">
      <c r="A3159" t="inlineStr">
        <is>
          <t>2026</t>
        </is>
      </c>
      <c r="B3159" t="inlineStr">
        <is>
          <t>C00483677</t>
        </is>
      </c>
      <c r="C3159" t="inlineStr">
        <is>
          <t>American Petroleum Institute PAC (API PAC)</t>
        </is>
      </c>
      <c r="D3159" t="inlineStr">
        <is>
          <t>CAPITO FOR WEST VIRGINIA</t>
        </is>
      </c>
      <c r="E3159" t="inlineStr">
        <is>
          <t>S4WV00159</t>
        </is>
      </c>
      <c r="F3159" t="inlineStr">
        <is>
          <t>REP</t>
        </is>
      </c>
      <c r="G3159" t="inlineStr">
        <is>
          <t>02262026</t>
        </is>
      </c>
      <c r="H3159" t="n">
        <v>-500</v>
      </c>
      <c r="I3159" t="inlineStr">
        <is>
          <t>202603209853654275</t>
        </is>
      </c>
      <c r="J3159" t="inlineStr">
        <is>
          <t>https://docquery.fec.gov/cgi-bin/fecimg/?202603209853654275</t>
        </is>
      </c>
    </row>
    <row r="3160">
      <c r="A3160" t="inlineStr">
        <is>
          <t>2026</t>
        </is>
      </c>
      <c r="B3160" t="inlineStr">
        <is>
          <t>C00483677</t>
        </is>
      </c>
      <c r="C3160" t="inlineStr">
        <is>
          <t>American Petroleum Institute PAC (API PAC)</t>
        </is>
      </c>
      <c r="D3160" t="inlineStr">
        <is>
          <t>CAPITO FOR WEST VIRGINIA</t>
        </is>
      </c>
      <c r="E3160" t="inlineStr">
        <is>
          <t>S4WV00159</t>
        </is>
      </c>
      <c r="F3160" t="inlineStr">
        <is>
          <t>REP</t>
        </is>
      </c>
      <c r="G3160" t="inlineStr">
        <is>
          <t>02262026</t>
        </is>
      </c>
      <c r="H3160" t="n">
        <v>-500</v>
      </c>
      <c r="I3160" t="inlineStr">
        <is>
          <t>202603209853654275</t>
        </is>
      </c>
      <c r="J3160" t="inlineStr">
        <is>
          <t>https://docquery.fec.gov/cgi-bin/fecimg/?202603209853654275</t>
        </is>
      </c>
    </row>
    <row r="3161">
      <c r="A3161" t="inlineStr">
        <is>
          <t>2026</t>
        </is>
      </c>
      <c r="B3161" t="inlineStr">
        <is>
          <t>C00483677</t>
        </is>
      </c>
      <c r="C3161" t="inlineStr">
        <is>
          <t>American Petroleum Institute PAC (API PAC)</t>
        </is>
      </c>
      <c r="D3161" t="inlineStr">
        <is>
          <t>COMMITTEE TO ELECT JARED GOLDEN</t>
        </is>
      </c>
      <c r="E3161" t="inlineStr">
        <is>
          <t>H8ME02185</t>
        </is>
      </c>
      <c r="F3161" t="inlineStr">
        <is>
          <t>DEM</t>
        </is>
      </c>
      <c r="G3161" t="inlineStr">
        <is>
          <t>02272025</t>
        </is>
      </c>
      <c r="H3161" t="n">
        <v>1500</v>
      </c>
      <c r="I3161" t="inlineStr">
        <is>
          <t>202507319764529809</t>
        </is>
      </c>
      <c r="J3161" t="inlineStr">
        <is>
          <t>https://docquery.fec.gov/cgi-bin/fecimg/?202507319764529809</t>
        </is>
      </c>
    </row>
    <row r="3162">
      <c r="A3162" t="inlineStr">
        <is>
          <t>2026</t>
        </is>
      </c>
      <c r="B3162" t="inlineStr">
        <is>
          <t>C00483677</t>
        </is>
      </c>
      <c r="C3162" t="inlineStr">
        <is>
          <t>American Petroleum Institute PAC (API PAC)</t>
        </is>
      </c>
      <c r="D3162" t="inlineStr">
        <is>
          <t>ALASKANS FOR DAN SULLIVAN</t>
        </is>
      </c>
      <c r="E3162" t="inlineStr">
        <is>
          <t>S4AK00214</t>
        </is>
      </c>
      <c r="F3162" t="inlineStr">
        <is>
          <t>REP</t>
        </is>
      </c>
      <c r="G3162" t="inlineStr">
        <is>
          <t>02272025</t>
        </is>
      </c>
      <c r="H3162" t="n">
        <v>2500</v>
      </c>
      <c r="I3162" t="inlineStr">
        <is>
          <t>202507319764529808</t>
        </is>
      </c>
      <c r="J3162" t="inlineStr">
        <is>
          <t>https://docquery.fec.gov/cgi-bin/fecimg/?202507319764529808</t>
        </is>
      </c>
    </row>
    <row r="3163">
      <c r="A3163" t="inlineStr">
        <is>
          <t>2026</t>
        </is>
      </c>
      <c r="B3163" t="inlineStr">
        <is>
          <t>C00483677</t>
        </is>
      </c>
      <c r="C3163" t="inlineStr">
        <is>
          <t>American Petroleum Institute PAC (API PAC)</t>
        </is>
      </c>
      <c r="D3163" t="inlineStr">
        <is>
          <t>ALASKANS FOR NICK BEGICH</t>
        </is>
      </c>
      <c r="E3163" t="inlineStr">
        <is>
          <t>H2AK01083</t>
        </is>
      </c>
      <c r="F3163" t="inlineStr">
        <is>
          <t>REP</t>
        </is>
      </c>
      <c r="G3163" t="inlineStr">
        <is>
          <t>02272025</t>
        </is>
      </c>
      <c r="H3163" t="n">
        <v>1500</v>
      </c>
      <c r="I3163" t="inlineStr">
        <is>
          <t>202507319764529808</t>
        </is>
      </c>
      <c r="J3163" t="inlineStr">
        <is>
          <t>https://docquery.fec.gov/cgi-bin/fecimg/?202507319764529808</t>
        </is>
      </c>
    </row>
    <row r="3164">
      <c r="A3164" t="inlineStr">
        <is>
          <t>2026</t>
        </is>
      </c>
      <c r="B3164" t="inlineStr">
        <is>
          <t>C00483677</t>
        </is>
      </c>
      <c r="C3164" t="inlineStr">
        <is>
          <t>American Petroleum Institute PAC (API PAC)</t>
        </is>
      </c>
      <c r="D3164" t="inlineStr">
        <is>
          <t>CAROL FOR CONGRESS</t>
        </is>
      </c>
      <c r="E3164" t="inlineStr">
        <is>
          <t>H8WV03097</t>
        </is>
      </c>
      <c r="F3164" t="inlineStr">
        <is>
          <t>REP</t>
        </is>
      </c>
      <c r="G3164" t="inlineStr">
        <is>
          <t>02272025</t>
        </is>
      </c>
      <c r="H3164" t="n">
        <v>1000</v>
      </c>
      <c r="I3164" t="inlineStr">
        <is>
          <t>202507319764529809</t>
        </is>
      </c>
      <c r="J3164" t="inlineStr">
        <is>
          <t>https://docquery.fec.gov/cgi-bin/fecimg/?202507319764529809</t>
        </is>
      </c>
    </row>
    <row r="3165">
      <c r="A3165" t="inlineStr">
        <is>
          <t>2026</t>
        </is>
      </c>
      <c r="B3165" t="inlineStr">
        <is>
          <t>C00483677</t>
        </is>
      </c>
      <c r="C3165" t="inlineStr">
        <is>
          <t>American Petroleum Institute PAC (API PAC)</t>
        </is>
      </c>
      <c r="D3165" t="inlineStr">
        <is>
          <t>HICKENLOOPER FOR COLORADO</t>
        </is>
      </c>
      <c r="E3165" t="inlineStr">
        <is>
          <t>S0CO00575</t>
        </is>
      </c>
      <c r="F3165" t="inlineStr">
        <is>
          <t>DEM</t>
        </is>
      </c>
      <c r="G3165" t="inlineStr">
        <is>
          <t>02272025</t>
        </is>
      </c>
      <c r="H3165" t="n">
        <v>1500</v>
      </c>
      <c r="I3165" t="inlineStr">
        <is>
          <t>202507319764529809</t>
        </is>
      </c>
      <c r="J3165" t="inlineStr">
        <is>
          <t>https://docquery.fec.gov/cgi-bin/fecimg/?202507319764529809</t>
        </is>
      </c>
    </row>
    <row r="3166">
      <c r="A3166" t="inlineStr">
        <is>
          <t>2026</t>
        </is>
      </c>
      <c r="B3166" t="inlineStr">
        <is>
          <t>C00483677</t>
        </is>
      </c>
      <c r="C3166" t="inlineStr">
        <is>
          <t>American Petroleum Institute PAC (API PAC)</t>
        </is>
      </c>
      <c r="D3166" t="inlineStr">
        <is>
          <t>AUGUST PFLUGER FOR CONGRESS</t>
        </is>
      </c>
      <c r="E3166" t="inlineStr">
        <is>
          <t>H0TX11230</t>
        </is>
      </c>
      <c r="F3166" t="inlineStr">
        <is>
          <t>REP</t>
        </is>
      </c>
      <c r="G3166" t="inlineStr">
        <is>
          <t>03022026</t>
        </is>
      </c>
      <c r="H3166" t="n">
        <v>-3500</v>
      </c>
      <c r="I3166" t="inlineStr">
        <is>
          <t>202604209863219019</t>
        </is>
      </c>
      <c r="J3166" t="inlineStr">
        <is>
          <t>https://docquery.fec.gov/cgi-bin/fecimg/?202604209863219019</t>
        </is>
      </c>
    </row>
    <row r="3167">
      <c r="A3167" t="inlineStr">
        <is>
          <t>2026</t>
        </is>
      </c>
      <c r="B3167" t="inlineStr">
        <is>
          <t>C00483677</t>
        </is>
      </c>
      <c r="C3167" t="inlineStr">
        <is>
          <t>American Petroleum Institute PAC (API PAC)</t>
        </is>
      </c>
      <c r="D3167" t="inlineStr">
        <is>
          <t>AUGUST PFLUGER FOR CONGRESS</t>
        </is>
      </c>
      <c r="E3167" t="inlineStr">
        <is>
          <t>H0TX11230</t>
        </is>
      </c>
      <c r="F3167" t="inlineStr">
        <is>
          <t>REP</t>
        </is>
      </c>
      <c r="G3167" t="inlineStr">
        <is>
          <t>03032026</t>
        </is>
      </c>
      <c r="H3167" t="n">
        <v>3500</v>
      </c>
      <c r="I3167" t="inlineStr">
        <is>
          <t>202604209863219021</t>
        </is>
      </c>
      <c r="J3167" t="inlineStr">
        <is>
          <t>https://docquery.fec.gov/cgi-bin/fecimg/?202604209863219021</t>
        </is>
      </c>
    </row>
    <row r="3168">
      <c r="A3168" t="inlineStr">
        <is>
          <t>2026</t>
        </is>
      </c>
      <c r="B3168" t="inlineStr">
        <is>
          <t>C00483677</t>
        </is>
      </c>
      <c r="C3168" t="inlineStr">
        <is>
          <t>American Petroleum Institute PAC (API PAC)</t>
        </is>
      </c>
      <c r="D3168" t="inlineStr">
        <is>
          <t>DAN CRENSHAW FOR CONGRESS</t>
        </is>
      </c>
      <c r="E3168" t="inlineStr">
        <is>
          <t>H8TX02166</t>
        </is>
      </c>
      <c r="F3168" t="inlineStr">
        <is>
          <t>REP</t>
        </is>
      </c>
      <c r="G3168" t="inlineStr">
        <is>
          <t>03062025</t>
        </is>
      </c>
      <c r="H3168" t="n">
        <v>1500</v>
      </c>
      <c r="I3168" t="inlineStr">
        <is>
          <t>202507319764529810</t>
        </is>
      </c>
      <c r="J3168" t="inlineStr">
        <is>
          <t>https://docquery.fec.gov/cgi-bin/fecimg/?202507319764529810</t>
        </is>
      </c>
    </row>
    <row r="3169">
      <c r="A3169" t="inlineStr">
        <is>
          <t>2026</t>
        </is>
      </c>
      <c r="B3169" t="inlineStr">
        <is>
          <t>C00483677</t>
        </is>
      </c>
      <c r="C3169" t="inlineStr">
        <is>
          <t>American Petroleum Institute PAC (API PAC)</t>
        </is>
      </c>
      <c r="D3169" t="inlineStr">
        <is>
          <t>GRAVES FOR CONGRESS</t>
        </is>
      </c>
      <c r="E3169" t="inlineStr">
        <is>
          <t>H0MO06073</t>
        </is>
      </c>
      <c r="F3169" t="inlineStr">
        <is>
          <t>REP</t>
        </is>
      </c>
      <c r="G3169" t="inlineStr">
        <is>
          <t>03062025</t>
        </is>
      </c>
      <c r="H3169" t="n">
        <v>1500</v>
      </c>
      <c r="I3169" t="inlineStr">
        <is>
          <t>202507319764529810</t>
        </is>
      </c>
      <c r="J3169" t="inlineStr">
        <is>
          <t>https://docquery.fec.gov/cgi-bin/fecimg/?202507319764529810</t>
        </is>
      </c>
    </row>
    <row r="3170">
      <c r="A3170" t="inlineStr">
        <is>
          <t>2026</t>
        </is>
      </c>
      <c r="B3170" t="inlineStr">
        <is>
          <t>C00483677</t>
        </is>
      </c>
      <c r="C3170" t="inlineStr">
        <is>
          <t>American Petroleum Institute PAC (API PAC)</t>
        </is>
      </c>
      <c r="D3170" t="inlineStr">
        <is>
          <t>VICENTE GONZALEZ FOR CONGRESS</t>
        </is>
      </c>
      <c r="E3170" t="inlineStr">
        <is>
          <t>H6TX15162</t>
        </is>
      </c>
      <c r="F3170" t="inlineStr">
        <is>
          <t>DEM</t>
        </is>
      </c>
      <c r="G3170" t="inlineStr">
        <is>
          <t>03062025</t>
        </is>
      </c>
      <c r="H3170" t="n">
        <v>1500</v>
      </c>
      <c r="I3170" t="inlineStr">
        <is>
          <t>202507319764529810</t>
        </is>
      </c>
      <c r="J3170" t="inlineStr">
        <is>
          <t>https://docquery.fec.gov/cgi-bin/fecimg/?202507319764529810</t>
        </is>
      </c>
    </row>
    <row r="3171">
      <c r="A3171" t="inlineStr">
        <is>
          <t>2026</t>
        </is>
      </c>
      <c r="B3171" t="inlineStr">
        <is>
          <t>C00483677</t>
        </is>
      </c>
      <c r="C3171" t="inlineStr">
        <is>
          <t>American Petroleum Institute PAC (API PAC)</t>
        </is>
      </c>
      <c r="D3171" t="inlineStr">
        <is>
          <t>JULIE JOHNSON FOR CONGRESS</t>
        </is>
      </c>
      <c r="E3171" t="inlineStr">
        <is>
          <t>H4TX32089</t>
        </is>
      </c>
      <c r="F3171" t="inlineStr">
        <is>
          <t>DEM</t>
        </is>
      </c>
      <c r="G3171" t="inlineStr">
        <is>
          <t>03092026</t>
        </is>
      </c>
      <c r="H3171" t="n">
        <v>1000</v>
      </c>
      <c r="I3171" t="inlineStr">
        <is>
          <t>202604209863219021</t>
        </is>
      </c>
      <c r="J3171" t="inlineStr">
        <is>
          <t>https://docquery.fec.gov/cgi-bin/fecimg/?202604209863219021</t>
        </is>
      </c>
    </row>
    <row r="3172">
      <c r="A3172" t="inlineStr">
        <is>
          <t>2026</t>
        </is>
      </c>
      <c r="B3172" t="inlineStr">
        <is>
          <t>C00483677</t>
        </is>
      </c>
      <c r="C3172" t="inlineStr">
        <is>
          <t>American Petroleum Institute PAC (API PAC)</t>
        </is>
      </c>
      <c r="D3172" t="inlineStr">
        <is>
          <t>LAWLER FOR CONGRESS INC.</t>
        </is>
      </c>
      <c r="E3172" t="inlineStr">
        <is>
          <t>H2NY17162</t>
        </is>
      </c>
      <c r="F3172" t="inlineStr">
        <is>
          <t>REP</t>
        </is>
      </c>
      <c r="G3172" t="inlineStr">
        <is>
          <t>03092026</t>
        </is>
      </c>
      <c r="H3172" t="n">
        <v>500</v>
      </c>
      <c r="I3172" t="inlineStr">
        <is>
          <t>202604209863219021</t>
        </is>
      </c>
      <c r="J3172" t="inlineStr">
        <is>
          <t>https://docquery.fec.gov/cgi-bin/fecimg/?202604209863219021</t>
        </is>
      </c>
    </row>
    <row r="3173">
      <c r="A3173" t="inlineStr">
        <is>
          <t>2026</t>
        </is>
      </c>
      <c r="B3173" t="inlineStr">
        <is>
          <t>C00483677</t>
        </is>
      </c>
      <c r="C3173" t="inlineStr">
        <is>
          <t>American Petroleum Institute PAC (API PAC)</t>
        </is>
      </c>
      <c r="D3173" t="inlineStr">
        <is>
          <t>TEXANS FOR SENATOR JOHN CORNYN INC.</t>
        </is>
      </c>
      <c r="E3173" t="inlineStr">
        <is>
          <t>S2TX00106</t>
        </is>
      </c>
      <c r="F3173" t="inlineStr">
        <is>
          <t>REP</t>
        </is>
      </c>
      <c r="G3173" t="inlineStr">
        <is>
          <t>03092026</t>
        </is>
      </c>
      <c r="H3173" t="n">
        <v>3000</v>
      </c>
      <c r="I3173" t="inlineStr">
        <is>
          <t>202604209863219022</t>
        </is>
      </c>
      <c r="J3173" t="inlineStr">
        <is>
          <t>https://docquery.fec.gov/cgi-bin/fecimg/?202604209863219022</t>
        </is>
      </c>
    </row>
    <row r="3174">
      <c r="A3174" t="inlineStr">
        <is>
          <t>2026</t>
        </is>
      </c>
      <c r="B3174" t="inlineStr">
        <is>
          <t>C00483677</t>
        </is>
      </c>
      <c r="C3174" t="inlineStr">
        <is>
          <t>American Petroleum Institute PAC (API PAC)</t>
        </is>
      </c>
      <c r="D3174" t="inlineStr">
        <is>
          <t>FRIENDS OF DAVE MCCORMICK</t>
        </is>
      </c>
      <c r="E3174" t="inlineStr">
        <is>
          <t>S2PA00661</t>
        </is>
      </c>
      <c r="F3174" t="inlineStr">
        <is>
          <t>REP</t>
        </is>
      </c>
      <c r="G3174" t="inlineStr">
        <is>
          <t>03112025</t>
        </is>
      </c>
      <c r="H3174" t="n">
        <v>3500</v>
      </c>
      <c r="I3174" t="inlineStr">
        <is>
          <t>202507319764529811</t>
        </is>
      </c>
      <c r="J3174" t="inlineStr">
        <is>
          <t>https://docquery.fec.gov/cgi-bin/fecimg/?202507319764529811</t>
        </is>
      </c>
    </row>
    <row r="3175">
      <c r="A3175" t="inlineStr">
        <is>
          <t>2026</t>
        </is>
      </c>
      <c r="B3175" t="inlineStr">
        <is>
          <t>C00483677</t>
        </is>
      </c>
      <c r="C3175" t="inlineStr">
        <is>
          <t>American Petroleum Institute PAC (API PAC)</t>
        </is>
      </c>
      <c r="D3175" t="inlineStr">
        <is>
          <t>GUTHRIE FOR CONGRESS</t>
        </is>
      </c>
      <c r="E3175" t="inlineStr">
        <is>
          <t>H8KY02031</t>
        </is>
      </c>
      <c r="F3175" t="inlineStr">
        <is>
          <t>REP</t>
        </is>
      </c>
      <c r="G3175" t="inlineStr">
        <is>
          <t>03112025</t>
        </is>
      </c>
      <c r="H3175" t="n">
        <v>2500</v>
      </c>
      <c r="I3175" t="inlineStr">
        <is>
          <t>202507319764529811</t>
        </is>
      </c>
      <c r="J3175" t="inlineStr">
        <is>
          <t>https://docquery.fec.gov/cgi-bin/fecimg/?202507319764529811</t>
        </is>
      </c>
    </row>
    <row r="3176">
      <c r="A3176" t="inlineStr">
        <is>
          <t>2026</t>
        </is>
      </c>
      <c r="B3176" t="inlineStr">
        <is>
          <t>C00483677</t>
        </is>
      </c>
      <c r="C3176" t="inlineStr">
        <is>
          <t>American Petroleum Institute PAC (API PAC)</t>
        </is>
      </c>
      <c r="D3176" t="inlineStr">
        <is>
          <t>SCALISE FOR CONGRESS</t>
        </is>
      </c>
      <c r="E3176" t="inlineStr">
        <is>
          <t>H0LA01087</t>
        </is>
      </c>
      <c r="F3176" t="inlineStr">
        <is>
          <t>REP</t>
        </is>
      </c>
      <c r="G3176" t="inlineStr">
        <is>
          <t>03112025</t>
        </is>
      </c>
      <c r="H3176" t="n">
        <v>2500</v>
      </c>
      <c r="I3176" t="inlineStr">
        <is>
          <t>202507319764529811</t>
        </is>
      </c>
      <c r="J3176" t="inlineStr">
        <is>
          <t>https://docquery.fec.gov/cgi-bin/fecimg/?202507319764529811</t>
        </is>
      </c>
    </row>
    <row r="3177">
      <c r="A3177" t="inlineStr">
        <is>
          <t>2026</t>
        </is>
      </c>
      <c r="B3177" t="inlineStr">
        <is>
          <t>C00483677</t>
        </is>
      </c>
      <c r="C3177" t="inlineStr">
        <is>
          <t>American Petroleum Institute PAC (API PAC)</t>
        </is>
      </c>
      <c r="D3177" t="inlineStr">
        <is>
          <t>TEXANS FOR SENATOR JOHN CORNYN INC</t>
        </is>
      </c>
      <c r="E3177" t="inlineStr">
        <is>
          <t>S2TX00106</t>
        </is>
      </c>
      <c r="F3177" t="inlineStr">
        <is>
          <t>REP</t>
        </is>
      </c>
      <c r="G3177" t="inlineStr">
        <is>
          <t>03112025</t>
        </is>
      </c>
      <c r="H3177" t="n">
        <v>-1500</v>
      </c>
      <c r="I3177" t="inlineStr">
        <is>
          <t>202507319764529812</t>
        </is>
      </c>
      <c r="J3177" t="inlineStr">
        <is>
          <t>https://docquery.fec.gov/cgi-bin/fecimg/?202507319764529812</t>
        </is>
      </c>
    </row>
    <row r="3178">
      <c r="A3178" t="inlineStr">
        <is>
          <t>2026</t>
        </is>
      </c>
      <c r="B3178" t="inlineStr">
        <is>
          <t>C00483677</t>
        </is>
      </c>
      <c r="C3178" t="inlineStr">
        <is>
          <t>American Petroleum Institute PAC (API PAC)</t>
        </is>
      </c>
      <c r="D3178" t="inlineStr">
        <is>
          <t>ALASKANS FOR DAN SULLIVAN</t>
        </is>
      </c>
      <c r="E3178" t="inlineStr">
        <is>
          <t>S4AK00214</t>
        </is>
      </c>
      <c r="F3178" t="inlineStr">
        <is>
          <t>REP</t>
        </is>
      </c>
      <c r="G3178" t="inlineStr">
        <is>
          <t>03132026</t>
        </is>
      </c>
      <c r="H3178" t="n">
        <v>2500</v>
      </c>
      <c r="I3178" t="inlineStr">
        <is>
          <t>202604209863219022</t>
        </is>
      </c>
      <c r="J3178" t="inlineStr">
        <is>
          <t>https://docquery.fec.gov/cgi-bin/fecimg/?202604209863219022</t>
        </is>
      </c>
    </row>
    <row r="3179">
      <c r="A3179" t="inlineStr">
        <is>
          <t>2026</t>
        </is>
      </c>
      <c r="B3179" t="inlineStr">
        <is>
          <t>C00483677</t>
        </is>
      </c>
      <c r="C3179" t="inlineStr">
        <is>
          <t>American Petroleum Institute PAC (API PAC)</t>
        </is>
      </c>
      <c r="D3179" t="inlineStr">
        <is>
          <t>SCALISE FOR CONGRESS</t>
        </is>
      </c>
      <c r="E3179" t="inlineStr">
        <is>
          <t>H0LA01087</t>
        </is>
      </c>
      <c r="F3179" t="inlineStr">
        <is>
          <t>REP</t>
        </is>
      </c>
      <c r="G3179" t="inlineStr">
        <is>
          <t>03172025</t>
        </is>
      </c>
      <c r="H3179" t="n">
        <v>2500</v>
      </c>
      <c r="I3179" t="inlineStr">
        <is>
          <t>202507319764529812</t>
        </is>
      </c>
      <c r="J3179" t="inlineStr">
        <is>
          <t>https://docquery.fec.gov/cgi-bin/fecimg/?202507319764529812</t>
        </is>
      </c>
    </row>
    <row r="3180">
      <c r="A3180" t="inlineStr">
        <is>
          <t>2026</t>
        </is>
      </c>
      <c r="B3180" t="inlineStr">
        <is>
          <t>C00483677</t>
        </is>
      </c>
      <c r="C3180" t="inlineStr">
        <is>
          <t>American Petroleum Institute PAC (API PAC)</t>
        </is>
      </c>
      <c r="D3180" t="inlineStr">
        <is>
          <t>HERN FOR CONGRESS</t>
        </is>
      </c>
      <c r="E3180" t="inlineStr">
        <is>
          <t>H8OK01157</t>
        </is>
      </c>
      <c r="F3180" t="inlineStr">
        <is>
          <t>REP</t>
        </is>
      </c>
      <c r="G3180" t="inlineStr">
        <is>
          <t>03182025</t>
        </is>
      </c>
      <c r="H3180" t="n">
        <v>1000</v>
      </c>
      <c r="I3180" t="inlineStr">
        <is>
          <t>202507319764529812</t>
        </is>
      </c>
      <c r="J3180" t="inlineStr">
        <is>
          <t>https://docquery.fec.gov/cgi-bin/fecimg/?202507319764529812</t>
        </is>
      </c>
    </row>
    <row r="3181">
      <c r="A3181" t="inlineStr">
        <is>
          <t>2026</t>
        </is>
      </c>
      <c r="B3181" t="inlineStr">
        <is>
          <t>C00483677</t>
        </is>
      </c>
      <c r="C3181" t="inlineStr">
        <is>
          <t>American Petroleum Institute PAC (API PAC)</t>
        </is>
      </c>
      <c r="D3181" t="inlineStr">
        <is>
          <t>JIM JORDAN FOR CONGRESS</t>
        </is>
      </c>
      <c r="E3181" t="inlineStr">
        <is>
          <t>H6OH04082</t>
        </is>
      </c>
      <c r="F3181" t="inlineStr">
        <is>
          <t>REP</t>
        </is>
      </c>
      <c r="G3181" t="inlineStr">
        <is>
          <t>03192026</t>
        </is>
      </c>
      <c r="H3181" t="n">
        <v>1000</v>
      </c>
      <c r="I3181" t="inlineStr">
        <is>
          <t>202604209863219022</t>
        </is>
      </c>
      <c r="J3181" t="inlineStr">
        <is>
          <t>https://docquery.fec.gov/cgi-bin/fecimg/?202604209863219022</t>
        </is>
      </c>
    </row>
    <row r="3182">
      <c r="A3182" t="inlineStr">
        <is>
          <t>2026</t>
        </is>
      </c>
      <c r="B3182" t="inlineStr">
        <is>
          <t>C00483677</t>
        </is>
      </c>
      <c r="C3182" t="inlineStr">
        <is>
          <t>American Petroleum Institute PAC (API PAC)</t>
        </is>
      </c>
      <c r="D3182" t="inlineStr">
        <is>
          <t>MIKE KENNEDY FOR UTAH</t>
        </is>
      </c>
      <c r="E3182" t="inlineStr">
        <is>
          <t>H4UT03260</t>
        </is>
      </c>
      <c r="F3182" t="inlineStr">
        <is>
          <t>REP</t>
        </is>
      </c>
      <c r="G3182" t="inlineStr">
        <is>
          <t>03192026</t>
        </is>
      </c>
      <c r="H3182" t="n">
        <v>1000</v>
      </c>
      <c r="I3182" t="inlineStr">
        <is>
          <t>202604209863219023</t>
        </is>
      </c>
      <c r="J3182" t="inlineStr">
        <is>
          <t>https://docquery.fec.gov/cgi-bin/fecimg/?202604209863219023</t>
        </is>
      </c>
    </row>
    <row r="3183">
      <c r="A3183" t="inlineStr">
        <is>
          <t>2026</t>
        </is>
      </c>
      <c r="B3183" t="inlineStr">
        <is>
          <t>C00483677</t>
        </is>
      </c>
      <c r="C3183" t="inlineStr">
        <is>
          <t>American Petroleum Institute PAC (API PAC)</t>
        </is>
      </c>
      <c r="D3183" t="inlineStr">
        <is>
          <t>BILL CASSIDY FOR US SENATE</t>
        </is>
      </c>
      <c r="E3183" t="inlineStr">
        <is>
          <t>S4LA00107</t>
        </is>
      </c>
      <c r="F3183" t="inlineStr">
        <is>
          <t>REP</t>
        </is>
      </c>
      <c r="G3183" t="inlineStr">
        <is>
          <t>03242025</t>
        </is>
      </c>
      <c r="H3183" t="n">
        <v>1500</v>
      </c>
      <c r="I3183" t="inlineStr">
        <is>
          <t>202507319764529813</t>
        </is>
      </c>
      <c r="J3183" t="inlineStr">
        <is>
          <t>https://docquery.fec.gov/cgi-bin/fecimg/?202507319764529813</t>
        </is>
      </c>
    </row>
    <row r="3184">
      <c r="A3184" t="inlineStr">
        <is>
          <t>2026</t>
        </is>
      </c>
      <c r="B3184" t="inlineStr">
        <is>
          <t>C00483677</t>
        </is>
      </c>
      <c r="C3184" t="inlineStr">
        <is>
          <t>American Petroleum Institute PAC (API PAC)</t>
        </is>
      </c>
      <c r="D3184" t="inlineStr">
        <is>
          <t>CAPITO FOR WEST VIRGINIA</t>
        </is>
      </c>
      <c r="E3184" t="inlineStr">
        <is>
          <t>S4WV00159</t>
        </is>
      </c>
      <c r="F3184" t="inlineStr">
        <is>
          <t>REP</t>
        </is>
      </c>
      <c r="G3184" t="inlineStr">
        <is>
          <t>03242025</t>
        </is>
      </c>
      <c r="H3184" t="n">
        <v>1500</v>
      </c>
      <c r="I3184" t="inlineStr">
        <is>
          <t>202507319764529813</t>
        </is>
      </c>
      <c r="J3184" t="inlineStr">
        <is>
          <t>https://docquery.fec.gov/cgi-bin/fecimg/?202507319764529813</t>
        </is>
      </c>
    </row>
    <row r="3185">
      <c r="A3185" t="inlineStr">
        <is>
          <t>2026</t>
        </is>
      </c>
      <c r="B3185" t="inlineStr">
        <is>
          <t>C00483677</t>
        </is>
      </c>
      <c r="C3185" t="inlineStr">
        <is>
          <t>American Petroleum Institute PAC (API PAC)</t>
        </is>
      </c>
      <c r="D3185" t="inlineStr">
        <is>
          <t>ELECTGABEEVANS.COM</t>
        </is>
      </c>
      <c r="E3185" t="inlineStr">
        <is>
          <t>H4CO08034</t>
        </is>
      </c>
      <c r="F3185" t="inlineStr">
        <is>
          <t>REP</t>
        </is>
      </c>
      <c r="G3185" t="inlineStr">
        <is>
          <t>03242025</t>
        </is>
      </c>
      <c r="H3185" t="n">
        <v>1500</v>
      </c>
      <c r="I3185" t="inlineStr">
        <is>
          <t>202507319764529813</t>
        </is>
      </c>
      <c r="J3185" t="inlineStr">
        <is>
          <t>https://docquery.fec.gov/cgi-bin/fecimg/?202507319764529813</t>
        </is>
      </c>
    </row>
    <row r="3186">
      <c r="A3186" t="inlineStr">
        <is>
          <t>2026</t>
        </is>
      </c>
      <c r="B3186" t="inlineStr">
        <is>
          <t>C00483677</t>
        </is>
      </c>
      <c r="C3186" t="inlineStr">
        <is>
          <t>American Petroleum Institute PAC (API PAC)</t>
        </is>
      </c>
      <c r="D3186" t="inlineStr">
        <is>
          <t>LUMMIS FOR WYOMING INC.</t>
        </is>
      </c>
      <c r="E3186" t="inlineStr">
        <is>
          <t>S0WY00137</t>
        </is>
      </c>
      <c r="F3186" t="inlineStr">
        <is>
          <t>REP</t>
        </is>
      </c>
      <c r="G3186" t="inlineStr">
        <is>
          <t>03242025</t>
        </is>
      </c>
      <c r="H3186" t="n">
        <v>1500</v>
      </c>
      <c r="I3186" t="inlineStr">
        <is>
          <t>202507319764529814</t>
        </is>
      </c>
      <c r="J3186" t="inlineStr">
        <is>
          <t>https://docquery.fec.gov/cgi-bin/fecimg/?202507319764529814</t>
        </is>
      </c>
    </row>
    <row r="3187">
      <c r="A3187" t="inlineStr">
        <is>
          <t>2026</t>
        </is>
      </c>
      <c r="B3187" t="inlineStr">
        <is>
          <t>C00483677</t>
        </is>
      </c>
      <c r="C3187" t="inlineStr">
        <is>
          <t>American Petroleum Institute PAC (API PAC)</t>
        </is>
      </c>
      <c r="D3187" t="inlineStr">
        <is>
          <t>ALASKANS FOR DAN SULLIVAN</t>
        </is>
      </c>
      <c r="E3187" t="inlineStr">
        <is>
          <t>S4AK00214</t>
        </is>
      </c>
      <c r="F3187" t="inlineStr">
        <is>
          <t>REP</t>
        </is>
      </c>
      <c r="G3187" t="inlineStr">
        <is>
          <t>03262025</t>
        </is>
      </c>
      <c r="H3187" t="n">
        <v>500</v>
      </c>
      <c r="I3187" t="inlineStr">
        <is>
          <t>202507319764529814</t>
        </is>
      </c>
      <c r="J3187" t="inlineStr">
        <is>
          <t>https://docquery.fec.gov/cgi-bin/fecimg/?202507319764529814</t>
        </is>
      </c>
    </row>
    <row r="3188">
      <c r="A3188" t="inlineStr">
        <is>
          <t>2026</t>
        </is>
      </c>
      <c r="B3188" t="inlineStr">
        <is>
          <t>C00483677</t>
        </is>
      </c>
      <c r="C3188" t="inlineStr">
        <is>
          <t>American Petroleum Institute PAC (API PAC)</t>
        </is>
      </c>
      <c r="D3188" t="inlineStr">
        <is>
          <t>ALASKANS FOR DAN SULLIVAN</t>
        </is>
      </c>
      <c r="E3188" t="inlineStr">
        <is>
          <t>S4AK00214</t>
        </is>
      </c>
      <c r="F3188" t="inlineStr">
        <is>
          <t>REP</t>
        </is>
      </c>
      <c r="G3188" t="inlineStr">
        <is>
          <t>03262025</t>
        </is>
      </c>
      <c r="H3188" t="n">
        <v>1000</v>
      </c>
      <c r="I3188" t="inlineStr">
        <is>
          <t>202507319764529814</t>
        </is>
      </c>
      <c r="J3188" t="inlineStr">
        <is>
          <t>https://docquery.fec.gov/cgi-bin/fecimg/?202507319764529814</t>
        </is>
      </c>
    </row>
    <row r="3189">
      <c r="A3189" t="inlineStr">
        <is>
          <t>2026</t>
        </is>
      </c>
      <c r="B3189" t="inlineStr">
        <is>
          <t>C00483677</t>
        </is>
      </c>
      <c r="C3189" t="inlineStr">
        <is>
          <t>American Petroleum Institute PAC (API PAC)</t>
        </is>
      </c>
      <c r="D3189" t="inlineStr">
        <is>
          <t>ASHLEY FOR IOWA</t>
        </is>
      </c>
      <c r="E3189" t="inlineStr">
        <is>
          <t>S6IA00314</t>
        </is>
      </c>
      <c r="F3189" t="inlineStr">
        <is>
          <t>REP</t>
        </is>
      </c>
      <c r="G3189" t="inlineStr">
        <is>
          <t>03262026</t>
        </is>
      </c>
      <c r="H3189" t="n">
        <v>1000</v>
      </c>
      <c r="I3189" t="inlineStr">
        <is>
          <t>202604209863219023</t>
        </is>
      </c>
      <c r="J3189" t="inlineStr">
        <is>
          <t>https://docquery.fec.gov/cgi-bin/fecimg/?202604209863219023</t>
        </is>
      </c>
    </row>
    <row r="3190">
      <c r="A3190" t="inlineStr">
        <is>
          <t>2026</t>
        </is>
      </c>
      <c r="B3190" t="inlineStr">
        <is>
          <t>C00483677</t>
        </is>
      </c>
      <c r="C3190" t="inlineStr">
        <is>
          <t>American Petroleum Institute PAC (API PAC)</t>
        </is>
      </c>
      <c r="D3190" t="inlineStr">
        <is>
          <t>FRIENDS OF JOHN THUNE</t>
        </is>
      </c>
      <c r="E3190" t="inlineStr">
        <is>
          <t>S2SD00068</t>
        </is>
      </c>
      <c r="F3190" t="inlineStr">
        <is>
          <t>REP</t>
        </is>
      </c>
      <c r="G3190" t="inlineStr">
        <is>
          <t>03262026</t>
        </is>
      </c>
      <c r="H3190" t="n">
        <v>3000</v>
      </c>
      <c r="I3190" t="inlineStr">
        <is>
          <t>202604209863219023</t>
        </is>
      </c>
      <c r="J3190" t="inlineStr">
        <is>
          <t>https://docquery.fec.gov/cgi-bin/fecimg/?202604209863219023</t>
        </is>
      </c>
    </row>
    <row r="3191">
      <c r="A3191" t="inlineStr">
        <is>
          <t>2026</t>
        </is>
      </c>
      <c r="B3191" t="inlineStr">
        <is>
          <t>C00483677</t>
        </is>
      </c>
      <c r="C3191" t="inlineStr">
        <is>
          <t>American Petroleum Institute PAC (API PAC)</t>
        </is>
      </c>
      <c r="D3191" t="inlineStr">
        <is>
          <t>JESSICA STEINMANN FOR CONGRESS</t>
        </is>
      </c>
      <c r="E3191" t="inlineStr">
        <is>
          <t>H6TX08209</t>
        </is>
      </c>
      <c r="F3191" t="inlineStr">
        <is>
          <t>REP</t>
        </is>
      </c>
      <c r="G3191" t="inlineStr">
        <is>
          <t>03302026</t>
        </is>
      </c>
      <c r="H3191" t="n">
        <v>1000</v>
      </c>
      <c r="I3191" t="inlineStr">
        <is>
          <t>202604209863219024</t>
        </is>
      </c>
      <c r="J3191" t="inlineStr">
        <is>
          <t>https://docquery.fec.gov/cgi-bin/fecimg/?202604209863219024</t>
        </is>
      </c>
    </row>
    <row r="3192">
      <c r="A3192" t="inlineStr">
        <is>
          <t>2026</t>
        </is>
      </c>
      <c r="B3192" t="inlineStr">
        <is>
          <t>C00483677</t>
        </is>
      </c>
      <c r="C3192" t="inlineStr">
        <is>
          <t>American Petroleum Institute PAC (API PAC)</t>
        </is>
      </c>
      <c r="D3192" t="inlineStr">
        <is>
          <t>MARTIN HEINRICH FOR SENATE</t>
        </is>
      </c>
      <c r="E3192" t="inlineStr">
        <is>
          <t>S2NM00088</t>
        </is>
      </c>
      <c r="F3192" t="inlineStr">
        <is>
          <t>DEM</t>
        </is>
      </c>
      <c r="G3192" t="inlineStr">
        <is>
          <t>03302026</t>
        </is>
      </c>
      <c r="H3192" t="n">
        <v>2500</v>
      </c>
      <c r="I3192" t="inlineStr">
        <is>
          <t>202604209863219024</t>
        </is>
      </c>
      <c r="J3192" t="inlineStr">
        <is>
          <t>https://docquery.fec.gov/cgi-bin/fecimg/?202604209863219024</t>
        </is>
      </c>
    </row>
    <row r="3193">
      <c r="A3193" t="inlineStr">
        <is>
          <t>2026</t>
        </is>
      </c>
      <c r="B3193" t="inlineStr">
        <is>
          <t>C00483677</t>
        </is>
      </c>
      <c r="C3193" t="inlineStr">
        <is>
          <t>American Petroleum Institute PAC (API PAC)</t>
        </is>
      </c>
      <c r="D3193" t="inlineStr">
        <is>
          <t>JIM RISCH FOR U.S. SENATE COMMITTEE</t>
        </is>
      </c>
      <c r="E3193" t="inlineStr">
        <is>
          <t>S8ID00092</t>
        </is>
      </c>
      <c r="F3193" t="inlineStr">
        <is>
          <t>UNK</t>
        </is>
      </c>
      <c r="G3193" t="inlineStr">
        <is>
          <t>04022025</t>
        </is>
      </c>
      <c r="H3193" t="n">
        <v>1500</v>
      </c>
      <c r="I3193" t="inlineStr">
        <is>
          <t>202507319764529815</t>
        </is>
      </c>
      <c r="J3193" t="inlineStr">
        <is>
          <t>https://docquery.fec.gov/cgi-bin/fecimg/?202507319764529815</t>
        </is>
      </c>
    </row>
    <row r="3194">
      <c r="A3194" t="inlineStr">
        <is>
          <t>2026</t>
        </is>
      </c>
      <c r="B3194" t="inlineStr">
        <is>
          <t>C00483677</t>
        </is>
      </c>
      <c r="C3194" t="inlineStr">
        <is>
          <t>American Petroleum Institute PAC (API PAC)</t>
        </is>
      </c>
      <c r="D3194" t="inlineStr">
        <is>
          <t>JOHN JAMES FOR CONGRESS INC.</t>
        </is>
      </c>
      <c r="E3194" t="inlineStr">
        <is>
          <t>H2MI10150</t>
        </is>
      </c>
      <c r="F3194" t="inlineStr">
        <is>
          <t>REP</t>
        </is>
      </c>
      <c r="G3194" t="inlineStr">
        <is>
          <t>04082025</t>
        </is>
      </c>
      <c r="H3194" t="n">
        <v>1500</v>
      </c>
      <c r="I3194" t="inlineStr">
        <is>
          <t>202507319764529815</t>
        </is>
      </c>
      <c r="J3194" t="inlineStr">
        <is>
          <t>https://docquery.fec.gov/cgi-bin/fecimg/?202507319764529815</t>
        </is>
      </c>
    </row>
    <row r="3195">
      <c r="A3195" t="inlineStr">
        <is>
          <t>2026</t>
        </is>
      </c>
      <c r="B3195" t="inlineStr">
        <is>
          <t>C00483677</t>
        </is>
      </c>
      <c r="C3195" t="inlineStr">
        <is>
          <t>American Petroleum Institute PAC (API PAC)</t>
        </is>
      </c>
      <c r="D3195" t="inlineStr">
        <is>
          <t>MILLER-MEEKS FOR CONGRESS</t>
        </is>
      </c>
      <c r="E3195" t="inlineStr">
        <is>
          <t>H8IA02043</t>
        </is>
      </c>
      <c r="F3195" t="inlineStr">
        <is>
          <t>REP</t>
        </is>
      </c>
      <c r="G3195" t="inlineStr">
        <is>
          <t>04082025</t>
        </is>
      </c>
      <c r="H3195" t="n">
        <v>1500</v>
      </c>
      <c r="I3195" t="inlineStr">
        <is>
          <t>202507319764529815</t>
        </is>
      </c>
      <c r="J3195" t="inlineStr">
        <is>
          <t>https://docquery.fec.gov/cgi-bin/fecimg/?202507319764529815</t>
        </is>
      </c>
    </row>
    <row r="3196">
      <c r="A3196" t="inlineStr">
        <is>
          <t>2026</t>
        </is>
      </c>
      <c r="B3196" t="inlineStr">
        <is>
          <t>C00483677</t>
        </is>
      </c>
      <c r="C3196" t="inlineStr">
        <is>
          <t>American Petroleum Institute PAC (API PAC)</t>
        </is>
      </c>
      <c r="D3196" t="inlineStr">
        <is>
          <t>BICE FOR CONGRESS</t>
        </is>
      </c>
      <c r="E3196" t="inlineStr">
        <is>
          <t>H0OK05205</t>
        </is>
      </c>
      <c r="F3196" t="inlineStr">
        <is>
          <t>REP</t>
        </is>
      </c>
      <c r="G3196" t="inlineStr">
        <is>
          <t>04092026</t>
        </is>
      </c>
      <c r="H3196" t="n">
        <v>1000</v>
      </c>
      <c r="I3196" t="inlineStr">
        <is>
          <t>202605209867452426</t>
        </is>
      </c>
      <c r="J3196" t="inlineStr">
        <is>
          <t>https://docquery.fec.gov/cgi-bin/fecimg/?202605209867452426</t>
        </is>
      </c>
    </row>
    <row r="3197">
      <c r="A3197" t="inlineStr">
        <is>
          <t>2026</t>
        </is>
      </c>
      <c r="B3197" t="inlineStr">
        <is>
          <t>C00483677</t>
        </is>
      </c>
      <c r="C3197" t="inlineStr">
        <is>
          <t>American Petroleum Institute PAC (API PAC)</t>
        </is>
      </c>
      <c r="D3197" t="inlineStr">
        <is>
          <t>BRIAN FITZPATRICK FOR ALL OF US</t>
        </is>
      </c>
      <c r="E3197" t="inlineStr">
        <is>
          <t>H6PA08277</t>
        </is>
      </c>
      <c r="F3197" t="inlineStr">
        <is>
          <t>REP</t>
        </is>
      </c>
      <c r="G3197" t="inlineStr">
        <is>
          <t>04092026</t>
        </is>
      </c>
      <c r="H3197" t="n">
        <v>2500</v>
      </c>
      <c r="I3197" t="inlineStr">
        <is>
          <t>202605209867452426</t>
        </is>
      </c>
      <c r="J3197" t="inlineStr">
        <is>
          <t>https://docquery.fec.gov/cgi-bin/fecimg/?202605209867452426</t>
        </is>
      </c>
    </row>
    <row r="3198">
      <c r="A3198" t="inlineStr">
        <is>
          <t>2026</t>
        </is>
      </c>
      <c r="B3198" t="inlineStr">
        <is>
          <t>C00483677</t>
        </is>
      </c>
      <c r="C3198" t="inlineStr">
        <is>
          <t>American Petroleum Institute PAC (API PAC)</t>
        </is>
      </c>
      <c r="D3198" t="inlineStr">
        <is>
          <t>JULIE JOHNSON FOR CONGRESS</t>
        </is>
      </c>
      <c r="E3198" t="inlineStr">
        <is>
          <t>H4TX32089</t>
        </is>
      </c>
      <c r="F3198" t="inlineStr">
        <is>
          <t>DEM</t>
        </is>
      </c>
      <c r="G3198" t="inlineStr">
        <is>
          <t>04092026</t>
        </is>
      </c>
      <c r="H3198" t="n">
        <v>1000</v>
      </c>
      <c r="I3198" t="inlineStr">
        <is>
          <t>202605209867452426</t>
        </is>
      </c>
      <c r="J3198" t="inlineStr">
        <is>
          <t>https://docquery.fec.gov/cgi-bin/fecimg/?202605209867452426</t>
        </is>
      </c>
    </row>
    <row r="3199">
      <c r="A3199" t="inlineStr">
        <is>
          <t>2026</t>
        </is>
      </c>
      <c r="B3199" t="inlineStr">
        <is>
          <t>C00483677</t>
        </is>
      </c>
      <c r="C3199" t="inlineStr">
        <is>
          <t>American Petroleum Institute PAC (API PAC)</t>
        </is>
      </c>
      <c r="D3199" t="inlineStr">
        <is>
          <t>ROB FOR PA</t>
        </is>
      </c>
      <c r="E3199" t="inlineStr">
        <is>
          <t>H4PA08124</t>
        </is>
      </c>
      <c r="F3199" t="inlineStr">
        <is>
          <t>REP</t>
        </is>
      </c>
      <c r="G3199" t="inlineStr">
        <is>
          <t>04092026</t>
        </is>
      </c>
      <c r="H3199" t="n">
        <v>2500</v>
      </c>
      <c r="I3199" t="inlineStr">
        <is>
          <t>202605209867452427</t>
        </is>
      </c>
      <c r="J3199" t="inlineStr">
        <is>
          <t>https://docquery.fec.gov/cgi-bin/fecimg/?202605209867452427</t>
        </is>
      </c>
    </row>
    <row r="3200">
      <c r="A3200" t="inlineStr">
        <is>
          <t>2026</t>
        </is>
      </c>
      <c r="B3200" t="inlineStr">
        <is>
          <t>C00483677</t>
        </is>
      </c>
      <c r="C3200" t="inlineStr">
        <is>
          <t>American Petroleum Institute PAC (API PAC)</t>
        </is>
      </c>
      <c r="D3200" t="inlineStr">
        <is>
          <t>FEDORCHAK FOR ND</t>
        </is>
      </c>
      <c r="E3200" t="inlineStr">
        <is>
          <t>H4ND00061</t>
        </is>
      </c>
      <c r="F3200" t="inlineStr">
        <is>
          <t>REP</t>
        </is>
      </c>
      <c r="G3200" t="inlineStr">
        <is>
          <t>04132026</t>
        </is>
      </c>
      <c r="H3200" t="n">
        <v>2500</v>
      </c>
      <c r="I3200" t="inlineStr">
        <is>
          <t>202605209867452427</t>
        </is>
      </c>
      <c r="J3200" t="inlineStr">
        <is>
          <t>https://docquery.fec.gov/cgi-bin/fecimg/?202605209867452427</t>
        </is>
      </c>
    </row>
    <row r="3201">
      <c r="A3201" t="inlineStr">
        <is>
          <t>2026</t>
        </is>
      </c>
      <c r="B3201" t="inlineStr">
        <is>
          <t>C00483677</t>
        </is>
      </c>
      <c r="C3201" t="inlineStr">
        <is>
          <t>American Petroleum Institute PAC (API PAC)</t>
        </is>
      </c>
      <c r="D3201" t="inlineStr">
        <is>
          <t>COMMITTEE TO ELECT MIKE EZELL</t>
        </is>
      </c>
      <c r="E3201" t="inlineStr">
        <is>
          <t>H2MS04258</t>
        </is>
      </c>
      <c r="F3201" t="inlineStr">
        <is>
          <t>REP</t>
        </is>
      </c>
      <c r="G3201" t="inlineStr">
        <is>
          <t>04142025</t>
        </is>
      </c>
      <c r="H3201" t="n">
        <v>1000</v>
      </c>
      <c r="I3201" t="inlineStr">
        <is>
          <t>202507319764529816</t>
        </is>
      </c>
      <c r="J3201" t="inlineStr">
        <is>
          <t>https://docquery.fec.gov/cgi-bin/fecimg/?202507319764529816</t>
        </is>
      </c>
    </row>
    <row r="3202">
      <c r="A3202" t="inlineStr">
        <is>
          <t>2026</t>
        </is>
      </c>
      <c r="B3202" t="inlineStr">
        <is>
          <t>C00483677</t>
        </is>
      </c>
      <c r="C3202" t="inlineStr">
        <is>
          <t>American Petroleum Institute PAC (API PAC)</t>
        </is>
      </c>
      <c r="D3202" t="inlineStr">
        <is>
          <t>CRAMER FOR SENATE</t>
        </is>
      </c>
      <c r="E3202" t="inlineStr">
        <is>
          <t>S8ND00120</t>
        </is>
      </c>
      <c r="F3202" t="inlineStr">
        <is>
          <t>REP</t>
        </is>
      </c>
      <c r="G3202" t="inlineStr">
        <is>
          <t>04142025</t>
        </is>
      </c>
      <c r="H3202" t="n">
        <v>1500</v>
      </c>
      <c r="I3202" t="inlineStr">
        <is>
          <t>202507319764529816</t>
        </is>
      </c>
      <c r="J3202" t="inlineStr">
        <is>
          <t>https://docquery.fec.gov/cgi-bin/fecimg/?202507319764529816</t>
        </is>
      </c>
    </row>
    <row r="3203">
      <c r="A3203" t="inlineStr">
        <is>
          <t>2026</t>
        </is>
      </c>
      <c r="B3203" t="inlineStr">
        <is>
          <t>C00483677</t>
        </is>
      </c>
      <c r="C3203" t="inlineStr">
        <is>
          <t>American Petroleum Institute PAC (API PAC)</t>
        </is>
      </c>
      <c r="D3203" t="inlineStr">
        <is>
          <t>DAN NEWHOUSE FOR CONGRESS</t>
        </is>
      </c>
      <c r="E3203" t="inlineStr">
        <is>
          <t>H4WA04104</t>
        </is>
      </c>
      <c r="F3203" t="inlineStr">
        <is>
          <t>REP</t>
        </is>
      </c>
      <c r="G3203" t="inlineStr">
        <is>
          <t>04142025</t>
        </is>
      </c>
      <c r="H3203" t="n">
        <v>1500</v>
      </c>
      <c r="I3203" t="inlineStr">
        <is>
          <t>202507319764529816</t>
        </is>
      </c>
      <c r="J3203" t="inlineStr">
        <is>
          <t>https://docquery.fec.gov/cgi-bin/fecimg/?202507319764529816</t>
        </is>
      </c>
    </row>
    <row r="3204">
      <c r="A3204" t="inlineStr">
        <is>
          <t>2026</t>
        </is>
      </c>
      <c r="B3204" t="inlineStr">
        <is>
          <t>C00483677</t>
        </is>
      </c>
      <c r="C3204" t="inlineStr">
        <is>
          <t>American Petroleum Institute PAC (API PAC)</t>
        </is>
      </c>
      <c r="D3204" t="inlineStr">
        <is>
          <t>AUGUST PFLUGER FOR CONGRESS</t>
        </is>
      </c>
      <c r="E3204" t="inlineStr">
        <is>
          <t>H0TX11230</t>
        </is>
      </c>
      <c r="F3204" t="inlineStr">
        <is>
          <t>REP</t>
        </is>
      </c>
      <c r="G3204" t="inlineStr">
        <is>
          <t>04172025</t>
        </is>
      </c>
      <c r="H3204" t="n">
        <v>2500</v>
      </c>
      <c r="I3204" t="inlineStr">
        <is>
          <t>202507319764529817</t>
        </is>
      </c>
      <c r="J3204" t="inlineStr">
        <is>
          <t>https://docquery.fec.gov/cgi-bin/fecimg/?202507319764529817</t>
        </is>
      </c>
    </row>
    <row r="3205">
      <c r="A3205" t="inlineStr">
        <is>
          <t>2026</t>
        </is>
      </c>
      <c r="B3205" t="inlineStr">
        <is>
          <t>C00483677</t>
        </is>
      </c>
      <c r="C3205" t="inlineStr">
        <is>
          <t>American Petroleum Institute PAC (API PAC)</t>
        </is>
      </c>
      <c r="D3205" t="inlineStr">
        <is>
          <t>NEVADANS FOR STEVEN HORSFORD</t>
        </is>
      </c>
      <c r="E3205" t="inlineStr">
        <is>
          <t>H2NV04011</t>
        </is>
      </c>
      <c r="F3205" t="inlineStr">
        <is>
          <t>DEM</t>
        </is>
      </c>
      <c r="G3205" t="inlineStr">
        <is>
          <t>04172025</t>
        </is>
      </c>
      <c r="H3205" t="n">
        <v>1000</v>
      </c>
      <c r="I3205" t="inlineStr">
        <is>
          <t>202507319764529817</t>
        </is>
      </c>
      <c r="J3205" t="inlineStr">
        <is>
          <t>https://docquery.fec.gov/cgi-bin/fecimg/?202507319764529817</t>
        </is>
      </c>
    </row>
    <row r="3206">
      <c r="A3206" t="inlineStr">
        <is>
          <t>2026</t>
        </is>
      </c>
      <c r="B3206" t="inlineStr">
        <is>
          <t>C00483677</t>
        </is>
      </c>
      <c r="C3206" t="inlineStr">
        <is>
          <t>American Petroleum Institute PAC (API PAC)</t>
        </is>
      </c>
      <c r="D3206" t="inlineStr">
        <is>
          <t>ELIZABETH PANNILL FLETCHER FOR CONGRESS</t>
        </is>
      </c>
      <c r="E3206" t="inlineStr">
        <is>
          <t>H8TX07140</t>
        </is>
      </c>
      <c r="F3206" t="inlineStr">
        <is>
          <t>DEM</t>
        </is>
      </c>
      <c r="G3206" t="inlineStr">
        <is>
          <t>04202026</t>
        </is>
      </c>
      <c r="H3206" t="n">
        <v>1000</v>
      </c>
      <c r="I3206" t="inlineStr">
        <is>
          <t>202605209867452427</t>
        </is>
      </c>
      <c r="J3206" t="inlineStr">
        <is>
          <t>https://docquery.fec.gov/cgi-bin/fecimg/?202605209867452427</t>
        </is>
      </c>
    </row>
    <row r="3207">
      <c r="A3207" t="inlineStr">
        <is>
          <t>2026</t>
        </is>
      </c>
      <c r="B3207" t="inlineStr">
        <is>
          <t>C00483677</t>
        </is>
      </c>
      <c r="C3207" t="inlineStr">
        <is>
          <t>American Petroleum Institute PAC (API PAC)</t>
        </is>
      </c>
      <c r="D3207" t="inlineStr">
        <is>
          <t>TEAM HAGERTY</t>
        </is>
      </c>
      <c r="E3207" t="inlineStr">
        <is>
          <t>S0TN00169</t>
        </is>
      </c>
      <c r="F3207" t="inlineStr">
        <is>
          <t>REP</t>
        </is>
      </c>
      <c r="G3207" t="inlineStr">
        <is>
          <t>04202026</t>
        </is>
      </c>
      <c r="H3207" t="n">
        <v>2500</v>
      </c>
      <c r="I3207" t="inlineStr">
        <is>
          <t>202605209867452428</t>
        </is>
      </c>
      <c r="J3207" t="inlineStr">
        <is>
          <t>https://docquery.fec.gov/cgi-bin/fecimg/?202605209867452428</t>
        </is>
      </c>
    </row>
    <row r="3208">
      <c r="A3208" t="inlineStr">
        <is>
          <t>2026</t>
        </is>
      </c>
      <c r="B3208" t="inlineStr">
        <is>
          <t>C00483677</t>
        </is>
      </c>
      <c r="C3208" t="inlineStr">
        <is>
          <t>American Petroleum Institute PAC (API PAC)</t>
        </is>
      </c>
      <c r="D3208" t="inlineStr">
        <is>
          <t>JESSICA STEINMANN FOR CONGRESS</t>
        </is>
      </c>
      <c r="E3208" t="inlineStr">
        <is>
          <t>H6TX08209</t>
        </is>
      </c>
      <c r="F3208" t="inlineStr">
        <is>
          <t>REP</t>
        </is>
      </c>
      <c r="G3208" t="inlineStr">
        <is>
          <t>04232026</t>
        </is>
      </c>
      <c r="H3208" t="n">
        <v>-1000</v>
      </c>
      <c r="I3208" t="inlineStr">
        <is>
          <t>202605209867452428</t>
        </is>
      </c>
      <c r="J3208" t="inlineStr">
        <is>
          <t>https://docquery.fec.gov/cgi-bin/fecimg/?202605209867452428</t>
        </is>
      </c>
    </row>
    <row r="3209">
      <c r="A3209" t="inlineStr">
        <is>
          <t>2026</t>
        </is>
      </c>
      <c r="B3209" t="inlineStr">
        <is>
          <t>C00483677</t>
        </is>
      </c>
      <c r="C3209" t="inlineStr">
        <is>
          <t>American Petroleum Institute PAC (API PAC)</t>
        </is>
      </c>
      <c r="D3209" t="inlineStr">
        <is>
          <t>EMMER FOR CONGRESS</t>
        </is>
      </c>
      <c r="E3209" t="inlineStr">
        <is>
          <t>H4MN06087</t>
        </is>
      </c>
      <c r="F3209" t="inlineStr">
        <is>
          <t>REP</t>
        </is>
      </c>
      <c r="G3209" t="inlineStr">
        <is>
          <t>04292025</t>
        </is>
      </c>
      <c r="H3209" t="n">
        <v>2500</v>
      </c>
      <c r="I3209" t="inlineStr">
        <is>
          <t>202507319764529818</t>
        </is>
      </c>
      <c r="J3209" t="inlineStr">
        <is>
          <t>https://docquery.fec.gov/cgi-bin/fecimg/?202507319764529818</t>
        </is>
      </c>
    </row>
    <row r="3210">
      <c r="A3210" t="inlineStr">
        <is>
          <t>2026</t>
        </is>
      </c>
      <c r="B3210" t="inlineStr">
        <is>
          <t>C00483677</t>
        </is>
      </c>
      <c r="C3210" t="inlineStr">
        <is>
          <t>American Petroleum Institute PAC (API PAC)</t>
        </is>
      </c>
      <c r="D3210" t="inlineStr">
        <is>
          <t>CAREY FOR CONGRESS</t>
        </is>
      </c>
      <c r="E3210" t="inlineStr">
        <is>
          <t>H2OH15228</t>
        </is>
      </c>
      <c r="F3210" t="inlineStr">
        <is>
          <t>REP</t>
        </is>
      </c>
      <c r="G3210" t="inlineStr">
        <is>
          <t>04292025</t>
        </is>
      </c>
      <c r="H3210" t="n">
        <v>1500</v>
      </c>
      <c r="I3210" t="inlineStr">
        <is>
          <t>202507319764529817</t>
        </is>
      </c>
      <c r="J3210" t="inlineStr">
        <is>
          <t>https://docquery.fec.gov/cgi-bin/fecimg/?202507319764529817</t>
        </is>
      </c>
    </row>
    <row r="3211">
      <c r="A3211" t="inlineStr">
        <is>
          <t>2026</t>
        </is>
      </c>
      <c r="B3211" t="inlineStr">
        <is>
          <t>C00483677</t>
        </is>
      </c>
      <c r="C3211" t="inlineStr">
        <is>
          <t>American Petroleum Institute PAC (API PAC)</t>
        </is>
      </c>
      <c r="D3211" t="inlineStr">
        <is>
          <t>FAMILIES FOR JAMES LANKFORD</t>
        </is>
      </c>
      <c r="E3211" t="inlineStr">
        <is>
          <t>S4OK00232</t>
        </is>
      </c>
      <c r="F3211" t="inlineStr">
        <is>
          <t>REP</t>
        </is>
      </c>
      <c r="G3211" t="inlineStr">
        <is>
          <t>04292025</t>
        </is>
      </c>
      <c r="H3211" t="n">
        <v>1500</v>
      </c>
      <c r="I3211" t="inlineStr">
        <is>
          <t>202507319764529818</t>
        </is>
      </c>
      <c r="J3211" t="inlineStr">
        <is>
          <t>https://docquery.fec.gov/cgi-bin/fecimg/?202507319764529818</t>
        </is>
      </c>
    </row>
    <row r="3212">
      <c r="A3212" t="inlineStr">
        <is>
          <t>2026</t>
        </is>
      </c>
      <c r="B3212" t="inlineStr">
        <is>
          <t>C00483677</t>
        </is>
      </c>
      <c r="C3212" t="inlineStr">
        <is>
          <t>American Petroleum Institute PAC (API PAC)</t>
        </is>
      </c>
      <c r="D3212" t="inlineStr">
        <is>
          <t>LISA MCCLAIN FOR CONGRESS</t>
        </is>
      </c>
      <c r="E3212" t="inlineStr">
        <is>
          <t>H0MI10287</t>
        </is>
      </c>
      <c r="F3212" t="inlineStr">
        <is>
          <t>REP</t>
        </is>
      </c>
      <c r="G3212" t="inlineStr">
        <is>
          <t>04292025</t>
        </is>
      </c>
      <c r="H3212" t="n">
        <v>2500</v>
      </c>
      <c r="I3212" t="inlineStr">
        <is>
          <t>202507319764529818</t>
        </is>
      </c>
      <c r="J3212" t="inlineStr">
        <is>
          <t>https://docquery.fec.gov/cgi-bin/fecimg/?202507319764529818</t>
        </is>
      </c>
    </row>
    <row r="3213">
      <c r="A3213" t="inlineStr">
        <is>
          <t>2026</t>
        </is>
      </c>
      <c r="B3213" t="inlineStr">
        <is>
          <t>C00483677</t>
        </is>
      </c>
      <c r="C3213" t="inlineStr">
        <is>
          <t>American Petroleum Institute PAC (API PAC)</t>
        </is>
      </c>
      <c r="D3213" t="inlineStr">
        <is>
          <t>MARTIN HEINRICH FOR SENATE</t>
        </is>
      </c>
      <c r="E3213" t="inlineStr">
        <is>
          <t>S2NM00088</t>
        </is>
      </c>
      <c r="F3213" t="inlineStr">
        <is>
          <t>DEM</t>
        </is>
      </c>
      <c r="G3213" t="inlineStr">
        <is>
          <t>04292025</t>
        </is>
      </c>
      <c r="H3213" t="n">
        <v>2500</v>
      </c>
      <c r="I3213" t="inlineStr">
        <is>
          <t>202507319764529819</t>
        </is>
      </c>
      <c r="J3213" t="inlineStr">
        <is>
          <t>https://docquery.fec.gov/cgi-bin/fecimg/?202507319764529819</t>
        </is>
      </c>
    </row>
    <row r="3214">
      <c r="A3214" t="inlineStr">
        <is>
          <t>2026</t>
        </is>
      </c>
      <c r="B3214" t="inlineStr">
        <is>
          <t>C00483677</t>
        </is>
      </c>
      <c r="C3214" t="inlineStr">
        <is>
          <t>American Petroleum Institute PAC (API PAC)</t>
        </is>
      </c>
      <c r="D3214" t="inlineStr">
        <is>
          <t>TEXANS FOR HENRY CUELLAR CONGRESSIONAL</t>
        </is>
      </c>
      <c r="E3214" t="inlineStr">
        <is>
          <t>H2TX23082</t>
        </is>
      </c>
      <c r="F3214" t="inlineStr">
        <is>
          <t>DEM</t>
        </is>
      </c>
      <c r="G3214" t="inlineStr">
        <is>
          <t>04292025</t>
        </is>
      </c>
      <c r="H3214" t="n">
        <v>1500</v>
      </c>
      <c r="I3214" t="inlineStr">
        <is>
          <t>202507319764529819</t>
        </is>
      </c>
      <c r="J3214" t="inlineStr">
        <is>
          <t>https://docquery.fec.gov/cgi-bin/fecimg/?202507319764529819</t>
        </is>
      </c>
    </row>
    <row r="3215">
      <c r="A3215" t="inlineStr">
        <is>
          <t>2026</t>
        </is>
      </c>
      <c r="B3215" t="inlineStr">
        <is>
          <t>C00483677</t>
        </is>
      </c>
      <c r="C3215" t="inlineStr">
        <is>
          <t>American Petroleum Institute PAC (API PAC)</t>
        </is>
      </c>
      <c r="D3215" t="inlineStr">
        <is>
          <t>VICENTE GONZALEZ FOR CONGRESS</t>
        </is>
      </c>
      <c r="E3215" t="inlineStr">
        <is>
          <t>H6TX15162</t>
        </is>
      </c>
      <c r="F3215" t="inlineStr">
        <is>
          <t>DEM</t>
        </is>
      </c>
      <c r="G3215" t="inlineStr">
        <is>
          <t>04292025</t>
        </is>
      </c>
      <c r="H3215" t="n">
        <v>2500</v>
      </c>
      <c r="I3215" t="inlineStr">
        <is>
          <t>202507319764529819</t>
        </is>
      </c>
      <c r="J3215" t="inlineStr">
        <is>
          <t>https://docquery.fec.gov/cgi-bin/fecimg/?202507319764529819</t>
        </is>
      </c>
    </row>
    <row r="3216">
      <c r="A3216" t="inlineStr">
        <is>
          <t>2026</t>
        </is>
      </c>
      <c r="B3216" t="inlineStr">
        <is>
          <t>C00483677</t>
        </is>
      </c>
      <c r="C3216" t="inlineStr">
        <is>
          <t>American Petroleum Institute PAC (API PAC)</t>
        </is>
      </c>
      <c r="D3216" t="inlineStr">
        <is>
          <t>WESTERMAN FOR CONGRESS</t>
        </is>
      </c>
      <c r="E3216" t="inlineStr">
        <is>
          <t>H4AR04048</t>
        </is>
      </c>
      <c r="F3216" t="inlineStr">
        <is>
          <t>REP</t>
        </is>
      </c>
      <c r="G3216" t="inlineStr">
        <is>
          <t>04292025</t>
        </is>
      </c>
      <c r="H3216" t="n">
        <v>2500</v>
      </c>
      <c r="I3216" t="inlineStr">
        <is>
          <t>202507319764529820</t>
        </is>
      </c>
      <c r="J3216" t="inlineStr">
        <is>
          <t>https://docquery.fec.gov/cgi-bin/fecimg/?202507319764529820</t>
        </is>
      </c>
    </row>
    <row r="3217">
      <c r="A3217" t="inlineStr">
        <is>
          <t>2026</t>
        </is>
      </c>
      <c r="B3217" t="inlineStr">
        <is>
          <t>C00483677</t>
        </is>
      </c>
      <c r="C3217" t="inlineStr">
        <is>
          <t>American Petroleum Institute PAC (API PAC)</t>
        </is>
      </c>
      <c r="D3217" t="inlineStr">
        <is>
          <t>EMMER FOR CONGRESS</t>
        </is>
      </c>
      <c r="E3217" t="inlineStr">
        <is>
          <t>H4MN06087</t>
        </is>
      </c>
      <c r="F3217" t="inlineStr">
        <is>
          <t>REP</t>
        </is>
      </c>
      <c r="G3217" t="inlineStr">
        <is>
          <t>05012025</t>
        </is>
      </c>
      <c r="H3217" t="n">
        <v>2500</v>
      </c>
      <c r="I3217" t="inlineStr">
        <is>
          <t>202507319764529820</t>
        </is>
      </c>
      <c r="J3217" t="inlineStr">
        <is>
          <t>https://docquery.fec.gov/cgi-bin/fecimg/?202507319764529820</t>
        </is>
      </c>
    </row>
    <row r="3218">
      <c r="A3218" t="inlineStr">
        <is>
          <t>2026</t>
        </is>
      </c>
      <c r="B3218" t="inlineStr">
        <is>
          <t>C00483677</t>
        </is>
      </c>
      <c r="C3218" t="inlineStr">
        <is>
          <t>American Petroleum Institute PAC (API PAC)</t>
        </is>
      </c>
      <c r="D3218" t="inlineStr">
        <is>
          <t>HUSTED FOR SENATE</t>
        </is>
      </c>
      <c r="E3218" t="inlineStr">
        <is>
          <t>S6OH00304</t>
        </is>
      </c>
      <c r="F3218" t="inlineStr">
        <is>
          <t>REP</t>
        </is>
      </c>
      <c r="G3218" t="inlineStr">
        <is>
          <t>05012025</t>
        </is>
      </c>
      <c r="H3218" t="n">
        <v>2000</v>
      </c>
      <c r="I3218" t="inlineStr">
        <is>
          <t>202507319764529820</t>
        </is>
      </c>
      <c r="J3218" t="inlineStr">
        <is>
          <t>https://docquery.fec.gov/cgi-bin/fecimg/?202507319764529820</t>
        </is>
      </c>
    </row>
    <row r="3219">
      <c r="A3219" t="inlineStr">
        <is>
          <t>2026</t>
        </is>
      </c>
      <c r="B3219" t="inlineStr">
        <is>
          <t>C00483677</t>
        </is>
      </c>
      <c r="C3219" t="inlineStr">
        <is>
          <t>American Petroleum Institute PAC (API PAC)</t>
        </is>
      </c>
      <c r="D3219" t="inlineStr">
        <is>
          <t>JEFF HURD FOR CONGRESS</t>
        </is>
      </c>
      <c r="E3219" t="inlineStr">
        <is>
          <t>H4CO03357</t>
        </is>
      </c>
      <c r="F3219" t="inlineStr">
        <is>
          <t>REP</t>
        </is>
      </c>
      <c r="G3219" t="inlineStr">
        <is>
          <t>05012026</t>
        </is>
      </c>
      <c r="H3219" t="n">
        <v>500</v>
      </c>
      <c r="I3219" t="inlineStr">
        <is>
          <t>202606209870855309</t>
        </is>
      </c>
      <c r="J3219" t="inlineStr">
        <is>
          <t>https://docquery.fec.gov/cgi-bin/fecimg/?202606209870855309</t>
        </is>
      </c>
    </row>
    <row r="3220">
      <c r="A3220" t="inlineStr">
        <is>
          <t>2026</t>
        </is>
      </c>
      <c r="B3220" t="inlineStr">
        <is>
          <t>C00483677</t>
        </is>
      </c>
      <c r="C3220" t="inlineStr">
        <is>
          <t>American Petroleum Institute PAC (API PAC)</t>
        </is>
      </c>
      <c r="D3220" t="inlineStr">
        <is>
          <t>JASON SMITH FOR CONGRESS</t>
        </is>
      </c>
      <c r="E3220" t="inlineStr">
        <is>
          <t>H4MO08162</t>
        </is>
      </c>
      <c r="F3220" t="inlineStr">
        <is>
          <t>REP</t>
        </is>
      </c>
      <c r="G3220" t="inlineStr">
        <is>
          <t>05052025</t>
        </is>
      </c>
      <c r="H3220" t="n">
        <v>2500</v>
      </c>
      <c r="I3220" t="inlineStr">
        <is>
          <t>202507319764529821</t>
        </is>
      </c>
      <c r="J3220" t="inlineStr">
        <is>
          <t>https://docquery.fec.gov/cgi-bin/fecimg/?202507319764529821</t>
        </is>
      </c>
    </row>
    <row r="3221">
      <c r="A3221" t="inlineStr">
        <is>
          <t>2026</t>
        </is>
      </c>
      <c r="B3221" t="inlineStr">
        <is>
          <t>C00483677</t>
        </is>
      </c>
      <c r="C3221" t="inlineStr">
        <is>
          <t>American Petroleum Institute PAC (API PAC)</t>
        </is>
      </c>
      <c r="D3221" t="inlineStr">
        <is>
          <t>MAX MILLER FOR CONGRESS</t>
        </is>
      </c>
      <c r="E3221" t="inlineStr">
        <is>
          <t>H2OH16051</t>
        </is>
      </c>
      <c r="F3221" t="inlineStr">
        <is>
          <t>REP</t>
        </is>
      </c>
      <c r="G3221" t="inlineStr">
        <is>
          <t>05052025</t>
        </is>
      </c>
      <c r="H3221" t="n">
        <v>1500</v>
      </c>
      <c r="I3221" t="inlineStr">
        <is>
          <t>202507319764529821</t>
        </is>
      </c>
      <c r="J3221" t="inlineStr">
        <is>
          <t>https://docquery.fec.gov/cgi-bin/fecimg/?202507319764529821</t>
        </is>
      </c>
    </row>
    <row r="3222">
      <c r="A3222" t="inlineStr">
        <is>
          <t>2026</t>
        </is>
      </c>
      <c r="B3222" t="inlineStr">
        <is>
          <t>C00483677</t>
        </is>
      </c>
      <c r="C3222" t="inlineStr">
        <is>
          <t>American Petroleum Institute PAC (API PAC)</t>
        </is>
      </c>
      <c r="D3222" t="inlineStr">
        <is>
          <t>LISA MURKOWSKI FOR US SENATE</t>
        </is>
      </c>
      <c r="E3222" t="inlineStr">
        <is>
          <t>S4AK00099</t>
        </is>
      </c>
      <c r="F3222" t="inlineStr">
        <is>
          <t>REP</t>
        </is>
      </c>
      <c r="G3222" t="inlineStr">
        <is>
          <t>05092025</t>
        </is>
      </c>
      <c r="H3222" t="n">
        <v>1500</v>
      </c>
      <c r="I3222" t="inlineStr">
        <is>
          <t>202507319764529821</t>
        </is>
      </c>
      <c r="J3222" t="inlineStr">
        <is>
          <t>https://docquery.fec.gov/cgi-bin/fecimg/?202507319764529821</t>
        </is>
      </c>
    </row>
    <row r="3223">
      <c r="A3223" t="inlineStr">
        <is>
          <t>2026</t>
        </is>
      </c>
      <c r="B3223" t="inlineStr">
        <is>
          <t>C00483677</t>
        </is>
      </c>
      <c r="C3223" t="inlineStr">
        <is>
          <t>American Petroleum Institute PAC (API PAC)</t>
        </is>
      </c>
      <c r="D3223" t="inlineStr">
        <is>
          <t>PEOPLE FOR BEN</t>
        </is>
      </c>
      <c r="E3223" t="inlineStr">
        <is>
          <t>S0NM00058</t>
        </is>
      </c>
      <c r="F3223" t="inlineStr">
        <is>
          <t>DEM</t>
        </is>
      </c>
      <c r="G3223" t="inlineStr">
        <is>
          <t>05152026</t>
        </is>
      </c>
      <c r="H3223" t="n">
        <v>1500</v>
      </c>
      <c r="I3223" t="inlineStr">
        <is>
          <t>202606209870855309</t>
        </is>
      </c>
      <c r="J3223" t="inlineStr">
        <is>
          <t>https://docquery.fec.gov/cgi-bin/fecimg/?202606209870855309</t>
        </is>
      </c>
    </row>
    <row r="3224">
      <c r="A3224" t="inlineStr">
        <is>
          <t>2026</t>
        </is>
      </c>
      <c r="B3224" t="inlineStr">
        <is>
          <t>C00483677</t>
        </is>
      </c>
      <c r="C3224" t="inlineStr">
        <is>
          <t>American Petroleum Institute PAC (API PAC)</t>
        </is>
      </c>
      <c r="D3224" t="inlineStr">
        <is>
          <t>LISA MCCLAIN FOR CONGRESS</t>
        </is>
      </c>
      <c r="E3224" t="inlineStr">
        <is>
          <t>H0MI10287</t>
        </is>
      </c>
      <c r="F3224" t="inlineStr">
        <is>
          <t>REP</t>
        </is>
      </c>
      <c r="G3224" t="inlineStr">
        <is>
          <t>05192025</t>
        </is>
      </c>
      <c r="H3224" t="n">
        <v>1500</v>
      </c>
      <c r="I3224" t="inlineStr">
        <is>
          <t>202507319764529822</t>
        </is>
      </c>
      <c r="J3224" t="inlineStr">
        <is>
          <t>https://docquery.fec.gov/cgi-bin/fecimg/?202507319764529822</t>
        </is>
      </c>
    </row>
    <row r="3225">
      <c r="A3225" t="inlineStr">
        <is>
          <t>2026</t>
        </is>
      </c>
      <c r="B3225" t="inlineStr">
        <is>
          <t>C00483677</t>
        </is>
      </c>
      <c r="C3225" t="inlineStr">
        <is>
          <t>American Petroleum Institute PAC (API PAC)</t>
        </is>
      </c>
      <c r="D3225" t="inlineStr">
        <is>
          <t>DEB FISCHER FOR US SENATE</t>
        </is>
      </c>
      <c r="E3225" t="inlineStr">
        <is>
          <t>S2NE00094</t>
        </is>
      </c>
      <c r="F3225" t="inlineStr">
        <is>
          <t>REP</t>
        </is>
      </c>
      <c r="G3225" t="inlineStr">
        <is>
          <t>05192025</t>
        </is>
      </c>
      <c r="H3225" t="n">
        <v>1500</v>
      </c>
      <c r="I3225" t="inlineStr">
        <is>
          <t>202507319764529822</t>
        </is>
      </c>
      <c r="J3225" t="inlineStr">
        <is>
          <t>https://docquery.fec.gov/cgi-bin/fecimg/?202507319764529822</t>
        </is>
      </c>
    </row>
    <row r="3226">
      <c r="A3226" t="inlineStr">
        <is>
          <t>2026</t>
        </is>
      </c>
      <c r="B3226" t="inlineStr">
        <is>
          <t>C00483677</t>
        </is>
      </c>
      <c r="C3226" t="inlineStr">
        <is>
          <t>American Petroleum Institute PAC (API PAC)</t>
        </is>
      </c>
      <c r="D3226" t="inlineStr">
        <is>
          <t>LUMMIS FOR WYOMING INC.</t>
        </is>
      </c>
      <c r="E3226" t="inlineStr">
        <is>
          <t>S0WY00137</t>
        </is>
      </c>
      <c r="F3226" t="inlineStr">
        <is>
          <t>REP</t>
        </is>
      </c>
      <c r="G3226" t="inlineStr">
        <is>
          <t>05192025</t>
        </is>
      </c>
      <c r="H3226" t="n">
        <v>1500</v>
      </c>
      <c r="I3226" t="inlineStr">
        <is>
          <t>202507319764529822</t>
        </is>
      </c>
      <c r="J3226" t="inlineStr">
        <is>
          <t>https://docquery.fec.gov/cgi-bin/fecimg/?202507319764529822</t>
        </is>
      </c>
    </row>
    <row r="3227">
      <c r="A3227" t="inlineStr">
        <is>
          <t>2026</t>
        </is>
      </c>
      <c r="B3227" t="inlineStr">
        <is>
          <t>C00483677</t>
        </is>
      </c>
      <c r="C3227" t="inlineStr">
        <is>
          <t>American Petroleum Institute PAC (API PAC)</t>
        </is>
      </c>
      <c r="D3227" t="inlineStr">
        <is>
          <t>MARIE FOR CONGRESS</t>
        </is>
      </c>
      <c r="E3227" t="inlineStr">
        <is>
          <t>H2WA03217</t>
        </is>
      </c>
      <c r="F3227" t="inlineStr">
        <is>
          <t>DEM</t>
        </is>
      </c>
      <c r="G3227" t="inlineStr">
        <is>
          <t>05192025</t>
        </is>
      </c>
      <c r="H3227" t="n">
        <v>1500</v>
      </c>
      <c r="I3227" t="inlineStr">
        <is>
          <t>202507319764529823</t>
        </is>
      </c>
      <c r="J3227" t="inlineStr">
        <is>
          <t>https://docquery.fec.gov/cgi-bin/fecimg/?202507319764529823</t>
        </is>
      </c>
    </row>
    <row r="3228">
      <c r="A3228" t="inlineStr">
        <is>
          <t>2026</t>
        </is>
      </c>
      <c r="B3228" t="inlineStr">
        <is>
          <t>C00483677</t>
        </is>
      </c>
      <c r="C3228" t="inlineStr">
        <is>
          <t>American Petroleum Institute PAC (API PAC)</t>
        </is>
      </c>
      <c r="D3228" t="inlineStr">
        <is>
          <t>JULIA LETLOW FOR CONGRESS</t>
        </is>
      </c>
      <c r="E3228" t="inlineStr">
        <is>
          <t>H2LA05126</t>
        </is>
      </c>
      <c r="F3228" t="inlineStr">
        <is>
          <t>REP</t>
        </is>
      </c>
      <c r="G3228" t="inlineStr">
        <is>
          <t>05192026</t>
        </is>
      </c>
      <c r="H3228" t="n">
        <v>1500</v>
      </c>
      <c r="I3228" t="inlineStr">
        <is>
          <t>202606209870855309</t>
        </is>
      </c>
      <c r="J3228" t="inlineStr">
        <is>
          <t>https://docquery.fec.gov/cgi-bin/fecimg/?202606209870855309</t>
        </is>
      </c>
    </row>
    <row r="3229">
      <c r="A3229" t="inlineStr">
        <is>
          <t>2026</t>
        </is>
      </c>
      <c r="B3229" t="inlineStr">
        <is>
          <t>C00483677</t>
        </is>
      </c>
      <c r="C3229" t="inlineStr">
        <is>
          <t>American Petroleum Institute PAC (API PAC)</t>
        </is>
      </c>
      <c r="D3229" t="inlineStr">
        <is>
          <t>MARTIN HEINRICH FOR SENATE</t>
        </is>
      </c>
      <c r="E3229" t="inlineStr">
        <is>
          <t>S2NM00088</t>
        </is>
      </c>
      <c r="F3229" t="inlineStr">
        <is>
          <t>DEM</t>
        </is>
      </c>
      <c r="G3229" t="inlineStr">
        <is>
          <t>05192026</t>
        </is>
      </c>
      <c r="H3229" t="n">
        <v>1000</v>
      </c>
      <c r="I3229" t="inlineStr">
        <is>
          <t>202606209870855310</t>
        </is>
      </c>
      <c r="J3229" t="inlineStr">
        <is>
          <t>https://docquery.fec.gov/cgi-bin/fecimg/?202606209870855310</t>
        </is>
      </c>
    </row>
    <row r="3230">
      <c r="A3230" t="inlineStr">
        <is>
          <t>2026</t>
        </is>
      </c>
      <c r="B3230" t="inlineStr">
        <is>
          <t>C00483677</t>
        </is>
      </c>
      <c r="C3230" t="inlineStr">
        <is>
          <t>American Petroleum Institute PAC (API PAC)</t>
        </is>
      </c>
      <c r="D3230" t="inlineStr">
        <is>
          <t>MIKE KENNEDY FOR UTAH</t>
        </is>
      </c>
      <c r="E3230" t="inlineStr">
        <is>
          <t>H4UT03260</t>
        </is>
      </c>
      <c r="F3230" t="inlineStr">
        <is>
          <t>REP</t>
        </is>
      </c>
      <c r="G3230" t="inlineStr">
        <is>
          <t>05192026</t>
        </is>
      </c>
      <c r="H3230" t="n">
        <v>1000</v>
      </c>
      <c r="I3230" t="inlineStr">
        <is>
          <t>202606209870855310</t>
        </is>
      </c>
      <c r="J3230" t="inlineStr">
        <is>
          <t>https://docquery.fec.gov/cgi-bin/fecimg/?202606209870855310</t>
        </is>
      </c>
    </row>
    <row r="3231">
      <c r="A3231" t="inlineStr">
        <is>
          <t>2026</t>
        </is>
      </c>
      <c r="B3231" t="inlineStr">
        <is>
          <t>C00483677</t>
        </is>
      </c>
      <c r="C3231" t="inlineStr">
        <is>
          <t>American Petroleum Institute PAC (API PAC)</t>
        </is>
      </c>
      <c r="D3231" t="inlineStr">
        <is>
          <t>WESTERMAN FOR CONGRESS</t>
        </is>
      </c>
      <c r="E3231" t="inlineStr">
        <is>
          <t>H4AR04048</t>
        </is>
      </c>
      <c r="F3231" t="inlineStr">
        <is>
          <t>REP</t>
        </is>
      </c>
      <c r="G3231" t="inlineStr">
        <is>
          <t>05192026</t>
        </is>
      </c>
      <c r="H3231" t="n">
        <v>1000</v>
      </c>
      <c r="I3231" t="inlineStr">
        <is>
          <t>202606209870855310</t>
        </is>
      </c>
      <c r="J3231" t="inlineStr">
        <is>
          <t>https://docquery.fec.gov/cgi-bin/fecimg/?202606209870855310</t>
        </is>
      </c>
    </row>
    <row r="3232">
      <c r="A3232" t="inlineStr">
        <is>
          <t>2026</t>
        </is>
      </c>
      <c r="B3232" t="inlineStr">
        <is>
          <t>C00483677</t>
        </is>
      </c>
      <c r="C3232" t="inlineStr">
        <is>
          <t>American Petroleum Institute PAC (API PAC)</t>
        </is>
      </c>
      <c r="D3232" t="inlineStr">
        <is>
          <t>CAPITO FOR WEST VIRGINIA</t>
        </is>
      </c>
      <c r="E3232" t="inlineStr">
        <is>
          <t>S4WV00159</t>
        </is>
      </c>
      <c r="F3232" t="inlineStr">
        <is>
          <t>REP</t>
        </is>
      </c>
      <c r="G3232" t="inlineStr">
        <is>
          <t>05272025</t>
        </is>
      </c>
      <c r="H3232" t="n">
        <v>1500</v>
      </c>
      <c r="I3232" t="inlineStr">
        <is>
          <t>202507319764529823</t>
        </is>
      </c>
      <c r="J3232" t="inlineStr">
        <is>
          <t>https://docquery.fec.gov/cgi-bin/fecimg/?202507319764529823</t>
        </is>
      </c>
    </row>
    <row r="3233">
      <c r="A3233" t="inlineStr">
        <is>
          <t>2026</t>
        </is>
      </c>
      <c r="B3233" t="inlineStr">
        <is>
          <t>C00483677</t>
        </is>
      </c>
      <c r="C3233" t="inlineStr">
        <is>
          <t>American Petroleum Institute PAC (API PAC)</t>
        </is>
      </c>
      <c r="D3233" t="inlineStr">
        <is>
          <t>BEN CLINE FOR CONGRESS INC.</t>
        </is>
      </c>
      <c r="E3233" t="inlineStr">
        <is>
          <t>H8VA06104</t>
        </is>
      </c>
      <c r="F3233" t="inlineStr">
        <is>
          <t>REP</t>
        </is>
      </c>
      <c r="G3233" t="inlineStr">
        <is>
          <t>05272026</t>
        </is>
      </c>
      <c r="H3233" t="n">
        <v>1000</v>
      </c>
      <c r="I3233" t="inlineStr">
        <is>
          <t>202606209870855311</t>
        </is>
      </c>
      <c r="J3233" t="inlineStr">
        <is>
          <t>https://docquery.fec.gov/cgi-bin/fecimg/?202606209870855311</t>
        </is>
      </c>
    </row>
    <row r="3234">
      <c r="A3234" t="inlineStr">
        <is>
          <t>2026</t>
        </is>
      </c>
      <c r="B3234" t="inlineStr">
        <is>
          <t>C00483677</t>
        </is>
      </c>
      <c r="C3234" t="inlineStr">
        <is>
          <t>American Petroleum Institute PAC (API PAC)</t>
        </is>
      </c>
      <c r="D3234" t="inlineStr">
        <is>
          <t>CELESTE FOR CONGRESS</t>
        </is>
      </c>
      <c r="E3234" t="inlineStr">
        <is>
          <t>H4UT02296</t>
        </is>
      </c>
      <c r="F3234" t="inlineStr">
        <is>
          <t>REP</t>
        </is>
      </c>
      <c r="G3234" t="inlineStr">
        <is>
          <t>05272026</t>
        </is>
      </c>
      <c r="H3234" t="n">
        <v>2500</v>
      </c>
      <c r="I3234" t="inlineStr">
        <is>
          <t>202606209870855311</t>
        </is>
      </c>
      <c r="J3234" t="inlineStr">
        <is>
          <t>https://docquery.fec.gov/cgi-bin/fecimg/?202606209870855311</t>
        </is>
      </c>
    </row>
    <row r="3235">
      <c r="A3235" t="inlineStr">
        <is>
          <t>2026</t>
        </is>
      </c>
      <c r="B3235" t="inlineStr">
        <is>
          <t>C00483677</t>
        </is>
      </c>
      <c r="C3235" t="inlineStr">
        <is>
          <t>American Petroleum Institute PAC (API PAC)</t>
        </is>
      </c>
      <c r="D3235" t="inlineStr">
        <is>
          <t>GUTHRIE FOR CONGRESS</t>
        </is>
      </c>
      <c r="E3235" t="inlineStr">
        <is>
          <t>H8KY02031</t>
        </is>
      </c>
      <c r="F3235" t="inlineStr">
        <is>
          <t>REP</t>
        </is>
      </c>
      <c r="G3235" t="inlineStr">
        <is>
          <t>05272026</t>
        </is>
      </c>
      <c r="H3235" t="n">
        <v>1500</v>
      </c>
      <c r="I3235" t="inlineStr">
        <is>
          <t>202606209870855311</t>
        </is>
      </c>
      <c r="J3235" t="inlineStr">
        <is>
          <t>https://docquery.fec.gov/cgi-bin/fecimg/?202606209870855311</t>
        </is>
      </c>
    </row>
    <row r="3236">
      <c r="A3236" t="inlineStr">
        <is>
          <t>2026</t>
        </is>
      </c>
      <c r="B3236" t="inlineStr">
        <is>
          <t>C00483677</t>
        </is>
      </c>
      <c r="C3236" t="inlineStr">
        <is>
          <t>American Petroleum Institute PAC (API PAC)</t>
        </is>
      </c>
      <c r="D3236" t="inlineStr">
        <is>
          <t>HUSTED FOR SENATE</t>
        </is>
      </c>
      <c r="E3236" t="inlineStr">
        <is>
          <t>S6OH00304</t>
        </is>
      </c>
      <c r="F3236" t="inlineStr">
        <is>
          <t>REP</t>
        </is>
      </c>
      <c r="G3236" t="inlineStr">
        <is>
          <t>05272026</t>
        </is>
      </c>
      <c r="H3236" t="n">
        <v>2500</v>
      </c>
      <c r="I3236" t="inlineStr">
        <is>
          <t>202606209870855312</t>
        </is>
      </c>
      <c r="J3236" t="inlineStr">
        <is>
          <t>https://docquery.fec.gov/cgi-bin/fecimg/?202606209870855312</t>
        </is>
      </c>
    </row>
    <row r="3237">
      <c r="A3237" t="inlineStr">
        <is>
          <t>2026</t>
        </is>
      </c>
      <c r="B3237" t="inlineStr">
        <is>
          <t>C00483677</t>
        </is>
      </c>
      <c r="C3237" t="inlineStr">
        <is>
          <t>American Petroleum Institute PAC (API PAC)</t>
        </is>
      </c>
      <c r="D3237" t="inlineStr">
        <is>
          <t>ELISE FOR CONGRESS</t>
        </is>
      </c>
      <c r="E3237" t="inlineStr">
        <is>
          <t>H4NY21079</t>
        </is>
      </c>
      <c r="F3237" t="inlineStr">
        <is>
          <t>REP</t>
        </is>
      </c>
      <c r="G3237" t="inlineStr">
        <is>
          <t>05302025</t>
        </is>
      </c>
      <c r="H3237" t="n">
        <v>1500</v>
      </c>
      <c r="I3237" t="inlineStr">
        <is>
          <t>202507319764529823</t>
        </is>
      </c>
      <c r="J3237" t="inlineStr">
        <is>
          <t>https://docquery.fec.gov/cgi-bin/fecimg/?202507319764529823</t>
        </is>
      </c>
    </row>
    <row r="3238">
      <c r="A3238" t="inlineStr">
        <is>
          <t>2026</t>
        </is>
      </c>
      <c r="B3238" t="inlineStr">
        <is>
          <t>C00483677</t>
        </is>
      </c>
      <c r="C3238" t="inlineStr">
        <is>
          <t>American Petroleum Institute PAC (API PAC)</t>
        </is>
      </c>
      <c r="D3238" t="inlineStr">
        <is>
          <t>HUNT FOR CONGRESS</t>
        </is>
      </c>
      <c r="E3238" t="inlineStr">
        <is>
          <t>H0TX07170</t>
        </is>
      </c>
      <c r="F3238" t="inlineStr">
        <is>
          <t>REP</t>
        </is>
      </c>
      <c r="G3238" t="inlineStr">
        <is>
          <t>06042025</t>
        </is>
      </c>
      <c r="H3238" t="n">
        <v>2500</v>
      </c>
      <c r="I3238" t="inlineStr">
        <is>
          <t>202507319764529824</t>
        </is>
      </c>
      <c r="J3238" t="inlineStr">
        <is>
          <t>https://docquery.fec.gov/cgi-bin/fecimg/?202507319764529824</t>
        </is>
      </c>
    </row>
    <row r="3239">
      <c r="A3239" t="inlineStr">
        <is>
          <t>2026</t>
        </is>
      </c>
      <c r="B3239" t="inlineStr">
        <is>
          <t>C00483677</t>
        </is>
      </c>
      <c r="C3239" t="inlineStr">
        <is>
          <t>American Petroleum Institute PAC (API PAC)</t>
        </is>
      </c>
      <c r="D3239" t="inlineStr">
        <is>
          <t>THOM TILLIS COMMITTEE</t>
        </is>
      </c>
      <c r="E3239" t="inlineStr">
        <is>
          <t>S4NC00162</t>
        </is>
      </c>
      <c r="F3239" t="inlineStr">
        <is>
          <t>REP</t>
        </is>
      </c>
      <c r="G3239" t="inlineStr">
        <is>
          <t>06042025</t>
        </is>
      </c>
      <c r="H3239" t="n">
        <v>1500</v>
      </c>
      <c r="I3239" t="inlineStr">
        <is>
          <t>202507319764529824</t>
        </is>
      </c>
      <c r="J3239" t="inlineStr">
        <is>
          <t>https://docquery.fec.gov/cgi-bin/fecimg/?202507319764529824</t>
        </is>
      </c>
    </row>
    <row r="3240">
      <c r="A3240" t="inlineStr">
        <is>
          <t>2026</t>
        </is>
      </c>
      <c r="B3240" t="inlineStr">
        <is>
          <t>C00483677</t>
        </is>
      </c>
      <c r="C3240" t="inlineStr">
        <is>
          <t>American Petroleum Institute PAC (API PAC)</t>
        </is>
      </c>
      <c r="D3240" t="inlineStr">
        <is>
          <t>BALDERSON FOR CONGRESS</t>
        </is>
      </c>
      <c r="E3240" t="inlineStr">
        <is>
          <t>H8OH12180</t>
        </is>
      </c>
      <c r="F3240" t="inlineStr">
        <is>
          <t>REP</t>
        </is>
      </c>
      <c r="G3240" t="inlineStr">
        <is>
          <t>06092026</t>
        </is>
      </c>
      <c r="H3240" t="n">
        <v>2000</v>
      </c>
      <c r="I3240" t="inlineStr">
        <is>
          <t>202607209890970892</t>
        </is>
      </c>
      <c r="J3240" t="inlineStr">
        <is>
          <t>https://docquery.fec.gov/cgi-bin/fecimg/?202607209890970892</t>
        </is>
      </c>
    </row>
    <row r="3241">
      <c r="A3241" t="inlineStr">
        <is>
          <t>2026</t>
        </is>
      </c>
      <c r="B3241" t="inlineStr">
        <is>
          <t>C00483677</t>
        </is>
      </c>
      <c r="C3241" t="inlineStr">
        <is>
          <t>American Petroleum Institute PAC (API PAC)</t>
        </is>
      </c>
      <c r="D3241" t="inlineStr">
        <is>
          <t>LOU CORREA FOR CONGRESS</t>
        </is>
      </c>
      <c r="E3241" t="inlineStr">
        <is>
          <t>H6CA46116</t>
        </is>
      </c>
      <c r="F3241" t="inlineStr">
        <is>
          <t>DEM</t>
        </is>
      </c>
      <c r="G3241" t="inlineStr">
        <is>
          <t>06092026</t>
        </is>
      </c>
      <c r="H3241" t="n">
        <v>1000</v>
      </c>
      <c r="I3241" t="inlineStr">
        <is>
          <t>202607209890970892</t>
        </is>
      </c>
      <c r="J3241" t="inlineStr">
        <is>
          <t>https://docquery.fec.gov/cgi-bin/fecimg/?202607209890970892</t>
        </is>
      </c>
    </row>
    <row r="3242">
      <c r="A3242" t="inlineStr">
        <is>
          <t>2026</t>
        </is>
      </c>
      <c r="B3242" t="inlineStr">
        <is>
          <t>C00483677</t>
        </is>
      </c>
      <c r="C3242" t="inlineStr">
        <is>
          <t>American Petroleum Institute PAC (API PAC)</t>
        </is>
      </c>
      <c r="D3242" t="inlineStr">
        <is>
          <t>AUGUST PFLUGER FOR CONGRESS</t>
        </is>
      </c>
      <c r="E3242" t="inlineStr">
        <is>
          <t>H0TX11230</t>
        </is>
      </c>
      <c r="F3242" t="inlineStr">
        <is>
          <t>REP</t>
        </is>
      </c>
      <c r="G3242" t="inlineStr">
        <is>
          <t>06102025</t>
        </is>
      </c>
      <c r="H3242" t="n">
        <v>1000</v>
      </c>
      <c r="I3242" t="inlineStr">
        <is>
          <t>202507319764529824</t>
        </is>
      </c>
      <c r="J3242" t="inlineStr">
        <is>
          <t>https://docquery.fec.gov/cgi-bin/fecimg/?202507319764529824</t>
        </is>
      </c>
    </row>
    <row r="3243">
      <c r="A3243" t="inlineStr">
        <is>
          <t>2026</t>
        </is>
      </c>
      <c r="B3243" t="inlineStr">
        <is>
          <t>C00483677</t>
        </is>
      </c>
      <c r="C3243" t="inlineStr">
        <is>
          <t>American Petroleum Institute PAC (API PAC)</t>
        </is>
      </c>
      <c r="D3243" t="inlineStr">
        <is>
          <t>JEFF HURD FOR CONGRESS</t>
        </is>
      </c>
      <c r="E3243" t="inlineStr">
        <is>
          <t>H4CO03357</t>
        </is>
      </c>
      <c r="F3243" t="inlineStr">
        <is>
          <t>REP</t>
        </is>
      </c>
      <c r="G3243" t="inlineStr">
        <is>
          <t>06102025</t>
        </is>
      </c>
      <c r="H3243" t="n">
        <v>1500</v>
      </c>
      <c r="I3243" t="inlineStr">
        <is>
          <t>202507319764529825</t>
        </is>
      </c>
      <c r="J3243" t="inlineStr">
        <is>
          <t>https://docquery.fec.gov/cgi-bin/fecimg/?202507319764529825</t>
        </is>
      </c>
    </row>
    <row r="3244">
      <c r="A3244" t="inlineStr">
        <is>
          <t>2026</t>
        </is>
      </c>
      <c r="B3244" t="inlineStr">
        <is>
          <t>C00483677</t>
        </is>
      </c>
      <c r="C3244" t="inlineStr">
        <is>
          <t>American Petroleum Institute PAC (API PAC)</t>
        </is>
      </c>
      <c r="D3244" t="inlineStr">
        <is>
          <t>MIKE CRAPO FOR US SENATE</t>
        </is>
      </c>
      <c r="E3244" t="inlineStr">
        <is>
          <t>S8ID00027</t>
        </is>
      </c>
      <c r="F3244" t="inlineStr">
        <is>
          <t>REP</t>
        </is>
      </c>
      <c r="G3244" t="inlineStr">
        <is>
          <t>06182025</t>
        </is>
      </c>
      <c r="H3244" t="n">
        <v>1500</v>
      </c>
      <c r="I3244" t="inlineStr">
        <is>
          <t>202507319764529825</t>
        </is>
      </c>
      <c r="J3244" t="inlineStr">
        <is>
          <t>https://docquery.fec.gov/cgi-bin/fecimg/?202507319764529825</t>
        </is>
      </c>
    </row>
    <row r="3245">
      <c r="A3245" t="inlineStr">
        <is>
          <t>2026</t>
        </is>
      </c>
      <c r="B3245" t="inlineStr">
        <is>
          <t>C00483677</t>
        </is>
      </c>
      <c r="C3245" t="inlineStr">
        <is>
          <t>American Petroleum Institute PAC (API PAC)</t>
        </is>
      </c>
      <c r="D3245" t="inlineStr">
        <is>
          <t>FETTERMAN FOR PA</t>
        </is>
      </c>
      <c r="E3245" t="inlineStr">
        <is>
          <t>S6PA00274</t>
        </is>
      </c>
      <c r="F3245" t="inlineStr">
        <is>
          <t>DEM</t>
        </is>
      </c>
      <c r="G3245" t="inlineStr">
        <is>
          <t>06182026</t>
        </is>
      </c>
      <c r="H3245" t="n">
        <v>-1500</v>
      </c>
      <c r="I3245" t="inlineStr">
        <is>
          <t>202607209890970892</t>
        </is>
      </c>
      <c r="J3245" t="inlineStr">
        <is>
          <t>https://docquery.fec.gov/cgi-bin/fecimg/?202607209890970892</t>
        </is>
      </c>
    </row>
    <row r="3246">
      <c r="A3246" t="inlineStr">
        <is>
          <t>2026</t>
        </is>
      </c>
      <c r="B3246" t="inlineStr">
        <is>
          <t>C00483677</t>
        </is>
      </c>
      <c r="C3246" t="inlineStr">
        <is>
          <t>American Petroleum Institute PAC (API PAC)</t>
        </is>
      </c>
      <c r="D3246" t="inlineStr">
        <is>
          <t>FRIENDS OF MIKE LEE INC</t>
        </is>
      </c>
      <c r="E3246" t="inlineStr">
        <is>
          <t>S0UT00165</t>
        </is>
      </c>
      <c r="F3246" t="inlineStr">
        <is>
          <t>REP</t>
        </is>
      </c>
      <c r="G3246" t="inlineStr">
        <is>
          <t>06262025</t>
        </is>
      </c>
      <c r="H3246" t="n">
        <v>1500</v>
      </c>
      <c r="I3246" t="inlineStr">
        <is>
          <t>202507319764529825</t>
        </is>
      </c>
      <c r="J3246" t="inlineStr">
        <is>
          <t>https://docquery.fec.gov/cgi-bin/fecimg/?202507319764529825</t>
        </is>
      </c>
    </row>
    <row r="3247">
      <c r="A3247" t="inlineStr">
        <is>
          <t>2026</t>
        </is>
      </c>
      <c r="B3247" t="inlineStr">
        <is>
          <t>C00483677</t>
        </is>
      </c>
      <c r="C3247" t="inlineStr">
        <is>
          <t>American Petroleum Institute PAC (API PAC)</t>
        </is>
      </c>
      <c r="D3247" t="inlineStr">
        <is>
          <t>MIKE KENNEDY FOR UTAH</t>
        </is>
      </c>
      <c r="E3247" t="inlineStr">
        <is>
          <t>H4UT03260</t>
        </is>
      </c>
      <c r="F3247" t="inlineStr">
        <is>
          <t>REP</t>
        </is>
      </c>
      <c r="G3247" t="inlineStr">
        <is>
          <t>06262025</t>
        </is>
      </c>
      <c r="H3247" t="n">
        <v>1000</v>
      </c>
      <c r="I3247" t="inlineStr">
        <is>
          <t>202507319764529826</t>
        </is>
      </c>
      <c r="J3247" t="inlineStr">
        <is>
          <t>https://docquery.fec.gov/cgi-bin/fecimg/?202507319764529826</t>
        </is>
      </c>
    </row>
    <row r="3248">
      <c r="A3248" t="inlineStr">
        <is>
          <t>2026</t>
        </is>
      </c>
      <c r="B3248" t="inlineStr">
        <is>
          <t>C00483677</t>
        </is>
      </c>
      <c r="C3248" t="inlineStr">
        <is>
          <t>American Petroleum Institute PAC (API PAC)</t>
        </is>
      </c>
      <c r="D3248" t="inlineStr">
        <is>
          <t>CELESTE FOR CONGRESS</t>
        </is>
      </c>
      <c r="E3248" t="inlineStr">
        <is>
          <t>H4UT02296</t>
        </is>
      </c>
      <c r="F3248" t="inlineStr">
        <is>
          <t>REP</t>
        </is>
      </c>
      <c r="G3248" t="inlineStr">
        <is>
          <t>06302026</t>
        </is>
      </c>
      <c r="H3248" t="n">
        <v>-2500</v>
      </c>
      <c r="I3248" t="inlineStr">
        <is>
          <t>202607209890970893</t>
        </is>
      </c>
      <c r="J3248" t="inlineStr">
        <is>
          <t>https://docquery.fec.gov/cgi-bin/fecimg/?202607209890970893</t>
        </is>
      </c>
    </row>
    <row r="3249">
      <c r="A3249" t="inlineStr">
        <is>
          <t>2026</t>
        </is>
      </c>
      <c r="B3249" t="inlineStr">
        <is>
          <t>C00483677</t>
        </is>
      </c>
      <c r="C3249" t="inlineStr">
        <is>
          <t>American Petroleum Institute PAC (API PAC)</t>
        </is>
      </c>
      <c r="D3249" t="inlineStr">
        <is>
          <t>GUTHRIE FOR CONGRESS</t>
        </is>
      </c>
      <c r="E3249" t="inlineStr">
        <is>
          <t>H8KY02031</t>
        </is>
      </c>
      <c r="F3249" t="inlineStr">
        <is>
          <t>REP</t>
        </is>
      </c>
      <c r="G3249" t="inlineStr">
        <is>
          <t>06302026</t>
        </is>
      </c>
      <c r="H3249" t="n">
        <v>1500</v>
      </c>
      <c r="I3249" t="inlineStr">
        <is>
          <t>202607209890970893</t>
        </is>
      </c>
      <c r="J3249" t="inlineStr">
        <is>
          <t>https://docquery.fec.gov/cgi-bin/fecimg/?202607209890970893</t>
        </is>
      </c>
    </row>
    <row r="3250">
      <c r="A3250" t="inlineStr">
        <is>
          <t>2026</t>
        </is>
      </c>
      <c r="B3250" t="inlineStr">
        <is>
          <t>C00483677</t>
        </is>
      </c>
      <c r="C3250" t="inlineStr">
        <is>
          <t>American Petroleum Institute PAC (API PAC)</t>
        </is>
      </c>
      <c r="D3250" t="inlineStr">
        <is>
          <t>LAWLER FOR CONGRESS INC.</t>
        </is>
      </c>
      <c r="E3250" t="inlineStr">
        <is>
          <t>H2NY17162</t>
        </is>
      </c>
      <c r="F3250" t="inlineStr">
        <is>
          <t>REP</t>
        </is>
      </c>
      <c r="G3250" t="inlineStr">
        <is>
          <t>06302026</t>
        </is>
      </c>
      <c r="H3250" t="n">
        <v>1000</v>
      </c>
      <c r="I3250" t="inlineStr">
        <is>
          <t>202607209890970894</t>
        </is>
      </c>
      <c r="J3250" t="inlineStr">
        <is>
          <t>https://docquery.fec.gov/cgi-bin/fecimg/?202607209890970894</t>
        </is>
      </c>
    </row>
    <row r="3251">
      <c r="A3251" t="inlineStr">
        <is>
          <t>2026</t>
        </is>
      </c>
      <c r="B3251" t="inlineStr">
        <is>
          <t>C00483677</t>
        </is>
      </c>
      <c r="C3251" t="inlineStr">
        <is>
          <t>American Petroleum Institute PAC (API PAC)</t>
        </is>
      </c>
      <c r="D3251" t="inlineStr">
        <is>
          <t>CELESTE FOR CONGRESS</t>
        </is>
      </c>
      <c r="E3251" t="inlineStr">
        <is>
          <t>H4UT02296</t>
        </is>
      </c>
      <c r="F3251" t="inlineStr">
        <is>
          <t>REP</t>
        </is>
      </c>
      <c r="G3251" t="inlineStr">
        <is>
          <t>07012026</t>
        </is>
      </c>
      <c r="H3251" t="n">
        <v>2500</v>
      </c>
      <c r="I3251" t="inlineStr">
        <is>
          <t>202608209899628091</t>
        </is>
      </c>
      <c r="J3251" t="inlineStr">
        <is>
          <t>https://docquery.fec.gov/cgi-bin/fecimg/?202608209899628091</t>
        </is>
      </c>
    </row>
    <row r="3252">
      <c r="A3252" t="inlineStr">
        <is>
          <t>2026</t>
        </is>
      </c>
      <c r="B3252" t="inlineStr">
        <is>
          <t>C00483677</t>
        </is>
      </c>
      <c r="C3252" t="inlineStr">
        <is>
          <t>American Petroleum Institute PAC (API PAC)</t>
        </is>
      </c>
      <c r="D3252" t="inlineStr">
        <is>
          <t>CHRIS COONS FOR DELAWARE</t>
        </is>
      </c>
      <c r="E3252" t="inlineStr">
        <is>
          <t>S0DE00092</t>
        </is>
      </c>
      <c r="F3252" t="inlineStr">
        <is>
          <t>DEM</t>
        </is>
      </c>
      <c r="G3252" t="inlineStr">
        <is>
          <t>07072025</t>
        </is>
      </c>
      <c r="H3252" t="n">
        <v>1000</v>
      </c>
      <c r="I3252" t="inlineStr">
        <is>
          <t>202601319795567979</t>
        </is>
      </c>
      <c r="J3252" t="inlineStr">
        <is>
          <t>https://docquery.fec.gov/cgi-bin/fecimg/?202601319795567979</t>
        </is>
      </c>
    </row>
    <row r="3253">
      <c r="A3253" t="inlineStr">
        <is>
          <t>2026</t>
        </is>
      </c>
      <c r="B3253" t="inlineStr">
        <is>
          <t>C00483677</t>
        </is>
      </c>
      <c r="C3253" t="inlineStr">
        <is>
          <t>American Petroleum Institute PAC (API PAC)</t>
        </is>
      </c>
      <c r="D3253" t="inlineStr">
        <is>
          <t>EMMER FOR CONGRESS</t>
        </is>
      </c>
      <c r="E3253" t="inlineStr">
        <is>
          <t>H4MN06087</t>
        </is>
      </c>
      <c r="F3253" t="inlineStr">
        <is>
          <t>REP</t>
        </is>
      </c>
      <c r="G3253" t="inlineStr">
        <is>
          <t>07072025</t>
        </is>
      </c>
      <c r="H3253" t="n">
        <v>1000</v>
      </c>
      <c r="I3253" t="inlineStr">
        <is>
          <t>202601319795567979</t>
        </is>
      </c>
      <c r="J3253" t="inlineStr">
        <is>
          <t>https://docquery.fec.gov/cgi-bin/fecimg/?202601319795567979</t>
        </is>
      </c>
    </row>
    <row r="3254">
      <c r="A3254" t="inlineStr">
        <is>
          <t>2026</t>
        </is>
      </c>
      <c r="B3254" t="inlineStr">
        <is>
          <t>C00483677</t>
        </is>
      </c>
      <c r="C3254" t="inlineStr">
        <is>
          <t>American Petroleum Institute PAC (API PAC)</t>
        </is>
      </c>
      <c r="D3254" t="inlineStr">
        <is>
          <t>VICENTE GONZALEZ FOR CONGRESS</t>
        </is>
      </c>
      <c r="E3254" t="inlineStr">
        <is>
          <t>H6TX15162</t>
        </is>
      </c>
      <c r="F3254" t="inlineStr">
        <is>
          <t>DEM</t>
        </is>
      </c>
      <c r="G3254" t="inlineStr">
        <is>
          <t>07142025</t>
        </is>
      </c>
      <c r="H3254" t="n">
        <v>1000</v>
      </c>
      <c r="I3254" t="inlineStr">
        <is>
          <t>202601319795567980</t>
        </is>
      </c>
      <c r="J3254" t="inlineStr">
        <is>
          <t>https://docquery.fec.gov/cgi-bin/fecimg/?202601319795567980</t>
        </is>
      </c>
    </row>
    <row r="3255">
      <c r="A3255" t="inlineStr">
        <is>
          <t>2026</t>
        </is>
      </c>
      <c r="B3255" t="inlineStr">
        <is>
          <t>C00483677</t>
        </is>
      </c>
      <c r="C3255" t="inlineStr">
        <is>
          <t>American Petroleum Institute PAC (API PAC)</t>
        </is>
      </c>
      <c r="D3255" t="inlineStr">
        <is>
          <t>VICENTE GONZALEZ FOR CONGRESS</t>
        </is>
      </c>
      <c r="E3255" t="inlineStr">
        <is>
          <t>H6TX15162</t>
        </is>
      </c>
      <c r="F3255" t="inlineStr">
        <is>
          <t>DEM</t>
        </is>
      </c>
      <c r="G3255" t="inlineStr">
        <is>
          <t>07142025</t>
        </is>
      </c>
      <c r="H3255" t="n">
        <v>500</v>
      </c>
      <c r="I3255" t="inlineStr">
        <is>
          <t>202601319795567981</t>
        </is>
      </c>
      <c r="J3255" t="inlineStr">
        <is>
          <t>https://docquery.fec.gov/cgi-bin/fecimg/?202601319795567981</t>
        </is>
      </c>
    </row>
    <row r="3256">
      <c r="A3256" t="inlineStr">
        <is>
          <t>2026</t>
        </is>
      </c>
      <c r="B3256" t="inlineStr">
        <is>
          <t>C00483677</t>
        </is>
      </c>
      <c r="C3256" t="inlineStr">
        <is>
          <t>American Petroleum Institute PAC (API PAC)</t>
        </is>
      </c>
      <c r="D3256" t="inlineStr">
        <is>
          <t>ADAM GRAY FOR CONGRESS</t>
        </is>
      </c>
      <c r="E3256" t="inlineStr">
        <is>
          <t>H2CA13115</t>
        </is>
      </c>
      <c r="F3256" t="inlineStr">
        <is>
          <t>DEM</t>
        </is>
      </c>
      <c r="G3256" t="inlineStr">
        <is>
          <t>07142025</t>
        </is>
      </c>
      <c r="H3256" t="n">
        <v>1000</v>
      </c>
      <c r="I3256" t="inlineStr">
        <is>
          <t>202601319795567979</t>
        </is>
      </c>
      <c r="J3256" t="inlineStr">
        <is>
          <t>https://docquery.fec.gov/cgi-bin/fecimg/?202601319795567979</t>
        </is>
      </c>
    </row>
    <row r="3257">
      <c r="A3257" t="inlineStr">
        <is>
          <t>2026</t>
        </is>
      </c>
      <c r="B3257" t="inlineStr">
        <is>
          <t>C00483677</t>
        </is>
      </c>
      <c r="C3257" t="inlineStr">
        <is>
          <t>American Petroleum Institute PAC (API PAC)</t>
        </is>
      </c>
      <c r="D3257" t="inlineStr">
        <is>
          <t>ASHLEY FOR IOWA</t>
        </is>
      </c>
      <c r="E3257" t="inlineStr">
        <is>
          <t>S6IA00314</t>
        </is>
      </c>
      <c r="F3257" t="inlineStr">
        <is>
          <t>REP</t>
        </is>
      </c>
      <c r="G3257" t="inlineStr">
        <is>
          <t>07142025</t>
        </is>
      </c>
      <c r="H3257" t="n">
        <v>5000</v>
      </c>
      <c r="I3257" t="inlineStr">
        <is>
          <t>202601319795567980</t>
        </is>
      </c>
      <c r="J3257" t="inlineStr">
        <is>
          <t>https://docquery.fec.gov/cgi-bin/fecimg/?202601319795567980</t>
        </is>
      </c>
    </row>
    <row r="3258">
      <c r="A3258" t="inlineStr">
        <is>
          <t>2026</t>
        </is>
      </c>
      <c r="B3258" t="inlineStr">
        <is>
          <t>C00483677</t>
        </is>
      </c>
      <c r="C3258" t="inlineStr">
        <is>
          <t>American Petroleum Institute PAC (API PAC)</t>
        </is>
      </c>
      <c r="D3258" t="inlineStr">
        <is>
          <t>BALDERSON FOR CONGRESS</t>
        </is>
      </c>
      <c r="E3258" t="inlineStr">
        <is>
          <t>H8OH12180</t>
        </is>
      </c>
      <c r="F3258" t="inlineStr">
        <is>
          <t>REP</t>
        </is>
      </c>
      <c r="G3258" t="inlineStr">
        <is>
          <t>07142025</t>
        </is>
      </c>
      <c r="H3258" t="n">
        <v>1500</v>
      </c>
      <c r="I3258" t="inlineStr">
        <is>
          <t>202601319795567980</t>
        </is>
      </c>
      <c r="J3258" t="inlineStr">
        <is>
          <t>https://docquery.fec.gov/cgi-bin/fecimg/?202601319795567980</t>
        </is>
      </c>
    </row>
    <row r="3259">
      <c r="A3259" t="inlineStr">
        <is>
          <t>2026</t>
        </is>
      </c>
      <c r="B3259" t="inlineStr">
        <is>
          <t>C00483677</t>
        </is>
      </c>
      <c r="C3259" t="inlineStr">
        <is>
          <t>American Petroleum Institute PAC (API PAC)</t>
        </is>
      </c>
      <c r="D3259" t="inlineStr">
        <is>
          <t>MILLER-MEEKS FOR CONGRESS</t>
        </is>
      </c>
      <c r="E3259" t="inlineStr">
        <is>
          <t>H8IA02043</t>
        </is>
      </c>
      <c r="F3259" t="inlineStr">
        <is>
          <t>REP</t>
        </is>
      </c>
      <c r="G3259" t="inlineStr">
        <is>
          <t>07152025</t>
        </is>
      </c>
      <c r="H3259" t="n">
        <v>3500</v>
      </c>
      <c r="I3259" t="inlineStr">
        <is>
          <t>202601319795567981</t>
        </is>
      </c>
      <c r="J3259" t="inlineStr">
        <is>
          <t>https://docquery.fec.gov/cgi-bin/fecimg/?202601319795567981</t>
        </is>
      </c>
    </row>
    <row r="3260">
      <c r="A3260" t="inlineStr">
        <is>
          <t>2026</t>
        </is>
      </c>
      <c r="B3260" t="inlineStr">
        <is>
          <t>C00483677</t>
        </is>
      </c>
      <c r="C3260" t="inlineStr">
        <is>
          <t>American Petroleum Institute PAC (API PAC)</t>
        </is>
      </c>
      <c r="D3260" t="inlineStr">
        <is>
          <t>DAN NEWHOUSE FOR CONGRESS</t>
        </is>
      </c>
      <c r="E3260" t="inlineStr">
        <is>
          <t>H4WA04104</t>
        </is>
      </c>
      <c r="F3260" t="inlineStr">
        <is>
          <t>REP</t>
        </is>
      </c>
      <c r="G3260" t="inlineStr">
        <is>
          <t>07172025</t>
        </is>
      </c>
      <c r="H3260" t="n">
        <v>1000</v>
      </c>
      <c r="I3260" t="inlineStr">
        <is>
          <t>202601319795567982</t>
        </is>
      </c>
      <c r="J3260" t="inlineStr">
        <is>
          <t>https://docquery.fec.gov/cgi-bin/fecimg/?202601319795567982</t>
        </is>
      </c>
    </row>
    <row r="3261">
      <c r="A3261" t="inlineStr">
        <is>
          <t>2026</t>
        </is>
      </c>
      <c r="B3261" t="inlineStr">
        <is>
          <t>C00483677</t>
        </is>
      </c>
      <c r="C3261" t="inlineStr">
        <is>
          <t>American Petroleum Institute PAC (API PAC)</t>
        </is>
      </c>
      <c r="D3261" t="inlineStr">
        <is>
          <t>BERNIE MORENO FOR SENATE</t>
        </is>
      </c>
      <c r="E3261" t="inlineStr">
        <is>
          <t>S4OH00192</t>
        </is>
      </c>
      <c r="F3261" t="inlineStr">
        <is>
          <t>REP</t>
        </is>
      </c>
      <c r="G3261" t="inlineStr">
        <is>
          <t>07172025</t>
        </is>
      </c>
      <c r="H3261" t="n">
        <v>1500</v>
      </c>
      <c r="I3261" t="inlineStr">
        <is>
          <t>202601319795567981</t>
        </is>
      </c>
      <c r="J3261" t="inlineStr">
        <is>
          <t>https://docquery.fec.gov/cgi-bin/fecimg/?202601319795567981</t>
        </is>
      </c>
    </row>
    <row r="3262">
      <c r="A3262" t="inlineStr">
        <is>
          <t>2026</t>
        </is>
      </c>
      <c r="B3262" t="inlineStr">
        <is>
          <t>C00483677</t>
        </is>
      </c>
      <c r="C3262" t="inlineStr">
        <is>
          <t>American Petroleum Institute PAC (API PAC)</t>
        </is>
      </c>
      <c r="D3262" t="inlineStr">
        <is>
          <t>LAHOOD FOR CONGRESS</t>
        </is>
      </c>
      <c r="E3262" t="inlineStr">
        <is>
          <t>H6IL18088</t>
        </is>
      </c>
      <c r="F3262" t="inlineStr">
        <is>
          <t>REP</t>
        </is>
      </c>
      <c r="G3262" t="inlineStr">
        <is>
          <t>07172025</t>
        </is>
      </c>
      <c r="H3262" t="n">
        <v>1000</v>
      </c>
      <c r="I3262" t="inlineStr">
        <is>
          <t>202601319795567982</t>
        </is>
      </c>
      <c r="J3262" t="inlineStr">
        <is>
          <t>https://docquery.fec.gov/cgi-bin/fecimg/?202601319795567982</t>
        </is>
      </c>
    </row>
    <row r="3263">
      <c r="A3263" t="inlineStr">
        <is>
          <t>2026</t>
        </is>
      </c>
      <c r="B3263" t="inlineStr">
        <is>
          <t>C00483677</t>
        </is>
      </c>
      <c r="C3263" t="inlineStr">
        <is>
          <t>American Petroleum Institute PAC (API PAC)</t>
        </is>
      </c>
      <c r="D3263" t="inlineStr">
        <is>
          <t>VAN ORDEN FOR CONGRESS</t>
        </is>
      </c>
      <c r="E3263" t="inlineStr">
        <is>
          <t>H0WI03175</t>
        </is>
      </c>
      <c r="F3263" t="inlineStr">
        <is>
          <t>REP</t>
        </is>
      </c>
      <c r="G3263" t="inlineStr">
        <is>
          <t>07172025</t>
        </is>
      </c>
      <c r="H3263" t="n">
        <v>1000</v>
      </c>
      <c r="I3263" t="inlineStr">
        <is>
          <t>202601319795567982</t>
        </is>
      </c>
      <c r="J3263" t="inlineStr">
        <is>
          <t>https://docquery.fec.gov/cgi-bin/fecimg/?202601319795567982</t>
        </is>
      </c>
    </row>
    <row r="3264">
      <c r="A3264" t="inlineStr">
        <is>
          <t>2026</t>
        </is>
      </c>
      <c r="B3264" t="inlineStr">
        <is>
          <t>C00483677</t>
        </is>
      </c>
      <c r="C3264" t="inlineStr">
        <is>
          <t>American Petroleum Institute PAC (API PAC)</t>
        </is>
      </c>
      <c r="D3264" t="inlineStr">
        <is>
          <t>JULIA LETLOW FOR CONGRESS</t>
        </is>
      </c>
      <c r="E3264" t="inlineStr">
        <is>
          <t>H2LA05126</t>
        </is>
      </c>
      <c r="F3264" t="inlineStr">
        <is>
          <t>REP</t>
        </is>
      </c>
      <c r="G3264" t="inlineStr">
        <is>
          <t>07222026</t>
        </is>
      </c>
      <c r="H3264" t="n">
        <v>1000</v>
      </c>
      <c r="I3264" t="inlineStr">
        <is>
          <t>202608209899628091</t>
        </is>
      </c>
      <c r="J3264" t="inlineStr">
        <is>
          <t>https://docquery.fec.gov/cgi-bin/fecimg/?202608209899628091</t>
        </is>
      </c>
    </row>
    <row r="3265">
      <c r="A3265" t="inlineStr">
        <is>
          <t>2026</t>
        </is>
      </c>
      <c r="B3265" t="inlineStr">
        <is>
          <t>C00483677</t>
        </is>
      </c>
      <c r="C3265" t="inlineStr">
        <is>
          <t>American Petroleum Institute PAC (API PAC)</t>
        </is>
      </c>
      <c r="D3265" t="inlineStr">
        <is>
          <t>JOHN JAMES FOR CONGRESS INC.</t>
        </is>
      </c>
      <c r="E3265" t="inlineStr">
        <is>
          <t>H2MI10150</t>
        </is>
      </c>
      <c r="F3265" t="inlineStr">
        <is>
          <t>REP</t>
        </is>
      </c>
      <c r="G3265" t="inlineStr">
        <is>
          <t>08182025</t>
        </is>
      </c>
      <c r="H3265" t="n">
        <v>-1500</v>
      </c>
      <c r="I3265" t="inlineStr">
        <is>
          <t>202601319795567975</t>
        </is>
      </c>
      <c r="J3265" t="inlineStr">
        <is>
          <t>https://docquery.fec.gov/cgi-bin/fecimg/?202601319795567975</t>
        </is>
      </c>
    </row>
    <row r="3266">
      <c r="A3266" t="inlineStr">
        <is>
          <t>2026</t>
        </is>
      </c>
      <c r="B3266" t="inlineStr">
        <is>
          <t>C00483677</t>
        </is>
      </c>
      <c r="C3266" t="inlineStr">
        <is>
          <t>American Petroleum Institute PAC (API PAC)</t>
        </is>
      </c>
      <c r="D3266" t="inlineStr">
        <is>
          <t>CHUCK FLEISCHMANN FOR CONGRESS COMMITTEE INC.</t>
        </is>
      </c>
      <c r="E3266" t="inlineStr">
        <is>
          <t>H0TN03254</t>
        </is>
      </c>
      <c r="F3266" t="inlineStr">
        <is>
          <t>REP</t>
        </is>
      </c>
      <c r="G3266" t="inlineStr">
        <is>
          <t>08252025</t>
        </is>
      </c>
      <c r="H3266" t="n">
        <v>1000</v>
      </c>
      <c r="I3266" t="inlineStr">
        <is>
          <t>202601319795567983</t>
        </is>
      </c>
      <c r="J3266" t="inlineStr">
        <is>
          <t>https://docquery.fec.gov/cgi-bin/fecimg/?202601319795567983</t>
        </is>
      </c>
    </row>
    <row r="3267">
      <c r="A3267" t="inlineStr">
        <is>
          <t>2026</t>
        </is>
      </c>
      <c r="B3267" t="inlineStr">
        <is>
          <t>C00483677</t>
        </is>
      </c>
      <c r="C3267" t="inlineStr">
        <is>
          <t>American Petroleum Institute PAC (API PAC)</t>
        </is>
      </c>
      <c r="D3267" t="inlineStr">
        <is>
          <t>DAN CRENSHAW FOR CONGRESS</t>
        </is>
      </c>
      <c r="E3267" t="inlineStr">
        <is>
          <t>H8TX02166</t>
        </is>
      </c>
      <c r="F3267" t="inlineStr">
        <is>
          <t>REP</t>
        </is>
      </c>
      <c r="G3267" t="inlineStr">
        <is>
          <t>08252025</t>
        </is>
      </c>
      <c r="H3267" t="n">
        <v>1000</v>
      </c>
      <c r="I3267" t="inlineStr">
        <is>
          <t>202601319795567983</t>
        </is>
      </c>
      <c r="J3267" t="inlineStr">
        <is>
          <t>https://docquery.fec.gov/cgi-bin/fecimg/?202601319795567983</t>
        </is>
      </c>
    </row>
    <row r="3268">
      <c r="A3268" t="inlineStr">
        <is>
          <t>2026</t>
        </is>
      </c>
      <c r="B3268" t="inlineStr">
        <is>
          <t>C00483677</t>
        </is>
      </c>
      <c r="C3268" t="inlineStr">
        <is>
          <t>American Petroleum Institute PAC (API PAC)</t>
        </is>
      </c>
      <c r="D3268" t="inlineStr">
        <is>
          <t>MAX MILLER FOR CONGRESS</t>
        </is>
      </c>
      <c r="E3268" t="inlineStr">
        <is>
          <t>H2OH16051</t>
        </is>
      </c>
      <c r="F3268" t="inlineStr">
        <is>
          <t>REP</t>
        </is>
      </c>
      <c r="G3268" t="inlineStr">
        <is>
          <t>08252025</t>
        </is>
      </c>
      <c r="H3268" t="n">
        <v>2000</v>
      </c>
      <c r="I3268" t="inlineStr">
        <is>
          <t>202601319795567983</t>
        </is>
      </c>
      <c r="J3268" t="inlineStr">
        <is>
          <t>https://docquery.fec.gov/cgi-bin/fecimg/?202601319795567983</t>
        </is>
      </c>
    </row>
    <row r="3269">
      <c r="A3269" t="inlineStr">
        <is>
          <t>2026</t>
        </is>
      </c>
      <c r="B3269" t="inlineStr">
        <is>
          <t>C00483677</t>
        </is>
      </c>
      <c r="C3269" t="inlineStr">
        <is>
          <t>American Petroleum Institute PAC (API PAC)</t>
        </is>
      </c>
      <c r="D3269" t="inlineStr">
        <is>
          <t>PATRIOTS FOR PERRY</t>
        </is>
      </c>
      <c r="E3269" t="inlineStr">
        <is>
          <t>H2PA04135</t>
        </is>
      </c>
      <c r="F3269" t="inlineStr">
        <is>
          <t>REP</t>
        </is>
      </c>
      <c r="G3269" t="inlineStr">
        <is>
          <t>08252025</t>
        </is>
      </c>
      <c r="H3269" t="n">
        <v>1000</v>
      </c>
      <c r="I3269" t="inlineStr">
        <is>
          <t>202601319795567984</t>
        </is>
      </c>
      <c r="J3269" t="inlineStr">
        <is>
          <t>https://docquery.fec.gov/cgi-bin/fecimg/?202601319795567984</t>
        </is>
      </c>
    </row>
    <row r="3270">
      <c r="A3270" t="inlineStr">
        <is>
          <t>2026</t>
        </is>
      </c>
      <c r="B3270" t="inlineStr">
        <is>
          <t>C00483677</t>
        </is>
      </c>
      <c r="C3270" t="inlineStr">
        <is>
          <t>American Petroleum Institute PAC (API PAC)</t>
        </is>
      </c>
      <c r="D3270" t="inlineStr">
        <is>
          <t>WESTERMAN FOR CONGRESS</t>
        </is>
      </c>
      <c r="E3270" t="inlineStr">
        <is>
          <t>H4AR04048</t>
        </is>
      </c>
      <c r="F3270" t="inlineStr">
        <is>
          <t>REP</t>
        </is>
      </c>
      <c r="G3270" t="inlineStr">
        <is>
          <t>08252025</t>
        </is>
      </c>
      <c r="H3270" t="n">
        <v>1500</v>
      </c>
      <c r="I3270" t="inlineStr">
        <is>
          <t>202601319795567984</t>
        </is>
      </c>
      <c r="J3270" t="inlineStr">
        <is>
          <t>https://docquery.fec.gov/cgi-bin/fecimg/?202601319795567984</t>
        </is>
      </c>
    </row>
    <row r="3271">
      <c r="A3271" t="inlineStr">
        <is>
          <t>2026</t>
        </is>
      </c>
      <c r="B3271" t="inlineStr">
        <is>
          <t>C00483677</t>
        </is>
      </c>
      <c r="C3271" t="inlineStr">
        <is>
          <t>American Petroleum Institute PAC (API PAC)</t>
        </is>
      </c>
      <c r="D3271" t="inlineStr">
        <is>
          <t>WHATLEY FOR SENATE</t>
        </is>
      </c>
      <c r="E3271" t="inlineStr">
        <is>
          <t>S6NC00415</t>
        </is>
      </c>
      <c r="F3271" t="inlineStr">
        <is>
          <t>REP</t>
        </is>
      </c>
      <c r="G3271" t="inlineStr">
        <is>
          <t>09052025</t>
        </is>
      </c>
      <c r="H3271" t="n">
        <v>1000</v>
      </c>
      <c r="I3271" t="inlineStr">
        <is>
          <t>202601319795567984</t>
        </is>
      </c>
      <c r="J3271" t="inlineStr">
        <is>
          <t>https://docquery.fec.gov/cgi-bin/fecimg/?202601319795567984</t>
        </is>
      </c>
    </row>
    <row r="3272">
      <c r="A3272" t="inlineStr">
        <is>
          <t>2026</t>
        </is>
      </c>
      <c r="B3272" t="inlineStr">
        <is>
          <t>C00483677</t>
        </is>
      </c>
      <c r="C3272" t="inlineStr">
        <is>
          <t>American Petroleum Institute PAC (API PAC)</t>
        </is>
      </c>
      <c r="D3272" t="inlineStr">
        <is>
          <t>COTTON FOR SENATE INC.</t>
        </is>
      </c>
      <c r="E3272" t="inlineStr">
        <is>
          <t>S4AR00103</t>
        </is>
      </c>
      <c r="F3272" t="inlineStr">
        <is>
          <t>REP</t>
        </is>
      </c>
      <c r="G3272" t="inlineStr">
        <is>
          <t>09102025</t>
        </is>
      </c>
      <c r="H3272" t="n">
        <v>2500</v>
      </c>
      <c r="I3272" t="inlineStr">
        <is>
          <t>202601319795567985</t>
        </is>
      </c>
      <c r="J3272" t="inlineStr">
        <is>
          <t>https://docquery.fec.gov/cgi-bin/fecimg/?202601319795567985</t>
        </is>
      </c>
    </row>
    <row r="3273">
      <c r="A3273" t="inlineStr">
        <is>
          <t>2026</t>
        </is>
      </c>
      <c r="B3273" t="inlineStr">
        <is>
          <t>C00483677</t>
        </is>
      </c>
      <c r="C3273" t="inlineStr">
        <is>
          <t>American Petroleum Institute PAC (API PAC)</t>
        </is>
      </c>
      <c r="D3273" t="inlineStr">
        <is>
          <t>JEFF CRANK FOR CONGRESS</t>
        </is>
      </c>
      <c r="E3273" t="inlineStr">
        <is>
          <t>H6CO05142</t>
        </is>
      </c>
      <c r="F3273" t="inlineStr">
        <is>
          <t>REP</t>
        </is>
      </c>
      <c r="G3273" t="inlineStr">
        <is>
          <t>09102025</t>
        </is>
      </c>
      <c r="H3273" t="n">
        <v>1000</v>
      </c>
      <c r="I3273" t="inlineStr">
        <is>
          <t>202601319795567985</t>
        </is>
      </c>
      <c r="J3273" t="inlineStr">
        <is>
          <t>https://docquery.fec.gov/cgi-bin/fecimg/?202601319795567985</t>
        </is>
      </c>
    </row>
    <row r="3274">
      <c r="A3274" t="inlineStr">
        <is>
          <t>2026</t>
        </is>
      </c>
      <c r="B3274" t="inlineStr">
        <is>
          <t>C00483677</t>
        </is>
      </c>
      <c r="C3274" t="inlineStr">
        <is>
          <t>American Petroleum Institute PAC (API PAC)</t>
        </is>
      </c>
      <c r="D3274" t="inlineStr">
        <is>
          <t>LUCAS FOR CONGRESS</t>
        </is>
      </c>
      <c r="E3274" t="inlineStr">
        <is>
          <t>H4OK06056</t>
        </is>
      </c>
      <c r="F3274" t="inlineStr">
        <is>
          <t>REP</t>
        </is>
      </c>
      <c r="G3274" t="inlineStr">
        <is>
          <t>09102025</t>
        </is>
      </c>
      <c r="H3274" t="n">
        <v>2500</v>
      </c>
      <c r="I3274" t="inlineStr">
        <is>
          <t>202601319795567985</t>
        </is>
      </c>
      <c r="J3274" t="inlineStr">
        <is>
          <t>https://docquery.fec.gov/cgi-bin/fecimg/?202601319795567985</t>
        </is>
      </c>
    </row>
    <row r="3275">
      <c r="A3275" t="inlineStr">
        <is>
          <t>2026</t>
        </is>
      </c>
      <c r="B3275" t="inlineStr">
        <is>
          <t>C00483677</t>
        </is>
      </c>
      <c r="C3275" t="inlineStr">
        <is>
          <t>American Petroleum Institute PAC (API PAC)</t>
        </is>
      </c>
      <c r="D3275" t="inlineStr">
        <is>
          <t>STEIL FOR WISCONSIN INC.</t>
        </is>
      </c>
      <c r="E3275" t="inlineStr">
        <is>
          <t>H8WI01156</t>
        </is>
      </c>
      <c r="F3275" t="inlineStr">
        <is>
          <t>REP</t>
        </is>
      </c>
      <c r="G3275" t="inlineStr">
        <is>
          <t>09102025</t>
        </is>
      </c>
      <c r="H3275" t="n">
        <v>2500</v>
      </c>
      <c r="I3275" t="inlineStr">
        <is>
          <t>202601319795567986</t>
        </is>
      </c>
      <c r="J3275" t="inlineStr">
        <is>
          <t>https://docquery.fec.gov/cgi-bin/fecimg/?202601319795567986</t>
        </is>
      </c>
    </row>
    <row r="3276">
      <c r="A3276" t="inlineStr">
        <is>
          <t>2026</t>
        </is>
      </c>
      <c r="B3276" t="inlineStr">
        <is>
          <t>C00483677</t>
        </is>
      </c>
      <c r="C3276" t="inlineStr">
        <is>
          <t>American Petroleum Institute PAC (API PAC)</t>
        </is>
      </c>
      <c r="D3276" t="inlineStr">
        <is>
          <t>JULIE JOHNSON FOR CONGRESS</t>
        </is>
      </c>
      <c r="E3276" t="inlineStr">
        <is>
          <t>H4TX32089</t>
        </is>
      </c>
      <c r="F3276" t="inlineStr">
        <is>
          <t>DEM</t>
        </is>
      </c>
      <c r="G3276" t="inlineStr">
        <is>
          <t>09152025</t>
        </is>
      </c>
      <c r="H3276" t="n">
        <v>1000</v>
      </c>
      <c r="I3276" t="inlineStr">
        <is>
          <t>202601319795567986</t>
        </is>
      </c>
      <c r="J3276" t="inlineStr">
        <is>
          <t>https://docquery.fec.gov/cgi-bin/fecimg/?202601319795567986</t>
        </is>
      </c>
    </row>
    <row r="3277">
      <c r="A3277" t="inlineStr">
        <is>
          <t>2026</t>
        </is>
      </c>
      <c r="B3277" t="inlineStr">
        <is>
          <t>C00483677</t>
        </is>
      </c>
      <c r="C3277" t="inlineStr">
        <is>
          <t>American Petroleum Institute PAC (API PAC)</t>
        </is>
      </c>
      <c r="D3277" t="inlineStr">
        <is>
          <t>WHATLEY FOR SENATE</t>
        </is>
      </c>
      <c r="E3277" t="inlineStr">
        <is>
          <t>S6NC00415</t>
        </is>
      </c>
      <c r="F3277" t="inlineStr">
        <is>
          <t>REP</t>
        </is>
      </c>
      <c r="G3277" t="inlineStr">
        <is>
          <t>09162025</t>
        </is>
      </c>
      <c r="H3277" t="n">
        <v>1000</v>
      </c>
      <c r="I3277" t="inlineStr">
        <is>
          <t>202601319795567986</t>
        </is>
      </c>
      <c r="J3277" t="inlineStr">
        <is>
          <t>https://docquery.fec.gov/cgi-bin/fecimg/?202601319795567986</t>
        </is>
      </c>
    </row>
    <row r="3278">
      <c r="A3278" t="inlineStr">
        <is>
          <t>2026</t>
        </is>
      </c>
      <c r="B3278" t="inlineStr">
        <is>
          <t>C00483677</t>
        </is>
      </c>
      <c r="C3278" t="inlineStr">
        <is>
          <t>American Petroleum Institute PAC (API PAC)</t>
        </is>
      </c>
      <c r="D3278" t="inlineStr">
        <is>
          <t>WHATLEY FOR SENATE</t>
        </is>
      </c>
      <c r="E3278" t="inlineStr">
        <is>
          <t>S6NC00415</t>
        </is>
      </c>
      <c r="F3278" t="inlineStr">
        <is>
          <t>REP</t>
        </is>
      </c>
      <c r="G3278" t="inlineStr">
        <is>
          <t>09222025</t>
        </is>
      </c>
      <c r="H3278" t="n">
        <v>500</v>
      </c>
      <c r="I3278" t="inlineStr">
        <is>
          <t>202601319795567987</t>
        </is>
      </c>
      <c r="J3278" t="inlineStr">
        <is>
          <t>https://docquery.fec.gov/cgi-bin/fecimg/?202601319795567987</t>
        </is>
      </c>
    </row>
    <row r="3279">
      <c r="A3279" t="inlineStr">
        <is>
          <t>2026</t>
        </is>
      </c>
      <c r="B3279" t="inlineStr">
        <is>
          <t>C00483677</t>
        </is>
      </c>
      <c r="C3279" t="inlineStr">
        <is>
          <t>American Petroleum Institute PAC (API PAC)</t>
        </is>
      </c>
      <c r="D3279" t="inlineStr">
        <is>
          <t>CAPITO FOR WEST VIRGINIA</t>
        </is>
      </c>
      <c r="E3279" t="inlineStr">
        <is>
          <t>S4WV00159</t>
        </is>
      </c>
      <c r="F3279" t="inlineStr">
        <is>
          <t>REP</t>
        </is>
      </c>
      <c r="G3279" t="inlineStr">
        <is>
          <t>10062025</t>
        </is>
      </c>
      <c r="H3279" t="n">
        <v>500</v>
      </c>
      <c r="I3279" t="inlineStr">
        <is>
          <t>202601319795567987</t>
        </is>
      </c>
      <c r="J3279" t="inlineStr">
        <is>
          <t>https://docquery.fec.gov/cgi-bin/fecimg/?202601319795567987</t>
        </is>
      </c>
    </row>
    <row r="3280">
      <c r="A3280" t="inlineStr">
        <is>
          <t>2026</t>
        </is>
      </c>
      <c r="B3280" t="inlineStr">
        <is>
          <t>C00483677</t>
        </is>
      </c>
      <c r="C3280" t="inlineStr">
        <is>
          <t>American Petroleum Institute PAC (API PAC)</t>
        </is>
      </c>
      <c r="D3280" t="inlineStr">
        <is>
          <t>CAPITO FOR WEST VIRGINIA</t>
        </is>
      </c>
      <c r="E3280" t="inlineStr">
        <is>
          <t>S4WV00159</t>
        </is>
      </c>
      <c r="F3280" t="inlineStr">
        <is>
          <t>REP</t>
        </is>
      </c>
      <c r="G3280" t="inlineStr">
        <is>
          <t>10062025</t>
        </is>
      </c>
      <c r="H3280" t="n">
        <v>500</v>
      </c>
      <c r="I3280" t="inlineStr">
        <is>
          <t>202601319795567987</t>
        </is>
      </c>
      <c r="J3280" t="inlineStr">
        <is>
          <t>https://docquery.fec.gov/cgi-bin/fecimg/?202601319795567987</t>
        </is>
      </c>
    </row>
    <row r="3281">
      <c r="A3281" t="inlineStr">
        <is>
          <t>2026</t>
        </is>
      </c>
      <c r="B3281" t="inlineStr">
        <is>
          <t>C00483677</t>
        </is>
      </c>
      <c r="C3281" t="inlineStr">
        <is>
          <t>American Petroleum Institute PAC (API PAC)</t>
        </is>
      </c>
      <c r="D3281" t="inlineStr">
        <is>
          <t>COLLINS FOR SENATOR</t>
        </is>
      </c>
      <c r="E3281" t="inlineStr">
        <is>
          <t>S6ME00159</t>
        </is>
      </c>
      <c r="F3281" t="inlineStr">
        <is>
          <t>REP</t>
        </is>
      </c>
      <c r="G3281" t="inlineStr">
        <is>
          <t>10062025</t>
        </is>
      </c>
      <c r="H3281" t="n">
        <v>1500</v>
      </c>
      <c r="I3281" t="inlineStr">
        <is>
          <t>202601319795567988</t>
        </is>
      </c>
      <c r="J3281" t="inlineStr">
        <is>
          <t>https://docquery.fec.gov/cgi-bin/fecimg/?202601319795567988</t>
        </is>
      </c>
    </row>
    <row r="3282">
      <c r="A3282" t="inlineStr">
        <is>
          <t>2026</t>
        </is>
      </c>
      <c r="B3282" t="inlineStr">
        <is>
          <t>C00483677</t>
        </is>
      </c>
      <c r="C3282" t="inlineStr">
        <is>
          <t>American Petroleum Institute PAC (API PAC)</t>
        </is>
      </c>
      <c r="D3282" t="inlineStr">
        <is>
          <t>JOHN CURTIS FOR UTAH</t>
        </is>
      </c>
      <c r="E3282" t="inlineStr">
        <is>
          <t>S4UT00282</t>
        </is>
      </c>
      <c r="F3282" t="inlineStr">
        <is>
          <t>REP</t>
        </is>
      </c>
      <c r="G3282" t="inlineStr">
        <is>
          <t>10062025</t>
        </is>
      </c>
      <c r="H3282" t="n">
        <v>1000</v>
      </c>
      <c r="I3282" t="inlineStr">
        <is>
          <t>202601319795567988</t>
        </is>
      </c>
      <c r="J3282" t="inlineStr">
        <is>
          <t>https://docquery.fec.gov/cgi-bin/fecimg/?202601319795567988</t>
        </is>
      </c>
    </row>
    <row r="3283">
      <c r="A3283" t="inlineStr">
        <is>
          <t>2026</t>
        </is>
      </c>
      <c r="B3283" t="inlineStr">
        <is>
          <t>C00483677</t>
        </is>
      </c>
      <c r="C3283" t="inlineStr">
        <is>
          <t>American Petroleum Institute PAC (API PAC)</t>
        </is>
      </c>
      <c r="D3283" t="inlineStr">
        <is>
          <t>JOHN KENNEDY FOR US</t>
        </is>
      </c>
      <c r="E3283" t="inlineStr">
        <is>
          <t>S4LA00065</t>
        </is>
      </c>
      <c r="F3283" t="inlineStr">
        <is>
          <t>REP</t>
        </is>
      </c>
      <c r="G3283" t="inlineStr">
        <is>
          <t>10062025</t>
        </is>
      </c>
      <c r="H3283" t="n">
        <v>1500</v>
      </c>
      <c r="I3283" t="inlineStr">
        <is>
          <t>202601319795567988</t>
        </is>
      </c>
      <c r="J3283" t="inlineStr">
        <is>
          <t>https://docquery.fec.gov/cgi-bin/fecimg/?202601319795567988</t>
        </is>
      </c>
    </row>
    <row r="3284">
      <c r="A3284" t="inlineStr">
        <is>
          <t>2026</t>
        </is>
      </c>
      <c r="B3284" t="inlineStr">
        <is>
          <t>C00483677</t>
        </is>
      </c>
      <c r="C3284" t="inlineStr">
        <is>
          <t>American Petroleum Institute PAC (API PAC)</t>
        </is>
      </c>
      <c r="D3284" t="inlineStr">
        <is>
          <t>TED CRUZ FOR SENATE</t>
        </is>
      </c>
      <c r="E3284" t="inlineStr">
        <is>
          <t>S2TX00312</t>
        </is>
      </c>
      <c r="F3284" t="inlineStr">
        <is>
          <t>REP</t>
        </is>
      </c>
      <c r="G3284" t="inlineStr">
        <is>
          <t>10062025</t>
        </is>
      </c>
      <c r="H3284" t="n">
        <v>1500</v>
      </c>
      <c r="I3284" t="inlineStr">
        <is>
          <t>202601319795567989</t>
        </is>
      </c>
      <c r="J3284" t="inlineStr">
        <is>
          <t>https://docquery.fec.gov/cgi-bin/fecimg/?202601319795567989</t>
        </is>
      </c>
    </row>
    <row r="3285">
      <c r="A3285" t="inlineStr">
        <is>
          <t>2026</t>
        </is>
      </c>
      <c r="B3285" t="inlineStr">
        <is>
          <t>C00483677</t>
        </is>
      </c>
      <c r="C3285" t="inlineStr">
        <is>
          <t>American Petroleum Institute PAC (API PAC)</t>
        </is>
      </c>
      <c r="D3285" t="inlineStr">
        <is>
          <t>FETTERMAN FOR PA</t>
        </is>
      </c>
      <c r="E3285" t="inlineStr">
        <is>
          <t>S6PA00274</t>
        </is>
      </c>
      <c r="F3285" t="inlineStr">
        <is>
          <t>DEM</t>
        </is>
      </c>
      <c r="G3285" t="inlineStr">
        <is>
          <t>10282025</t>
        </is>
      </c>
      <c r="H3285" t="n">
        <v>1500</v>
      </c>
      <c r="I3285" t="inlineStr">
        <is>
          <t>202601319795567989</t>
        </is>
      </c>
      <c r="J3285" t="inlineStr">
        <is>
          <t>https://docquery.fec.gov/cgi-bin/fecimg/?202601319795567989</t>
        </is>
      </c>
    </row>
    <row r="3286">
      <c r="A3286" t="inlineStr">
        <is>
          <t>2026</t>
        </is>
      </c>
      <c r="B3286" t="inlineStr">
        <is>
          <t>C00483677</t>
        </is>
      </c>
      <c r="C3286" t="inlineStr">
        <is>
          <t>American Petroleum Institute PAC (API PAC)</t>
        </is>
      </c>
      <c r="D3286" t="inlineStr">
        <is>
          <t>MIKE THOMPSON FOR CONGRESS</t>
        </is>
      </c>
      <c r="E3286" t="inlineStr">
        <is>
          <t>H8CA01109</t>
        </is>
      </c>
      <c r="F3286" t="inlineStr">
        <is>
          <t>DEM</t>
        </is>
      </c>
      <c r="G3286" t="inlineStr">
        <is>
          <t>10282025</t>
        </is>
      </c>
      <c r="H3286" t="n">
        <v>1000</v>
      </c>
      <c r="I3286" t="inlineStr">
        <is>
          <t>202601319795567989</t>
        </is>
      </c>
      <c r="J3286" t="inlineStr">
        <is>
          <t>https://docquery.fec.gov/cgi-bin/fecimg/?202601319795567989</t>
        </is>
      </c>
    </row>
    <row r="3287">
      <c r="A3287" t="inlineStr">
        <is>
          <t>2026</t>
        </is>
      </c>
      <c r="B3287" t="inlineStr">
        <is>
          <t>C00483677</t>
        </is>
      </c>
      <c r="C3287" t="inlineStr">
        <is>
          <t>American Petroleum Institute PAC (API PAC)</t>
        </is>
      </c>
      <c r="D3287" t="inlineStr">
        <is>
          <t>SANFORD BISHOP FOR CONGRESS</t>
        </is>
      </c>
      <c r="E3287" t="inlineStr">
        <is>
          <t>H2GA02031</t>
        </is>
      </c>
      <c r="F3287" t="inlineStr">
        <is>
          <t>DEM</t>
        </is>
      </c>
      <c r="G3287" t="inlineStr">
        <is>
          <t>10282025</t>
        </is>
      </c>
      <c r="H3287" t="n">
        <v>1000</v>
      </c>
      <c r="I3287" t="inlineStr">
        <is>
          <t>202601319795567990</t>
        </is>
      </c>
      <c r="J3287" t="inlineStr">
        <is>
          <t>https://docquery.fec.gov/cgi-bin/fecimg/?202601319795567990</t>
        </is>
      </c>
    </row>
    <row r="3288">
      <c r="A3288" t="inlineStr">
        <is>
          <t>2026</t>
        </is>
      </c>
      <c r="B3288" t="inlineStr">
        <is>
          <t>C00483677</t>
        </is>
      </c>
      <c r="C3288" t="inlineStr">
        <is>
          <t>American Petroleum Institute PAC (API PAC)</t>
        </is>
      </c>
      <c r="D3288" t="inlineStr">
        <is>
          <t>KAPTUR FOR CONGRESS</t>
        </is>
      </c>
      <c r="E3288" t="inlineStr">
        <is>
          <t>H2OH09031</t>
        </is>
      </c>
      <c r="F3288" t="inlineStr">
        <is>
          <t>DEM</t>
        </is>
      </c>
      <c r="G3288" t="inlineStr">
        <is>
          <t>11042025</t>
        </is>
      </c>
      <c r="H3288" t="n">
        <v>1000</v>
      </c>
      <c r="I3288" t="inlineStr">
        <is>
          <t>202601319795567990</t>
        </is>
      </c>
      <c r="J3288" t="inlineStr">
        <is>
          <t>https://docquery.fec.gov/cgi-bin/fecimg/?202601319795567990</t>
        </is>
      </c>
    </row>
    <row r="3289">
      <c r="A3289" t="inlineStr">
        <is>
          <t>2026</t>
        </is>
      </c>
      <c r="B3289" t="inlineStr">
        <is>
          <t>C00483677</t>
        </is>
      </c>
      <c r="C3289" t="inlineStr">
        <is>
          <t>American Petroleum Institute PAC (API PAC)</t>
        </is>
      </c>
      <c r="D3289" t="inlineStr">
        <is>
          <t>RULLI FOR OHIO</t>
        </is>
      </c>
      <c r="E3289" t="inlineStr">
        <is>
          <t>H4OH06165</t>
        </is>
      </c>
      <c r="F3289" t="inlineStr">
        <is>
          <t>REP</t>
        </is>
      </c>
      <c r="G3289" t="inlineStr">
        <is>
          <t>12012025</t>
        </is>
      </c>
      <c r="H3289" t="n">
        <v>1000</v>
      </c>
      <c r="I3289" t="inlineStr">
        <is>
          <t>202601319795567990</t>
        </is>
      </c>
      <c r="J3289" t="inlineStr">
        <is>
          <t>https://docquery.fec.gov/cgi-bin/fecimg/?202601319795567990</t>
        </is>
      </c>
    </row>
    <row r="3290">
      <c r="A3290" t="inlineStr">
        <is>
          <t>2026</t>
        </is>
      </c>
      <c r="B3290" t="inlineStr">
        <is>
          <t>C00483677</t>
        </is>
      </c>
      <c r="C3290" t="inlineStr">
        <is>
          <t>American Petroleum Institute PAC (API PAC)</t>
        </is>
      </c>
      <c r="D3290" t="inlineStr">
        <is>
          <t>FEDORCHAK FOR ND</t>
        </is>
      </c>
      <c r="E3290" t="inlineStr">
        <is>
          <t>H4ND00061</t>
        </is>
      </c>
      <c r="F3290" t="inlineStr">
        <is>
          <t>REP</t>
        </is>
      </c>
      <c r="G3290" t="inlineStr">
        <is>
          <t>12092025</t>
        </is>
      </c>
      <c r="H3290" t="n">
        <v>1000</v>
      </c>
      <c r="I3290" t="inlineStr">
        <is>
          <t>202601319795567991</t>
        </is>
      </c>
      <c r="J3290" t="inlineStr">
        <is>
          <t>https://docquery.fec.gov/cgi-bin/fecimg/?202601319795567991</t>
        </is>
      </c>
    </row>
    <row r="3291">
      <c r="A3291" t="inlineStr">
        <is>
          <t>2026</t>
        </is>
      </c>
      <c r="B3291" t="inlineStr">
        <is>
          <t>C00483677</t>
        </is>
      </c>
      <c r="C3291" t="inlineStr">
        <is>
          <t>American Petroleum Institute PAC (API PAC)</t>
        </is>
      </c>
      <c r="D3291" t="inlineStr">
        <is>
          <t>MARIE FOR CONGRESS</t>
        </is>
      </c>
      <c r="E3291" t="inlineStr">
        <is>
          <t>H2WA03217</t>
        </is>
      </c>
      <c r="F3291" t="inlineStr">
        <is>
          <t>DEM</t>
        </is>
      </c>
      <c r="G3291" t="inlineStr">
        <is>
          <t>12092025</t>
        </is>
      </c>
      <c r="H3291" t="n">
        <v>1000</v>
      </c>
      <c r="I3291" t="inlineStr">
        <is>
          <t>202601319795567991</t>
        </is>
      </c>
      <c r="J3291" t="inlineStr">
        <is>
          <t>https://docquery.fec.gov/cgi-bin/fecimg/?202601319795567991</t>
        </is>
      </c>
    </row>
    <row r="3292">
      <c r="A3292" t="inlineStr">
        <is>
          <t>2026</t>
        </is>
      </c>
      <c r="B3292" t="inlineStr">
        <is>
          <t>C00483677</t>
        </is>
      </c>
      <c r="C3292" t="inlineStr">
        <is>
          <t>American Petroleum Institute PAC (API PAC)</t>
        </is>
      </c>
      <c r="D3292" t="inlineStr">
        <is>
          <t>PEOPLE FOR BEN</t>
        </is>
      </c>
      <c r="E3292" t="inlineStr">
        <is>
          <t>S0NM00058</t>
        </is>
      </c>
      <c r="F3292" t="inlineStr">
        <is>
          <t>DEM</t>
        </is>
      </c>
      <c r="G3292" t="inlineStr">
        <is>
          <t>12092025</t>
        </is>
      </c>
      <c r="H3292" t="n">
        <v>1000</v>
      </c>
      <c r="I3292" t="inlineStr">
        <is>
          <t>202601319795567991</t>
        </is>
      </c>
      <c r="J3292" t="inlineStr">
        <is>
          <t>https://docquery.fec.gov/cgi-bin/fecimg/?202601319795567991</t>
        </is>
      </c>
    </row>
    <row r="3293">
      <c r="A3293" t="inlineStr">
        <is>
          <t>2026</t>
        </is>
      </c>
      <c r="B3293" t="inlineStr">
        <is>
          <t>C00483677</t>
        </is>
      </c>
      <c r="C3293" t="inlineStr">
        <is>
          <t>American Petroleum Institute PAC (API PAC)</t>
        </is>
      </c>
      <c r="D3293" t="inlineStr">
        <is>
          <t>SYLVIA GARCIA FOR CONGRESS</t>
        </is>
      </c>
      <c r="E3293" t="inlineStr">
        <is>
          <t>H8TX29052</t>
        </is>
      </c>
      <c r="F3293" t="inlineStr">
        <is>
          <t>DEM</t>
        </is>
      </c>
      <c r="G3293" t="inlineStr">
        <is>
          <t>12092025</t>
        </is>
      </c>
      <c r="H3293" t="n">
        <v>1000</v>
      </c>
      <c r="I3293" t="inlineStr">
        <is>
          <t>202601319795567992</t>
        </is>
      </c>
      <c r="J3293" t="inlineStr">
        <is>
          <t>https://docquery.fec.gov/cgi-bin/fecimg/?202601319795567992</t>
        </is>
      </c>
    </row>
    <row r="3294">
      <c r="A3294" t="inlineStr">
        <is>
          <t>2026</t>
        </is>
      </c>
      <c r="B3294" t="inlineStr">
        <is>
          <t>C00483677</t>
        </is>
      </c>
      <c r="C3294" t="inlineStr">
        <is>
          <t>American Petroleum Institute PAC (API PAC)</t>
        </is>
      </c>
      <c r="D3294" t="inlineStr">
        <is>
          <t>GUTHRIE FOR CONGRESS</t>
        </is>
      </c>
      <c r="E3294" t="inlineStr">
        <is>
          <t>H8KY02031</t>
        </is>
      </c>
      <c r="F3294" t="inlineStr">
        <is>
          <t>REP</t>
        </is>
      </c>
      <c r="G3294" t="inlineStr">
        <is>
          <t>12102025</t>
        </is>
      </c>
      <c r="H3294" t="n">
        <v>1500</v>
      </c>
      <c r="I3294" t="inlineStr">
        <is>
          <t>202601319795567992</t>
        </is>
      </c>
      <c r="J3294" t="inlineStr">
        <is>
          <t>https://docquery.fec.gov/cgi-bin/fecimg/?202601319795567992</t>
        </is>
      </c>
    </row>
    <row r="3295">
      <c r="A3295" t="inlineStr">
        <is>
          <t>2026</t>
        </is>
      </c>
      <c r="B3295" t="inlineStr">
        <is>
          <t>C00483677</t>
        </is>
      </c>
      <c r="C3295" t="inlineStr">
        <is>
          <t>American Petroleum Institute PAC (API PAC)</t>
        </is>
      </c>
      <c r="D3295" t="inlineStr">
        <is>
          <t>PETE STAUBER FOR CONGRESS</t>
        </is>
      </c>
      <c r="E3295" t="inlineStr">
        <is>
          <t>H8MN08043</t>
        </is>
      </c>
      <c r="F3295" t="inlineStr">
        <is>
          <t>REP</t>
        </is>
      </c>
      <c r="G3295" t="inlineStr">
        <is>
          <t>12162025</t>
        </is>
      </c>
      <c r="H3295" t="n">
        <v>1000</v>
      </c>
      <c r="I3295" t="inlineStr">
        <is>
          <t>202601319795567992</t>
        </is>
      </c>
      <c r="J3295" t="inlineStr">
        <is>
          <t>https://docquery.fec.gov/cgi-bin/fecimg/?202601319795567992</t>
        </is>
      </c>
    </row>
    <row r="3296">
      <c r="A3296" t="inlineStr">
        <is>
          <t>2026</t>
        </is>
      </c>
      <c r="B3296" t="inlineStr">
        <is>
          <t>C00483677</t>
        </is>
      </c>
      <c r="C3296" t="inlineStr">
        <is>
          <t>American Petroleum Institute PAC (API PAC)</t>
        </is>
      </c>
      <c r="D3296" t="inlineStr">
        <is>
          <t>FEDORCHAK FOR ND</t>
        </is>
      </c>
      <c r="E3296" t="inlineStr">
        <is>
          <t>H4ND00061</t>
        </is>
      </c>
      <c r="F3296" t="inlineStr">
        <is>
          <t>REP</t>
        </is>
      </c>
      <c r="G3296" t="inlineStr">
        <is>
          <t>12232025</t>
        </is>
      </c>
      <c r="H3296" t="n">
        <v>-1000</v>
      </c>
      <c r="I3296" t="inlineStr">
        <is>
          <t>202601319795567993</t>
        </is>
      </c>
      <c r="J3296" t="inlineStr">
        <is>
          <t>https://docquery.fec.gov/cgi-bin/fecimg/?202601319795567993</t>
        </is>
      </c>
    </row>
    <row r="3297">
      <c r="A3297" t="inlineStr">
        <is>
          <t>2026</t>
        </is>
      </c>
      <c r="B3297" t="inlineStr">
        <is>
          <t>C00342766</t>
        </is>
      </c>
      <c r="C3297" t="inlineStr">
        <is>
          <t>HF Sinclair PAC (DINO PAC; formerly HollyFrontier PAC)</t>
        </is>
      </c>
      <c r="D3297" t="inlineStr">
        <is>
          <t>CHRIS GOBER FOR TEXAS</t>
        </is>
      </c>
      <c r="E3297" t="inlineStr">
        <is>
          <t>H6TX10221</t>
        </is>
      </c>
      <c r="F3297" t="inlineStr">
        <is>
          <t>REP</t>
        </is>
      </c>
      <c r="G3297" t="inlineStr">
        <is>
          <t>01082026</t>
        </is>
      </c>
      <c r="H3297" t="n">
        <v>1000</v>
      </c>
      <c r="I3297" t="inlineStr">
        <is>
          <t>202603209853674649</t>
        </is>
      </c>
      <c r="J3297" t="inlineStr">
        <is>
          <t>https://docquery.fec.gov/cgi-bin/fecimg/?202603209853674649</t>
        </is>
      </c>
    </row>
    <row r="3298">
      <c r="A3298" t="inlineStr">
        <is>
          <t>2026</t>
        </is>
      </c>
      <c r="B3298" t="inlineStr">
        <is>
          <t>C00342766</t>
        </is>
      </c>
      <c r="C3298" t="inlineStr">
        <is>
          <t>HF Sinclair PAC (DINO PAC; formerly HollyFrontier PAC)</t>
        </is>
      </c>
      <c r="D3298" t="inlineStr">
        <is>
          <t>CHRIS GOBER FOR TEXAS</t>
        </is>
      </c>
      <c r="E3298" t="inlineStr">
        <is>
          <t>H6TX10221</t>
        </is>
      </c>
      <c r="F3298" t="inlineStr">
        <is>
          <t>REP</t>
        </is>
      </c>
      <c r="G3298" t="inlineStr">
        <is>
          <t>01082026</t>
        </is>
      </c>
      <c r="H3298" t="n">
        <v>-1000</v>
      </c>
      <c r="I3298" t="inlineStr">
        <is>
          <t>202603209853674650</t>
        </is>
      </c>
      <c r="J3298" t="inlineStr">
        <is>
          <t>https://docquery.fec.gov/cgi-bin/fecimg/?202603209853674650</t>
        </is>
      </c>
    </row>
    <row r="3299">
      <c r="A3299" t="inlineStr">
        <is>
          <t>2026</t>
        </is>
      </c>
      <c r="B3299" t="inlineStr">
        <is>
          <t>C00342766</t>
        </is>
      </c>
      <c r="C3299" t="inlineStr">
        <is>
          <t>HF Sinclair PAC (DINO PAC; formerly HollyFrontier PAC)</t>
        </is>
      </c>
      <c r="D3299" t="inlineStr">
        <is>
          <t>CAROL FOR CONGRESS</t>
        </is>
      </c>
      <c r="E3299" t="inlineStr">
        <is>
          <t>H8WV03097</t>
        </is>
      </c>
      <c r="F3299" t="inlineStr">
        <is>
          <t>REP</t>
        </is>
      </c>
      <c r="G3299" t="inlineStr">
        <is>
          <t>01092026</t>
        </is>
      </c>
      <c r="H3299" t="n">
        <v>1000</v>
      </c>
      <c r="I3299" t="inlineStr">
        <is>
          <t>202603209853674649</t>
        </is>
      </c>
      <c r="J3299" t="inlineStr">
        <is>
          <t>https://docquery.fec.gov/cgi-bin/fecimg/?202603209853674649</t>
        </is>
      </c>
    </row>
    <row r="3300">
      <c r="A3300" t="inlineStr">
        <is>
          <t>2026</t>
        </is>
      </c>
      <c r="B3300" t="inlineStr">
        <is>
          <t>C00342766</t>
        </is>
      </c>
      <c r="C3300" t="inlineStr">
        <is>
          <t>HF Sinclair PAC (DINO PAC; formerly HollyFrontier PAC)</t>
        </is>
      </c>
      <c r="D3300" t="inlineStr">
        <is>
          <t>HAGEMAN FOR WYOMING</t>
        </is>
      </c>
      <c r="E3300" t="inlineStr">
        <is>
          <t>H2WY00166</t>
        </is>
      </c>
      <c r="F3300" t="inlineStr">
        <is>
          <t>REP</t>
        </is>
      </c>
      <c r="G3300" t="inlineStr">
        <is>
          <t>01092026</t>
        </is>
      </c>
      <c r="H3300" t="n">
        <v>5000</v>
      </c>
      <c r="I3300" t="inlineStr">
        <is>
          <t>202603209853674650</t>
        </is>
      </c>
      <c r="J3300" t="inlineStr">
        <is>
          <t>https://docquery.fec.gov/cgi-bin/fecimg/?202603209853674650</t>
        </is>
      </c>
    </row>
    <row r="3301">
      <c r="A3301" t="inlineStr">
        <is>
          <t>2026</t>
        </is>
      </c>
      <c r="B3301" t="inlineStr">
        <is>
          <t>C00342766</t>
        </is>
      </c>
      <c r="C3301" t="inlineStr">
        <is>
          <t>HF Sinclair PAC (DINO PAC; formerly HollyFrontier PAC)</t>
        </is>
      </c>
      <c r="D3301" t="inlineStr">
        <is>
          <t>TEXANS FOR RONNY JACKSON</t>
        </is>
      </c>
      <c r="E3301" t="inlineStr">
        <is>
          <t>H0TX13228</t>
        </is>
      </c>
      <c r="F3301" t="inlineStr">
        <is>
          <t>REP</t>
        </is>
      </c>
      <c r="G3301" t="inlineStr">
        <is>
          <t>01092026</t>
        </is>
      </c>
      <c r="H3301" t="n">
        <v>2500</v>
      </c>
      <c r="I3301" t="inlineStr">
        <is>
          <t>202603209853674650</t>
        </is>
      </c>
      <c r="J3301" t="inlineStr">
        <is>
          <t>https://docquery.fec.gov/cgi-bin/fecimg/?202603209853674650</t>
        </is>
      </c>
    </row>
    <row r="3302">
      <c r="A3302" t="inlineStr">
        <is>
          <t>2026</t>
        </is>
      </c>
      <c r="B3302" t="inlineStr">
        <is>
          <t>C00342766</t>
        </is>
      </c>
      <c r="C3302" t="inlineStr">
        <is>
          <t>HF Sinclair PAC (DINO PAC; formerly HollyFrontier PAC)</t>
        </is>
      </c>
      <c r="D3302" t="inlineStr">
        <is>
          <t>PETE STAUBER FOR CONGRESS</t>
        </is>
      </c>
      <c r="E3302" t="inlineStr">
        <is>
          <t>H8MN08043</t>
        </is>
      </c>
      <c r="F3302" t="inlineStr">
        <is>
          <t>REP</t>
        </is>
      </c>
      <c r="G3302" t="inlineStr">
        <is>
          <t>01162026</t>
        </is>
      </c>
      <c r="H3302" t="n">
        <v>1000</v>
      </c>
      <c r="I3302" t="inlineStr">
        <is>
          <t>202603209853674649</t>
        </is>
      </c>
      <c r="J3302" t="inlineStr">
        <is>
          <t>https://docquery.fec.gov/cgi-bin/fecimg/?202603209853674649</t>
        </is>
      </c>
    </row>
    <row r="3303">
      <c r="A3303" t="inlineStr">
        <is>
          <t>2026</t>
        </is>
      </c>
      <c r="B3303" t="inlineStr">
        <is>
          <t>C00342766</t>
        </is>
      </c>
      <c r="C3303" t="inlineStr">
        <is>
          <t>HF Sinclair PAC (DINO PAC; formerly HollyFrontier PAC)</t>
        </is>
      </c>
      <c r="D3303" t="inlineStr">
        <is>
          <t>GUTHRIE FOR CONGRESS</t>
        </is>
      </c>
      <c r="E3303" t="inlineStr">
        <is>
          <t>H8KY02031</t>
        </is>
      </c>
      <c r="F3303" t="inlineStr">
        <is>
          <t>REP</t>
        </is>
      </c>
      <c r="G3303" t="inlineStr">
        <is>
          <t>02172026</t>
        </is>
      </c>
      <c r="H3303" t="n">
        <v>5000</v>
      </c>
      <c r="I3303" t="inlineStr">
        <is>
          <t>202603209853674697</t>
        </is>
      </c>
      <c r="J3303" t="inlineStr">
        <is>
          <t>https://docquery.fec.gov/cgi-bin/fecimg/?202603209853674697</t>
        </is>
      </c>
    </row>
    <row r="3304">
      <c r="A3304" t="inlineStr">
        <is>
          <t>2026</t>
        </is>
      </c>
      <c r="B3304" t="inlineStr">
        <is>
          <t>C00342766</t>
        </is>
      </c>
      <c r="C3304" t="inlineStr">
        <is>
          <t>HF Sinclair PAC (DINO PAC; formerly HollyFrontier PAC)</t>
        </is>
      </c>
      <c r="D3304" t="inlineStr">
        <is>
          <t>EMMER FOR CONGRESS</t>
        </is>
      </c>
      <c r="E3304" t="inlineStr">
        <is>
          <t>H4MN06087</t>
        </is>
      </c>
      <c r="F3304" t="inlineStr">
        <is>
          <t>REP</t>
        </is>
      </c>
      <c r="G3304" t="inlineStr">
        <is>
          <t>02172026</t>
        </is>
      </c>
      <c r="H3304" t="n">
        <v>2500</v>
      </c>
      <c r="I3304" t="inlineStr">
        <is>
          <t>202603209853674697</t>
        </is>
      </c>
      <c r="J3304" t="inlineStr">
        <is>
          <t>https://docquery.fec.gov/cgi-bin/fecimg/?202603209853674697</t>
        </is>
      </c>
    </row>
    <row r="3305">
      <c r="A3305" t="inlineStr">
        <is>
          <t>2026</t>
        </is>
      </c>
      <c r="B3305" t="inlineStr">
        <is>
          <t>C00342766</t>
        </is>
      </c>
      <c r="C3305" t="inlineStr">
        <is>
          <t>HF Sinclair PAC (DINO PAC; formerly HollyFrontier PAC)</t>
        </is>
      </c>
      <c r="D3305" t="inlineStr">
        <is>
          <t>MIKE CRAPO FOR US SENATE</t>
        </is>
      </c>
      <c r="E3305" t="inlineStr">
        <is>
          <t>S8ID00027</t>
        </is>
      </c>
      <c r="F3305" t="inlineStr">
        <is>
          <t>REP</t>
        </is>
      </c>
      <c r="G3305" t="inlineStr">
        <is>
          <t>03202025</t>
        </is>
      </c>
      <c r="H3305" t="n">
        <v>5000</v>
      </c>
      <c r="I3305" t="inlineStr">
        <is>
          <t>202507039762576451</t>
        </is>
      </c>
      <c r="J3305" t="inlineStr">
        <is>
          <t>https://docquery.fec.gov/cgi-bin/fecimg/?202507039762576451</t>
        </is>
      </c>
    </row>
    <row r="3306">
      <c r="A3306" t="inlineStr">
        <is>
          <t>2026</t>
        </is>
      </c>
      <c r="B3306" t="inlineStr">
        <is>
          <t>C00342766</t>
        </is>
      </c>
      <c r="C3306" t="inlineStr">
        <is>
          <t>HF Sinclair PAC (DINO PAC; formerly HollyFrontier PAC)</t>
        </is>
      </c>
      <c r="D3306" t="inlineStr">
        <is>
          <t>EMMER FOR CONGRESS</t>
        </is>
      </c>
      <c r="E3306" t="inlineStr">
        <is>
          <t>H4MN06087</t>
        </is>
      </c>
      <c r="F3306" t="inlineStr">
        <is>
          <t>REP</t>
        </is>
      </c>
      <c r="G3306" t="inlineStr">
        <is>
          <t>03202025</t>
        </is>
      </c>
      <c r="H3306" t="n">
        <v>2500</v>
      </c>
      <c r="I3306" t="inlineStr">
        <is>
          <t>202507039762576451</t>
        </is>
      </c>
      <c r="J3306" t="inlineStr">
        <is>
          <t>https://docquery.fec.gov/cgi-bin/fecimg/?202507039762576451</t>
        </is>
      </c>
    </row>
    <row r="3307">
      <c r="A3307" t="inlineStr">
        <is>
          <t>2026</t>
        </is>
      </c>
      <c r="B3307" t="inlineStr">
        <is>
          <t>C00342766</t>
        </is>
      </c>
      <c r="C3307" t="inlineStr">
        <is>
          <t>HF Sinclair PAC (DINO PAC; formerly HollyFrontier PAC)</t>
        </is>
      </c>
      <c r="D3307" t="inlineStr">
        <is>
          <t>COLE FOR CONGRESS</t>
        </is>
      </c>
      <c r="E3307" t="inlineStr">
        <is>
          <t>H2OK04055</t>
        </is>
      </c>
      <c r="F3307" t="inlineStr">
        <is>
          <t>REP</t>
        </is>
      </c>
      <c r="G3307" t="inlineStr">
        <is>
          <t>03202025</t>
        </is>
      </c>
      <c r="H3307" t="n">
        <v>2500</v>
      </c>
      <c r="I3307" t="inlineStr">
        <is>
          <t>202507039762576453</t>
        </is>
      </c>
      <c r="J3307" t="inlineStr">
        <is>
          <t>https://docquery.fec.gov/cgi-bin/fecimg/?202507039762576453</t>
        </is>
      </c>
    </row>
    <row r="3308">
      <c r="A3308" t="inlineStr">
        <is>
          <t>2026</t>
        </is>
      </c>
      <c r="B3308" t="inlineStr">
        <is>
          <t>C00342766</t>
        </is>
      </c>
      <c r="C3308" t="inlineStr">
        <is>
          <t>HF Sinclair PAC (DINO PAC; formerly HollyFrontier PAC)</t>
        </is>
      </c>
      <c r="D3308" t="inlineStr">
        <is>
          <t>HUDSON FOR CONGRESS</t>
        </is>
      </c>
      <c r="E3308" t="inlineStr">
        <is>
          <t>H2NC08185</t>
        </is>
      </c>
      <c r="F3308" t="inlineStr">
        <is>
          <t>REP</t>
        </is>
      </c>
      <c r="G3308" t="inlineStr">
        <is>
          <t>03202025</t>
        </is>
      </c>
      <c r="H3308" t="n">
        <v>2500</v>
      </c>
      <c r="I3308" t="inlineStr">
        <is>
          <t>202507039762576452</t>
        </is>
      </c>
      <c r="J3308" t="inlineStr">
        <is>
          <t>https://docquery.fec.gov/cgi-bin/fecimg/?202507039762576452</t>
        </is>
      </c>
    </row>
    <row r="3309">
      <c r="A3309" t="inlineStr">
        <is>
          <t>2026</t>
        </is>
      </c>
      <c r="B3309" t="inlineStr">
        <is>
          <t>C00342766</t>
        </is>
      </c>
      <c r="C3309" t="inlineStr">
        <is>
          <t>HF Sinclair PAC (DINO PAC; formerly HollyFrontier PAC)</t>
        </is>
      </c>
      <c r="D3309" t="inlineStr">
        <is>
          <t>HERN FOR CONGRESS</t>
        </is>
      </c>
      <c r="E3309" t="inlineStr">
        <is>
          <t>H8OK01157</t>
        </is>
      </c>
      <c r="F3309" t="inlineStr">
        <is>
          <t>REP</t>
        </is>
      </c>
      <c r="G3309" t="inlineStr">
        <is>
          <t>03202025</t>
        </is>
      </c>
      <c r="H3309" t="n">
        <v>5000</v>
      </c>
      <c r="I3309" t="inlineStr">
        <is>
          <t>202507039762576453</t>
        </is>
      </c>
      <c r="J3309" t="inlineStr">
        <is>
          <t>https://docquery.fec.gov/cgi-bin/fecimg/?202507039762576453</t>
        </is>
      </c>
    </row>
    <row r="3310">
      <c r="A3310" t="inlineStr">
        <is>
          <t>2026</t>
        </is>
      </c>
      <c r="B3310" t="inlineStr">
        <is>
          <t>C00342766</t>
        </is>
      </c>
      <c r="C3310" t="inlineStr">
        <is>
          <t>HF Sinclair PAC (DINO PAC; formerly HollyFrontier PAC)</t>
        </is>
      </c>
      <c r="D3310" t="inlineStr">
        <is>
          <t>FRIENDS OF JOHN THUNE</t>
        </is>
      </c>
      <c r="E3310" t="inlineStr">
        <is>
          <t>S2SD00068</t>
        </is>
      </c>
      <c r="F3310" t="inlineStr">
        <is>
          <t>REP</t>
        </is>
      </c>
      <c r="G3310" t="inlineStr">
        <is>
          <t>03202025</t>
        </is>
      </c>
      <c r="H3310" t="n">
        <v>5000</v>
      </c>
      <c r="I3310" t="inlineStr">
        <is>
          <t>202507039762576453</t>
        </is>
      </c>
      <c r="J3310" t="inlineStr">
        <is>
          <t>https://docquery.fec.gov/cgi-bin/fecimg/?202507039762576453</t>
        </is>
      </c>
    </row>
    <row r="3311">
      <c r="A3311" t="inlineStr">
        <is>
          <t>2026</t>
        </is>
      </c>
      <c r="B3311" t="inlineStr">
        <is>
          <t>C00342766</t>
        </is>
      </c>
      <c r="C3311" t="inlineStr">
        <is>
          <t>HF Sinclair PAC (DINO PAC; formerly HollyFrontier PAC)</t>
        </is>
      </c>
      <c r="D3311" t="inlineStr">
        <is>
          <t>MOORE FOR WEST VIRGINIA, INC.</t>
        </is>
      </c>
      <c r="E3311" t="inlineStr">
        <is>
          <t>H4WV02205</t>
        </is>
      </c>
      <c r="F3311" t="inlineStr">
        <is>
          <t>REP</t>
        </is>
      </c>
      <c r="G3311" t="inlineStr">
        <is>
          <t>03202025</t>
        </is>
      </c>
      <c r="H3311" t="n">
        <v>2500</v>
      </c>
      <c r="I3311" t="inlineStr">
        <is>
          <t>202507039762576454</t>
        </is>
      </c>
      <c r="J3311" t="inlineStr">
        <is>
          <t>https://docquery.fec.gov/cgi-bin/fecimg/?202507039762576454</t>
        </is>
      </c>
    </row>
    <row r="3312">
      <c r="A3312" t="inlineStr">
        <is>
          <t>2026</t>
        </is>
      </c>
      <c r="B3312" t="inlineStr">
        <is>
          <t>C00342766</t>
        </is>
      </c>
      <c r="C3312" t="inlineStr">
        <is>
          <t>HF Sinclair PAC (DINO PAC; formerly HollyFrontier PAC)</t>
        </is>
      </c>
      <c r="D3312" t="inlineStr">
        <is>
          <t>FEDORCHAK FOR ND</t>
        </is>
      </c>
      <c r="E3312" t="inlineStr">
        <is>
          <t>H4ND00061</t>
        </is>
      </c>
      <c r="F3312" t="inlineStr">
        <is>
          <t>REP</t>
        </is>
      </c>
      <c r="G3312" t="inlineStr">
        <is>
          <t>03202025</t>
        </is>
      </c>
      <c r="H3312" t="n">
        <v>1000</v>
      </c>
      <c r="I3312" t="inlineStr">
        <is>
          <t>202507039762576455</t>
        </is>
      </c>
      <c r="J3312" t="inlineStr">
        <is>
          <t>https://docquery.fec.gov/cgi-bin/fecimg/?202507039762576455</t>
        </is>
      </c>
    </row>
    <row r="3313">
      <c r="A3313" t="inlineStr">
        <is>
          <t>2026</t>
        </is>
      </c>
      <c r="B3313" t="inlineStr">
        <is>
          <t>C00342766</t>
        </is>
      </c>
      <c r="C3313" t="inlineStr">
        <is>
          <t>HF Sinclair PAC (DINO PAC; formerly HollyFrontier PAC)</t>
        </is>
      </c>
      <c r="D3313" t="inlineStr">
        <is>
          <t>PETE STAUBER FOR CONGRESS</t>
        </is>
      </c>
      <c r="E3313" t="inlineStr">
        <is>
          <t>H8MN08043</t>
        </is>
      </c>
      <c r="F3313" t="inlineStr">
        <is>
          <t>REP</t>
        </is>
      </c>
      <c r="G3313" t="inlineStr">
        <is>
          <t>03202025</t>
        </is>
      </c>
      <c r="H3313" t="n">
        <v>1000</v>
      </c>
      <c r="I3313" t="inlineStr">
        <is>
          <t>202507039762576456</t>
        </is>
      </c>
      <c r="J3313" t="inlineStr">
        <is>
          <t>https://docquery.fec.gov/cgi-bin/fecimg/?202507039762576456</t>
        </is>
      </c>
    </row>
    <row r="3314">
      <c r="A3314" t="inlineStr">
        <is>
          <t>2026</t>
        </is>
      </c>
      <c r="B3314" t="inlineStr">
        <is>
          <t>C00342766</t>
        </is>
      </c>
      <c r="C3314" t="inlineStr">
        <is>
          <t>HF Sinclair PAC (DINO PAC; formerly HollyFrontier PAC)</t>
        </is>
      </c>
      <c r="D3314" t="inlineStr">
        <is>
          <t>ELECTGABEEVANS.COM</t>
        </is>
      </c>
      <c r="E3314" t="inlineStr">
        <is>
          <t>H4CO08034</t>
        </is>
      </c>
      <c r="F3314" t="inlineStr">
        <is>
          <t>REP</t>
        </is>
      </c>
      <c r="G3314" t="inlineStr">
        <is>
          <t>03202025</t>
        </is>
      </c>
      <c r="H3314" t="n">
        <v>2500</v>
      </c>
      <c r="I3314" t="inlineStr">
        <is>
          <t>202507039762576457</t>
        </is>
      </c>
      <c r="J3314" t="inlineStr">
        <is>
          <t>https://docquery.fec.gov/cgi-bin/fecimg/?202507039762576457</t>
        </is>
      </c>
    </row>
    <row r="3315">
      <c r="A3315" t="inlineStr">
        <is>
          <t>2026</t>
        </is>
      </c>
      <c r="B3315" t="inlineStr">
        <is>
          <t>C00342766</t>
        </is>
      </c>
      <c r="C3315" t="inlineStr">
        <is>
          <t>HF Sinclair PAC (DINO PAC; formerly HollyFrontier PAC)</t>
        </is>
      </c>
      <c r="D3315" t="inlineStr">
        <is>
          <t>AUGUST PFLUGER FOR CONGRESS</t>
        </is>
      </c>
      <c r="E3315" t="inlineStr">
        <is>
          <t>H0TX11230</t>
        </is>
      </c>
      <c r="F3315" t="inlineStr">
        <is>
          <t>REP</t>
        </is>
      </c>
      <c r="G3315" t="inlineStr">
        <is>
          <t>03202025</t>
        </is>
      </c>
      <c r="H3315" t="n">
        <v>2500</v>
      </c>
      <c r="I3315" t="inlineStr">
        <is>
          <t>202507039762576457</t>
        </is>
      </c>
      <c r="J3315" t="inlineStr">
        <is>
          <t>https://docquery.fec.gov/cgi-bin/fecimg/?202507039762576457</t>
        </is>
      </c>
    </row>
    <row r="3316">
      <c r="A3316" t="inlineStr">
        <is>
          <t>2026</t>
        </is>
      </c>
      <c r="B3316" t="inlineStr">
        <is>
          <t>C00342766</t>
        </is>
      </c>
      <c r="C3316" t="inlineStr">
        <is>
          <t>HF Sinclair PAC (DINO PAC; formerly HollyFrontier PAC)</t>
        </is>
      </c>
      <c r="D3316" t="inlineStr">
        <is>
          <t>TEXANS FOR JODEY ARRINGTON</t>
        </is>
      </c>
      <c r="E3316" t="inlineStr">
        <is>
          <t>H6TX19099</t>
        </is>
      </c>
      <c r="F3316" t="inlineStr">
        <is>
          <t>REP</t>
        </is>
      </c>
      <c r="G3316" t="inlineStr">
        <is>
          <t>03202025</t>
        </is>
      </c>
      <c r="H3316" t="n">
        <v>2500</v>
      </c>
      <c r="I3316" t="inlineStr">
        <is>
          <t>202507039762576458</t>
        </is>
      </c>
      <c r="J3316" t="inlineStr">
        <is>
          <t>https://docquery.fec.gov/cgi-bin/fecimg/?202507039762576458</t>
        </is>
      </c>
    </row>
    <row r="3317">
      <c r="A3317" t="inlineStr">
        <is>
          <t>2026</t>
        </is>
      </c>
      <c r="B3317" t="inlineStr">
        <is>
          <t>C00342766</t>
        </is>
      </c>
      <c r="C3317" t="inlineStr">
        <is>
          <t>HF Sinclair PAC (DINO PAC; formerly HollyFrontier PAC)</t>
        </is>
      </c>
      <c r="D3317" t="inlineStr">
        <is>
          <t>CRAIG GOLDMAN FOR CONGRESS</t>
        </is>
      </c>
      <c r="E3317" t="inlineStr">
        <is>
          <t>H4TX12065</t>
        </is>
      </c>
      <c r="F3317" t="inlineStr">
        <is>
          <t>REP</t>
        </is>
      </c>
      <c r="G3317" t="inlineStr">
        <is>
          <t>03202025</t>
        </is>
      </c>
      <c r="H3317" t="n">
        <v>2500</v>
      </c>
      <c r="I3317" t="inlineStr">
        <is>
          <t>202507039762576459</t>
        </is>
      </c>
      <c r="J3317" t="inlineStr">
        <is>
          <t>https://docquery.fec.gov/cgi-bin/fecimg/?202507039762576459</t>
        </is>
      </c>
    </row>
    <row r="3318">
      <c r="A3318" t="inlineStr">
        <is>
          <t>2026</t>
        </is>
      </c>
      <c r="B3318" t="inlineStr">
        <is>
          <t>C00342766</t>
        </is>
      </c>
      <c r="C3318" t="inlineStr">
        <is>
          <t>HF Sinclair PAC (DINO PAC; formerly HollyFrontier PAC)</t>
        </is>
      </c>
      <c r="D3318" t="inlineStr">
        <is>
          <t>MIKE CRAPO FOR US SENATE</t>
        </is>
      </c>
      <c r="E3318" t="inlineStr">
        <is>
          <t>S8ID00027</t>
        </is>
      </c>
      <c r="F3318" t="inlineStr">
        <is>
          <t>REP</t>
        </is>
      </c>
      <c r="G3318" t="inlineStr">
        <is>
          <t>03202025</t>
        </is>
      </c>
      <c r="H3318" t="n">
        <v>5000</v>
      </c>
      <c r="I3318" t="inlineStr">
        <is>
          <t>202507039762576459</t>
        </is>
      </c>
      <c r="J3318" t="inlineStr">
        <is>
          <t>https://docquery.fec.gov/cgi-bin/fecimg/?202507039762576459</t>
        </is>
      </c>
    </row>
    <row r="3319">
      <c r="A3319" t="inlineStr">
        <is>
          <t>2026</t>
        </is>
      </c>
      <c r="B3319" t="inlineStr">
        <is>
          <t>C00342766</t>
        </is>
      </c>
      <c r="C3319" t="inlineStr">
        <is>
          <t>HF Sinclair PAC (DINO PAC; formerly HollyFrontier PAC)</t>
        </is>
      </c>
      <c r="D3319" t="inlineStr">
        <is>
          <t>GUTHRIE FOR CONGRESS</t>
        </is>
      </c>
      <c r="E3319" t="inlineStr">
        <is>
          <t>H8KY02031</t>
        </is>
      </c>
      <c r="F3319" t="inlineStr">
        <is>
          <t>REP</t>
        </is>
      </c>
      <c r="G3319" t="inlineStr">
        <is>
          <t>03202025</t>
        </is>
      </c>
      <c r="H3319" t="n">
        <v>5000</v>
      </c>
      <c r="I3319" t="inlineStr">
        <is>
          <t>202507039762576460</t>
        </is>
      </c>
      <c r="J3319" t="inlineStr">
        <is>
          <t>https://docquery.fec.gov/cgi-bin/fecimg/?202507039762576460</t>
        </is>
      </c>
    </row>
    <row r="3320">
      <c r="A3320" t="inlineStr">
        <is>
          <t>2026</t>
        </is>
      </c>
      <c r="B3320" t="inlineStr">
        <is>
          <t>C00342766</t>
        </is>
      </c>
      <c r="C3320" t="inlineStr">
        <is>
          <t>HF Sinclair PAC (DINO PAC; formerly HollyFrontier PAC)</t>
        </is>
      </c>
      <c r="D3320" t="inlineStr">
        <is>
          <t>JASON SMITH FOR CONGRESS</t>
        </is>
      </c>
      <c r="E3320" t="inlineStr">
        <is>
          <t>H4MO08162</t>
        </is>
      </c>
      <c r="F3320" t="inlineStr">
        <is>
          <t>REP</t>
        </is>
      </c>
      <c r="G3320" t="inlineStr">
        <is>
          <t>03202025</t>
        </is>
      </c>
      <c r="H3320" t="n">
        <v>5000</v>
      </c>
      <c r="I3320" t="inlineStr">
        <is>
          <t>202507039762576460</t>
        </is>
      </c>
      <c r="J3320" t="inlineStr">
        <is>
          <t>https://docquery.fec.gov/cgi-bin/fecimg/?202507039762576460</t>
        </is>
      </c>
    </row>
    <row r="3321">
      <c r="A3321" t="inlineStr">
        <is>
          <t>2026</t>
        </is>
      </c>
      <c r="B3321" t="inlineStr">
        <is>
          <t>C00342766</t>
        </is>
      </c>
      <c r="C3321" t="inlineStr">
        <is>
          <t>HF Sinclair PAC (DINO PAC; formerly HollyFrontier PAC)</t>
        </is>
      </c>
      <c r="D3321" t="inlineStr">
        <is>
          <t>HUDSON FOR CONGRESS</t>
        </is>
      </c>
      <c r="E3321" t="inlineStr">
        <is>
          <t>H2NC08185</t>
        </is>
      </c>
      <c r="F3321" t="inlineStr">
        <is>
          <t>REP</t>
        </is>
      </c>
      <c r="G3321" t="inlineStr">
        <is>
          <t>03302026</t>
        </is>
      </c>
      <c r="H3321" t="n">
        <v>2500</v>
      </c>
      <c r="I3321" t="inlineStr">
        <is>
          <t>202604179863183174</t>
        </is>
      </c>
      <c r="J3321" t="inlineStr">
        <is>
          <t>https://docquery.fec.gov/cgi-bin/fecimg/?202604179863183174</t>
        </is>
      </c>
    </row>
    <row r="3322">
      <c r="A3322" t="inlineStr">
        <is>
          <t>2026</t>
        </is>
      </c>
      <c r="B3322" t="inlineStr">
        <is>
          <t>C00342766</t>
        </is>
      </c>
      <c r="C3322" t="inlineStr">
        <is>
          <t>HF Sinclair PAC (DINO PAC; formerly HollyFrontier PAC)</t>
        </is>
      </c>
      <c r="D3322" t="inlineStr">
        <is>
          <t>DR. BRIAN BABIN FOR CONGRESS</t>
        </is>
      </c>
      <c r="E3322" t="inlineStr">
        <is>
          <t>H6TX02079</t>
        </is>
      </c>
      <c r="F3322" t="inlineStr">
        <is>
          <t>REP</t>
        </is>
      </c>
      <c r="G3322" t="inlineStr">
        <is>
          <t>03302026</t>
        </is>
      </c>
      <c r="H3322" t="n">
        <v>1000</v>
      </c>
      <c r="I3322" t="inlineStr">
        <is>
          <t>202604179863183174</t>
        </is>
      </c>
      <c r="J3322" t="inlineStr">
        <is>
          <t>https://docquery.fec.gov/cgi-bin/fecimg/?202604179863183174</t>
        </is>
      </c>
    </row>
    <row r="3323">
      <c r="A3323" t="inlineStr">
        <is>
          <t>2026</t>
        </is>
      </c>
      <c r="B3323" t="inlineStr">
        <is>
          <t>C00342766</t>
        </is>
      </c>
      <c r="C3323" t="inlineStr">
        <is>
          <t>HF Sinclair PAC (DINO PAC; formerly HollyFrontier PAC)</t>
        </is>
      </c>
      <c r="D3323" t="inlineStr">
        <is>
          <t>BLAKE MOORE FOR CONGRESS</t>
        </is>
      </c>
      <c r="E3323" t="inlineStr">
        <is>
          <t>H0UT01205</t>
        </is>
      </c>
      <c r="F3323" t="inlineStr">
        <is>
          <t>REP</t>
        </is>
      </c>
      <c r="G3323" t="inlineStr">
        <is>
          <t>03302026</t>
        </is>
      </c>
      <c r="H3323" t="n">
        <v>2500</v>
      </c>
      <c r="I3323" t="inlineStr">
        <is>
          <t>202604179863183174</t>
        </is>
      </c>
      <c r="J3323" t="inlineStr">
        <is>
          <t>https://docquery.fec.gov/cgi-bin/fecimg/?202604179863183174</t>
        </is>
      </c>
    </row>
    <row r="3324">
      <c r="A3324" t="inlineStr">
        <is>
          <t>2026</t>
        </is>
      </c>
      <c r="B3324" t="inlineStr">
        <is>
          <t>C00342766</t>
        </is>
      </c>
      <c r="C3324" t="inlineStr">
        <is>
          <t>HF Sinclair PAC (DINO PAC; formerly HollyFrontier PAC)</t>
        </is>
      </c>
      <c r="D3324" t="inlineStr">
        <is>
          <t>HERN FOR SENATE</t>
        </is>
      </c>
      <c r="E3324" t="inlineStr">
        <is>
          <t>S6OK04247</t>
        </is>
      </c>
      <c r="F3324" t="inlineStr">
        <is>
          <t>REP</t>
        </is>
      </c>
      <c r="G3324" t="inlineStr">
        <is>
          <t>03302026</t>
        </is>
      </c>
      <c r="H3324" t="n">
        <v>5000</v>
      </c>
      <c r="I3324" t="inlineStr">
        <is>
          <t>202604179863183175</t>
        </is>
      </c>
      <c r="J3324" t="inlineStr">
        <is>
          <t>https://docquery.fec.gov/cgi-bin/fecimg/?202604179863183175</t>
        </is>
      </c>
    </row>
    <row r="3325">
      <c r="A3325" t="inlineStr">
        <is>
          <t>2026</t>
        </is>
      </c>
      <c r="B3325" t="inlineStr">
        <is>
          <t>C00342766</t>
        </is>
      </c>
      <c r="C3325" t="inlineStr">
        <is>
          <t>HF Sinclair PAC (DINO PAC; formerly HollyFrontier PAC)</t>
        </is>
      </c>
      <c r="D3325" t="inlineStr">
        <is>
          <t>HERN FOR SENATE</t>
        </is>
      </c>
      <c r="E3325" t="inlineStr">
        <is>
          <t>S6OK04247</t>
        </is>
      </c>
      <c r="F3325" t="inlineStr">
        <is>
          <t>REP</t>
        </is>
      </c>
      <c r="G3325" t="inlineStr">
        <is>
          <t>03302026</t>
        </is>
      </c>
      <c r="H3325" t="n">
        <v>5000</v>
      </c>
      <c r="I3325" t="inlineStr">
        <is>
          <t>202604179863183175</t>
        </is>
      </c>
      <c r="J3325" t="inlineStr">
        <is>
          <t>https://docquery.fec.gov/cgi-bin/fecimg/?202604179863183175</t>
        </is>
      </c>
    </row>
    <row r="3326">
      <c r="A3326" t="inlineStr">
        <is>
          <t>2026</t>
        </is>
      </c>
      <c r="B3326" t="inlineStr">
        <is>
          <t>C00342766</t>
        </is>
      </c>
      <c r="C3326" t="inlineStr">
        <is>
          <t>HF Sinclair PAC (DINO PAC; formerly HollyFrontier PAC)</t>
        </is>
      </c>
      <c r="D3326" t="inlineStr">
        <is>
          <t>TROY DOWNING FOR CONGRESS</t>
        </is>
      </c>
      <c r="E3326" t="inlineStr">
        <is>
          <t>H4MT02098</t>
        </is>
      </c>
      <c r="F3326" t="inlineStr">
        <is>
          <t>REP</t>
        </is>
      </c>
      <c r="G3326" t="inlineStr">
        <is>
          <t>03302026</t>
        </is>
      </c>
      <c r="H3326" t="n">
        <v>1000</v>
      </c>
      <c r="I3326" t="inlineStr">
        <is>
          <t>202604179863183175</t>
        </is>
      </c>
      <c r="J3326" t="inlineStr">
        <is>
          <t>https://docquery.fec.gov/cgi-bin/fecimg/?202604179863183175</t>
        </is>
      </c>
    </row>
    <row r="3327">
      <c r="A3327" t="inlineStr">
        <is>
          <t>2026</t>
        </is>
      </c>
      <c r="B3327" t="inlineStr">
        <is>
          <t>C00342766</t>
        </is>
      </c>
      <c r="C3327" t="inlineStr">
        <is>
          <t>HF Sinclair PAC (DINO PAC; formerly HollyFrontier PAC)</t>
        </is>
      </c>
      <c r="D3327" t="inlineStr">
        <is>
          <t>JESSICA STEINMANN FOR CONGRESS</t>
        </is>
      </c>
      <c r="E3327" t="inlineStr">
        <is>
          <t>H6TX08209</t>
        </is>
      </c>
      <c r="F3327" t="inlineStr">
        <is>
          <t>REP</t>
        </is>
      </c>
      <c r="G3327" t="inlineStr">
        <is>
          <t>03302026</t>
        </is>
      </c>
      <c r="H3327" t="n">
        <v>1000</v>
      </c>
      <c r="I3327" t="inlineStr">
        <is>
          <t>202604179863183176</t>
        </is>
      </c>
      <c r="J3327" t="inlineStr">
        <is>
          <t>https://docquery.fec.gov/cgi-bin/fecimg/?202604179863183176</t>
        </is>
      </c>
    </row>
    <row r="3328">
      <c r="A3328" t="inlineStr">
        <is>
          <t>2026</t>
        </is>
      </c>
      <c r="B3328" t="inlineStr">
        <is>
          <t>C00342766</t>
        </is>
      </c>
      <c r="C3328" t="inlineStr">
        <is>
          <t>HF Sinclair PAC (DINO PAC; formerly HollyFrontier PAC)</t>
        </is>
      </c>
      <c r="D3328" t="inlineStr">
        <is>
          <t>RUDY FOR INDIANA</t>
        </is>
      </c>
      <c r="E3328" t="inlineStr">
        <is>
          <t>H2IN02295</t>
        </is>
      </c>
      <c r="F3328" t="inlineStr">
        <is>
          <t>REP</t>
        </is>
      </c>
      <c r="G3328" t="inlineStr">
        <is>
          <t>03302026</t>
        </is>
      </c>
      <c r="H3328" t="n">
        <v>2500</v>
      </c>
      <c r="I3328" t="inlineStr">
        <is>
          <t>202604179863183176</t>
        </is>
      </c>
      <c r="J3328" t="inlineStr">
        <is>
          <t>https://docquery.fec.gov/cgi-bin/fecimg/?202604179863183176</t>
        </is>
      </c>
    </row>
    <row r="3329">
      <c r="A3329" t="inlineStr">
        <is>
          <t>2026</t>
        </is>
      </c>
      <c r="B3329" t="inlineStr">
        <is>
          <t>C00342766</t>
        </is>
      </c>
      <c r="C3329" t="inlineStr">
        <is>
          <t>HF Sinclair PAC (DINO PAC; formerly HollyFrontier PAC)</t>
        </is>
      </c>
      <c r="D3329" t="inlineStr">
        <is>
          <t>JASON SMITH FOR CONGRESS</t>
        </is>
      </c>
      <c r="E3329" t="inlineStr">
        <is>
          <t>H4MO08162</t>
        </is>
      </c>
      <c r="F3329" t="inlineStr">
        <is>
          <t>REP</t>
        </is>
      </c>
      <c r="G3329" t="inlineStr">
        <is>
          <t>04172026</t>
        </is>
      </c>
      <c r="H3329" t="n">
        <v>-5000</v>
      </c>
      <c r="I3329" t="inlineStr">
        <is>
          <t>202605209867461049</t>
        </is>
      </c>
      <c r="J3329" t="inlineStr">
        <is>
          <t>https://docquery.fec.gov/cgi-bin/fecimg/?202605209867461049</t>
        </is>
      </c>
    </row>
    <row r="3330">
      <c r="A3330" t="inlineStr">
        <is>
          <t>2026</t>
        </is>
      </c>
      <c r="B3330" t="inlineStr">
        <is>
          <t>C00342766</t>
        </is>
      </c>
      <c r="C3330" t="inlineStr">
        <is>
          <t>HF Sinclair PAC (DINO PAC; formerly HollyFrontier PAC)</t>
        </is>
      </c>
      <c r="D3330" t="inlineStr">
        <is>
          <t>JAKE ELLZEY FOR CONGRESS</t>
        </is>
      </c>
      <c r="E3330" t="inlineStr">
        <is>
          <t>H8TX06266</t>
        </is>
      </c>
      <c r="F3330" t="inlineStr">
        <is>
          <t>REP</t>
        </is>
      </c>
      <c r="G3330" t="inlineStr">
        <is>
          <t>04172026</t>
        </is>
      </c>
      <c r="H3330" t="n">
        <v>-2500</v>
      </c>
      <c r="I3330" t="inlineStr">
        <is>
          <t>202605209867461049</t>
        </is>
      </c>
      <c r="J3330" t="inlineStr">
        <is>
          <t>https://docquery.fec.gov/cgi-bin/fecimg/?202605209867461049</t>
        </is>
      </c>
    </row>
    <row r="3331">
      <c r="A3331" t="inlineStr">
        <is>
          <t>2026</t>
        </is>
      </c>
      <c r="B3331" t="inlineStr">
        <is>
          <t>C00342766</t>
        </is>
      </c>
      <c r="C3331" t="inlineStr">
        <is>
          <t>HF Sinclair PAC (DINO PAC; formerly HollyFrontier PAC)</t>
        </is>
      </c>
      <c r="D3331" t="inlineStr">
        <is>
          <t>PATRIOTS FOR PERRY</t>
        </is>
      </c>
      <c r="E3331" t="inlineStr">
        <is>
          <t>H2PA04135</t>
        </is>
      </c>
      <c r="F3331" t="inlineStr">
        <is>
          <t>REP</t>
        </is>
      </c>
      <c r="G3331" t="inlineStr">
        <is>
          <t>05072026</t>
        </is>
      </c>
      <c r="H3331" t="n">
        <v>1500</v>
      </c>
      <c r="I3331" t="inlineStr">
        <is>
          <t>202606209870856117</t>
        </is>
      </c>
      <c r="J3331" t="inlineStr">
        <is>
          <t>https://docquery.fec.gov/cgi-bin/fecimg/?202606209870856117</t>
        </is>
      </c>
    </row>
    <row r="3332">
      <c r="A3332" t="inlineStr">
        <is>
          <t>2026</t>
        </is>
      </c>
      <c r="B3332" t="inlineStr">
        <is>
          <t>C00342766</t>
        </is>
      </c>
      <c r="C3332" t="inlineStr">
        <is>
          <t>HF Sinclair PAC (DINO PAC; formerly HollyFrontier PAC)</t>
        </is>
      </c>
      <c r="D3332" t="inlineStr">
        <is>
          <t>ALEXANDRA DEL MORAL MEALER FOR CONGRESS</t>
        </is>
      </c>
      <c r="E3332" t="inlineStr">
        <is>
          <t>H6TX09140</t>
        </is>
      </c>
      <c r="F3332" t="inlineStr">
        <is>
          <t>REP</t>
        </is>
      </c>
      <c r="G3332" t="inlineStr">
        <is>
          <t>05072026</t>
        </is>
      </c>
      <c r="H3332" t="n">
        <v>1000</v>
      </c>
      <c r="I3332" t="inlineStr">
        <is>
          <t>202606209870856118</t>
        </is>
      </c>
      <c r="J3332" t="inlineStr">
        <is>
          <t>https://docquery.fec.gov/cgi-bin/fecimg/?202606209870856118</t>
        </is>
      </c>
    </row>
    <row r="3333">
      <c r="A3333" t="inlineStr">
        <is>
          <t>2026</t>
        </is>
      </c>
      <c r="B3333" t="inlineStr">
        <is>
          <t>C00342766</t>
        </is>
      </c>
      <c r="C3333" t="inlineStr">
        <is>
          <t>HF Sinclair PAC (DINO PAC; formerly HollyFrontier PAC)</t>
        </is>
      </c>
      <c r="D3333" t="inlineStr">
        <is>
          <t>NATHANIEL MORAN FOR CONGRESS</t>
        </is>
      </c>
      <c r="E3333" t="inlineStr">
        <is>
          <t>H2TX01112</t>
        </is>
      </c>
      <c r="F3333" t="inlineStr">
        <is>
          <t>REP</t>
        </is>
      </c>
      <c r="G3333" t="inlineStr">
        <is>
          <t>05072026</t>
        </is>
      </c>
      <c r="H3333" t="n">
        <v>2500</v>
      </c>
      <c r="I3333" t="inlineStr">
        <is>
          <t>202606209870856118</t>
        </is>
      </c>
      <c r="J3333" t="inlineStr">
        <is>
          <t>https://docquery.fec.gov/cgi-bin/fecimg/?202606209870856118</t>
        </is>
      </c>
    </row>
    <row r="3334">
      <c r="A3334" t="inlineStr">
        <is>
          <t>2026</t>
        </is>
      </c>
      <c r="B3334" t="inlineStr">
        <is>
          <t>C00342766</t>
        </is>
      </c>
      <c r="C3334" t="inlineStr">
        <is>
          <t>HF Sinclair PAC (DINO PAC; formerly HollyFrontier PAC)</t>
        </is>
      </c>
      <c r="D3334" t="inlineStr">
        <is>
          <t>BARRY MOORE FOR U.S. SENATE</t>
        </is>
      </c>
      <c r="E3334" t="inlineStr">
        <is>
          <t>H8AL02171</t>
        </is>
      </c>
      <c r="F3334" t="inlineStr">
        <is>
          <t>REP</t>
        </is>
      </c>
      <c r="G3334" t="inlineStr">
        <is>
          <t>05072026</t>
        </is>
      </c>
      <c r="H3334" t="n">
        <v>2500</v>
      </c>
      <c r="I3334" t="inlineStr">
        <is>
          <t>202606209870856114</t>
        </is>
      </c>
      <c r="J3334" t="inlineStr">
        <is>
          <t>https://docquery.fec.gov/cgi-bin/fecimg/?202606209870856114</t>
        </is>
      </c>
    </row>
    <row r="3335">
      <c r="A3335" t="inlineStr">
        <is>
          <t>2026</t>
        </is>
      </c>
      <c r="B3335" t="inlineStr">
        <is>
          <t>C00342766</t>
        </is>
      </c>
      <c r="C3335" t="inlineStr">
        <is>
          <t>HF Sinclair PAC (DINO PAC; formerly HollyFrontier PAC)</t>
        </is>
      </c>
      <c r="D3335" t="inlineStr">
        <is>
          <t>JESSICA STEINMANN FOR CONGRESS</t>
        </is>
      </c>
      <c r="E3335" t="inlineStr">
        <is>
          <t>H6TX08209</t>
        </is>
      </c>
      <c r="F3335" t="inlineStr">
        <is>
          <t>REP</t>
        </is>
      </c>
      <c r="G3335" t="inlineStr">
        <is>
          <t>05072026</t>
        </is>
      </c>
      <c r="H3335" t="n">
        <v>1000</v>
      </c>
      <c r="I3335" t="inlineStr">
        <is>
          <t>202606209870856114</t>
        </is>
      </c>
      <c r="J3335" t="inlineStr">
        <is>
          <t>https://docquery.fec.gov/cgi-bin/fecimg/?202606209870856114</t>
        </is>
      </c>
    </row>
    <row r="3336">
      <c r="A3336" t="inlineStr">
        <is>
          <t>2026</t>
        </is>
      </c>
      <c r="B3336" t="inlineStr">
        <is>
          <t>C00342766</t>
        </is>
      </c>
      <c r="C3336" t="inlineStr">
        <is>
          <t>HF Sinclair PAC (DINO PAC; formerly HollyFrontier PAC)</t>
        </is>
      </c>
      <c r="D3336" t="inlineStr">
        <is>
          <t>JACE YARBROUGH FOR CONGRESS</t>
        </is>
      </c>
      <c r="E3336" t="inlineStr">
        <is>
          <t>H6TX32225</t>
        </is>
      </c>
      <c r="F3336" t="inlineStr">
        <is>
          <t>REP</t>
        </is>
      </c>
      <c r="G3336" t="inlineStr">
        <is>
          <t>05072026</t>
        </is>
      </c>
      <c r="H3336" t="n">
        <v>1000</v>
      </c>
      <c r="I3336" t="inlineStr">
        <is>
          <t>202606209870856114</t>
        </is>
      </c>
      <c r="J3336" t="inlineStr">
        <is>
          <t>https://docquery.fec.gov/cgi-bin/fecimg/?202606209870856114</t>
        </is>
      </c>
    </row>
    <row r="3337">
      <c r="A3337" t="inlineStr">
        <is>
          <t>2026</t>
        </is>
      </c>
      <c r="B3337" t="inlineStr">
        <is>
          <t>C00342766</t>
        </is>
      </c>
      <c r="C3337" t="inlineStr">
        <is>
          <t>HF Sinclair PAC (DINO PAC; formerly HollyFrontier PAC)</t>
        </is>
      </c>
      <c r="D3337" t="inlineStr">
        <is>
          <t>JEFF CRANK FOR CONGRESS</t>
        </is>
      </c>
      <c r="E3337" t="inlineStr">
        <is>
          <t>H4CO05147</t>
        </is>
      </c>
      <c r="G3337" t="inlineStr">
        <is>
          <t>05072026</t>
        </is>
      </c>
      <c r="H3337" t="n">
        <v>1500</v>
      </c>
      <c r="I3337" t="inlineStr">
        <is>
          <t>202606209870856115</t>
        </is>
      </c>
      <c r="J3337" t="inlineStr">
        <is>
          <t>https://docquery.fec.gov/cgi-bin/fecimg/?202606209870856115</t>
        </is>
      </c>
    </row>
    <row r="3338">
      <c r="A3338" t="inlineStr">
        <is>
          <t>2026</t>
        </is>
      </c>
      <c r="B3338" t="inlineStr">
        <is>
          <t>C00342766</t>
        </is>
      </c>
      <c r="C3338" t="inlineStr">
        <is>
          <t>HF Sinclair PAC (DINO PAC; formerly HollyFrontier PAC)</t>
        </is>
      </c>
      <c r="D3338" t="inlineStr">
        <is>
          <t>GARY PALMER FOR CONGRESS</t>
        </is>
      </c>
      <c r="E3338" t="inlineStr">
        <is>
          <t>H4AL06098</t>
        </is>
      </c>
      <c r="F3338" t="inlineStr">
        <is>
          <t>REP</t>
        </is>
      </c>
      <c r="G3338" t="inlineStr">
        <is>
          <t>05072026</t>
        </is>
      </c>
      <c r="H3338" t="n">
        <v>1500</v>
      </c>
      <c r="I3338" t="inlineStr">
        <is>
          <t>202606209870856115</t>
        </is>
      </c>
      <c r="J3338" t="inlineStr">
        <is>
          <t>https://docquery.fec.gov/cgi-bin/fecimg/?202606209870856115</t>
        </is>
      </c>
    </row>
    <row r="3339">
      <c r="A3339" t="inlineStr">
        <is>
          <t>2026</t>
        </is>
      </c>
      <c r="B3339" t="inlineStr">
        <is>
          <t>C00342766</t>
        </is>
      </c>
      <c r="C3339" t="inlineStr">
        <is>
          <t>HF Sinclair PAC (DINO PAC; formerly HollyFrontier PAC)</t>
        </is>
      </c>
      <c r="D3339" t="inlineStr">
        <is>
          <t>JOSH BRECHEEN FOR CONGRESS</t>
        </is>
      </c>
      <c r="E3339" t="inlineStr">
        <is>
          <t>H2OK02315</t>
        </is>
      </c>
      <c r="F3339" t="inlineStr">
        <is>
          <t>REP</t>
        </is>
      </c>
      <c r="G3339" t="inlineStr">
        <is>
          <t>05072026</t>
        </is>
      </c>
      <c r="H3339" t="n">
        <v>2500</v>
      </c>
      <c r="I3339" t="inlineStr">
        <is>
          <t>202606209870856116</t>
        </is>
      </c>
      <c r="J3339" t="inlineStr">
        <is>
          <t>https://docquery.fec.gov/cgi-bin/fecimg/?202606209870856116</t>
        </is>
      </c>
    </row>
    <row r="3340">
      <c r="A3340" t="inlineStr">
        <is>
          <t>2026</t>
        </is>
      </c>
      <c r="B3340" t="inlineStr">
        <is>
          <t>C00342766</t>
        </is>
      </c>
      <c r="C3340" t="inlineStr">
        <is>
          <t>HF Sinclair PAC (DINO PAC; formerly HollyFrontier PAC)</t>
        </is>
      </c>
      <c r="D3340" t="inlineStr">
        <is>
          <t>FRY FOR CONGRESS</t>
        </is>
      </c>
      <c r="E3340" t="inlineStr">
        <is>
          <t>H2SC07280</t>
        </is>
      </c>
      <c r="F3340" t="inlineStr">
        <is>
          <t>REP</t>
        </is>
      </c>
      <c r="G3340" t="inlineStr">
        <is>
          <t>05072026</t>
        </is>
      </c>
      <c r="H3340" t="n">
        <v>4000</v>
      </c>
      <c r="I3340" t="inlineStr">
        <is>
          <t>202606209870856116</t>
        </is>
      </c>
      <c r="J3340" t="inlineStr">
        <is>
          <t>https://docquery.fec.gov/cgi-bin/fecimg/?202606209870856116</t>
        </is>
      </c>
    </row>
    <row r="3341">
      <c r="A3341" t="inlineStr">
        <is>
          <t>2026</t>
        </is>
      </c>
      <c r="B3341" t="inlineStr">
        <is>
          <t>C00342766</t>
        </is>
      </c>
      <c r="C3341" t="inlineStr">
        <is>
          <t>HF Sinclair PAC (DINO PAC; formerly HollyFrontier PAC)</t>
        </is>
      </c>
      <c r="D3341" t="inlineStr">
        <is>
          <t>FRY FOR CONGRESS</t>
        </is>
      </c>
      <c r="E3341" t="inlineStr">
        <is>
          <t>H2SC07280</t>
        </is>
      </c>
      <c r="F3341" t="inlineStr">
        <is>
          <t>REP</t>
        </is>
      </c>
      <c r="G3341" t="inlineStr">
        <is>
          <t>05072026</t>
        </is>
      </c>
      <c r="H3341" t="n">
        <v>1000</v>
      </c>
      <c r="I3341" t="inlineStr">
        <is>
          <t>202606209870856116</t>
        </is>
      </c>
      <c r="J3341" t="inlineStr">
        <is>
          <t>https://docquery.fec.gov/cgi-bin/fecimg/?202606209870856116</t>
        </is>
      </c>
    </row>
    <row r="3342">
      <c r="A3342" t="inlineStr">
        <is>
          <t>2026</t>
        </is>
      </c>
      <c r="B3342" t="inlineStr">
        <is>
          <t>C00342766</t>
        </is>
      </c>
      <c r="C3342" t="inlineStr">
        <is>
          <t>HF Sinclair PAC (DINO PAC; formerly HollyFrontier PAC)</t>
        </is>
      </c>
      <c r="D3342" t="inlineStr">
        <is>
          <t>WOMACK FOR CONGRESS COMMITTEE</t>
        </is>
      </c>
      <c r="E3342" t="inlineStr">
        <is>
          <t>H0AR03055</t>
        </is>
      </c>
      <c r="F3342" t="inlineStr">
        <is>
          <t>REP</t>
        </is>
      </c>
      <c r="G3342" t="inlineStr">
        <is>
          <t>05082026</t>
        </is>
      </c>
      <c r="H3342" t="n">
        <v>2500</v>
      </c>
      <c r="I3342" t="inlineStr">
        <is>
          <t>202606209870856117</t>
        </is>
      </c>
      <c r="J3342" t="inlineStr">
        <is>
          <t>https://docquery.fec.gov/cgi-bin/fecimg/?202606209870856117</t>
        </is>
      </c>
    </row>
    <row r="3343">
      <c r="A3343" t="inlineStr">
        <is>
          <t>2026</t>
        </is>
      </c>
      <c r="B3343" t="inlineStr">
        <is>
          <t>C00342766</t>
        </is>
      </c>
      <c r="C3343" t="inlineStr">
        <is>
          <t>HF Sinclair PAC (DINO PAC; formerly HollyFrontier PAC)</t>
        </is>
      </c>
      <c r="D3343" t="inlineStr">
        <is>
          <t>FEDORCHAK FOR ND</t>
        </is>
      </c>
      <c r="E3343" t="inlineStr">
        <is>
          <t>H4ND00061</t>
        </is>
      </c>
      <c r="F3343" t="inlineStr">
        <is>
          <t>REP</t>
        </is>
      </c>
      <c r="G3343" t="inlineStr">
        <is>
          <t>05082026</t>
        </is>
      </c>
      <c r="H3343" t="n">
        <v>1000</v>
      </c>
      <c r="I3343" t="inlineStr">
        <is>
          <t>202606209870856117</t>
        </is>
      </c>
      <c r="J3343" t="inlineStr">
        <is>
          <t>https://docquery.fec.gov/cgi-bin/fecimg/?202606209870856117</t>
        </is>
      </c>
    </row>
    <row r="3344">
      <c r="A3344" t="inlineStr">
        <is>
          <t>2026</t>
        </is>
      </c>
      <c r="B3344" t="inlineStr">
        <is>
          <t>C00342766</t>
        </is>
      </c>
      <c r="C3344" t="inlineStr">
        <is>
          <t>HF Sinclair PAC (DINO PAC; formerly HollyFrontier PAC)</t>
        </is>
      </c>
      <c r="D3344" t="inlineStr">
        <is>
          <t>WHATLEY FOR SENATE</t>
        </is>
      </c>
      <c r="E3344" t="inlineStr">
        <is>
          <t>S6NC00415</t>
        </is>
      </c>
      <c r="F3344" t="inlineStr">
        <is>
          <t>REP</t>
        </is>
      </c>
      <c r="G3344" t="inlineStr">
        <is>
          <t>05082026</t>
        </is>
      </c>
      <c r="H3344" t="n">
        <v>2000</v>
      </c>
      <c r="I3344" t="inlineStr">
        <is>
          <t>202606209870856118</t>
        </is>
      </c>
      <c r="J3344" t="inlineStr">
        <is>
          <t>https://docquery.fec.gov/cgi-bin/fecimg/?202606209870856118</t>
        </is>
      </c>
    </row>
    <row r="3345">
      <c r="A3345" t="inlineStr">
        <is>
          <t>2026</t>
        </is>
      </c>
      <c r="B3345" t="inlineStr">
        <is>
          <t>C00342766</t>
        </is>
      </c>
      <c r="C3345" t="inlineStr">
        <is>
          <t>HF Sinclair PAC (DINO PAC; formerly HollyFrontier PAC)</t>
        </is>
      </c>
      <c r="D3345" t="inlineStr">
        <is>
          <t>BRANDON GILL FOR TEXAS</t>
        </is>
      </c>
      <c r="E3345" t="inlineStr">
        <is>
          <t>H4TX26149</t>
        </is>
      </c>
      <c r="F3345" t="inlineStr">
        <is>
          <t>REP</t>
        </is>
      </c>
      <c r="G3345" t="inlineStr">
        <is>
          <t>05082026</t>
        </is>
      </c>
      <c r="H3345" t="n">
        <v>1000</v>
      </c>
      <c r="I3345" t="inlineStr">
        <is>
          <t>202606209870856115</t>
        </is>
      </c>
      <c r="J3345" t="inlineStr">
        <is>
          <t>https://docquery.fec.gov/cgi-bin/fecimg/?202606209870856115</t>
        </is>
      </c>
    </row>
    <row r="3346">
      <c r="A3346" t="inlineStr">
        <is>
          <t>2026</t>
        </is>
      </c>
      <c r="B3346" t="inlineStr">
        <is>
          <t>C00342766</t>
        </is>
      </c>
      <c r="C3346" t="inlineStr">
        <is>
          <t>HF Sinclair PAC (DINO PAC; formerly HollyFrontier PAC)</t>
        </is>
      </c>
      <c r="D3346" t="inlineStr">
        <is>
          <t>JEFF HURD FOR CONGRESS</t>
        </is>
      </c>
      <c r="E3346" t="inlineStr">
        <is>
          <t>H4CO03357</t>
        </is>
      </c>
      <c r="F3346" t="inlineStr">
        <is>
          <t>REP</t>
        </is>
      </c>
      <c r="G3346" t="inlineStr">
        <is>
          <t>06042026</t>
        </is>
      </c>
      <c r="H3346" t="n">
        <v>1500</v>
      </c>
      <c r="I3346" t="inlineStr">
        <is>
          <t>202607209891007702</t>
        </is>
      </c>
      <c r="J3346" t="inlineStr">
        <is>
          <t>https://docquery.fec.gov/cgi-bin/fecimg/?202607209891007702</t>
        </is>
      </c>
    </row>
    <row r="3347">
      <c r="A3347" t="inlineStr">
        <is>
          <t>2026</t>
        </is>
      </c>
      <c r="B3347" t="inlineStr">
        <is>
          <t>C00342766</t>
        </is>
      </c>
      <c r="C3347" t="inlineStr">
        <is>
          <t>HF Sinclair PAC (DINO PAC; formerly HollyFrontier PAC)</t>
        </is>
      </c>
      <c r="D3347" t="inlineStr">
        <is>
          <t>DR JOHN JOYCE FOR CONGRESS</t>
        </is>
      </c>
      <c r="E3347" t="inlineStr">
        <is>
          <t>H8PA13125</t>
        </is>
      </c>
      <c r="F3347" t="inlineStr">
        <is>
          <t>REP</t>
        </is>
      </c>
      <c r="G3347" t="inlineStr">
        <is>
          <t>06172025</t>
        </is>
      </c>
      <c r="H3347" t="n">
        <v>2500</v>
      </c>
      <c r="I3347" t="inlineStr">
        <is>
          <t>202507039762576452</t>
        </is>
      </c>
      <c r="J3347" t="inlineStr">
        <is>
          <t>https://docquery.fec.gov/cgi-bin/fecimg/?202507039762576452</t>
        </is>
      </c>
    </row>
    <row r="3348">
      <c r="A3348" t="inlineStr">
        <is>
          <t>2026</t>
        </is>
      </c>
      <c r="B3348" t="inlineStr">
        <is>
          <t>C00342766</t>
        </is>
      </c>
      <c r="C3348" t="inlineStr">
        <is>
          <t>HF Sinclair PAC (DINO PAC; formerly HollyFrontier PAC)</t>
        </is>
      </c>
      <c r="D3348" t="inlineStr">
        <is>
          <t>MULLIN FOR AMERICA</t>
        </is>
      </c>
      <c r="E3348" t="inlineStr">
        <is>
          <t>S2OK00186</t>
        </is>
      </c>
      <c r="F3348" t="inlineStr">
        <is>
          <t>REP</t>
        </is>
      </c>
      <c r="G3348" t="inlineStr">
        <is>
          <t>06172025</t>
        </is>
      </c>
      <c r="H3348" t="n">
        <v>2500</v>
      </c>
      <c r="I3348" t="inlineStr">
        <is>
          <t>202507039762576454</t>
        </is>
      </c>
      <c r="J3348" t="inlineStr">
        <is>
          <t>https://docquery.fec.gov/cgi-bin/fecimg/?202507039762576454</t>
        </is>
      </c>
    </row>
    <row r="3349">
      <c r="A3349" t="inlineStr">
        <is>
          <t>2026</t>
        </is>
      </c>
      <c r="B3349" t="inlineStr">
        <is>
          <t>C00342766</t>
        </is>
      </c>
      <c r="C3349" t="inlineStr">
        <is>
          <t>HF Sinclair PAC (DINO PAC; formerly HollyFrontier PAC)</t>
        </is>
      </c>
      <c r="D3349" t="inlineStr">
        <is>
          <t>TED CRUZ FOR SENATE</t>
        </is>
      </c>
      <c r="E3349" t="inlineStr">
        <is>
          <t>S2TX00312</t>
        </is>
      </c>
      <c r="F3349" t="inlineStr">
        <is>
          <t>REP</t>
        </is>
      </c>
      <c r="G3349" t="inlineStr">
        <is>
          <t>06172025</t>
        </is>
      </c>
      <c r="H3349" t="n">
        <v>5000</v>
      </c>
      <c r="I3349" t="inlineStr">
        <is>
          <t>202507039762576454</t>
        </is>
      </c>
      <c r="J3349" t="inlineStr">
        <is>
          <t>https://docquery.fec.gov/cgi-bin/fecimg/?202507039762576454</t>
        </is>
      </c>
    </row>
    <row r="3350">
      <c r="A3350" t="inlineStr">
        <is>
          <t>2026</t>
        </is>
      </c>
      <c r="B3350" t="inlineStr">
        <is>
          <t>C00342766</t>
        </is>
      </c>
      <c r="C3350" t="inlineStr">
        <is>
          <t>HF Sinclair PAC (DINO PAC; formerly HollyFrontier PAC)</t>
        </is>
      </c>
      <c r="D3350" t="inlineStr">
        <is>
          <t>FRIENDS OF MIKE LEE INC</t>
        </is>
      </c>
      <c r="E3350" t="inlineStr">
        <is>
          <t>S0UT00165</t>
        </is>
      </c>
      <c r="F3350" t="inlineStr">
        <is>
          <t>REP</t>
        </is>
      </c>
      <c r="G3350" t="inlineStr">
        <is>
          <t>06172025</t>
        </is>
      </c>
      <c r="H3350" t="n">
        <v>5000</v>
      </c>
      <c r="I3350" t="inlineStr">
        <is>
          <t>202507039762576455</t>
        </is>
      </c>
      <c r="J3350" t="inlineStr">
        <is>
          <t>https://docquery.fec.gov/cgi-bin/fecimg/?202507039762576455</t>
        </is>
      </c>
    </row>
    <row r="3351">
      <c r="A3351" t="inlineStr">
        <is>
          <t>2026</t>
        </is>
      </c>
      <c r="B3351" t="inlineStr">
        <is>
          <t>C00342766</t>
        </is>
      </c>
      <c r="C3351" t="inlineStr">
        <is>
          <t>HF Sinclair PAC (DINO PAC; formerly HollyFrontier PAC)</t>
        </is>
      </c>
      <c r="D3351" t="inlineStr">
        <is>
          <t>FAMILIES FOR JAMES LANKFORD</t>
        </is>
      </c>
      <c r="E3351" t="inlineStr">
        <is>
          <t>S4OK00232</t>
        </is>
      </c>
      <c r="F3351" t="inlineStr">
        <is>
          <t>REP</t>
        </is>
      </c>
      <c r="G3351" t="inlineStr">
        <is>
          <t>06172025</t>
        </is>
      </c>
      <c r="H3351" t="n">
        <v>5000</v>
      </c>
      <c r="I3351" t="inlineStr">
        <is>
          <t>202507039762576456</t>
        </is>
      </c>
      <c r="J3351" t="inlineStr">
        <is>
          <t>https://docquery.fec.gov/cgi-bin/fecimg/?202507039762576456</t>
        </is>
      </c>
    </row>
    <row r="3352">
      <c r="A3352" t="inlineStr">
        <is>
          <t>2026</t>
        </is>
      </c>
      <c r="B3352" t="inlineStr">
        <is>
          <t>C00342766</t>
        </is>
      </c>
      <c r="C3352" t="inlineStr">
        <is>
          <t>HF Sinclair PAC (DINO PAC; formerly HollyFrontier PAC)</t>
        </is>
      </c>
      <c r="D3352" t="inlineStr">
        <is>
          <t>SCALISE FOR CONGRESS</t>
        </is>
      </c>
      <c r="E3352" t="inlineStr">
        <is>
          <t>H0LA01087</t>
        </is>
      </c>
      <c r="F3352" t="inlineStr">
        <is>
          <t>REP</t>
        </is>
      </c>
      <c r="G3352" t="inlineStr">
        <is>
          <t>06172025</t>
        </is>
      </c>
      <c r="H3352" t="n">
        <v>5000</v>
      </c>
      <c r="I3352" t="inlineStr">
        <is>
          <t>202507039762576457</t>
        </is>
      </c>
      <c r="J3352" t="inlineStr">
        <is>
          <t>https://docquery.fec.gov/cgi-bin/fecimg/?202507039762576457</t>
        </is>
      </c>
    </row>
    <row r="3353">
      <c r="A3353" t="inlineStr">
        <is>
          <t>2026</t>
        </is>
      </c>
      <c r="B3353" t="inlineStr">
        <is>
          <t>C00342766</t>
        </is>
      </c>
      <c r="C3353" t="inlineStr">
        <is>
          <t>HF Sinclair PAC (DINO PAC; formerly HollyFrontier PAC)</t>
        </is>
      </c>
      <c r="D3353" t="inlineStr">
        <is>
          <t>ASHLEY HINSON FOR CONGRESS</t>
        </is>
      </c>
      <c r="E3353" t="inlineStr">
        <is>
          <t>H0IA01174</t>
        </is>
      </c>
      <c r="F3353" t="inlineStr">
        <is>
          <t>REP</t>
        </is>
      </c>
      <c r="G3353" t="inlineStr">
        <is>
          <t>06172025</t>
        </is>
      </c>
      <c r="H3353" t="n">
        <v>2500</v>
      </c>
      <c r="I3353" t="inlineStr">
        <is>
          <t>202507039762576458</t>
        </is>
      </c>
      <c r="J3353" t="inlineStr">
        <is>
          <t>https://docquery.fec.gov/cgi-bin/fecimg/?202507039762576458</t>
        </is>
      </c>
    </row>
    <row r="3354">
      <c r="A3354" t="inlineStr">
        <is>
          <t>2026</t>
        </is>
      </c>
      <c r="B3354" t="inlineStr">
        <is>
          <t>C00342766</t>
        </is>
      </c>
      <c r="C3354" t="inlineStr">
        <is>
          <t>HF Sinclair PAC (DINO PAC; formerly HollyFrontier PAC)</t>
        </is>
      </c>
      <c r="D3354" t="inlineStr">
        <is>
          <t>AUGUST PFLUGER FOR CONGRESS</t>
        </is>
      </c>
      <c r="E3354" t="inlineStr">
        <is>
          <t>H0TX11230</t>
        </is>
      </c>
      <c r="F3354" t="inlineStr">
        <is>
          <t>REP</t>
        </is>
      </c>
      <c r="G3354" t="inlineStr">
        <is>
          <t>06172025</t>
        </is>
      </c>
      <c r="H3354" t="n">
        <v>2500</v>
      </c>
      <c r="I3354" t="inlineStr">
        <is>
          <t>202507039762576458</t>
        </is>
      </c>
      <c r="J3354" t="inlineStr">
        <is>
          <t>https://docquery.fec.gov/cgi-bin/fecimg/?202507039762576458</t>
        </is>
      </c>
    </row>
    <row r="3355">
      <c r="A3355" t="inlineStr">
        <is>
          <t>2026</t>
        </is>
      </c>
      <c r="B3355" t="inlineStr">
        <is>
          <t>C00342766</t>
        </is>
      </c>
      <c r="C3355" t="inlineStr">
        <is>
          <t>HF Sinclair PAC (DINO PAC; formerly HollyFrontier PAC)</t>
        </is>
      </c>
      <c r="D3355" t="inlineStr">
        <is>
          <t>BICE FOR CONGRESS</t>
        </is>
      </c>
      <c r="E3355" t="inlineStr">
        <is>
          <t>H0OK05205</t>
        </is>
      </c>
      <c r="F3355" t="inlineStr">
        <is>
          <t>REP</t>
        </is>
      </c>
      <c r="G3355" t="inlineStr">
        <is>
          <t>06182025</t>
        </is>
      </c>
      <c r="H3355" t="n">
        <v>1000</v>
      </c>
      <c r="I3355" t="inlineStr">
        <is>
          <t>202507039762576451</t>
        </is>
      </c>
      <c r="J3355" t="inlineStr">
        <is>
          <t>https://docquery.fec.gov/cgi-bin/fecimg/?202507039762576451</t>
        </is>
      </c>
    </row>
    <row r="3356">
      <c r="A3356" t="inlineStr">
        <is>
          <t>2026</t>
        </is>
      </c>
      <c r="B3356" t="inlineStr">
        <is>
          <t>C00342766</t>
        </is>
      </c>
      <c r="C3356" t="inlineStr">
        <is>
          <t>HF Sinclair PAC (DINO PAC; formerly HollyFrontier PAC)</t>
        </is>
      </c>
      <c r="D3356" t="inlineStr">
        <is>
          <t>DANIEL FOR ARIZONA</t>
        </is>
      </c>
      <c r="E3356" t="inlineStr">
        <is>
          <t>H6AZ07105</t>
        </is>
      </c>
      <c r="F3356" t="inlineStr">
        <is>
          <t>DEM</t>
        </is>
      </c>
      <c r="G3356" t="inlineStr">
        <is>
          <t>06182025</t>
        </is>
      </c>
      <c r="H3356" t="n">
        <v>1000</v>
      </c>
      <c r="I3356" t="inlineStr">
        <is>
          <t>202507039762576452</t>
        </is>
      </c>
      <c r="J3356" t="inlineStr">
        <is>
          <t>https://docquery.fec.gov/cgi-bin/fecimg/?202507039762576452</t>
        </is>
      </c>
    </row>
    <row r="3357">
      <c r="A3357" t="inlineStr">
        <is>
          <t>2026</t>
        </is>
      </c>
      <c r="B3357" t="inlineStr">
        <is>
          <t>C00342766</t>
        </is>
      </c>
      <c r="C3357" t="inlineStr">
        <is>
          <t>HF Sinclair PAC (DINO PAC; formerly HollyFrontier PAC)</t>
        </is>
      </c>
      <c r="D3357" t="inlineStr">
        <is>
          <t>GUY FOR CONGRESS</t>
        </is>
      </c>
      <c r="E3357" t="inlineStr">
        <is>
          <t>H8PA18199</t>
        </is>
      </c>
      <c r="F3357" t="inlineStr">
        <is>
          <t>REP</t>
        </is>
      </c>
      <c r="G3357" t="inlineStr">
        <is>
          <t>06182025</t>
        </is>
      </c>
      <c r="H3357" t="n">
        <v>1000</v>
      </c>
      <c r="I3357" t="inlineStr">
        <is>
          <t>202507039762576455</t>
        </is>
      </c>
      <c r="J3357" t="inlineStr">
        <is>
          <t>https://docquery.fec.gov/cgi-bin/fecimg/?202507039762576455</t>
        </is>
      </c>
    </row>
    <row r="3358">
      <c r="A3358" t="inlineStr">
        <is>
          <t>2026</t>
        </is>
      </c>
      <c r="B3358" t="inlineStr">
        <is>
          <t>C00342766</t>
        </is>
      </c>
      <c r="C3358" t="inlineStr">
        <is>
          <t>HF Sinclair PAC (DINO PAC; formerly HollyFrontier PAC)</t>
        </is>
      </c>
      <c r="D3358" t="inlineStr">
        <is>
          <t>LISA MCCLAIN FOR CONGRESS</t>
        </is>
      </c>
      <c r="E3358" t="inlineStr">
        <is>
          <t>H0MI10287</t>
        </is>
      </c>
      <c r="F3358" t="inlineStr">
        <is>
          <t>REP</t>
        </is>
      </c>
      <c r="G3358" t="inlineStr">
        <is>
          <t>06182025</t>
        </is>
      </c>
      <c r="H3358" t="n">
        <v>1000</v>
      </c>
      <c r="I3358" t="inlineStr">
        <is>
          <t>202507039762576456</t>
        </is>
      </c>
      <c r="J3358" t="inlineStr">
        <is>
          <t>https://docquery.fec.gov/cgi-bin/fecimg/?202507039762576456</t>
        </is>
      </c>
    </row>
    <row r="3359">
      <c r="A3359" t="inlineStr">
        <is>
          <t>2026</t>
        </is>
      </c>
      <c r="B3359" t="inlineStr">
        <is>
          <t>C00342766</t>
        </is>
      </c>
      <c r="C3359" t="inlineStr">
        <is>
          <t>HF Sinclair PAC (DINO PAC; formerly HollyFrontier PAC)</t>
        </is>
      </c>
      <c r="D3359" t="inlineStr">
        <is>
          <t>KEAN FOR CONGRESS INC</t>
        </is>
      </c>
      <c r="E3359" t="inlineStr">
        <is>
          <t>H0NJ07261</t>
        </is>
      </c>
      <c r="F3359" t="inlineStr">
        <is>
          <t>REP</t>
        </is>
      </c>
      <c r="G3359" t="inlineStr">
        <is>
          <t>06182025</t>
        </is>
      </c>
      <c r="H3359" t="n">
        <v>1000</v>
      </c>
      <c r="I3359" t="inlineStr">
        <is>
          <t>202507039762576459</t>
        </is>
      </c>
      <c r="J3359" t="inlineStr">
        <is>
          <t>https://docquery.fec.gov/cgi-bin/fecimg/?202507039762576459</t>
        </is>
      </c>
    </row>
    <row r="3360">
      <c r="A3360" t="inlineStr">
        <is>
          <t>2026</t>
        </is>
      </c>
      <c r="B3360" t="inlineStr">
        <is>
          <t>C00342766</t>
        </is>
      </c>
      <c r="C3360" t="inlineStr">
        <is>
          <t>HF Sinclair PAC (DINO PAC; formerly HollyFrontier PAC)</t>
        </is>
      </c>
      <c r="D3360" t="inlineStr">
        <is>
          <t>LATTA FOR CONGRESS</t>
        </is>
      </c>
      <c r="E3360" t="inlineStr">
        <is>
          <t>H8OH05036</t>
        </is>
      </c>
      <c r="F3360" t="inlineStr">
        <is>
          <t>REP</t>
        </is>
      </c>
      <c r="G3360" t="inlineStr">
        <is>
          <t>06182025</t>
        </is>
      </c>
      <c r="H3360" t="n">
        <v>1000</v>
      </c>
      <c r="I3360" t="inlineStr">
        <is>
          <t>202507039762576460</t>
        </is>
      </c>
      <c r="J3360" t="inlineStr">
        <is>
          <t>https://docquery.fec.gov/cgi-bin/fecimg/?202507039762576460</t>
        </is>
      </c>
    </row>
    <row r="3361">
      <c r="A3361" t="inlineStr">
        <is>
          <t>2026</t>
        </is>
      </c>
      <c r="B3361" t="inlineStr">
        <is>
          <t>C00342766</t>
        </is>
      </c>
      <c r="C3361" t="inlineStr">
        <is>
          <t>HF Sinclair PAC (DINO PAC; formerly HollyFrontier PAC)</t>
        </is>
      </c>
      <c r="D3361" t="inlineStr">
        <is>
          <t>TEDFORD FOR U.S. CONGRESS</t>
        </is>
      </c>
      <c r="E3361" t="inlineStr">
        <is>
          <t>H6OK01235</t>
        </is>
      </c>
      <c r="F3361" t="inlineStr">
        <is>
          <t>REP</t>
        </is>
      </c>
      <c r="G3361" t="inlineStr">
        <is>
          <t>06242026</t>
        </is>
      </c>
      <c r="H3361" t="n">
        <v>2500</v>
      </c>
      <c r="I3361" t="inlineStr">
        <is>
          <t>202607209891007702</t>
        </is>
      </c>
      <c r="J3361" t="inlineStr">
        <is>
          <t>https://docquery.fec.gov/cgi-bin/fecimg/?202607209891007702</t>
        </is>
      </c>
    </row>
    <row r="3362">
      <c r="A3362" t="inlineStr">
        <is>
          <t>2026</t>
        </is>
      </c>
      <c r="B3362" t="inlineStr">
        <is>
          <t>C00342766</t>
        </is>
      </c>
      <c r="C3362" t="inlineStr">
        <is>
          <t>HF Sinclair PAC (DINO PAC; formerly HollyFrontier PAC)</t>
        </is>
      </c>
      <c r="D3362" t="inlineStr">
        <is>
          <t>LISA MCCLAIN FOR CONGRESS</t>
        </is>
      </c>
      <c r="E3362" t="inlineStr">
        <is>
          <t>H0MI10287</t>
        </is>
      </c>
      <c r="F3362" t="inlineStr">
        <is>
          <t>REP</t>
        </is>
      </c>
      <c r="G3362" t="inlineStr">
        <is>
          <t>06242026</t>
        </is>
      </c>
      <c r="H3362" t="n">
        <v>1000</v>
      </c>
      <c r="I3362" t="inlineStr">
        <is>
          <t>202607209891007702</t>
        </is>
      </c>
      <c r="J3362" t="inlineStr">
        <is>
          <t>https://docquery.fec.gov/cgi-bin/fecimg/?202607209891007702</t>
        </is>
      </c>
    </row>
    <row r="3363">
      <c r="A3363" t="inlineStr">
        <is>
          <t>2026</t>
        </is>
      </c>
      <c r="B3363" t="inlineStr">
        <is>
          <t>C00342766</t>
        </is>
      </c>
      <c r="C3363" t="inlineStr">
        <is>
          <t>HF Sinclair PAC (DINO PAC; formerly HollyFrontier PAC)</t>
        </is>
      </c>
      <c r="D3363" t="inlineStr">
        <is>
          <t>DAVE MCCORMICK FOR US SENATE</t>
        </is>
      </c>
      <c r="E3363" t="inlineStr">
        <is>
          <t>S2PA00661</t>
        </is>
      </c>
      <c r="F3363" t="inlineStr">
        <is>
          <t>REP</t>
        </is>
      </c>
      <c r="G3363" t="inlineStr">
        <is>
          <t>07172025</t>
        </is>
      </c>
      <c r="H3363" t="n">
        <v>2500</v>
      </c>
      <c r="I3363" t="inlineStr">
        <is>
          <t>202603209853674543</t>
        </is>
      </c>
      <c r="J3363" t="inlineStr">
        <is>
          <t>https://docquery.fec.gov/cgi-bin/fecimg/?202603209853674543</t>
        </is>
      </c>
    </row>
    <row r="3364">
      <c r="A3364" t="inlineStr">
        <is>
          <t>2026</t>
        </is>
      </c>
      <c r="B3364" t="inlineStr">
        <is>
          <t>C00342766</t>
        </is>
      </c>
      <c r="C3364" t="inlineStr">
        <is>
          <t>HF Sinclair PAC (DINO PAC; formerly HollyFrontier PAC)</t>
        </is>
      </c>
      <c r="D3364" t="inlineStr">
        <is>
          <t>MONICA FOR CONGRESS</t>
        </is>
      </c>
      <c r="E3364" t="inlineStr">
        <is>
          <t>H0TX15124</t>
        </is>
      </c>
      <c r="F3364" t="inlineStr">
        <is>
          <t>REP</t>
        </is>
      </c>
      <c r="G3364" t="inlineStr">
        <is>
          <t>07172025</t>
        </is>
      </c>
      <c r="H3364" t="n">
        <v>1000</v>
      </c>
      <c r="I3364" t="inlineStr">
        <is>
          <t>202603209853674544</t>
        </is>
      </c>
      <c r="J3364" t="inlineStr">
        <is>
          <t>https://docquery.fec.gov/cgi-bin/fecimg/?202603209853674544</t>
        </is>
      </c>
    </row>
    <row r="3365">
      <c r="A3365" t="inlineStr">
        <is>
          <t>2026</t>
        </is>
      </c>
      <c r="B3365" t="inlineStr">
        <is>
          <t>C00342766</t>
        </is>
      </c>
      <c r="C3365" t="inlineStr">
        <is>
          <t>HF Sinclair PAC (DINO PAC; formerly HollyFrontier PAC)</t>
        </is>
      </c>
      <c r="D3365" t="inlineStr">
        <is>
          <t>WEBER FOR CONGRESS</t>
        </is>
      </c>
      <c r="E3365" t="inlineStr">
        <is>
          <t>H2TX14149</t>
        </is>
      </c>
      <c r="F3365" t="inlineStr">
        <is>
          <t>REP</t>
        </is>
      </c>
      <c r="G3365" t="inlineStr">
        <is>
          <t>07172025</t>
        </is>
      </c>
      <c r="H3365" t="n">
        <v>2500</v>
      </c>
      <c r="I3365" t="inlineStr">
        <is>
          <t>202603209853674540</t>
        </is>
      </c>
      <c r="J3365" t="inlineStr">
        <is>
          <t>https://docquery.fec.gov/cgi-bin/fecimg/?202603209853674540</t>
        </is>
      </c>
    </row>
    <row r="3366">
      <c r="A3366" t="inlineStr">
        <is>
          <t>2026</t>
        </is>
      </c>
      <c r="B3366" t="inlineStr">
        <is>
          <t>C00342766</t>
        </is>
      </c>
      <c r="C3366" t="inlineStr">
        <is>
          <t>HF Sinclair PAC (DINO PAC; formerly HollyFrontier PAC)</t>
        </is>
      </c>
      <c r="D3366" t="inlineStr">
        <is>
          <t>HAGEMAN FOR WYOMING</t>
        </is>
      </c>
      <c r="E3366" t="inlineStr">
        <is>
          <t>H2WY00166</t>
        </is>
      </c>
      <c r="F3366" t="inlineStr">
        <is>
          <t>REP</t>
        </is>
      </c>
      <c r="G3366" t="inlineStr">
        <is>
          <t>07172025</t>
        </is>
      </c>
      <c r="H3366" t="n">
        <v>5000</v>
      </c>
      <c r="I3366" t="inlineStr">
        <is>
          <t>202603209853674541</t>
        </is>
      </c>
      <c r="J3366" t="inlineStr">
        <is>
          <t>https://docquery.fec.gov/cgi-bin/fecimg/?202603209853674541</t>
        </is>
      </c>
    </row>
    <row r="3367">
      <c r="A3367" t="inlineStr">
        <is>
          <t>2026</t>
        </is>
      </c>
      <c r="B3367" t="inlineStr">
        <is>
          <t>C00342766</t>
        </is>
      </c>
      <c r="C3367" t="inlineStr">
        <is>
          <t>HF Sinclair PAC (DINO PAC; formerly HollyFrontier PAC)</t>
        </is>
      </c>
      <c r="D3367" t="inlineStr">
        <is>
          <t>ANDY BARR FOR SENATE, INC.</t>
        </is>
      </c>
      <c r="E3367" t="inlineStr">
        <is>
          <t>H0KY06104</t>
        </is>
      </c>
      <c r="F3367" t="inlineStr">
        <is>
          <t>REP</t>
        </is>
      </c>
      <c r="G3367" t="inlineStr">
        <is>
          <t>07172025</t>
        </is>
      </c>
      <c r="H3367" t="n">
        <v>2500</v>
      </c>
      <c r="I3367" t="inlineStr">
        <is>
          <t>202603209853674546</t>
        </is>
      </c>
      <c r="J3367" t="inlineStr">
        <is>
          <t>https://docquery.fec.gov/cgi-bin/fecimg/?202603209853674546</t>
        </is>
      </c>
    </row>
    <row r="3368">
      <c r="A3368" t="inlineStr">
        <is>
          <t>2026</t>
        </is>
      </c>
      <c r="B3368" t="inlineStr">
        <is>
          <t>C00342766</t>
        </is>
      </c>
      <c r="C3368" t="inlineStr">
        <is>
          <t>HF Sinclair PAC (DINO PAC; formerly HollyFrontier PAC)</t>
        </is>
      </c>
      <c r="D3368" t="inlineStr">
        <is>
          <t>WEBER FOR CONGRESS</t>
        </is>
      </c>
      <c r="E3368" t="inlineStr">
        <is>
          <t>H2TX14149</t>
        </is>
      </c>
      <c r="F3368" t="inlineStr">
        <is>
          <t>REP</t>
        </is>
      </c>
      <c r="G3368" t="inlineStr">
        <is>
          <t>07282026</t>
        </is>
      </c>
      <c r="H3368" t="n">
        <v>2500</v>
      </c>
      <c r="I3368" t="inlineStr">
        <is>
          <t>202608209899763073</t>
        </is>
      </c>
      <c r="J3368" t="inlineStr">
        <is>
          <t>https://docquery.fec.gov/cgi-bin/fecimg/?202608209899763073</t>
        </is>
      </c>
    </row>
    <row r="3369">
      <c r="A3369" t="inlineStr">
        <is>
          <t>2026</t>
        </is>
      </c>
      <c r="B3369" t="inlineStr">
        <is>
          <t>C00342766</t>
        </is>
      </c>
      <c r="C3369" t="inlineStr">
        <is>
          <t>HF Sinclair PAC (DINO PAC; formerly HollyFrontier PAC)</t>
        </is>
      </c>
      <c r="D3369" t="inlineStr">
        <is>
          <t>DAVID ROUZER FOR CONGRESS</t>
        </is>
      </c>
      <c r="E3369" t="inlineStr">
        <is>
          <t>H2NC07096</t>
        </is>
      </c>
      <c r="F3369" t="inlineStr">
        <is>
          <t>REP</t>
        </is>
      </c>
      <c r="G3369" t="inlineStr">
        <is>
          <t>07292026</t>
        </is>
      </c>
      <c r="H3369" t="n">
        <v>2500</v>
      </c>
      <c r="I3369" t="inlineStr">
        <is>
          <t>202608209899763073</t>
        </is>
      </c>
      <c r="J3369" t="inlineStr">
        <is>
          <t>https://docquery.fec.gov/cgi-bin/fecimg/?202608209899763073</t>
        </is>
      </c>
    </row>
    <row r="3370">
      <c r="A3370" t="inlineStr">
        <is>
          <t>2026</t>
        </is>
      </c>
      <c r="B3370" t="inlineStr">
        <is>
          <t>C00342766</t>
        </is>
      </c>
      <c r="C3370" t="inlineStr">
        <is>
          <t>HF Sinclair PAC (DINO PAC; formerly HollyFrontier PAC)</t>
        </is>
      </c>
      <c r="D3370" t="inlineStr">
        <is>
          <t>ERIC FLORES FOR CONGRESS</t>
        </is>
      </c>
      <c r="E3370" t="inlineStr">
        <is>
          <t>H6TX34080</t>
        </is>
      </c>
      <c r="F3370" t="inlineStr">
        <is>
          <t>REP</t>
        </is>
      </c>
      <c r="G3370" t="inlineStr">
        <is>
          <t>09222025</t>
        </is>
      </c>
      <c r="H3370" t="n">
        <v>1000</v>
      </c>
      <c r="I3370" t="inlineStr">
        <is>
          <t>202603209853674543</t>
        </is>
      </c>
      <c r="J3370" t="inlineStr">
        <is>
          <t>https://docquery.fec.gov/cgi-bin/fecimg/?202603209853674543</t>
        </is>
      </c>
    </row>
    <row r="3371">
      <c r="A3371" t="inlineStr">
        <is>
          <t>2026</t>
        </is>
      </c>
      <c r="B3371" t="inlineStr">
        <is>
          <t>C00342766</t>
        </is>
      </c>
      <c r="C3371" t="inlineStr">
        <is>
          <t>HF Sinclair PAC (DINO PAC; formerly HollyFrontier PAC)</t>
        </is>
      </c>
      <c r="D3371" t="inlineStr">
        <is>
          <t>TEXANS FOR JODEY ARRINGTON</t>
        </is>
      </c>
      <c r="E3371" t="inlineStr">
        <is>
          <t>H6TX19099</t>
        </is>
      </c>
      <c r="F3371" t="inlineStr">
        <is>
          <t>REP</t>
        </is>
      </c>
      <c r="G3371" t="inlineStr">
        <is>
          <t>09222025</t>
        </is>
      </c>
      <c r="H3371" t="n">
        <v>2500</v>
      </c>
      <c r="I3371" t="inlineStr">
        <is>
          <t>202603209853674544</t>
        </is>
      </c>
      <c r="J3371" t="inlineStr">
        <is>
          <t>https://docquery.fec.gov/cgi-bin/fecimg/?202603209853674544</t>
        </is>
      </c>
    </row>
    <row r="3372">
      <c r="A3372" t="inlineStr">
        <is>
          <t>2026</t>
        </is>
      </c>
      <c r="B3372" t="inlineStr">
        <is>
          <t>C00342766</t>
        </is>
      </c>
      <c r="C3372" t="inlineStr">
        <is>
          <t>HF Sinclair PAC (DINO PAC; formerly HollyFrontier PAC)</t>
        </is>
      </c>
      <c r="D3372" t="inlineStr">
        <is>
          <t>STEVE DAINES FOR MONTANA</t>
        </is>
      </c>
      <c r="E3372" t="inlineStr">
        <is>
          <t>S2MT00096</t>
        </is>
      </c>
      <c r="F3372" t="inlineStr">
        <is>
          <t>REP</t>
        </is>
      </c>
      <c r="G3372" t="inlineStr">
        <is>
          <t>09222025</t>
        </is>
      </c>
      <c r="H3372" t="n">
        <v>2500</v>
      </c>
      <c r="I3372" t="inlineStr">
        <is>
          <t>202603209853674540</t>
        </is>
      </c>
      <c r="J3372" t="inlineStr">
        <is>
          <t>https://docquery.fec.gov/cgi-bin/fecimg/?202603209853674540</t>
        </is>
      </c>
    </row>
    <row r="3373">
      <c r="A3373" t="inlineStr">
        <is>
          <t>2026</t>
        </is>
      </c>
      <c r="B3373" t="inlineStr">
        <is>
          <t>C00342766</t>
        </is>
      </c>
      <c r="C3373" t="inlineStr">
        <is>
          <t>HF Sinclair PAC (DINO PAC; formerly HollyFrontier PAC)</t>
        </is>
      </c>
      <c r="D3373" t="inlineStr">
        <is>
          <t>CRAIG GOLDMAN FOR CONGRESS</t>
        </is>
      </c>
      <c r="E3373" t="inlineStr">
        <is>
          <t>H4TX12065</t>
        </is>
      </c>
      <c r="F3373" t="inlineStr">
        <is>
          <t>REP</t>
        </is>
      </c>
      <c r="G3373" t="inlineStr">
        <is>
          <t>09222025</t>
        </is>
      </c>
      <c r="H3373" t="n">
        <v>2500</v>
      </c>
      <c r="I3373" t="inlineStr">
        <is>
          <t>202603209853674542</t>
        </is>
      </c>
      <c r="J3373" t="inlineStr">
        <is>
          <t>https://docquery.fec.gov/cgi-bin/fecimg/?202603209853674542</t>
        </is>
      </c>
    </row>
    <row r="3374">
      <c r="A3374" t="inlineStr">
        <is>
          <t>2026</t>
        </is>
      </c>
      <c r="B3374" t="inlineStr">
        <is>
          <t>C00342766</t>
        </is>
      </c>
      <c r="C3374" t="inlineStr">
        <is>
          <t>HF Sinclair PAC (DINO PAC; formerly HollyFrontier PAC)</t>
        </is>
      </c>
      <c r="D3374" t="inlineStr">
        <is>
          <t>NATHANIEL MORAN FOR CONGRESS</t>
        </is>
      </c>
      <c r="E3374" t="inlineStr">
        <is>
          <t>H2TX01112</t>
        </is>
      </c>
      <c r="F3374" t="inlineStr">
        <is>
          <t>REP</t>
        </is>
      </c>
      <c r="G3374" t="inlineStr">
        <is>
          <t>09222025</t>
        </is>
      </c>
      <c r="H3374" t="n">
        <v>2500</v>
      </c>
      <c r="I3374" t="inlineStr">
        <is>
          <t>202603209853674546</t>
        </is>
      </c>
      <c r="J3374" t="inlineStr">
        <is>
          <t>https://docquery.fec.gov/cgi-bin/fecimg/?202603209853674546</t>
        </is>
      </c>
    </row>
    <row r="3375">
      <c r="A3375" t="inlineStr">
        <is>
          <t>2026</t>
        </is>
      </c>
      <c r="B3375" t="inlineStr">
        <is>
          <t>C00342766</t>
        </is>
      </c>
      <c r="C3375" t="inlineStr">
        <is>
          <t>HF Sinclair PAC (DINO PAC; formerly HollyFrontier PAC)</t>
        </is>
      </c>
      <c r="D3375" t="inlineStr">
        <is>
          <t>CRAIG GOLDMAN FOR CONGRESS</t>
        </is>
      </c>
      <c r="E3375" t="inlineStr">
        <is>
          <t>H4TX12065</t>
        </is>
      </c>
      <c r="F3375" t="inlineStr">
        <is>
          <t>REP</t>
        </is>
      </c>
      <c r="G3375" t="inlineStr">
        <is>
          <t>09222025</t>
        </is>
      </c>
      <c r="H3375" t="n">
        <v>5000</v>
      </c>
      <c r="I3375" t="inlineStr">
        <is>
          <t>202603209853674547</t>
        </is>
      </c>
      <c r="J3375" t="inlineStr">
        <is>
          <t>https://docquery.fec.gov/cgi-bin/fecimg/?202603209853674547</t>
        </is>
      </c>
    </row>
    <row r="3376">
      <c r="A3376" t="inlineStr">
        <is>
          <t>2026</t>
        </is>
      </c>
      <c r="B3376" t="inlineStr">
        <is>
          <t>C00342766</t>
        </is>
      </c>
      <c r="C3376" t="inlineStr">
        <is>
          <t>HF Sinclair PAC (DINO PAC; formerly HollyFrontier PAC)</t>
        </is>
      </c>
      <c r="D3376" t="inlineStr">
        <is>
          <t>TED CRUZ FOR SENATE</t>
        </is>
      </c>
      <c r="E3376" t="inlineStr">
        <is>
          <t>S2TX00312</t>
        </is>
      </c>
      <c r="F3376" t="inlineStr">
        <is>
          <t>REP</t>
        </is>
      </c>
      <c r="G3376" t="inlineStr">
        <is>
          <t>09252025</t>
        </is>
      </c>
      <c r="H3376" t="n">
        <v>5000</v>
      </c>
      <c r="I3376" t="inlineStr">
        <is>
          <t>202603209853674547</t>
        </is>
      </c>
      <c r="J3376" t="inlineStr">
        <is>
          <t>https://docquery.fec.gov/cgi-bin/fecimg/?202603209853674547</t>
        </is>
      </c>
    </row>
    <row r="3377">
      <c r="A3377" t="inlineStr">
        <is>
          <t>2026</t>
        </is>
      </c>
      <c r="B3377" t="inlineStr">
        <is>
          <t>C00342766</t>
        </is>
      </c>
      <c r="C3377" t="inlineStr">
        <is>
          <t>HF Sinclair PAC (DINO PAC; formerly HollyFrontier PAC)</t>
        </is>
      </c>
      <c r="D3377" t="inlineStr">
        <is>
          <t>TED CRUZ FOR SENATE</t>
        </is>
      </c>
      <c r="E3377" t="inlineStr">
        <is>
          <t>S2TX00312</t>
        </is>
      </c>
      <c r="F3377" t="inlineStr">
        <is>
          <t>REP</t>
        </is>
      </c>
      <c r="G3377" t="inlineStr">
        <is>
          <t>11102025</t>
        </is>
      </c>
      <c r="H3377" t="n">
        <v>-5000</v>
      </c>
      <c r="I3377" t="inlineStr">
        <is>
          <t>202603209853674539</t>
        </is>
      </c>
      <c r="J3377" t="inlineStr">
        <is>
          <t>https://docquery.fec.gov/cgi-bin/fecimg/?202603209853674539</t>
        </is>
      </c>
    </row>
    <row r="3378">
      <c r="A3378" t="inlineStr">
        <is>
          <t>2026</t>
        </is>
      </c>
      <c r="B3378" t="inlineStr">
        <is>
          <t>C00342766</t>
        </is>
      </c>
      <c r="C3378" t="inlineStr">
        <is>
          <t>HF Sinclair PAC (DINO PAC; formerly HollyFrontier PAC)</t>
        </is>
      </c>
      <c r="D3378" t="inlineStr">
        <is>
          <t>CLIFF BENTZ FOR CONGRESS</t>
        </is>
      </c>
      <c r="E3378" t="inlineStr">
        <is>
          <t>H0OR02127</t>
        </is>
      </c>
      <c r="F3378" t="inlineStr">
        <is>
          <t>REP</t>
        </is>
      </c>
      <c r="G3378" t="inlineStr">
        <is>
          <t>11262025</t>
        </is>
      </c>
      <c r="H3378" t="n">
        <v>1000</v>
      </c>
      <c r="I3378" t="inlineStr">
        <is>
          <t>202603209853674544</t>
        </is>
      </c>
      <c r="J3378" t="inlineStr">
        <is>
          <t>https://docquery.fec.gov/cgi-bin/fecimg/?202603209853674544</t>
        </is>
      </c>
    </row>
    <row r="3379">
      <c r="A3379" t="inlineStr">
        <is>
          <t>2026</t>
        </is>
      </c>
      <c r="B3379" t="inlineStr">
        <is>
          <t>C00342766</t>
        </is>
      </c>
      <c r="C3379" t="inlineStr">
        <is>
          <t>HF Sinclair PAC (DINO PAC; formerly HollyFrontier PAC)</t>
        </is>
      </c>
      <c r="D3379" t="inlineStr">
        <is>
          <t>MIKE KENNEDY FOR UTAH</t>
        </is>
      </c>
      <c r="E3379" t="inlineStr">
        <is>
          <t>H4UT03260</t>
        </is>
      </c>
      <c r="F3379" t="inlineStr">
        <is>
          <t>REP</t>
        </is>
      </c>
      <c r="G3379" t="inlineStr">
        <is>
          <t>11262025</t>
        </is>
      </c>
      <c r="H3379" t="n">
        <v>5000</v>
      </c>
      <c r="I3379" t="inlineStr">
        <is>
          <t>202603209853674541</t>
        </is>
      </c>
      <c r="J3379" t="inlineStr">
        <is>
          <t>https://docquery.fec.gov/cgi-bin/fecimg/?202603209853674541</t>
        </is>
      </c>
    </row>
    <row r="3380">
      <c r="A3380" t="inlineStr">
        <is>
          <t>2026</t>
        </is>
      </c>
      <c r="B3380" t="inlineStr">
        <is>
          <t>C00342766</t>
        </is>
      </c>
      <c r="C3380" t="inlineStr">
        <is>
          <t>HF Sinclair PAC (DINO PAC; formerly HollyFrontier PAC)</t>
        </is>
      </c>
      <c r="D3380" t="inlineStr">
        <is>
          <t>JESSICA STEINMANN FOR CONGRESS</t>
        </is>
      </c>
      <c r="E3380" t="inlineStr">
        <is>
          <t>H6TX08209</t>
        </is>
      </c>
      <c r="F3380" t="inlineStr">
        <is>
          <t>REP</t>
        </is>
      </c>
      <c r="G3380" t="inlineStr">
        <is>
          <t>11262025</t>
        </is>
      </c>
      <c r="H3380" t="n">
        <v>1500</v>
      </c>
      <c r="I3380" t="inlineStr">
        <is>
          <t>202603209853674542</t>
        </is>
      </c>
      <c r="J3380" t="inlineStr">
        <is>
          <t>https://docquery.fec.gov/cgi-bin/fecimg/?202603209853674542</t>
        </is>
      </c>
    </row>
    <row r="3381">
      <c r="A3381" t="inlineStr">
        <is>
          <t>2026</t>
        </is>
      </c>
      <c r="B3381" t="inlineStr">
        <is>
          <t>C00342766</t>
        </is>
      </c>
      <c r="C3381" t="inlineStr">
        <is>
          <t>HF Sinclair PAC (DINO PAC; formerly HollyFrontier PAC)</t>
        </is>
      </c>
      <c r="D3381" t="inlineStr">
        <is>
          <t>MARK TEIXEIRA FOR CONGRESS</t>
        </is>
      </c>
      <c r="E3381" t="inlineStr">
        <is>
          <t>H6TX21301</t>
        </is>
      </c>
      <c r="F3381" t="inlineStr">
        <is>
          <t>REP</t>
        </is>
      </c>
      <c r="G3381" t="inlineStr">
        <is>
          <t>11262025</t>
        </is>
      </c>
      <c r="H3381" t="n">
        <v>2500</v>
      </c>
      <c r="I3381" t="inlineStr">
        <is>
          <t>202603209853674545</t>
        </is>
      </c>
      <c r="J3381" t="inlineStr">
        <is>
          <t>https://docquery.fec.gov/cgi-bin/fecimg/?202603209853674545</t>
        </is>
      </c>
    </row>
    <row r="3382">
      <c r="A3382" t="inlineStr">
        <is>
          <t>2026</t>
        </is>
      </c>
      <c r="B3382" t="inlineStr">
        <is>
          <t>C00342766</t>
        </is>
      </c>
      <c r="C3382" t="inlineStr">
        <is>
          <t>HF Sinclair PAC (DINO PAC; formerly HollyFrontier PAC)</t>
        </is>
      </c>
      <c r="D3382" t="inlineStr">
        <is>
          <t>JAKE ELLZEY FOR CONGRESS</t>
        </is>
      </c>
      <c r="E3382" t="inlineStr">
        <is>
          <t>H8TX06266</t>
        </is>
      </c>
      <c r="F3382" t="inlineStr">
        <is>
          <t>REP</t>
        </is>
      </c>
      <c r="G3382" t="inlineStr">
        <is>
          <t>12152025</t>
        </is>
      </c>
      <c r="H3382" t="n">
        <v>2500</v>
      </c>
      <c r="I3382" t="inlineStr">
        <is>
          <t>202603209853674543</t>
        </is>
      </c>
      <c r="J3382" t="inlineStr">
        <is>
          <t>https://docquery.fec.gov/cgi-bin/fecimg/?202603209853674543</t>
        </is>
      </c>
    </row>
    <row r="3383">
      <c r="A3383" t="inlineStr">
        <is>
          <t>2026</t>
        </is>
      </c>
      <c r="B3383" t="inlineStr">
        <is>
          <t>C00342766</t>
        </is>
      </c>
      <c r="C3383" t="inlineStr">
        <is>
          <t>HF Sinclair PAC (DINO PAC; formerly HollyFrontier PAC)</t>
        </is>
      </c>
      <c r="D3383" t="inlineStr">
        <is>
          <t>FRY FOR CONGRESS</t>
        </is>
      </c>
      <c r="E3383" t="inlineStr">
        <is>
          <t>H2SC07280</t>
        </is>
      </c>
      <c r="F3383" t="inlineStr">
        <is>
          <t>REP</t>
        </is>
      </c>
      <c r="G3383" t="inlineStr">
        <is>
          <t>12152025</t>
        </is>
      </c>
      <c r="H3383" t="n">
        <v>1000</v>
      </c>
      <c r="I3383" t="inlineStr">
        <is>
          <t>202603209853674540</t>
        </is>
      </c>
      <c r="J3383" t="inlineStr">
        <is>
          <t>https://docquery.fec.gov/cgi-bin/fecimg/?202603209853674540</t>
        </is>
      </c>
    </row>
    <row r="3384">
      <c r="A3384" t="inlineStr">
        <is>
          <t>2026</t>
        </is>
      </c>
      <c r="B3384" t="inlineStr">
        <is>
          <t>C00342766</t>
        </is>
      </c>
      <c r="C3384" t="inlineStr">
        <is>
          <t>HF Sinclair PAC (DINO PAC; formerly HollyFrontier PAC)</t>
        </is>
      </c>
      <c r="D3384" t="inlineStr">
        <is>
          <t>JEFF CRANK FOR CONGRESS</t>
        </is>
      </c>
      <c r="E3384" t="inlineStr">
        <is>
          <t>H4CO05147</t>
        </is>
      </c>
      <c r="G3384" t="inlineStr">
        <is>
          <t>12152025</t>
        </is>
      </c>
      <c r="H3384" t="n">
        <v>1000</v>
      </c>
      <c r="I3384" t="inlineStr">
        <is>
          <t>202603209853674541</t>
        </is>
      </c>
      <c r="J3384" t="inlineStr">
        <is>
          <t>https://docquery.fec.gov/cgi-bin/fecimg/?202603209853674541</t>
        </is>
      </c>
    </row>
    <row r="3385">
      <c r="A3385" t="inlineStr">
        <is>
          <t>2026</t>
        </is>
      </c>
      <c r="B3385" t="inlineStr">
        <is>
          <t>C00342766</t>
        </is>
      </c>
      <c r="C3385" t="inlineStr">
        <is>
          <t>HF Sinclair PAC (DINO PAC; formerly HollyFrontier PAC)</t>
        </is>
      </c>
      <c r="D3385" t="inlineStr">
        <is>
          <t>CELESTE FOR CONGRESS</t>
        </is>
      </c>
      <c r="E3385" t="inlineStr">
        <is>
          <t>H4UT02296</t>
        </is>
      </c>
      <c r="F3385" t="inlineStr">
        <is>
          <t>REP</t>
        </is>
      </c>
      <c r="G3385" t="inlineStr">
        <is>
          <t>12152025</t>
        </is>
      </c>
      <c r="H3385" t="n">
        <v>2500</v>
      </c>
      <c r="I3385" t="inlineStr">
        <is>
          <t>202603209853674542</t>
        </is>
      </c>
      <c r="J3385" t="inlineStr">
        <is>
          <t>https://docquery.fec.gov/cgi-bin/fecimg/?202603209853674542</t>
        </is>
      </c>
    </row>
    <row r="3386">
      <c r="A3386" t="inlineStr">
        <is>
          <t>2026</t>
        </is>
      </c>
      <c r="B3386" t="inlineStr">
        <is>
          <t>C00342766</t>
        </is>
      </c>
      <c r="C3386" t="inlineStr">
        <is>
          <t>HF Sinclair PAC (DINO PAC; formerly HollyFrontier PAC)</t>
        </is>
      </c>
      <c r="D3386" t="inlineStr">
        <is>
          <t>RUSS FULCHER FOR IDAHO</t>
        </is>
      </c>
      <c r="E3386" t="inlineStr">
        <is>
          <t>H8ID01124</t>
        </is>
      </c>
      <c r="F3386" t="inlineStr">
        <is>
          <t>REP</t>
        </is>
      </c>
      <c r="G3386" t="inlineStr">
        <is>
          <t>12152025</t>
        </is>
      </c>
      <c r="H3386" t="n">
        <v>5000</v>
      </c>
      <c r="I3386" t="inlineStr">
        <is>
          <t>202603209853674545</t>
        </is>
      </c>
      <c r="J3386" t="inlineStr">
        <is>
          <t>https://docquery.fec.gov/cgi-bin/fecimg/?202603209853674545</t>
        </is>
      </c>
    </row>
    <row r="3387">
      <c r="A3387" t="inlineStr">
        <is>
          <t>2026</t>
        </is>
      </c>
      <c r="B3387" t="inlineStr">
        <is>
          <t>C00342766</t>
        </is>
      </c>
      <c r="C3387" t="inlineStr">
        <is>
          <t>HF Sinclair PAC (DINO PAC; formerly HollyFrontier PAC)</t>
        </is>
      </c>
      <c r="D3387" t="inlineStr">
        <is>
          <t>BICE FOR CONGRESS</t>
        </is>
      </c>
      <c r="E3387" t="inlineStr">
        <is>
          <t>H0OK05205</t>
        </is>
      </c>
      <c r="F3387" t="inlineStr">
        <is>
          <t>REP</t>
        </is>
      </c>
      <c r="G3387" t="inlineStr">
        <is>
          <t>12152025</t>
        </is>
      </c>
      <c r="H3387" t="n">
        <v>2500</v>
      </c>
      <c r="I3387" t="inlineStr">
        <is>
          <t>202603209853674545</t>
        </is>
      </c>
      <c r="J3387" t="inlineStr">
        <is>
          <t>https://docquery.fec.gov/cgi-bin/fecimg/?202603209853674545</t>
        </is>
      </c>
    </row>
    <row r="3388">
      <c r="A3388" t="inlineStr">
        <is>
          <t>2026</t>
        </is>
      </c>
      <c r="B3388" t="inlineStr">
        <is>
          <t>C00342766</t>
        </is>
      </c>
      <c r="C3388" t="inlineStr">
        <is>
          <t>HF Sinclair PAC (DINO PAC; formerly HollyFrontier PAC)</t>
        </is>
      </c>
      <c r="D3388" t="inlineStr">
        <is>
          <t>CHRIS GOBER FOR TEXAS</t>
        </is>
      </c>
      <c r="E3388" t="inlineStr">
        <is>
          <t>H6TX10221</t>
        </is>
      </c>
      <c r="F3388" t="inlineStr">
        <is>
          <t>REP</t>
        </is>
      </c>
      <c r="G3388" t="inlineStr">
        <is>
          <t>12152025</t>
        </is>
      </c>
      <c r="H3388" t="n">
        <v>1000</v>
      </c>
      <c r="I3388" t="inlineStr">
        <is>
          <t>202603209853674546</t>
        </is>
      </c>
      <c r="J3388" t="inlineStr">
        <is>
          <t>https://docquery.fec.gov/cgi-bin/fecimg/?202603209853674546</t>
        </is>
      </c>
    </row>
    <row r="3389">
      <c r="A3389" t="inlineStr">
        <is>
          <t>2026</t>
        </is>
      </c>
      <c r="B3389" t="inlineStr">
        <is>
          <t>C00496307</t>
        </is>
      </c>
      <c r="C3389" t="inlineStr">
        <is>
          <t>Marathon Petroleum Corp Employees PAC (MPAC)</t>
        </is>
      </c>
      <c r="D3389" t="inlineStr">
        <is>
          <t>SCALISE FOR CONGRESS</t>
        </is>
      </c>
      <c r="E3389" t="inlineStr">
        <is>
          <t>H0LA01087</t>
        </is>
      </c>
      <c r="F3389" t="inlineStr">
        <is>
          <t>REP</t>
        </is>
      </c>
      <c r="G3389" t="inlineStr">
        <is>
          <t>01282026</t>
        </is>
      </c>
      <c r="H3389" t="n">
        <v>5000</v>
      </c>
      <c r="I3389" t="inlineStr">
        <is>
          <t>202603129837938670</t>
        </is>
      </c>
      <c r="J3389" t="inlineStr">
        <is>
          <t>https://docquery.fec.gov/cgi-bin/fecimg/?202603129837938670</t>
        </is>
      </c>
    </row>
    <row r="3390">
      <c r="A3390" t="inlineStr">
        <is>
          <t>2026</t>
        </is>
      </c>
      <c r="B3390" t="inlineStr">
        <is>
          <t>C00496307</t>
        </is>
      </c>
      <c r="C3390" t="inlineStr">
        <is>
          <t>Marathon Petroleum Corp Employees PAC (MPAC)</t>
        </is>
      </c>
      <c r="D3390" t="inlineStr">
        <is>
          <t>MIKE JOHNSON FOR LOUISIANA</t>
        </is>
      </c>
      <c r="E3390" t="inlineStr">
        <is>
          <t>H6LA04138</t>
        </is>
      </c>
      <c r="F3390" t="inlineStr">
        <is>
          <t>REP</t>
        </is>
      </c>
      <c r="G3390" t="inlineStr">
        <is>
          <t>01282026</t>
        </is>
      </c>
      <c r="H3390" t="n">
        <v>5000</v>
      </c>
      <c r="I3390" t="inlineStr">
        <is>
          <t>202603129837938668</t>
        </is>
      </c>
      <c r="J3390" t="inlineStr">
        <is>
          <t>https://docquery.fec.gov/cgi-bin/fecimg/?202603129837938668</t>
        </is>
      </c>
    </row>
    <row r="3391">
      <c r="A3391" t="inlineStr">
        <is>
          <t>2026</t>
        </is>
      </c>
      <c r="B3391" t="inlineStr">
        <is>
          <t>C00496307</t>
        </is>
      </c>
      <c r="C3391" t="inlineStr">
        <is>
          <t>Marathon Petroleum Corp Employees PAC (MPAC)</t>
        </is>
      </c>
      <c r="D3391" t="inlineStr">
        <is>
          <t>JEFF CRANK FOR CONGRESS</t>
        </is>
      </c>
      <c r="E3391" t="inlineStr">
        <is>
          <t>H6CO05142</t>
        </is>
      </c>
      <c r="F3391" t="inlineStr">
        <is>
          <t>REP</t>
        </is>
      </c>
      <c r="G3391" t="inlineStr">
        <is>
          <t>03132026</t>
        </is>
      </c>
      <c r="H3391" t="n">
        <v>2500</v>
      </c>
      <c r="I3391" t="inlineStr">
        <is>
          <t>202604109857085861</t>
        </is>
      </c>
      <c r="J3391" t="inlineStr">
        <is>
          <t>https://docquery.fec.gov/cgi-bin/fecimg/?202604109857085861</t>
        </is>
      </c>
    </row>
    <row r="3392">
      <c r="A3392" t="inlineStr">
        <is>
          <t>2026</t>
        </is>
      </c>
      <c r="B3392" t="inlineStr">
        <is>
          <t>C00496307</t>
        </is>
      </c>
      <c r="C3392" t="inlineStr">
        <is>
          <t>Marathon Petroleum Corp Employees PAC (MPAC)</t>
        </is>
      </c>
      <c r="D3392" t="inlineStr">
        <is>
          <t>CAPTAIN HIGGINS FOR CONGRESS</t>
        </is>
      </c>
      <c r="E3392" t="inlineStr">
        <is>
          <t>H6LA03148</t>
        </is>
      </c>
      <c r="F3392" t="inlineStr">
        <is>
          <t>REP</t>
        </is>
      </c>
      <c r="G3392" t="inlineStr">
        <is>
          <t>03132026</t>
        </is>
      </c>
      <c r="H3392" t="n">
        <v>1000</v>
      </c>
      <c r="I3392" t="inlineStr">
        <is>
          <t>202604109857085858</t>
        </is>
      </c>
      <c r="J3392" t="inlineStr">
        <is>
          <t>https://docquery.fec.gov/cgi-bin/fecimg/?202604109857085858</t>
        </is>
      </c>
    </row>
    <row r="3393">
      <c r="A3393" t="inlineStr">
        <is>
          <t>2026</t>
        </is>
      </c>
      <c r="B3393" t="inlineStr">
        <is>
          <t>C00496307</t>
        </is>
      </c>
      <c r="C3393" t="inlineStr">
        <is>
          <t>Marathon Petroleum Corp Employees PAC (MPAC)</t>
        </is>
      </c>
      <c r="D3393" t="inlineStr">
        <is>
          <t>DAVID ROUZER FOR CONGRESS</t>
        </is>
      </c>
      <c r="E3393" t="inlineStr">
        <is>
          <t>H2NC07096</t>
        </is>
      </c>
      <c r="F3393" t="inlineStr">
        <is>
          <t>REP</t>
        </is>
      </c>
      <c r="G3393" t="inlineStr">
        <is>
          <t>03132026</t>
        </is>
      </c>
      <c r="H3393" t="n">
        <v>2500</v>
      </c>
      <c r="I3393" t="inlineStr">
        <is>
          <t>202604109857085859</t>
        </is>
      </c>
      <c r="J3393" t="inlineStr">
        <is>
          <t>https://docquery.fec.gov/cgi-bin/fecimg/?202604109857085859</t>
        </is>
      </c>
    </row>
    <row r="3394">
      <c r="A3394" t="inlineStr">
        <is>
          <t>2026</t>
        </is>
      </c>
      <c r="B3394" t="inlineStr">
        <is>
          <t>C00496307</t>
        </is>
      </c>
      <c r="C3394" t="inlineStr">
        <is>
          <t>Marathon Petroleum Corp Employees PAC (MPAC)</t>
        </is>
      </c>
      <c r="D3394" t="inlineStr">
        <is>
          <t>FEDORCHAK FOR ND</t>
        </is>
      </c>
      <c r="E3394" t="inlineStr">
        <is>
          <t>H4ND00061</t>
        </is>
      </c>
      <c r="F3394" t="inlineStr">
        <is>
          <t>REP</t>
        </is>
      </c>
      <c r="G3394" t="inlineStr">
        <is>
          <t>03232026</t>
        </is>
      </c>
      <c r="H3394" t="n">
        <v>5000</v>
      </c>
      <c r="I3394" t="inlineStr">
        <is>
          <t>202604109857085860</t>
        </is>
      </c>
      <c r="J3394" t="inlineStr">
        <is>
          <t>https://docquery.fec.gov/cgi-bin/fecimg/?202604109857085860</t>
        </is>
      </c>
    </row>
    <row r="3395">
      <c r="A3395" t="inlineStr">
        <is>
          <t>2026</t>
        </is>
      </c>
      <c r="B3395" t="inlineStr">
        <is>
          <t>C00496307</t>
        </is>
      </c>
      <c r="C3395" t="inlineStr">
        <is>
          <t>Marathon Petroleum Corp Employees PAC (MPAC)</t>
        </is>
      </c>
      <c r="D3395" t="inlineStr">
        <is>
          <t>GUTHRIE FOR CONGRESS</t>
        </is>
      </c>
      <c r="E3395" t="inlineStr">
        <is>
          <t>H8KY02031</t>
        </is>
      </c>
      <c r="F3395" t="inlineStr">
        <is>
          <t>REP</t>
        </is>
      </c>
      <c r="G3395" t="inlineStr">
        <is>
          <t>03232026</t>
        </is>
      </c>
      <c r="H3395" t="n">
        <v>5000</v>
      </c>
      <c r="I3395" t="inlineStr">
        <is>
          <t>202604109857085860</t>
        </is>
      </c>
      <c r="J3395" t="inlineStr">
        <is>
          <t>https://docquery.fec.gov/cgi-bin/fecimg/?202604109857085860</t>
        </is>
      </c>
    </row>
    <row r="3396">
      <c r="A3396" t="inlineStr">
        <is>
          <t>2026</t>
        </is>
      </c>
      <c r="B3396" t="inlineStr">
        <is>
          <t>C00496307</t>
        </is>
      </c>
      <c r="C3396" t="inlineStr">
        <is>
          <t>Marathon Petroleum Corp Employees PAC (MPAC)</t>
        </is>
      </c>
      <c r="D3396" t="inlineStr">
        <is>
          <t>HUDSON FOR CONGRESS</t>
        </is>
      </c>
      <c r="E3396" t="inlineStr">
        <is>
          <t>H2NC08185</t>
        </is>
      </c>
      <c r="F3396" t="inlineStr">
        <is>
          <t>REP</t>
        </is>
      </c>
      <c r="G3396" t="inlineStr">
        <is>
          <t>03232026</t>
        </is>
      </c>
      <c r="H3396" t="n">
        <v>5000</v>
      </c>
      <c r="I3396" t="inlineStr">
        <is>
          <t>202604109857085860</t>
        </is>
      </c>
      <c r="J3396" t="inlineStr">
        <is>
          <t>https://docquery.fec.gov/cgi-bin/fecimg/?202604109857085860</t>
        </is>
      </c>
    </row>
    <row r="3397">
      <c r="A3397" t="inlineStr">
        <is>
          <t>2026</t>
        </is>
      </c>
      <c r="B3397" t="inlineStr">
        <is>
          <t>C00496307</t>
        </is>
      </c>
      <c r="C3397" t="inlineStr">
        <is>
          <t>Marathon Petroleum Corp Employees PAC (MPAC)</t>
        </is>
      </c>
      <c r="D3397" t="inlineStr">
        <is>
          <t>MIKE KELLY FOR CONGRESS</t>
        </is>
      </c>
      <c r="E3397" t="inlineStr">
        <is>
          <t>H0PA03271</t>
        </is>
      </c>
      <c r="F3397" t="inlineStr">
        <is>
          <t>REP</t>
        </is>
      </c>
      <c r="G3397" t="inlineStr">
        <is>
          <t>03232026</t>
        </is>
      </c>
      <c r="H3397" t="n">
        <v>2500</v>
      </c>
      <c r="I3397" t="inlineStr">
        <is>
          <t>202604109857085861</t>
        </is>
      </c>
      <c r="J3397" t="inlineStr">
        <is>
          <t>https://docquery.fec.gov/cgi-bin/fecimg/?202604109857085861</t>
        </is>
      </c>
    </row>
    <row r="3398">
      <c r="A3398" t="inlineStr">
        <is>
          <t>2026</t>
        </is>
      </c>
      <c r="B3398" t="inlineStr">
        <is>
          <t>C00496307</t>
        </is>
      </c>
      <c r="C3398" t="inlineStr">
        <is>
          <t>Marathon Petroleum Corp Employees PAC (MPAC)</t>
        </is>
      </c>
      <c r="D3398" t="inlineStr">
        <is>
          <t>MOORE FOR WEST VIRGINIA</t>
        </is>
      </c>
      <c r="E3398" t="inlineStr">
        <is>
          <t>H4WV02205</t>
        </is>
      </c>
      <c r="F3398" t="inlineStr">
        <is>
          <t>REP</t>
        </is>
      </c>
      <c r="G3398" t="inlineStr">
        <is>
          <t>03232026</t>
        </is>
      </c>
      <c r="H3398" t="n">
        <v>5000</v>
      </c>
      <c r="I3398" t="inlineStr">
        <is>
          <t>202604109857085861</t>
        </is>
      </c>
      <c r="J3398" t="inlineStr">
        <is>
          <t>https://docquery.fec.gov/cgi-bin/fecimg/?202604109857085861</t>
        </is>
      </c>
    </row>
    <row r="3399">
      <c r="A3399" t="inlineStr">
        <is>
          <t>2026</t>
        </is>
      </c>
      <c r="B3399" t="inlineStr">
        <is>
          <t>C00496307</t>
        </is>
      </c>
      <c r="C3399" t="inlineStr">
        <is>
          <t>Marathon Petroleum Corp Employees PAC (MPAC)</t>
        </is>
      </c>
      <c r="D3399" t="inlineStr">
        <is>
          <t>WALBERG FOR CONGRESS</t>
        </is>
      </c>
      <c r="E3399" t="inlineStr">
        <is>
          <t>H4MI07103</t>
        </is>
      </c>
      <c r="F3399" t="inlineStr">
        <is>
          <t>REP</t>
        </is>
      </c>
      <c r="G3399" t="inlineStr">
        <is>
          <t>03232026</t>
        </is>
      </c>
      <c r="H3399" t="n">
        <v>2500</v>
      </c>
      <c r="I3399" t="inlineStr">
        <is>
          <t>202604109857085862</t>
        </is>
      </c>
      <c r="J3399" t="inlineStr">
        <is>
          <t>https://docquery.fec.gov/cgi-bin/fecimg/?202604109857085862</t>
        </is>
      </c>
    </row>
    <row r="3400">
      <c r="A3400" t="inlineStr">
        <is>
          <t>2026</t>
        </is>
      </c>
      <c r="B3400" t="inlineStr">
        <is>
          <t>C00496307</t>
        </is>
      </c>
      <c r="C3400" t="inlineStr">
        <is>
          <t>Marathon Petroleum Corp Employees PAC (MPAC)</t>
        </is>
      </c>
      <c r="D3400" t="inlineStr">
        <is>
          <t>ALASKANAS FOR DAN SULLIVAN</t>
        </is>
      </c>
      <c r="E3400" t="inlineStr">
        <is>
          <t>S4AK00214</t>
        </is>
      </c>
      <c r="F3400" t="inlineStr">
        <is>
          <t>REP</t>
        </is>
      </c>
      <c r="G3400" t="inlineStr">
        <is>
          <t>03232026</t>
        </is>
      </c>
      <c r="H3400" t="n">
        <v>4000</v>
      </c>
      <c r="I3400" t="inlineStr">
        <is>
          <t>202604109857085857</t>
        </is>
      </c>
      <c r="J3400" t="inlineStr">
        <is>
          <t>https://docquery.fec.gov/cgi-bin/fecimg/?202604109857085857</t>
        </is>
      </c>
    </row>
    <row r="3401">
      <c r="A3401" t="inlineStr">
        <is>
          <t>2026</t>
        </is>
      </c>
      <c r="B3401" t="inlineStr">
        <is>
          <t>C00496307</t>
        </is>
      </c>
      <c r="C3401" t="inlineStr">
        <is>
          <t>Marathon Petroleum Corp Employees PAC (MPAC)</t>
        </is>
      </c>
      <c r="D3401" t="inlineStr">
        <is>
          <t>BALDERSON FOR CONGRESS</t>
        </is>
      </c>
      <c r="E3401" t="inlineStr">
        <is>
          <t>H8OH12180</t>
        </is>
      </c>
      <c r="F3401" t="inlineStr">
        <is>
          <t>REP</t>
        </is>
      </c>
      <c r="G3401" t="inlineStr">
        <is>
          <t>03232026</t>
        </is>
      </c>
      <c r="H3401" t="n">
        <v>2500</v>
      </c>
      <c r="I3401" t="inlineStr">
        <is>
          <t>202604109857085857</t>
        </is>
      </c>
      <c r="J3401" t="inlineStr">
        <is>
          <t>https://docquery.fec.gov/cgi-bin/fecimg/?202604109857085857</t>
        </is>
      </c>
    </row>
    <row r="3402">
      <c r="A3402" t="inlineStr">
        <is>
          <t>2026</t>
        </is>
      </c>
      <c r="B3402" t="inlineStr">
        <is>
          <t>C00496307</t>
        </is>
      </c>
      <c r="C3402" t="inlineStr">
        <is>
          <t>Marathon Petroleum Corp Employees PAC (MPAC)</t>
        </is>
      </c>
      <c r="D3402" t="inlineStr">
        <is>
          <t>BICE FOR CONGRESS</t>
        </is>
      </c>
      <c r="E3402" t="inlineStr">
        <is>
          <t>H0OK05205</t>
        </is>
      </c>
      <c r="F3402" t="inlineStr">
        <is>
          <t>REP</t>
        </is>
      </c>
      <c r="G3402" t="inlineStr">
        <is>
          <t>03232026</t>
        </is>
      </c>
      <c r="H3402" t="n">
        <v>5000</v>
      </c>
      <c r="I3402" t="inlineStr">
        <is>
          <t>202604109857085857</t>
        </is>
      </c>
      <c r="J3402" t="inlineStr">
        <is>
          <t>https://docquery.fec.gov/cgi-bin/fecimg/?202604109857085857</t>
        </is>
      </c>
    </row>
    <row r="3403">
      <c r="A3403" t="inlineStr">
        <is>
          <t>2026</t>
        </is>
      </c>
      <c r="B3403" t="inlineStr">
        <is>
          <t>C00496307</t>
        </is>
      </c>
      <c r="C3403" t="inlineStr">
        <is>
          <t>Marathon Petroleum Corp Employees PAC (MPAC)</t>
        </is>
      </c>
      <c r="D3403" t="inlineStr">
        <is>
          <t>CAREY FOR CONGRESS</t>
        </is>
      </c>
      <c r="E3403" t="inlineStr">
        <is>
          <t>H2OH15228</t>
        </is>
      </c>
      <c r="F3403" t="inlineStr">
        <is>
          <t>REP</t>
        </is>
      </c>
      <c r="G3403" t="inlineStr">
        <is>
          <t>03232026</t>
        </is>
      </c>
      <c r="H3403" t="n">
        <v>5000</v>
      </c>
      <c r="I3403" t="inlineStr">
        <is>
          <t>202604109857085858</t>
        </is>
      </c>
      <c r="J3403" t="inlineStr">
        <is>
          <t>https://docquery.fec.gov/cgi-bin/fecimg/?202604109857085858</t>
        </is>
      </c>
    </row>
    <row r="3404">
      <c r="A3404" t="inlineStr">
        <is>
          <t>2026</t>
        </is>
      </c>
      <c r="B3404" t="inlineStr">
        <is>
          <t>C00496307</t>
        </is>
      </c>
      <c r="C3404" t="inlineStr">
        <is>
          <t>Marathon Petroleum Corp Employees PAC (MPAC)</t>
        </is>
      </c>
      <c r="D3404" t="inlineStr">
        <is>
          <t>CRAIG GOLDMAN FOR CONGRESS</t>
        </is>
      </c>
      <c r="E3404" t="inlineStr">
        <is>
          <t>H4TX12065</t>
        </is>
      </c>
      <c r="F3404" t="inlineStr">
        <is>
          <t>REP</t>
        </is>
      </c>
      <c r="G3404" t="inlineStr">
        <is>
          <t>03232026</t>
        </is>
      </c>
      <c r="H3404" t="n">
        <v>5000</v>
      </c>
      <c r="I3404" t="inlineStr">
        <is>
          <t>202604109857085858</t>
        </is>
      </c>
      <c r="J3404" t="inlineStr">
        <is>
          <t>https://docquery.fec.gov/cgi-bin/fecimg/?202604109857085858</t>
        </is>
      </c>
    </row>
    <row r="3405">
      <c r="A3405" t="inlineStr">
        <is>
          <t>2026</t>
        </is>
      </c>
      <c r="B3405" t="inlineStr">
        <is>
          <t>C00496307</t>
        </is>
      </c>
      <c r="C3405" t="inlineStr">
        <is>
          <t>Marathon Petroleum Corp Employees PAC (MPAC)</t>
        </is>
      </c>
      <c r="D3405" t="inlineStr">
        <is>
          <t>DR BRIAN BABIN FOR CONGRESS</t>
        </is>
      </c>
      <c r="E3405" t="inlineStr">
        <is>
          <t>H6TX02079</t>
        </is>
      </c>
      <c r="F3405" t="inlineStr">
        <is>
          <t>REP</t>
        </is>
      </c>
      <c r="G3405" t="inlineStr">
        <is>
          <t>03232026</t>
        </is>
      </c>
      <c r="H3405" t="n">
        <v>2500</v>
      </c>
      <c r="I3405" t="inlineStr">
        <is>
          <t>202604109857085859</t>
        </is>
      </c>
      <c r="J3405" t="inlineStr">
        <is>
          <t>https://docquery.fec.gov/cgi-bin/fecimg/?202604109857085859</t>
        </is>
      </c>
    </row>
    <row r="3406">
      <c r="A3406" t="inlineStr">
        <is>
          <t>2026</t>
        </is>
      </c>
      <c r="B3406" t="inlineStr">
        <is>
          <t>C00496307</t>
        </is>
      </c>
      <c r="C3406" t="inlineStr">
        <is>
          <t>Marathon Petroleum Corp Employees PAC (MPAC)</t>
        </is>
      </c>
      <c r="D3406" t="inlineStr">
        <is>
          <t>EMMER FOR CONGRESS</t>
        </is>
      </c>
      <c r="E3406" t="inlineStr">
        <is>
          <t>H4MN06087</t>
        </is>
      </c>
      <c r="F3406" t="inlineStr">
        <is>
          <t>REP</t>
        </is>
      </c>
      <c r="G3406" t="inlineStr">
        <is>
          <t>03232026</t>
        </is>
      </c>
      <c r="H3406" t="n">
        <v>5000</v>
      </c>
      <c r="I3406" t="inlineStr">
        <is>
          <t>202604109857085859</t>
        </is>
      </c>
      <c r="J3406" t="inlineStr">
        <is>
          <t>https://docquery.fec.gov/cgi-bin/fecimg/?202604109857085859</t>
        </is>
      </c>
    </row>
    <row r="3407">
      <c r="A3407" t="inlineStr">
        <is>
          <t>2026</t>
        </is>
      </c>
      <c r="B3407" t="inlineStr">
        <is>
          <t>C00496307</t>
        </is>
      </c>
      <c r="C3407" t="inlineStr">
        <is>
          <t>Marathon Petroleum Corp Employees PAC (MPAC)</t>
        </is>
      </c>
      <c r="D3407" t="inlineStr">
        <is>
          <t>ANDY BARR FOR CONGRESS</t>
        </is>
      </c>
      <c r="E3407" t="inlineStr">
        <is>
          <t>H0KY06104</t>
        </is>
      </c>
      <c r="F3407" t="inlineStr">
        <is>
          <t>REP</t>
        </is>
      </c>
      <c r="G3407" t="inlineStr">
        <is>
          <t>03272025</t>
        </is>
      </c>
      <c r="H3407" t="n">
        <v>5000</v>
      </c>
      <c r="I3407" t="inlineStr">
        <is>
          <t>202504189756134443</t>
        </is>
      </c>
      <c r="J3407" t="inlineStr">
        <is>
          <t>https://docquery.fec.gov/cgi-bin/fecimg/?202504189756134443</t>
        </is>
      </c>
    </row>
    <row r="3408">
      <c r="A3408" t="inlineStr">
        <is>
          <t>2026</t>
        </is>
      </c>
      <c r="B3408" t="inlineStr">
        <is>
          <t>C00496307</t>
        </is>
      </c>
      <c r="C3408" t="inlineStr">
        <is>
          <t>Marathon Petroleum Corp Employees PAC (MPAC)</t>
        </is>
      </c>
      <c r="D3408" t="inlineStr">
        <is>
          <t>ANDY BARR FOR CONGRESS</t>
        </is>
      </c>
      <c r="E3408" t="inlineStr">
        <is>
          <t>H0KY06104</t>
        </is>
      </c>
      <c r="F3408" t="inlineStr">
        <is>
          <t>REP</t>
        </is>
      </c>
      <c r="G3408" t="inlineStr">
        <is>
          <t>03272025</t>
        </is>
      </c>
      <c r="H3408" t="n">
        <v>5000</v>
      </c>
      <c r="I3408" t="inlineStr">
        <is>
          <t>202504189756134443</t>
        </is>
      </c>
      <c r="J3408" t="inlineStr">
        <is>
          <t>https://docquery.fec.gov/cgi-bin/fecimg/?202504189756134443</t>
        </is>
      </c>
    </row>
    <row r="3409">
      <c r="A3409" t="inlineStr">
        <is>
          <t>2026</t>
        </is>
      </c>
      <c r="B3409" t="inlineStr">
        <is>
          <t>C00496307</t>
        </is>
      </c>
      <c r="C3409" t="inlineStr">
        <is>
          <t>Marathon Petroleum Corp Employees PAC (MPAC)</t>
        </is>
      </c>
      <c r="D3409" t="inlineStr">
        <is>
          <t>AUGUST PFLUGER FOR CONGRESS</t>
        </is>
      </c>
      <c r="E3409" t="inlineStr">
        <is>
          <t>H0TX11230</t>
        </is>
      </c>
      <c r="F3409" t="inlineStr">
        <is>
          <t>REP</t>
        </is>
      </c>
      <c r="G3409" t="inlineStr">
        <is>
          <t>03272025</t>
        </is>
      </c>
      <c r="H3409" t="n">
        <v>5000</v>
      </c>
      <c r="I3409" t="inlineStr">
        <is>
          <t>202504189756134444</t>
        </is>
      </c>
      <c r="J3409" t="inlineStr">
        <is>
          <t>https://docquery.fec.gov/cgi-bin/fecimg/?202504189756134444</t>
        </is>
      </c>
    </row>
    <row r="3410">
      <c r="A3410" t="inlineStr">
        <is>
          <t>2026</t>
        </is>
      </c>
      <c r="B3410" t="inlineStr">
        <is>
          <t>C00496307</t>
        </is>
      </c>
      <c r="C3410" t="inlineStr">
        <is>
          <t>Marathon Petroleum Corp Employees PAC (MPAC)</t>
        </is>
      </c>
      <c r="D3410" t="inlineStr">
        <is>
          <t>BALDERSON FOR CONGRESS</t>
        </is>
      </c>
      <c r="E3410" t="inlineStr">
        <is>
          <t>H8OH12180</t>
        </is>
      </c>
      <c r="F3410" t="inlineStr">
        <is>
          <t>REP</t>
        </is>
      </c>
      <c r="G3410" t="inlineStr">
        <is>
          <t>03272025</t>
        </is>
      </c>
      <c r="H3410" t="n">
        <v>2500</v>
      </c>
      <c r="I3410" t="inlineStr">
        <is>
          <t>202504189756134444</t>
        </is>
      </c>
      <c r="J3410" t="inlineStr">
        <is>
          <t>https://docquery.fec.gov/cgi-bin/fecimg/?202504189756134444</t>
        </is>
      </c>
    </row>
    <row r="3411">
      <c r="A3411" t="inlineStr">
        <is>
          <t>2026</t>
        </is>
      </c>
      <c r="B3411" t="inlineStr">
        <is>
          <t>C00496307</t>
        </is>
      </c>
      <c r="C3411" t="inlineStr">
        <is>
          <t>Marathon Petroleum Corp Employees PAC (MPAC)</t>
        </is>
      </c>
      <c r="D3411" t="inlineStr">
        <is>
          <t>BICE FOR CONGRESS</t>
        </is>
      </c>
      <c r="E3411" t="inlineStr">
        <is>
          <t>H0OK05205</t>
        </is>
      </c>
      <c r="F3411" t="inlineStr">
        <is>
          <t>REP</t>
        </is>
      </c>
      <c r="G3411" t="inlineStr">
        <is>
          <t>03272025</t>
        </is>
      </c>
      <c r="H3411" t="n">
        <v>2500</v>
      </c>
      <c r="I3411" t="inlineStr">
        <is>
          <t>202504189756134444</t>
        </is>
      </c>
      <c r="J3411" t="inlineStr">
        <is>
          <t>https://docquery.fec.gov/cgi-bin/fecimg/?202504189756134444</t>
        </is>
      </c>
    </row>
    <row r="3412">
      <c r="A3412" t="inlineStr">
        <is>
          <t>2026</t>
        </is>
      </c>
      <c r="B3412" t="inlineStr">
        <is>
          <t>C00496307</t>
        </is>
      </c>
      <c r="C3412" t="inlineStr">
        <is>
          <t>Marathon Petroleum Corp Employees PAC (MPAC)</t>
        </is>
      </c>
      <c r="D3412" t="inlineStr">
        <is>
          <t>CAPITO FOR WEST VIRGINIA</t>
        </is>
      </c>
      <c r="E3412" t="inlineStr">
        <is>
          <t>S4WV00159</t>
        </is>
      </c>
      <c r="F3412" t="inlineStr">
        <is>
          <t>REP</t>
        </is>
      </c>
      <c r="G3412" t="inlineStr">
        <is>
          <t>03272025</t>
        </is>
      </c>
      <c r="H3412" t="n">
        <v>5000</v>
      </c>
      <c r="I3412" t="inlineStr">
        <is>
          <t>202504189756134445</t>
        </is>
      </c>
      <c r="J3412" t="inlineStr">
        <is>
          <t>https://docquery.fec.gov/cgi-bin/fecimg/?202504189756134445</t>
        </is>
      </c>
    </row>
    <row r="3413">
      <c r="A3413" t="inlineStr">
        <is>
          <t>2026</t>
        </is>
      </c>
      <c r="B3413" t="inlineStr">
        <is>
          <t>C00496307</t>
        </is>
      </c>
      <c r="C3413" t="inlineStr">
        <is>
          <t>Marathon Petroleum Corp Employees PAC (MPAC)</t>
        </is>
      </c>
      <c r="D3413" t="inlineStr">
        <is>
          <t>CAREY FOR CONGRESS</t>
        </is>
      </c>
      <c r="E3413" t="inlineStr">
        <is>
          <t>H2OH15228</t>
        </is>
      </c>
      <c r="F3413" t="inlineStr">
        <is>
          <t>REP</t>
        </is>
      </c>
      <c r="G3413" t="inlineStr">
        <is>
          <t>03272025</t>
        </is>
      </c>
      <c r="H3413" t="n">
        <v>2500</v>
      </c>
      <c r="I3413" t="inlineStr">
        <is>
          <t>202504189756134445</t>
        </is>
      </c>
      <c r="J3413" t="inlineStr">
        <is>
          <t>https://docquery.fec.gov/cgi-bin/fecimg/?202504189756134445</t>
        </is>
      </c>
    </row>
    <row r="3414">
      <c r="A3414" t="inlineStr">
        <is>
          <t>2026</t>
        </is>
      </c>
      <c r="B3414" t="inlineStr">
        <is>
          <t>C00496307</t>
        </is>
      </c>
      <c r="C3414" t="inlineStr">
        <is>
          <t>Marathon Petroleum Corp Employees PAC (MPAC)</t>
        </is>
      </c>
      <c r="D3414" t="inlineStr">
        <is>
          <t>COLE FOR CONGRESS</t>
        </is>
      </c>
      <c r="E3414" t="inlineStr">
        <is>
          <t>H2OK04055</t>
        </is>
      </c>
      <c r="F3414" t="inlineStr">
        <is>
          <t>REP</t>
        </is>
      </c>
      <c r="G3414" t="inlineStr">
        <is>
          <t>03272025</t>
        </is>
      </c>
      <c r="H3414" t="n">
        <v>5000</v>
      </c>
      <c r="I3414" t="inlineStr">
        <is>
          <t>202504189756134445</t>
        </is>
      </c>
      <c r="J3414" t="inlineStr">
        <is>
          <t>https://docquery.fec.gov/cgi-bin/fecimg/?202504189756134445</t>
        </is>
      </c>
    </row>
    <row r="3415">
      <c r="A3415" t="inlineStr">
        <is>
          <t>2026</t>
        </is>
      </c>
      <c r="B3415" t="inlineStr">
        <is>
          <t>C00496307</t>
        </is>
      </c>
      <c r="C3415" t="inlineStr">
        <is>
          <t>Marathon Petroleum Corp Employees PAC (MPAC)</t>
        </is>
      </c>
      <c r="D3415" t="inlineStr">
        <is>
          <t>CRAIG GOLDMAN FOR CONGRESS</t>
        </is>
      </c>
      <c r="E3415" t="inlineStr">
        <is>
          <t>H4TX12065</t>
        </is>
      </c>
      <c r="F3415" t="inlineStr">
        <is>
          <t>REP</t>
        </is>
      </c>
      <c r="G3415" t="inlineStr">
        <is>
          <t>03272025</t>
        </is>
      </c>
      <c r="H3415" t="n">
        <v>2500</v>
      </c>
      <c r="I3415" t="inlineStr">
        <is>
          <t>202504189756134446</t>
        </is>
      </c>
      <c r="J3415" t="inlineStr">
        <is>
          <t>https://docquery.fec.gov/cgi-bin/fecimg/?202504189756134446</t>
        </is>
      </c>
    </row>
    <row r="3416">
      <c r="A3416" t="inlineStr">
        <is>
          <t>2026</t>
        </is>
      </c>
      <c r="B3416" t="inlineStr">
        <is>
          <t>C00496307</t>
        </is>
      </c>
      <c r="C3416" t="inlineStr">
        <is>
          <t>Marathon Petroleum Corp Employees PAC (MPAC)</t>
        </is>
      </c>
      <c r="D3416" t="inlineStr">
        <is>
          <t>DR. JOHN JOYCE FOR CONGRESS</t>
        </is>
      </c>
      <c r="E3416" t="inlineStr">
        <is>
          <t>H8PA13125</t>
        </is>
      </c>
      <c r="F3416" t="inlineStr">
        <is>
          <t>REP</t>
        </is>
      </c>
      <c r="G3416" t="inlineStr">
        <is>
          <t>03272025</t>
        </is>
      </c>
      <c r="H3416" t="n">
        <v>5000</v>
      </c>
      <c r="I3416" t="inlineStr">
        <is>
          <t>202504189756134446</t>
        </is>
      </c>
      <c r="J3416" t="inlineStr">
        <is>
          <t>https://docquery.fec.gov/cgi-bin/fecimg/?202504189756134446</t>
        </is>
      </c>
    </row>
    <row r="3417">
      <c r="A3417" t="inlineStr">
        <is>
          <t>2026</t>
        </is>
      </c>
      <c r="B3417" t="inlineStr">
        <is>
          <t>C00496307</t>
        </is>
      </c>
      <c r="C3417" t="inlineStr">
        <is>
          <t>Marathon Petroleum Corp Employees PAC (MPAC)</t>
        </is>
      </c>
      <c r="D3417" t="inlineStr">
        <is>
          <t>ELECTGABEEVANS.COM</t>
        </is>
      </c>
      <c r="E3417" t="inlineStr">
        <is>
          <t>H4CO08034</t>
        </is>
      </c>
      <c r="F3417" t="inlineStr">
        <is>
          <t>REP</t>
        </is>
      </c>
      <c r="G3417" t="inlineStr">
        <is>
          <t>03272025</t>
        </is>
      </c>
      <c r="H3417" t="n">
        <v>2500</v>
      </c>
      <c r="I3417" t="inlineStr">
        <is>
          <t>202504189756134447</t>
        </is>
      </c>
      <c r="J3417" t="inlineStr">
        <is>
          <t>https://docquery.fec.gov/cgi-bin/fecimg/?202504189756134447</t>
        </is>
      </c>
    </row>
    <row r="3418">
      <c r="A3418" t="inlineStr">
        <is>
          <t>2026</t>
        </is>
      </c>
      <c r="B3418" t="inlineStr">
        <is>
          <t>C00496307</t>
        </is>
      </c>
      <c r="C3418" t="inlineStr">
        <is>
          <t>Marathon Petroleum Corp Employees PAC (MPAC)</t>
        </is>
      </c>
      <c r="D3418" t="inlineStr">
        <is>
          <t>EMMER FOR CONGRESS</t>
        </is>
      </c>
      <c r="E3418" t="inlineStr">
        <is>
          <t>H4MN06087</t>
        </is>
      </c>
      <c r="F3418" t="inlineStr">
        <is>
          <t>REP</t>
        </is>
      </c>
      <c r="G3418" t="inlineStr">
        <is>
          <t>03272025</t>
        </is>
      </c>
      <c r="H3418" t="n">
        <v>5000</v>
      </c>
      <c r="I3418" t="inlineStr">
        <is>
          <t>202504189756134447</t>
        </is>
      </c>
      <c r="J3418" t="inlineStr">
        <is>
          <t>https://docquery.fec.gov/cgi-bin/fecimg/?202504189756134447</t>
        </is>
      </c>
    </row>
    <row r="3419">
      <c r="A3419" t="inlineStr">
        <is>
          <t>2026</t>
        </is>
      </c>
      <c r="B3419" t="inlineStr">
        <is>
          <t>C00496307</t>
        </is>
      </c>
      <c r="C3419" t="inlineStr">
        <is>
          <t>Marathon Petroleum Corp Employees PAC (MPAC)</t>
        </is>
      </c>
      <c r="D3419" t="inlineStr">
        <is>
          <t>FEDORCHAK FOR ND</t>
        </is>
      </c>
      <c r="E3419" t="inlineStr">
        <is>
          <t>H4ND00061</t>
        </is>
      </c>
      <c r="F3419" t="inlineStr">
        <is>
          <t>REP</t>
        </is>
      </c>
      <c r="G3419" t="inlineStr">
        <is>
          <t>03272025</t>
        </is>
      </c>
      <c r="H3419" t="n">
        <v>5000</v>
      </c>
      <c r="I3419" t="inlineStr">
        <is>
          <t>202504189756134448</t>
        </is>
      </c>
      <c r="J3419" t="inlineStr">
        <is>
          <t>https://docquery.fec.gov/cgi-bin/fecimg/?202504189756134448</t>
        </is>
      </c>
    </row>
    <row r="3420">
      <c r="A3420" t="inlineStr">
        <is>
          <t>2026</t>
        </is>
      </c>
      <c r="B3420" t="inlineStr">
        <is>
          <t>C00496307</t>
        </is>
      </c>
      <c r="C3420" t="inlineStr">
        <is>
          <t>Marathon Petroleum Corp Employees PAC (MPAC)</t>
        </is>
      </c>
      <c r="D3420" t="inlineStr">
        <is>
          <t>FEENSTRA FOR CONGRESS</t>
        </is>
      </c>
      <c r="E3420" t="inlineStr">
        <is>
          <t>H0IA04145</t>
        </is>
      </c>
      <c r="F3420" t="inlineStr">
        <is>
          <t>REP</t>
        </is>
      </c>
      <c r="G3420" t="inlineStr">
        <is>
          <t>03272025</t>
        </is>
      </c>
      <c r="H3420" t="n">
        <v>5000</v>
      </c>
      <c r="I3420" t="inlineStr">
        <is>
          <t>202504189756134448</t>
        </is>
      </c>
      <c r="J3420" t="inlineStr">
        <is>
          <t>https://docquery.fec.gov/cgi-bin/fecimg/?202504189756134448</t>
        </is>
      </c>
    </row>
    <row r="3421">
      <c r="A3421" t="inlineStr">
        <is>
          <t>2026</t>
        </is>
      </c>
      <c r="B3421" t="inlineStr">
        <is>
          <t>C00496307</t>
        </is>
      </c>
      <c r="C3421" t="inlineStr">
        <is>
          <t>Marathon Petroleum Corp Employees PAC (MPAC)</t>
        </is>
      </c>
      <c r="D3421" t="inlineStr">
        <is>
          <t>GUTHRIE FOR CONGRESS</t>
        </is>
      </c>
      <c r="E3421" t="inlineStr">
        <is>
          <t>H8KY02031</t>
        </is>
      </c>
      <c r="F3421" t="inlineStr">
        <is>
          <t>REP</t>
        </is>
      </c>
      <c r="G3421" t="inlineStr">
        <is>
          <t>03272025</t>
        </is>
      </c>
      <c r="H3421" t="n">
        <v>5000</v>
      </c>
      <c r="I3421" t="inlineStr">
        <is>
          <t>202504189756134449</t>
        </is>
      </c>
      <c r="J3421" t="inlineStr">
        <is>
          <t>https://docquery.fec.gov/cgi-bin/fecimg/?202504189756134449</t>
        </is>
      </c>
    </row>
    <row r="3422">
      <c r="A3422" t="inlineStr">
        <is>
          <t>2026</t>
        </is>
      </c>
      <c r="B3422" t="inlineStr">
        <is>
          <t>C00496307</t>
        </is>
      </c>
      <c r="C3422" t="inlineStr">
        <is>
          <t>Marathon Petroleum Corp Employees PAC (MPAC)</t>
        </is>
      </c>
      <c r="D3422" t="inlineStr">
        <is>
          <t>GUY FOR CONGRESS</t>
        </is>
      </c>
      <c r="E3422" t="inlineStr">
        <is>
          <t>H8PA18199</t>
        </is>
      </c>
      <c r="F3422" t="inlineStr">
        <is>
          <t>REP</t>
        </is>
      </c>
      <c r="G3422" t="inlineStr">
        <is>
          <t>03272025</t>
        </is>
      </c>
      <c r="H3422" t="n">
        <v>5000</v>
      </c>
      <c r="I3422" t="inlineStr">
        <is>
          <t>202504189756134449</t>
        </is>
      </c>
      <c r="J3422" t="inlineStr">
        <is>
          <t>https://docquery.fec.gov/cgi-bin/fecimg/?202504189756134449</t>
        </is>
      </c>
    </row>
    <row r="3423">
      <c r="A3423" t="inlineStr">
        <is>
          <t>2026</t>
        </is>
      </c>
      <c r="B3423" t="inlineStr">
        <is>
          <t>C00496307</t>
        </is>
      </c>
      <c r="C3423" t="inlineStr">
        <is>
          <t>Marathon Petroleum Corp Employees PAC (MPAC)</t>
        </is>
      </c>
      <c r="D3423" t="inlineStr">
        <is>
          <t>HERN FOR CONGRESS</t>
        </is>
      </c>
      <c r="E3423" t="inlineStr">
        <is>
          <t>H8OK01157</t>
        </is>
      </c>
      <c r="F3423" t="inlineStr">
        <is>
          <t>REP</t>
        </is>
      </c>
      <c r="G3423" t="inlineStr">
        <is>
          <t>03272025</t>
        </is>
      </c>
      <c r="H3423" t="n">
        <v>5000</v>
      </c>
      <c r="I3423" t="inlineStr">
        <is>
          <t>202504189756134450</t>
        </is>
      </c>
      <c r="J3423" t="inlineStr">
        <is>
          <t>https://docquery.fec.gov/cgi-bin/fecimg/?202504189756134450</t>
        </is>
      </c>
    </row>
    <row r="3424">
      <c r="A3424" t="inlineStr">
        <is>
          <t>2026</t>
        </is>
      </c>
      <c r="B3424" t="inlineStr">
        <is>
          <t>C00496307</t>
        </is>
      </c>
      <c r="C3424" t="inlineStr">
        <is>
          <t>Marathon Petroleum Corp Employees PAC (MPAC)</t>
        </is>
      </c>
      <c r="D3424" t="inlineStr">
        <is>
          <t>HUDSON FOR CONGRESS</t>
        </is>
      </c>
      <c r="E3424" t="inlineStr">
        <is>
          <t>H2NC08185</t>
        </is>
      </c>
      <c r="F3424" t="inlineStr">
        <is>
          <t>REP</t>
        </is>
      </c>
      <c r="G3424" t="inlineStr">
        <is>
          <t>03272025</t>
        </is>
      </c>
      <c r="H3424" t="n">
        <v>5000</v>
      </c>
      <c r="I3424" t="inlineStr">
        <is>
          <t>202504189756134450</t>
        </is>
      </c>
      <c r="J3424" t="inlineStr">
        <is>
          <t>https://docquery.fec.gov/cgi-bin/fecimg/?202504189756134450</t>
        </is>
      </c>
    </row>
    <row r="3425">
      <c r="A3425" t="inlineStr">
        <is>
          <t>2026</t>
        </is>
      </c>
      <c r="B3425" t="inlineStr">
        <is>
          <t>C00496307</t>
        </is>
      </c>
      <c r="C3425" t="inlineStr">
        <is>
          <t>Marathon Petroleum Corp Employees PAC (MPAC)</t>
        </is>
      </c>
      <c r="D3425" t="inlineStr">
        <is>
          <t>JASON SMITH FOR CONGRESS</t>
        </is>
      </c>
      <c r="E3425" t="inlineStr">
        <is>
          <t>H4MO08162</t>
        </is>
      </c>
      <c r="F3425" t="inlineStr">
        <is>
          <t>REP</t>
        </is>
      </c>
      <c r="G3425" t="inlineStr">
        <is>
          <t>03272025</t>
        </is>
      </c>
      <c r="H3425" t="n">
        <v>5000</v>
      </c>
      <c r="I3425" t="inlineStr">
        <is>
          <t>202504189756134450</t>
        </is>
      </c>
      <c r="J3425" t="inlineStr">
        <is>
          <t>https://docquery.fec.gov/cgi-bin/fecimg/?202504189756134450</t>
        </is>
      </c>
    </row>
    <row r="3426">
      <c r="A3426" t="inlineStr">
        <is>
          <t>2026</t>
        </is>
      </c>
      <c r="B3426" t="inlineStr">
        <is>
          <t>C00496307</t>
        </is>
      </c>
      <c r="C3426" t="inlineStr">
        <is>
          <t>Marathon Petroleum Corp Employees PAC (MPAC)</t>
        </is>
      </c>
      <c r="D3426" t="inlineStr">
        <is>
          <t>KANSANS FOR MARSHALL</t>
        </is>
      </c>
      <c r="E3426" t="inlineStr">
        <is>
          <t>S0KS00315</t>
        </is>
      </c>
      <c r="F3426" t="inlineStr">
        <is>
          <t>REP</t>
        </is>
      </c>
      <c r="G3426" t="inlineStr">
        <is>
          <t>03272025</t>
        </is>
      </c>
      <c r="H3426" t="n">
        <v>5000</v>
      </c>
      <c r="I3426" t="inlineStr">
        <is>
          <t>202504189756134451</t>
        </is>
      </c>
      <c r="J3426" t="inlineStr">
        <is>
          <t>https://docquery.fec.gov/cgi-bin/fecimg/?202504189756134451</t>
        </is>
      </c>
    </row>
    <row r="3427">
      <c r="A3427" t="inlineStr">
        <is>
          <t>2026</t>
        </is>
      </c>
      <c r="B3427" t="inlineStr">
        <is>
          <t>C00496307</t>
        </is>
      </c>
      <c r="C3427" t="inlineStr">
        <is>
          <t>Marathon Petroleum Corp Employees PAC (MPAC)</t>
        </is>
      </c>
      <c r="D3427" t="inlineStr">
        <is>
          <t>MIKE CRAPO FOR US SENATE</t>
        </is>
      </c>
      <c r="E3427" t="inlineStr">
        <is>
          <t>S8ID00027</t>
        </is>
      </c>
      <c r="F3427" t="inlineStr">
        <is>
          <t>REP</t>
        </is>
      </c>
      <c r="G3427" t="inlineStr">
        <is>
          <t>03272025</t>
        </is>
      </c>
      <c r="H3427" t="n">
        <v>5000</v>
      </c>
      <c r="I3427" t="inlineStr">
        <is>
          <t>202504189756134451</t>
        </is>
      </c>
      <c r="J3427" t="inlineStr">
        <is>
          <t>https://docquery.fec.gov/cgi-bin/fecimg/?202504189756134451</t>
        </is>
      </c>
    </row>
    <row r="3428">
      <c r="A3428" t="inlineStr">
        <is>
          <t>2026</t>
        </is>
      </c>
      <c r="B3428" t="inlineStr">
        <is>
          <t>C00496307</t>
        </is>
      </c>
      <c r="C3428" t="inlineStr">
        <is>
          <t>Marathon Petroleum Corp Employees PAC (MPAC)</t>
        </is>
      </c>
      <c r="D3428" t="inlineStr">
        <is>
          <t>MIKE JOHNSON FOR LOUISIANA</t>
        </is>
      </c>
      <c r="E3428" t="inlineStr">
        <is>
          <t>H6LA04138</t>
        </is>
      </c>
      <c r="F3428" t="inlineStr">
        <is>
          <t>REP</t>
        </is>
      </c>
      <c r="G3428" t="inlineStr">
        <is>
          <t>03272025</t>
        </is>
      </c>
      <c r="H3428" t="n">
        <v>5000</v>
      </c>
      <c r="I3428" t="inlineStr">
        <is>
          <t>202504189756134452</t>
        </is>
      </c>
      <c r="J3428" t="inlineStr">
        <is>
          <t>https://docquery.fec.gov/cgi-bin/fecimg/?202504189756134452</t>
        </is>
      </c>
    </row>
    <row r="3429">
      <c r="A3429" t="inlineStr">
        <is>
          <t>2026</t>
        </is>
      </c>
      <c r="B3429" t="inlineStr">
        <is>
          <t>C00496307</t>
        </is>
      </c>
      <c r="C3429" t="inlineStr">
        <is>
          <t>Marathon Petroleum Corp Employees PAC (MPAC)</t>
        </is>
      </c>
      <c r="D3429" t="inlineStr">
        <is>
          <t>MOORE FOR WEST VIRGINIA</t>
        </is>
      </c>
      <c r="E3429" t="inlineStr">
        <is>
          <t>H4WV02205</t>
        </is>
      </c>
      <c r="F3429" t="inlineStr">
        <is>
          <t>REP</t>
        </is>
      </c>
      <c r="G3429" t="inlineStr">
        <is>
          <t>03272025</t>
        </is>
      </c>
      <c r="H3429" t="n">
        <v>5000</v>
      </c>
      <c r="I3429" t="inlineStr">
        <is>
          <t>202504189756134452</t>
        </is>
      </c>
      <c r="J3429" t="inlineStr">
        <is>
          <t>https://docquery.fec.gov/cgi-bin/fecimg/?202504189756134452</t>
        </is>
      </c>
    </row>
    <row r="3430">
      <c r="A3430" t="inlineStr">
        <is>
          <t>2026</t>
        </is>
      </c>
      <c r="B3430" t="inlineStr">
        <is>
          <t>C00496307</t>
        </is>
      </c>
      <c r="C3430" t="inlineStr">
        <is>
          <t>Marathon Petroleum Corp Employees PAC (MPAC)</t>
        </is>
      </c>
      <c r="D3430" t="inlineStr">
        <is>
          <t>SCALISE FOR CONGRESS</t>
        </is>
      </c>
      <c r="E3430" t="inlineStr">
        <is>
          <t>H0LA01087</t>
        </is>
      </c>
      <c r="F3430" t="inlineStr">
        <is>
          <t>REP</t>
        </is>
      </c>
      <c r="G3430" t="inlineStr">
        <is>
          <t>03272025</t>
        </is>
      </c>
      <c r="H3430" t="n">
        <v>5000</v>
      </c>
      <c r="I3430" t="inlineStr">
        <is>
          <t>202504189756134454</t>
        </is>
      </c>
      <c r="J3430" t="inlineStr">
        <is>
          <t>https://docquery.fec.gov/cgi-bin/fecimg/?202504189756134454</t>
        </is>
      </c>
    </row>
    <row r="3431">
      <c r="A3431" t="inlineStr">
        <is>
          <t>2026</t>
        </is>
      </c>
      <c r="B3431" t="inlineStr">
        <is>
          <t>C00496307</t>
        </is>
      </c>
      <c r="C3431" t="inlineStr">
        <is>
          <t>Marathon Petroleum Corp Employees PAC (MPAC)</t>
        </is>
      </c>
      <c r="D3431" t="inlineStr">
        <is>
          <t>TEXANS FOR JODEY ARRINGTON</t>
        </is>
      </c>
      <c r="E3431" t="inlineStr">
        <is>
          <t>H6TX19099</t>
        </is>
      </c>
      <c r="F3431" t="inlineStr">
        <is>
          <t>REP</t>
        </is>
      </c>
      <c r="G3431" t="inlineStr">
        <is>
          <t>03272025</t>
        </is>
      </c>
      <c r="H3431" t="n">
        <v>5000</v>
      </c>
      <c r="I3431" t="inlineStr">
        <is>
          <t>202504189756134454</t>
        </is>
      </c>
      <c r="J3431" t="inlineStr">
        <is>
          <t>https://docquery.fec.gov/cgi-bin/fecimg/?202504189756134454</t>
        </is>
      </c>
    </row>
    <row r="3432">
      <c r="A3432" t="inlineStr">
        <is>
          <t>2026</t>
        </is>
      </c>
      <c r="B3432" t="inlineStr">
        <is>
          <t>C00496307</t>
        </is>
      </c>
      <c r="C3432" t="inlineStr">
        <is>
          <t>Marathon Petroleum Corp Employees PAC (MPAC)</t>
        </is>
      </c>
      <c r="D3432" t="inlineStr">
        <is>
          <t>ELECTGABEEVANS.COM</t>
        </is>
      </c>
      <c r="E3432" t="inlineStr">
        <is>
          <t>H4CO08034</t>
        </is>
      </c>
      <c r="F3432" t="inlineStr">
        <is>
          <t>REP</t>
        </is>
      </c>
      <c r="G3432" t="inlineStr">
        <is>
          <t>05062025</t>
        </is>
      </c>
      <c r="H3432" t="n">
        <v>2500</v>
      </c>
      <c r="I3432" t="inlineStr">
        <is>
          <t>202506129762132500</t>
        </is>
      </c>
      <c r="J3432" t="inlineStr">
        <is>
          <t>https://docquery.fec.gov/cgi-bin/fecimg/?202506129762132500</t>
        </is>
      </c>
    </row>
    <row r="3433">
      <c r="A3433" t="inlineStr">
        <is>
          <t>2026</t>
        </is>
      </c>
      <c r="B3433" t="inlineStr">
        <is>
          <t>C00496307</t>
        </is>
      </c>
      <c r="C3433" t="inlineStr">
        <is>
          <t>Marathon Petroleum Corp Employees PAC (MPAC)</t>
        </is>
      </c>
      <c r="D3433" t="inlineStr">
        <is>
          <t>VINCE FONG FOR CONGRESS</t>
        </is>
      </c>
      <c r="E3433" t="inlineStr">
        <is>
          <t>H4CA20181</t>
        </is>
      </c>
      <c r="F3433" t="inlineStr">
        <is>
          <t>REP</t>
        </is>
      </c>
      <c r="G3433" t="inlineStr">
        <is>
          <t>05272026</t>
        </is>
      </c>
      <c r="H3433" t="n">
        <v>2500</v>
      </c>
      <c r="I3433" t="inlineStr">
        <is>
          <t>202606199870814525</t>
        </is>
      </c>
      <c r="J3433" t="inlineStr">
        <is>
          <t>https://docquery.fec.gov/cgi-bin/fecimg/?202606199870814525</t>
        </is>
      </c>
    </row>
    <row r="3434">
      <c r="A3434" t="inlineStr">
        <is>
          <t>2026</t>
        </is>
      </c>
      <c r="B3434" t="inlineStr">
        <is>
          <t>C00496307</t>
        </is>
      </c>
      <c r="C3434" t="inlineStr">
        <is>
          <t>Marathon Petroleum Corp Employees PAC (MPAC)</t>
        </is>
      </c>
      <c r="D3434" t="inlineStr">
        <is>
          <t>COLE FOR CONGRESS</t>
        </is>
      </c>
      <c r="E3434" t="inlineStr">
        <is>
          <t>H2OK04055</t>
        </is>
      </c>
      <c r="F3434" t="inlineStr">
        <is>
          <t>REP</t>
        </is>
      </c>
      <c r="G3434" t="inlineStr">
        <is>
          <t>06022026</t>
        </is>
      </c>
      <c r="H3434" t="n">
        <v>5000</v>
      </c>
      <c r="I3434" t="inlineStr">
        <is>
          <t>202607209890969882</t>
        </is>
      </c>
      <c r="J3434" t="inlineStr">
        <is>
          <t>https://docquery.fec.gov/cgi-bin/fecimg/?202607209890969882</t>
        </is>
      </c>
    </row>
    <row r="3435">
      <c r="A3435" t="inlineStr">
        <is>
          <t>2026</t>
        </is>
      </c>
      <c r="B3435" t="inlineStr">
        <is>
          <t>C00496307</t>
        </is>
      </c>
      <c r="C3435" t="inlineStr">
        <is>
          <t>Marathon Petroleum Corp Employees PAC (MPAC)</t>
        </is>
      </c>
      <c r="D3435" t="inlineStr">
        <is>
          <t>FRIENDS OF DAVE JOYCE</t>
        </is>
      </c>
      <c r="E3435" t="inlineStr">
        <is>
          <t>H2OH14064</t>
        </is>
      </c>
      <c r="F3435" t="inlineStr">
        <is>
          <t>REP</t>
        </is>
      </c>
      <c r="G3435" t="inlineStr">
        <is>
          <t>06022026</t>
        </is>
      </c>
      <c r="H3435" t="n">
        <v>5000</v>
      </c>
      <c r="I3435" t="inlineStr">
        <is>
          <t>202607209890969883</t>
        </is>
      </c>
      <c r="J3435" t="inlineStr">
        <is>
          <t>https://docquery.fec.gov/cgi-bin/fecimg/?202607209890969883</t>
        </is>
      </c>
    </row>
    <row r="3436">
      <c r="A3436" t="inlineStr">
        <is>
          <t>2026</t>
        </is>
      </c>
      <c r="B3436" t="inlineStr">
        <is>
          <t>C00496307</t>
        </is>
      </c>
      <c r="C3436" t="inlineStr">
        <is>
          <t>Marathon Petroleum Corp Employees PAC (MPAC)</t>
        </is>
      </c>
      <c r="D3436" t="inlineStr">
        <is>
          <t>HERN FOR SENATE</t>
        </is>
      </c>
      <c r="E3436" t="inlineStr">
        <is>
          <t>S6OK04247</t>
        </is>
      </c>
      <c r="F3436" t="inlineStr">
        <is>
          <t>REP</t>
        </is>
      </c>
      <c r="G3436" t="inlineStr">
        <is>
          <t>06022026</t>
        </is>
      </c>
      <c r="H3436" t="n">
        <v>5000</v>
      </c>
      <c r="I3436" t="inlineStr">
        <is>
          <t>202607209890969884</t>
        </is>
      </c>
      <c r="J3436" t="inlineStr">
        <is>
          <t>https://docquery.fec.gov/cgi-bin/fecimg/?202607209890969884</t>
        </is>
      </c>
    </row>
    <row r="3437">
      <c r="A3437" t="inlineStr">
        <is>
          <t>2026</t>
        </is>
      </c>
      <c r="B3437" t="inlineStr">
        <is>
          <t>C00496307</t>
        </is>
      </c>
      <c r="C3437" t="inlineStr">
        <is>
          <t>Marathon Petroleum Corp Employees PAC (MPAC)</t>
        </is>
      </c>
      <c r="D3437" t="inlineStr">
        <is>
          <t>JAY OBERNOLTE FOR CONGRESS</t>
        </is>
      </c>
      <c r="E3437" t="inlineStr">
        <is>
          <t>H0CA08135</t>
        </is>
      </c>
      <c r="F3437" t="inlineStr">
        <is>
          <t>REP</t>
        </is>
      </c>
      <c r="G3437" t="inlineStr">
        <is>
          <t>06022026</t>
        </is>
      </c>
      <c r="H3437" t="n">
        <v>2500</v>
      </c>
      <c r="I3437" t="inlineStr">
        <is>
          <t>202607209890969884</t>
        </is>
      </c>
      <c r="J3437" t="inlineStr">
        <is>
          <t>https://docquery.fec.gov/cgi-bin/fecimg/?202607209890969884</t>
        </is>
      </c>
    </row>
    <row r="3438">
      <c r="A3438" t="inlineStr">
        <is>
          <t>2026</t>
        </is>
      </c>
      <c r="B3438" t="inlineStr">
        <is>
          <t>C00496307</t>
        </is>
      </c>
      <c r="C3438" t="inlineStr">
        <is>
          <t>Marathon Petroleum Corp Employees PAC (MPAC)</t>
        </is>
      </c>
      <c r="D3438" t="inlineStr">
        <is>
          <t>PETE STAUBER FOR CONGRESS</t>
        </is>
      </c>
      <c r="E3438" t="inlineStr">
        <is>
          <t>H8MN08043</t>
        </is>
      </c>
      <c r="F3438" t="inlineStr">
        <is>
          <t>REP</t>
        </is>
      </c>
      <c r="G3438" t="inlineStr">
        <is>
          <t>06022026</t>
        </is>
      </c>
      <c r="H3438" t="n">
        <v>2500</v>
      </c>
      <c r="I3438" t="inlineStr">
        <is>
          <t>202607209890969886</t>
        </is>
      </c>
      <c r="J3438" t="inlineStr">
        <is>
          <t>https://docquery.fec.gov/cgi-bin/fecimg/?202607209890969886</t>
        </is>
      </c>
    </row>
    <row r="3439">
      <c r="A3439" t="inlineStr">
        <is>
          <t>2026</t>
        </is>
      </c>
      <c r="B3439" t="inlineStr">
        <is>
          <t>C00496307</t>
        </is>
      </c>
      <c r="C3439" t="inlineStr">
        <is>
          <t>Marathon Petroleum Corp Employees PAC (MPAC)</t>
        </is>
      </c>
      <c r="D3439" t="inlineStr">
        <is>
          <t>WEBER FOR CONGRESS</t>
        </is>
      </c>
      <c r="E3439" t="inlineStr">
        <is>
          <t>H2TX14149</t>
        </is>
      </c>
      <c r="F3439" t="inlineStr">
        <is>
          <t>REP</t>
        </is>
      </c>
      <c r="G3439" t="inlineStr">
        <is>
          <t>06022026</t>
        </is>
      </c>
      <c r="H3439" t="n">
        <v>5000</v>
      </c>
      <c r="I3439" t="inlineStr">
        <is>
          <t>202607209890969890</t>
        </is>
      </c>
      <c r="J3439" t="inlineStr">
        <is>
          <t>https://docquery.fec.gov/cgi-bin/fecimg/?202607209890969890</t>
        </is>
      </c>
    </row>
    <row r="3440">
      <c r="A3440" t="inlineStr">
        <is>
          <t>2026</t>
        </is>
      </c>
      <c r="B3440" t="inlineStr">
        <is>
          <t>C00496307</t>
        </is>
      </c>
      <c r="C3440" t="inlineStr">
        <is>
          <t>Marathon Petroleum Corp Employees PAC (MPAC)</t>
        </is>
      </c>
      <c r="D3440" t="inlineStr">
        <is>
          <t>WESTERMAN FOR CONGRESS</t>
        </is>
      </c>
      <c r="E3440" t="inlineStr">
        <is>
          <t>H4AR04048</t>
        </is>
      </c>
      <c r="F3440" t="inlineStr">
        <is>
          <t>REP</t>
        </is>
      </c>
      <c r="G3440" t="inlineStr">
        <is>
          <t>06022026</t>
        </is>
      </c>
      <c r="H3440" t="n">
        <v>5000</v>
      </c>
      <c r="I3440" t="inlineStr">
        <is>
          <t>202607209890969890</t>
        </is>
      </c>
      <c r="J3440" t="inlineStr">
        <is>
          <t>https://docquery.fec.gov/cgi-bin/fecimg/?202607209890969890</t>
        </is>
      </c>
    </row>
    <row r="3441">
      <c r="A3441" t="inlineStr">
        <is>
          <t>2026</t>
        </is>
      </c>
      <c r="B3441" t="inlineStr">
        <is>
          <t>C00496307</t>
        </is>
      </c>
      <c r="C3441" t="inlineStr">
        <is>
          <t>Marathon Petroleum Corp Employees PAC (MPAC)</t>
        </is>
      </c>
      <c r="D3441" t="inlineStr">
        <is>
          <t>WOMACK FOR CONGRESS COMMITTEE</t>
        </is>
      </c>
      <c r="E3441" t="inlineStr">
        <is>
          <t>H0AR03055</t>
        </is>
      </c>
      <c r="F3441" t="inlineStr">
        <is>
          <t>REP</t>
        </is>
      </c>
      <c r="G3441" t="inlineStr">
        <is>
          <t>06022026</t>
        </is>
      </c>
      <c r="H3441" t="n">
        <v>5000</v>
      </c>
      <c r="I3441" t="inlineStr">
        <is>
          <t>202607209890969890</t>
        </is>
      </c>
      <c r="J3441" t="inlineStr">
        <is>
          <t>https://docquery.fec.gov/cgi-bin/fecimg/?202607209890969890</t>
        </is>
      </c>
    </row>
    <row r="3442">
      <c r="A3442" t="inlineStr">
        <is>
          <t>2026</t>
        </is>
      </c>
      <c r="B3442" t="inlineStr">
        <is>
          <t>C00496307</t>
        </is>
      </c>
      <c r="C3442" t="inlineStr">
        <is>
          <t>Marathon Petroleum Corp Employees PAC (MPAC)</t>
        </is>
      </c>
      <c r="D3442" t="inlineStr">
        <is>
          <t>ASHLEY FOR IOWA</t>
        </is>
      </c>
      <c r="E3442" t="inlineStr">
        <is>
          <t>H0IA01174</t>
        </is>
      </c>
      <c r="F3442" t="inlineStr">
        <is>
          <t>REP</t>
        </is>
      </c>
      <c r="G3442" t="inlineStr">
        <is>
          <t>06022026</t>
        </is>
      </c>
      <c r="H3442" t="n">
        <v>2500</v>
      </c>
      <c r="I3442" t="inlineStr">
        <is>
          <t>202607209890969880</t>
        </is>
      </c>
      <c r="J3442" t="inlineStr">
        <is>
          <t>https://docquery.fec.gov/cgi-bin/fecimg/?202607209890969880</t>
        </is>
      </c>
    </row>
    <row r="3443">
      <c r="A3443" t="inlineStr">
        <is>
          <t>2026</t>
        </is>
      </c>
      <c r="B3443" t="inlineStr">
        <is>
          <t>C00496307</t>
        </is>
      </c>
      <c r="C3443" t="inlineStr">
        <is>
          <t>Marathon Petroleum Corp Employees PAC (MPAC)</t>
        </is>
      </c>
      <c r="D3443" t="inlineStr">
        <is>
          <t>AUGUST PFLUGER FOR CONGRESS</t>
        </is>
      </c>
      <c r="E3443" t="inlineStr">
        <is>
          <t>H0TX11230</t>
        </is>
      </c>
      <c r="F3443" t="inlineStr">
        <is>
          <t>REP</t>
        </is>
      </c>
      <c r="G3443" t="inlineStr">
        <is>
          <t>06022026</t>
        </is>
      </c>
      <c r="H3443" t="n">
        <v>5000</v>
      </c>
      <c r="I3443" t="inlineStr">
        <is>
          <t>202607209890969880</t>
        </is>
      </c>
      <c r="J3443" t="inlineStr">
        <is>
          <t>https://docquery.fec.gov/cgi-bin/fecimg/?202607209890969880</t>
        </is>
      </c>
    </row>
    <row r="3444">
      <c r="A3444" t="inlineStr">
        <is>
          <t>2026</t>
        </is>
      </c>
      <c r="B3444" t="inlineStr">
        <is>
          <t>C00496307</t>
        </is>
      </c>
      <c r="C3444" t="inlineStr">
        <is>
          <t>Marathon Petroleum Corp Employees PAC (MPAC)</t>
        </is>
      </c>
      <c r="D3444" t="inlineStr">
        <is>
          <t>VINCE FONG FOR CONGRESS</t>
        </is>
      </c>
      <c r="E3444" t="inlineStr">
        <is>
          <t>H4CA20181</t>
        </is>
      </c>
      <c r="F3444" t="inlineStr">
        <is>
          <t>REP</t>
        </is>
      </c>
      <c r="G3444" t="inlineStr">
        <is>
          <t>06062025</t>
        </is>
      </c>
      <c r="H3444" t="n">
        <v>2500</v>
      </c>
      <c r="I3444" t="inlineStr">
        <is>
          <t>202507109762748304</t>
        </is>
      </c>
      <c r="J3444" t="inlineStr">
        <is>
          <t>https://docquery.fec.gov/cgi-bin/fecimg/?202507109762748304</t>
        </is>
      </c>
    </row>
    <row r="3445">
      <c r="A3445" t="inlineStr">
        <is>
          <t>2026</t>
        </is>
      </c>
      <c r="B3445" t="inlineStr">
        <is>
          <t>C00496307</t>
        </is>
      </c>
      <c r="C3445" t="inlineStr">
        <is>
          <t>Marathon Petroleum Corp Employees PAC (MPAC)</t>
        </is>
      </c>
      <c r="D3445" t="inlineStr">
        <is>
          <t>WEBER FOR CONGRESS</t>
        </is>
      </c>
      <c r="E3445" t="inlineStr">
        <is>
          <t>H2TX14149</t>
        </is>
      </c>
      <c r="F3445" t="inlineStr">
        <is>
          <t>REP</t>
        </is>
      </c>
      <c r="G3445" t="inlineStr">
        <is>
          <t>06062025</t>
        </is>
      </c>
      <c r="H3445" t="n">
        <v>5000</v>
      </c>
      <c r="I3445" t="inlineStr">
        <is>
          <t>202507109762748304</t>
        </is>
      </c>
      <c r="J3445" t="inlineStr">
        <is>
          <t>https://docquery.fec.gov/cgi-bin/fecimg/?202507109762748304</t>
        </is>
      </c>
    </row>
    <row r="3446">
      <c r="A3446" t="inlineStr">
        <is>
          <t>2026</t>
        </is>
      </c>
      <c r="B3446" t="inlineStr">
        <is>
          <t>C00496307</t>
        </is>
      </c>
      <c r="C3446" t="inlineStr">
        <is>
          <t>Marathon Petroleum Corp Employees PAC (MPAC)</t>
        </is>
      </c>
      <c r="D3446" t="inlineStr">
        <is>
          <t>FRIENDS OF DAVE JOYCE</t>
        </is>
      </c>
      <c r="E3446" t="inlineStr">
        <is>
          <t>H2OH14064</t>
        </is>
      </c>
      <c r="F3446" t="inlineStr">
        <is>
          <t>REP</t>
        </is>
      </c>
      <c r="G3446" t="inlineStr">
        <is>
          <t>06062025</t>
        </is>
      </c>
      <c r="H3446" t="n">
        <v>2500</v>
      </c>
      <c r="I3446" t="inlineStr">
        <is>
          <t>202507109762748294</t>
        </is>
      </c>
      <c r="J3446" t="inlineStr">
        <is>
          <t>https://docquery.fec.gov/cgi-bin/fecimg/?202507109762748294</t>
        </is>
      </c>
    </row>
    <row r="3447">
      <c r="A3447" t="inlineStr">
        <is>
          <t>2026</t>
        </is>
      </c>
      <c r="B3447" t="inlineStr">
        <is>
          <t>C00496307</t>
        </is>
      </c>
      <c r="C3447" t="inlineStr">
        <is>
          <t>Marathon Petroleum Corp Employees PAC (MPAC)</t>
        </is>
      </c>
      <c r="D3447" t="inlineStr">
        <is>
          <t>FRIENDS OF DAVE MCCORMICK</t>
        </is>
      </c>
      <c r="E3447" t="inlineStr">
        <is>
          <t>S2PA00661</t>
        </is>
      </c>
      <c r="F3447" t="inlineStr">
        <is>
          <t>REP</t>
        </is>
      </c>
      <c r="G3447" t="inlineStr">
        <is>
          <t>06062025</t>
        </is>
      </c>
      <c r="H3447" t="n">
        <v>5000</v>
      </c>
      <c r="I3447" t="inlineStr">
        <is>
          <t>202507109762748294</t>
        </is>
      </c>
      <c r="J3447" t="inlineStr">
        <is>
          <t>https://docquery.fec.gov/cgi-bin/fecimg/?202507109762748294</t>
        </is>
      </c>
    </row>
    <row r="3448">
      <c r="A3448" t="inlineStr">
        <is>
          <t>2026</t>
        </is>
      </c>
      <c r="B3448" t="inlineStr">
        <is>
          <t>C00496307</t>
        </is>
      </c>
      <c r="C3448" t="inlineStr">
        <is>
          <t>Marathon Petroleum Corp Employees PAC (MPAC)</t>
        </is>
      </c>
      <c r="D3448" t="inlineStr">
        <is>
          <t>GUY FOR CONGRESS</t>
        </is>
      </c>
      <c r="E3448" t="inlineStr">
        <is>
          <t>H8PA18199</t>
        </is>
      </c>
      <c r="F3448" t="inlineStr">
        <is>
          <t>REP</t>
        </is>
      </c>
      <c r="G3448" t="inlineStr">
        <is>
          <t>06062025</t>
        </is>
      </c>
      <c r="H3448" t="n">
        <v>2500</v>
      </c>
      <c r="I3448" t="inlineStr">
        <is>
          <t>202507109762748295</t>
        </is>
      </c>
      <c r="J3448" t="inlineStr">
        <is>
          <t>https://docquery.fec.gov/cgi-bin/fecimg/?202507109762748295</t>
        </is>
      </c>
    </row>
    <row r="3449">
      <c r="A3449" t="inlineStr">
        <is>
          <t>2026</t>
        </is>
      </c>
      <c r="B3449" t="inlineStr">
        <is>
          <t>C00496307</t>
        </is>
      </c>
      <c r="C3449" t="inlineStr">
        <is>
          <t>Marathon Petroleum Corp Employees PAC (MPAC)</t>
        </is>
      </c>
      <c r="D3449" t="inlineStr">
        <is>
          <t>HAGEMAN FOR WYOMING</t>
        </is>
      </c>
      <c r="E3449" t="inlineStr">
        <is>
          <t>H2WY00166</t>
        </is>
      </c>
      <c r="F3449" t="inlineStr">
        <is>
          <t>REP</t>
        </is>
      </c>
      <c r="G3449" t="inlineStr">
        <is>
          <t>06062025</t>
        </is>
      </c>
      <c r="H3449" t="n">
        <v>2500</v>
      </c>
      <c r="I3449" t="inlineStr">
        <is>
          <t>202507109762748295</t>
        </is>
      </c>
      <c r="J3449" t="inlineStr">
        <is>
          <t>https://docquery.fec.gov/cgi-bin/fecimg/?202507109762748295</t>
        </is>
      </c>
    </row>
    <row r="3450">
      <c r="A3450" t="inlineStr">
        <is>
          <t>2026</t>
        </is>
      </c>
      <c r="B3450" t="inlineStr">
        <is>
          <t>C00496307</t>
        </is>
      </c>
      <c r="C3450" t="inlineStr">
        <is>
          <t>Marathon Petroleum Corp Employees PAC (MPAC)</t>
        </is>
      </c>
      <c r="D3450" t="inlineStr">
        <is>
          <t>HUNT FOR CONGRESS</t>
        </is>
      </c>
      <c r="E3450" t="inlineStr">
        <is>
          <t>H0TX07170</t>
        </is>
      </c>
      <c r="F3450" t="inlineStr">
        <is>
          <t>REP</t>
        </is>
      </c>
      <c r="G3450" t="inlineStr">
        <is>
          <t>06062025</t>
        </is>
      </c>
      <c r="H3450" t="n">
        <v>5000</v>
      </c>
      <c r="I3450" t="inlineStr">
        <is>
          <t>202507109762748296</t>
        </is>
      </c>
      <c r="J3450" t="inlineStr">
        <is>
          <t>https://docquery.fec.gov/cgi-bin/fecimg/?202507109762748296</t>
        </is>
      </c>
    </row>
    <row r="3451">
      <c r="A3451" t="inlineStr">
        <is>
          <t>2026</t>
        </is>
      </c>
      <c r="B3451" t="inlineStr">
        <is>
          <t>C00496307</t>
        </is>
      </c>
      <c r="C3451" t="inlineStr">
        <is>
          <t>Marathon Petroleum Corp Employees PAC (MPAC)</t>
        </is>
      </c>
      <c r="D3451" t="inlineStr">
        <is>
          <t>ASHLEY HINSON FOR CONGRESS</t>
        </is>
      </c>
      <c r="E3451" t="inlineStr">
        <is>
          <t>H0IA01174</t>
        </is>
      </c>
      <c r="F3451" t="inlineStr">
        <is>
          <t>REP</t>
        </is>
      </c>
      <c r="G3451" t="inlineStr">
        <is>
          <t>06062025</t>
        </is>
      </c>
      <c r="H3451" t="n">
        <v>5000</v>
      </c>
      <c r="I3451" t="inlineStr">
        <is>
          <t>202507109762748291</t>
        </is>
      </c>
      <c r="J3451" t="inlineStr">
        <is>
          <t>https://docquery.fec.gov/cgi-bin/fecimg/?202507109762748291</t>
        </is>
      </c>
    </row>
    <row r="3452">
      <c r="A3452" t="inlineStr">
        <is>
          <t>2026</t>
        </is>
      </c>
      <c r="B3452" t="inlineStr">
        <is>
          <t>C00496307</t>
        </is>
      </c>
      <c r="C3452" t="inlineStr">
        <is>
          <t>Marathon Petroleum Corp Employees PAC (MPAC)</t>
        </is>
      </c>
      <c r="D3452" t="inlineStr">
        <is>
          <t>BALDERSON FOR CONGRESS</t>
        </is>
      </c>
      <c r="E3452" t="inlineStr">
        <is>
          <t>H8OH12180</t>
        </is>
      </c>
      <c r="F3452" t="inlineStr">
        <is>
          <t>REP</t>
        </is>
      </c>
      <c r="G3452" t="inlineStr">
        <is>
          <t>06062025</t>
        </is>
      </c>
      <c r="H3452" t="n">
        <v>2500</v>
      </c>
      <c r="I3452" t="inlineStr">
        <is>
          <t>202507109762748292</t>
        </is>
      </c>
      <c r="J3452" t="inlineStr">
        <is>
          <t>https://docquery.fec.gov/cgi-bin/fecimg/?202507109762748292</t>
        </is>
      </c>
    </row>
    <row r="3453">
      <c r="A3453" t="inlineStr">
        <is>
          <t>2026</t>
        </is>
      </c>
      <c r="B3453" t="inlineStr">
        <is>
          <t>C00496307</t>
        </is>
      </c>
      <c r="C3453" t="inlineStr">
        <is>
          <t>Marathon Petroleum Corp Employees PAC (MPAC)</t>
        </is>
      </c>
      <c r="D3453" t="inlineStr">
        <is>
          <t>BALDERSON FOR CONGRESS</t>
        </is>
      </c>
      <c r="E3453" t="inlineStr">
        <is>
          <t>H8OH12180</t>
        </is>
      </c>
      <c r="F3453" t="inlineStr">
        <is>
          <t>REP</t>
        </is>
      </c>
      <c r="G3453" t="inlineStr">
        <is>
          <t>06062025</t>
        </is>
      </c>
      <c r="H3453" t="n">
        <v>2500</v>
      </c>
      <c r="I3453" t="inlineStr">
        <is>
          <t>202507109762748292</t>
        </is>
      </c>
      <c r="J3453" t="inlineStr">
        <is>
          <t>https://docquery.fec.gov/cgi-bin/fecimg/?202507109762748292</t>
        </is>
      </c>
    </row>
    <row r="3454">
      <c r="A3454" t="inlineStr">
        <is>
          <t>2026</t>
        </is>
      </c>
      <c r="B3454" t="inlineStr">
        <is>
          <t>C00496307</t>
        </is>
      </c>
      <c r="C3454" t="inlineStr">
        <is>
          <t>Marathon Petroleum Corp Employees PAC (MPAC)</t>
        </is>
      </c>
      <c r="D3454" t="inlineStr">
        <is>
          <t>COMER FOR CONGRESS</t>
        </is>
      </c>
      <c r="E3454" t="inlineStr">
        <is>
          <t>H6KY01110</t>
        </is>
      </c>
      <c r="F3454" t="inlineStr">
        <is>
          <t>REP</t>
        </is>
      </c>
      <c r="G3454" t="inlineStr">
        <is>
          <t>06062025</t>
        </is>
      </c>
      <c r="H3454" t="n">
        <v>5000</v>
      </c>
      <c r="I3454" t="inlineStr">
        <is>
          <t>202507109762748293</t>
        </is>
      </c>
      <c r="J3454" t="inlineStr">
        <is>
          <t>https://docquery.fec.gov/cgi-bin/fecimg/?202507109762748293</t>
        </is>
      </c>
    </row>
    <row r="3455">
      <c r="A3455" t="inlineStr">
        <is>
          <t>2026</t>
        </is>
      </c>
      <c r="B3455" t="inlineStr">
        <is>
          <t>C00496307</t>
        </is>
      </c>
      <c r="C3455" t="inlineStr">
        <is>
          <t>Marathon Petroleum Corp Employees PAC (MPAC)</t>
        </is>
      </c>
      <c r="D3455" t="inlineStr">
        <is>
          <t>TEXANS FOR RONNY JACKSON</t>
        </is>
      </c>
      <c r="E3455" t="inlineStr">
        <is>
          <t>H0TX13228</t>
        </is>
      </c>
      <c r="F3455" t="inlineStr">
        <is>
          <t>REP</t>
        </is>
      </c>
      <c r="G3455" t="inlineStr">
        <is>
          <t>06062025</t>
        </is>
      </c>
      <c r="H3455" t="n">
        <v>2500</v>
      </c>
      <c r="I3455" t="inlineStr">
        <is>
          <t>202507109762748303</t>
        </is>
      </c>
      <c r="J3455" t="inlineStr">
        <is>
          <t>https://docquery.fec.gov/cgi-bin/fecimg/?202507109762748303</t>
        </is>
      </c>
    </row>
    <row r="3456">
      <c r="A3456" t="inlineStr">
        <is>
          <t>2026</t>
        </is>
      </c>
      <c r="B3456" t="inlineStr">
        <is>
          <t>C00496307</t>
        </is>
      </c>
      <c r="C3456" t="inlineStr">
        <is>
          <t>Marathon Petroleum Corp Employees PAC (MPAC)</t>
        </is>
      </c>
      <c r="D3456" t="inlineStr">
        <is>
          <t>MEUSER FOR CONGRESS</t>
        </is>
      </c>
      <c r="E3456" t="inlineStr">
        <is>
          <t>H8PA10147</t>
        </is>
      </c>
      <c r="F3456" t="inlineStr">
        <is>
          <t>REP</t>
        </is>
      </c>
      <c r="G3456" t="inlineStr">
        <is>
          <t>06062025</t>
        </is>
      </c>
      <c r="H3456" t="n">
        <v>5000</v>
      </c>
      <c r="I3456" t="inlineStr">
        <is>
          <t>202507109762748300</t>
        </is>
      </c>
      <c r="J3456" t="inlineStr">
        <is>
          <t>https://docquery.fec.gov/cgi-bin/fecimg/?202507109762748300</t>
        </is>
      </c>
    </row>
    <row r="3457">
      <c r="A3457" t="inlineStr">
        <is>
          <t>2026</t>
        </is>
      </c>
      <c r="B3457" t="inlineStr">
        <is>
          <t>C00496307</t>
        </is>
      </c>
      <c r="C3457" t="inlineStr">
        <is>
          <t>Marathon Petroleum Corp Employees PAC (MPAC)</t>
        </is>
      </c>
      <c r="D3457" t="inlineStr">
        <is>
          <t>LISA MCCLAIN FOR CONGRESS</t>
        </is>
      </c>
      <c r="E3457" t="inlineStr">
        <is>
          <t>H0MI10287</t>
        </is>
      </c>
      <c r="F3457" t="inlineStr">
        <is>
          <t>REP</t>
        </is>
      </c>
      <c r="G3457" t="inlineStr">
        <is>
          <t>06062025</t>
        </is>
      </c>
      <c r="H3457" t="n">
        <v>5000</v>
      </c>
      <c r="I3457" t="inlineStr">
        <is>
          <t>202507109762748299</t>
        </is>
      </c>
      <c r="J3457" t="inlineStr">
        <is>
          <t>https://docquery.fec.gov/cgi-bin/fecimg/?202507109762748299</t>
        </is>
      </c>
    </row>
    <row r="3458">
      <c r="A3458" t="inlineStr">
        <is>
          <t>2026</t>
        </is>
      </c>
      <c r="B3458" t="inlineStr">
        <is>
          <t>C00496307</t>
        </is>
      </c>
      <c r="C3458" t="inlineStr">
        <is>
          <t>Marathon Petroleum Corp Employees PAC (MPAC)</t>
        </is>
      </c>
      <c r="D3458" t="inlineStr">
        <is>
          <t>MEUSER FOR CONGRESS</t>
        </is>
      </c>
      <c r="E3458" t="inlineStr">
        <is>
          <t>H8PA10147</t>
        </is>
      </c>
      <c r="F3458" t="inlineStr">
        <is>
          <t>REP</t>
        </is>
      </c>
      <c r="G3458" t="inlineStr">
        <is>
          <t>06062025</t>
        </is>
      </c>
      <c r="H3458" t="n">
        <v>5000</v>
      </c>
      <c r="I3458" t="inlineStr">
        <is>
          <t>202507109762748299</t>
        </is>
      </c>
      <c r="J3458" t="inlineStr">
        <is>
          <t>https://docquery.fec.gov/cgi-bin/fecimg/?202507109762748299</t>
        </is>
      </c>
    </row>
    <row r="3459">
      <c r="A3459" t="inlineStr">
        <is>
          <t>2026</t>
        </is>
      </c>
      <c r="B3459" t="inlineStr">
        <is>
          <t>C00496307</t>
        </is>
      </c>
      <c r="C3459" t="inlineStr">
        <is>
          <t>Marathon Petroleum Corp Employees PAC (MPAC)</t>
        </is>
      </c>
      <c r="D3459" t="inlineStr">
        <is>
          <t>MORGAN GRIFFITH FOR CONGRESS</t>
        </is>
      </c>
      <c r="E3459" t="inlineStr">
        <is>
          <t>H0VA09055</t>
        </is>
      </c>
      <c r="F3459" t="inlineStr">
        <is>
          <t>REP</t>
        </is>
      </c>
      <c r="G3459" t="inlineStr">
        <is>
          <t>06062025</t>
        </is>
      </c>
      <c r="H3459" t="n">
        <v>2500</v>
      </c>
      <c r="I3459" t="inlineStr">
        <is>
          <t>202507109762748300</t>
        </is>
      </c>
      <c r="J3459" t="inlineStr">
        <is>
          <t>https://docquery.fec.gov/cgi-bin/fecimg/?202507109762748300</t>
        </is>
      </c>
    </row>
    <row r="3460">
      <c r="A3460" t="inlineStr">
        <is>
          <t>2026</t>
        </is>
      </c>
      <c r="B3460" t="inlineStr">
        <is>
          <t>C00496307</t>
        </is>
      </c>
      <c r="C3460" t="inlineStr">
        <is>
          <t>Marathon Petroleum Corp Employees PAC (MPAC)</t>
        </is>
      </c>
      <c r="D3460" t="inlineStr">
        <is>
          <t>MULLIN FOR AMERICA</t>
        </is>
      </c>
      <c r="E3460" t="inlineStr">
        <is>
          <t>S2OK00186</t>
        </is>
      </c>
      <c r="F3460" t="inlineStr">
        <is>
          <t>REP</t>
        </is>
      </c>
      <c r="G3460" t="inlineStr">
        <is>
          <t>06062025</t>
        </is>
      </c>
      <c r="H3460" t="n">
        <v>5000</v>
      </c>
      <c r="I3460" t="inlineStr">
        <is>
          <t>202507109762748301</t>
        </is>
      </c>
      <c r="J3460" t="inlineStr">
        <is>
          <t>https://docquery.fec.gov/cgi-bin/fecimg/?202507109762748301</t>
        </is>
      </c>
    </row>
    <row r="3461">
      <c r="A3461" t="inlineStr">
        <is>
          <t>2026</t>
        </is>
      </c>
      <c r="B3461" t="inlineStr">
        <is>
          <t>C00496307</t>
        </is>
      </c>
      <c r="C3461" t="inlineStr">
        <is>
          <t>Marathon Petroleum Corp Employees PAC (MPAC)</t>
        </is>
      </c>
      <c r="D3461" t="inlineStr">
        <is>
          <t>PETE STAUBER FOR CONGRESS</t>
        </is>
      </c>
      <c r="E3461" t="inlineStr">
        <is>
          <t>H8MN08043</t>
        </is>
      </c>
      <c r="F3461" t="inlineStr">
        <is>
          <t>REP</t>
        </is>
      </c>
      <c r="G3461" t="inlineStr">
        <is>
          <t>06062025</t>
        </is>
      </c>
      <c r="H3461" t="n">
        <v>2500</v>
      </c>
      <c r="I3461" t="inlineStr">
        <is>
          <t>202507109762748301</t>
        </is>
      </c>
      <c r="J3461" t="inlineStr">
        <is>
          <t>https://docquery.fec.gov/cgi-bin/fecimg/?202507109762748301</t>
        </is>
      </c>
    </row>
    <row r="3462">
      <c r="A3462" t="inlineStr">
        <is>
          <t>2026</t>
        </is>
      </c>
      <c r="B3462" t="inlineStr">
        <is>
          <t>C00496307</t>
        </is>
      </c>
      <c r="C3462" t="inlineStr">
        <is>
          <t>Marathon Petroleum Corp Employees PAC (MPAC)</t>
        </is>
      </c>
      <c r="D3462" t="inlineStr">
        <is>
          <t>ROB FOR PA</t>
        </is>
      </c>
      <c r="E3462" t="inlineStr">
        <is>
          <t>H4PA08124</t>
        </is>
      </c>
      <c r="F3462" t="inlineStr">
        <is>
          <t>REP</t>
        </is>
      </c>
      <c r="G3462" t="inlineStr">
        <is>
          <t>06062025</t>
        </is>
      </c>
      <c r="H3462" t="n">
        <v>2500</v>
      </c>
      <c r="I3462" t="inlineStr">
        <is>
          <t>202507109762748302</t>
        </is>
      </c>
      <c r="J3462" t="inlineStr">
        <is>
          <t>https://docquery.fec.gov/cgi-bin/fecimg/?202507109762748302</t>
        </is>
      </c>
    </row>
    <row r="3463">
      <c r="A3463" t="inlineStr">
        <is>
          <t>2026</t>
        </is>
      </c>
      <c r="B3463" t="inlineStr">
        <is>
          <t>C00496307</t>
        </is>
      </c>
      <c r="C3463" t="inlineStr">
        <is>
          <t>Marathon Petroleum Corp Employees PAC (MPAC)</t>
        </is>
      </c>
      <c r="D3463" t="inlineStr">
        <is>
          <t>SMUCKER FOR CONGRESS</t>
        </is>
      </c>
      <c r="E3463" t="inlineStr">
        <is>
          <t>H6PA16320</t>
        </is>
      </c>
      <c r="F3463" t="inlineStr">
        <is>
          <t>REP</t>
        </is>
      </c>
      <c r="G3463" t="inlineStr">
        <is>
          <t>06062025</t>
        </is>
      </c>
      <c r="H3463" t="n">
        <v>2500</v>
      </c>
      <c r="I3463" t="inlineStr">
        <is>
          <t>202507109762748302</t>
        </is>
      </c>
      <c r="J3463" t="inlineStr">
        <is>
          <t>https://docquery.fec.gov/cgi-bin/fecimg/?202507109762748302</t>
        </is>
      </c>
    </row>
    <row r="3464">
      <c r="A3464" t="inlineStr">
        <is>
          <t>2026</t>
        </is>
      </c>
      <c r="B3464" t="inlineStr">
        <is>
          <t>C00496307</t>
        </is>
      </c>
      <c r="C3464" t="inlineStr">
        <is>
          <t>Marathon Petroleum Corp Employees PAC (MPAC)</t>
        </is>
      </c>
      <c r="D3464" t="inlineStr">
        <is>
          <t>TEXANS FOR MORGAN LUTTRELL</t>
        </is>
      </c>
      <c r="E3464" t="inlineStr">
        <is>
          <t>H2TX08182</t>
        </is>
      </c>
      <c r="F3464" t="inlineStr">
        <is>
          <t>REP</t>
        </is>
      </c>
      <c r="G3464" t="inlineStr">
        <is>
          <t>06062025</t>
        </is>
      </c>
      <c r="H3464" t="n">
        <v>2500</v>
      </c>
      <c r="I3464" t="inlineStr">
        <is>
          <t>202507109762748303</t>
        </is>
      </c>
      <c r="J3464" t="inlineStr">
        <is>
          <t>https://docquery.fec.gov/cgi-bin/fecimg/?202507109762748303</t>
        </is>
      </c>
    </row>
    <row r="3465">
      <c r="A3465" t="inlineStr">
        <is>
          <t>2026</t>
        </is>
      </c>
      <c r="B3465" t="inlineStr">
        <is>
          <t>C00496307</t>
        </is>
      </c>
      <c r="C3465" t="inlineStr">
        <is>
          <t>Marathon Petroleum Corp Employees PAC (MPAC)</t>
        </is>
      </c>
      <c r="D3465" t="inlineStr">
        <is>
          <t>JAY OBERNOLTE FOR CONGRESS</t>
        </is>
      </c>
      <c r="E3465" t="inlineStr">
        <is>
          <t>H0CA08135</t>
        </is>
      </c>
      <c r="F3465" t="inlineStr">
        <is>
          <t>REP</t>
        </is>
      </c>
      <c r="G3465" t="inlineStr">
        <is>
          <t>06062025</t>
        </is>
      </c>
      <c r="H3465" t="n">
        <v>2500</v>
      </c>
      <c r="I3465" t="inlineStr">
        <is>
          <t>202507109762748296</t>
        </is>
      </c>
      <c r="J3465" t="inlineStr">
        <is>
          <t>https://docquery.fec.gov/cgi-bin/fecimg/?202507109762748296</t>
        </is>
      </c>
    </row>
    <row r="3466">
      <c r="A3466" t="inlineStr">
        <is>
          <t>2026</t>
        </is>
      </c>
      <c r="B3466" t="inlineStr">
        <is>
          <t>C00496307</t>
        </is>
      </c>
      <c r="C3466" t="inlineStr">
        <is>
          <t>Marathon Petroleum Corp Employees PAC (MPAC)</t>
        </is>
      </c>
      <c r="D3466" t="inlineStr">
        <is>
          <t>KAT FOR CONGRESS</t>
        </is>
      </c>
      <c r="E3466" t="inlineStr">
        <is>
          <t>H0FL03175</t>
        </is>
      </c>
      <c r="F3466" t="inlineStr">
        <is>
          <t>REP</t>
        </is>
      </c>
      <c r="G3466" t="inlineStr">
        <is>
          <t>06062025</t>
        </is>
      </c>
      <c r="H3466" t="n">
        <v>5000</v>
      </c>
      <c r="I3466" t="inlineStr">
        <is>
          <t>202507109762748297</t>
        </is>
      </c>
      <c r="J3466" t="inlineStr">
        <is>
          <t>https://docquery.fec.gov/cgi-bin/fecimg/?202507109762748297</t>
        </is>
      </c>
    </row>
    <row r="3467">
      <c r="A3467" t="inlineStr">
        <is>
          <t>2026</t>
        </is>
      </c>
      <c r="B3467" t="inlineStr">
        <is>
          <t>C00496307</t>
        </is>
      </c>
      <c r="C3467" t="inlineStr">
        <is>
          <t>Marathon Petroleum Corp Employees PAC (MPAC)</t>
        </is>
      </c>
      <c r="D3467" t="inlineStr">
        <is>
          <t>LANGWORTHY FOR CONGRESS</t>
        </is>
      </c>
      <c r="E3467" t="inlineStr">
        <is>
          <t>H2NY23228</t>
        </is>
      </c>
      <c r="F3467" t="inlineStr">
        <is>
          <t>REP</t>
        </is>
      </c>
      <c r="G3467" t="inlineStr">
        <is>
          <t>06062025</t>
        </is>
      </c>
      <c r="H3467" t="n">
        <v>5000</v>
      </c>
      <c r="I3467" t="inlineStr">
        <is>
          <t>202507109762748298</t>
        </is>
      </c>
      <c r="J3467" t="inlineStr">
        <is>
          <t>https://docquery.fec.gov/cgi-bin/fecimg/?202507109762748298</t>
        </is>
      </c>
    </row>
    <row r="3468">
      <c r="A3468" t="inlineStr">
        <is>
          <t>2026</t>
        </is>
      </c>
      <c r="B3468" t="inlineStr">
        <is>
          <t>C00496307</t>
        </is>
      </c>
      <c r="C3468" t="inlineStr">
        <is>
          <t>Marathon Petroleum Corp Employees PAC (MPAC)</t>
        </is>
      </c>
      <c r="D3468" t="inlineStr">
        <is>
          <t>LATTA FOR CONGRESS</t>
        </is>
      </c>
      <c r="E3468" t="inlineStr">
        <is>
          <t>H8OH05036</t>
        </is>
      </c>
      <c r="F3468" t="inlineStr">
        <is>
          <t>REP</t>
        </is>
      </c>
      <c r="G3468" t="inlineStr">
        <is>
          <t>06062025</t>
        </is>
      </c>
      <c r="H3468" t="n">
        <v>5000</v>
      </c>
      <c r="I3468" t="inlineStr">
        <is>
          <t>202507109762748298</t>
        </is>
      </c>
      <c r="J3468" t="inlineStr">
        <is>
          <t>https://docquery.fec.gov/cgi-bin/fecimg/?202507109762748298</t>
        </is>
      </c>
    </row>
    <row r="3469">
      <c r="A3469" t="inlineStr">
        <is>
          <t>2026</t>
        </is>
      </c>
      <c r="B3469" t="inlineStr">
        <is>
          <t>C00496307</t>
        </is>
      </c>
      <c r="C3469" t="inlineStr">
        <is>
          <t>Marathon Petroleum Corp Employees PAC (MPAC)</t>
        </is>
      </c>
      <c r="D3469" t="inlineStr">
        <is>
          <t>LAUREL LEE FOR CONGRESS, INC.</t>
        </is>
      </c>
      <c r="E3469" t="inlineStr">
        <is>
          <t>H2FL15241</t>
        </is>
      </c>
      <c r="F3469" t="inlineStr">
        <is>
          <t>REP</t>
        </is>
      </c>
      <c r="G3469" t="inlineStr">
        <is>
          <t>06062025</t>
        </is>
      </c>
      <c r="H3469" t="n">
        <v>5000</v>
      </c>
      <c r="I3469" t="inlineStr">
        <is>
          <t>202507109762748298</t>
        </is>
      </c>
      <c r="J3469" t="inlineStr">
        <is>
          <t>https://docquery.fec.gov/cgi-bin/fecimg/?202507109762748298</t>
        </is>
      </c>
    </row>
    <row r="3470">
      <c r="A3470" t="inlineStr">
        <is>
          <t>2026</t>
        </is>
      </c>
      <c r="B3470" t="inlineStr">
        <is>
          <t>C00496307</t>
        </is>
      </c>
      <c r="C3470" t="inlineStr">
        <is>
          <t>Marathon Petroleum Corp Employees PAC (MPAC)</t>
        </is>
      </c>
      <c r="D3470" t="inlineStr">
        <is>
          <t>ALASKANAS FOR DAN SULLIVAN</t>
        </is>
      </c>
      <c r="E3470" t="inlineStr">
        <is>
          <t>S4AK00214</t>
        </is>
      </c>
      <c r="F3470" t="inlineStr">
        <is>
          <t>REP</t>
        </is>
      </c>
      <c r="G3470" t="inlineStr">
        <is>
          <t>06092025</t>
        </is>
      </c>
      <c r="H3470" t="n">
        <v>1000</v>
      </c>
      <c r="I3470" t="inlineStr">
        <is>
          <t>202507109762748291</t>
        </is>
      </c>
      <c r="J3470" t="inlineStr">
        <is>
          <t>https://docquery.fec.gov/cgi-bin/fecimg/?202507109762748291</t>
        </is>
      </c>
    </row>
    <row r="3471">
      <c r="A3471" t="inlineStr">
        <is>
          <t>2026</t>
        </is>
      </c>
      <c r="B3471" t="inlineStr">
        <is>
          <t>C00496307</t>
        </is>
      </c>
      <c r="C3471" t="inlineStr">
        <is>
          <t>Marathon Petroleum Corp Employees PAC (MPAC)</t>
        </is>
      </c>
      <c r="D3471" t="inlineStr">
        <is>
          <t>MARK TEIXEIRA FOR CONGRESS</t>
        </is>
      </c>
      <c r="E3471" t="inlineStr">
        <is>
          <t>H6TX21301</t>
        </is>
      </c>
      <c r="F3471" t="inlineStr">
        <is>
          <t>REP</t>
        </is>
      </c>
      <c r="G3471" t="inlineStr">
        <is>
          <t>06102026</t>
        </is>
      </c>
      <c r="H3471" t="n">
        <v>2500</v>
      </c>
      <c r="I3471" t="inlineStr">
        <is>
          <t>202607209890969885</t>
        </is>
      </c>
      <c r="J3471" t="inlineStr">
        <is>
          <t>https://docquery.fec.gov/cgi-bin/fecimg/?202607209890969885</t>
        </is>
      </c>
    </row>
    <row r="3472">
      <c r="A3472" t="inlineStr">
        <is>
          <t>2026</t>
        </is>
      </c>
      <c r="B3472" t="inlineStr">
        <is>
          <t>C00496307</t>
        </is>
      </c>
      <c r="C3472" t="inlineStr">
        <is>
          <t>Marathon Petroleum Corp Employees PAC (MPAC)</t>
        </is>
      </c>
      <c r="D3472" t="inlineStr">
        <is>
          <t>TOM BARRETT FOR CONGRESS</t>
        </is>
      </c>
      <c r="E3472" t="inlineStr">
        <is>
          <t>H2MI07123</t>
        </is>
      </c>
      <c r="F3472" t="inlineStr">
        <is>
          <t>REP</t>
        </is>
      </c>
      <c r="G3472" t="inlineStr">
        <is>
          <t>06102026</t>
        </is>
      </c>
      <c r="H3472" t="n">
        <v>2500</v>
      </c>
      <c r="I3472" t="inlineStr">
        <is>
          <t>202607209890969889</t>
        </is>
      </c>
      <c r="J3472" t="inlineStr">
        <is>
          <t>https://docquery.fec.gov/cgi-bin/fecimg/?202607209890969889</t>
        </is>
      </c>
    </row>
    <row r="3473">
      <c r="A3473" t="inlineStr">
        <is>
          <t>2026</t>
        </is>
      </c>
      <c r="B3473" t="inlineStr">
        <is>
          <t>C00496307</t>
        </is>
      </c>
      <c r="C3473" t="inlineStr">
        <is>
          <t>Marathon Petroleum Corp Employees PAC (MPAC)</t>
        </is>
      </c>
      <c r="D3473" t="inlineStr">
        <is>
          <t>ADRIAN SMITH FOR CONGRESS</t>
        </is>
      </c>
      <c r="E3473" t="inlineStr">
        <is>
          <t>H6NE03115</t>
        </is>
      </c>
      <c r="F3473" t="inlineStr">
        <is>
          <t>REP</t>
        </is>
      </c>
      <c r="G3473" t="inlineStr">
        <is>
          <t>06102026</t>
        </is>
      </c>
      <c r="H3473" t="n">
        <v>2500</v>
      </c>
      <c r="I3473" t="inlineStr">
        <is>
          <t>202607209890969880</t>
        </is>
      </c>
      <c r="J3473" t="inlineStr">
        <is>
          <t>https://docquery.fec.gov/cgi-bin/fecimg/?202607209890969880</t>
        </is>
      </c>
    </row>
    <row r="3474">
      <c r="A3474" t="inlineStr">
        <is>
          <t>2026</t>
        </is>
      </c>
      <c r="B3474" t="inlineStr">
        <is>
          <t>C00496307</t>
        </is>
      </c>
      <c r="C3474" t="inlineStr">
        <is>
          <t>Marathon Petroleum Corp Employees PAC (MPAC)</t>
        </is>
      </c>
      <c r="D3474" t="inlineStr">
        <is>
          <t>SAM GRAVES FOR CONGRESS</t>
        </is>
      </c>
      <c r="E3474" t="inlineStr">
        <is>
          <t>H0MO06073</t>
        </is>
      </c>
      <c r="F3474" t="inlineStr">
        <is>
          <t>REP</t>
        </is>
      </c>
      <c r="G3474" t="inlineStr">
        <is>
          <t>06172025</t>
        </is>
      </c>
      <c r="H3474" t="n">
        <v>5000</v>
      </c>
      <c r="I3474" t="inlineStr">
        <is>
          <t>202507109762748302</t>
        </is>
      </c>
      <c r="J3474" t="inlineStr">
        <is>
          <t>https://docquery.fec.gov/cgi-bin/fecimg/?202507109762748302</t>
        </is>
      </c>
    </row>
    <row r="3475">
      <c r="A3475" t="inlineStr">
        <is>
          <t>2026</t>
        </is>
      </c>
      <c r="B3475" t="inlineStr">
        <is>
          <t>C00496307</t>
        </is>
      </c>
      <c r="C3475" t="inlineStr">
        <is>
          <t>Marathon Petroleum Corp Employees PAC (MPAC)</t>
        </is>
      </c>
      <c r="D3475" t="inlineStr">
        <is>
          <t>MONICA FOR CONGRESS</t>
        </is>
      </c>
      <c r="E3475" t="inlineStr">
        <is>
          <t>H0TX15124</t>
        </is>
      </c>
      <c r="F3475" t="inlineStr">
        <is>
          <t>REP</t>
        </is>
      </c>
      <c r="G3475" t="inlineStr">
        <is>
          <t>06182025</t>
        </is>
      </c>
      <c r="H3475" t="n">
        <v>2500</v>
      </c>
      <c r="I3475" t="inlineStr">
        <is>
          <t>202507109762748300</t>
        </is>
      </c>
      <c r="J3475" t="inlineStr">
        <is>
          <t>https://docquery.fec.gov/cgi-bin/fecimg/?202507109762748300</t>
        </is>
      </c>
    </row>
    <row r="3476">
      <c r="A3476" t="inlineStr">
        <is>
          <t>2026</t>
        </is>
      </c>
      <c r="B3476" t="inlineStr">
        <is>
          <t>C00496307</t>
        </is>
      </c>
      <c r="C3476" t="inlineStr">
        <is>
          <t>Marathon Petroleum Corp Employees PAC (MPAC)</t>
        </is>
      </c>
      <c r="D3476" t="inlineStr">
        <is>
          <t>JAKE ELLZEY FOR CONGRESS</t>
        </is>
      </c>
      <c r="E3476" t="inlineStr">
        <is>
          <t>H8TX06266</t>
        </is>
      </c>
      <c r="F3476" t="inlineStr">
        <is>
          <t>REP</t>
        </is>
      </c>
      <c r="G3476" t="inlineStr">
        <is>
          <t>06182025</t>
        </is>
      </c>
      <c r="H3476" t="n">
        <v>2500</v>
      </c>
      <c r="I3476" t="inlineStr">
        <is>
          <t>202507109762748296</t>
        </is>
      </c>
      <c r="J3476" t="inlineStr">
        <is>
          <t>https://docquery.fec.gov/cgi-bin/fecimg/?202507109762748296</t>
        </is>
      </c>
    </row>
    <row r="3477">
      <c r="A3477" t="inlineStr">
        <is>
          <t>2026</t>
        </is>
      </c>
      <c r="B3477" t="inlineStr">
        <is>
          <t>C00496307</t>
        </is>
      </c>
      <c r="C3477" t="inlineStr">
        <is>
          <t>Marathon Petroleum Corp Employees PAC (MPAC)</t>
        </is>
      </c>
      <c r="D3477" t="inlineStr">
        <is>
          <t>KEAN FOR CONGRESS, INC.</t>
        </is>
      </c>
      <c r="E3477" t="inlineStr">
        <is>
          <t>H0NJ07261</t>
        </is>
      </c>
      <c r="F3477" t="inlineStr">
        <is>
          <t>REP</t>
        </is>
      </c>
      <c r="G3477" t="inlineStr">
        <is>
          <t>06182025</t>
        </is>
      </c>
      <c r="H3477" t="n">
        <v>2500</v>
      </c>
      <c r="I3477" t="inlineStr">
        <is>
          <t>202507109762748297</t>
        </is>
      </c>
      <c r="J3477" t="inlineStr">
        <is>
          <t>https://docquery.fec.gov/cgi-bin/fecimg/?202507109762748297</t>
        </is>
      </c>
    </row>
    <row r="3478">
      <c r="A3478" t="inlineStr">
        <is>
          <t>2026</t>
        </is>
      </c>
      <c r="B3478" t="inlineStr">
        <is>
          <t>C00496307</t>
        </is>
      </c>
      <c r="C3478" t="inlineStr">
        <is>
          <t>Marathon Petroleum Corp Employees PAC (MPAC)</t>
        </is>
      </c>
      <c r="D3478" t="inlineStr">
        <is>
          <t>CAPITO FOR WEST VIRGINIA</t>
        </is>
      </c>
      <c r="E3478" t="inlineStr">
        <is>
          <t>S4WV00159</t>
        </is>
      </c>
      <c r="F3478" t="inlineStr">
        <is>
          <t>REP</t>
        </is>
      </c>
      <c r="G3478" t="inlineStr">
        <is>
          <t>06182026</t>
        </is>
      </c>
      <c r="H3478" t="n">
        <v>5000</v>
      </c>
      <c r="I3478" t="inlineStr">
        <is>
          <t>202607209890969881</t>
        </is>
      </c>
      <c r="J3478" t="inlineStr">
        <is>
          <t>https://docquery.fec.gov/cgi-bin/fecimg/?202607209890969881</t>
        </is>
      </c>
    </row>
    <row r="3479">
      <c r="A3479" t="inlineStr">
        <is>
          <t>2026</t>
        </is>
      </c>
      <c r="B3479" t="inlineStr">
        <is>
          <t>C00496307</t>
        </is>
      </c>
      <c r="C3479" t="inlineStr">
        <is>
          <t>Marathon Petroleum Corp Employees PAC (MPAC)</t>
        </is>
      </c>
      <c r="D3479" t="inlineStr">
        <is>
          <t>DR JOHN JOYCE FOR CONGRESS</t>
        </is>
      </c>
      <c r="E3479" t="inlineStr">
        <is>
          <t>H8PA13125</t>
        </is>
      </c>
      <c r="F3479" t="inlineStr">
        <is>
          <t>REP</t>
        </is>
      </c>
      <c r="G3479" t="inlineStr">
        <is>
          <t>06182026</t>
        </is>
      </c>
      <c r="H3479" t="n">
        <v>2500</v>
      </c>
      <c r="I3479" t="inlineStr">
        <is>
          <t>202607209890969882</t>
        </is>
      </c>
      <c r="J3479" t="inlineStr">
        <is>
          <t>https://docquery.fec.gov/cgi-bin/fecimg/?202607209890969882</t>
        </is>
      </c>
    </row>
    <row r="3480">
      <c r="A3480" t="inlineStr">
        <is>
          <t>2026</t>
        </is>
      </c>
      <c r="B3480" t="inlineStr">
        <is>
          <t>C00496307</t>
        </is>
      </c>
      <c r="C3480" t="inlineStr">
        <is>
          <t>Marathon Petroleum Corp Employees PAC (MPAC)</t>
        </is>
      </c>
      <c r="D3480" t="inlineStr">
        <is>
          <t>GUY FOR CONGRESS</t>
        </is>
      </c>
      <c r="E3480" t="inlineStr">
        <is>
          <t>H8PA18199</t>
        </is>
      </c>
      <c r="F3480" t="inlineStr">
        <is>
          <t>REP</t>
        </is>
      </c>
      <c r="G3480" t="inlineStr">
        <is>
          <t>06182026</t>
        </is>
      </c>
      <c r="H3480" t="n">
        <v>2500</v>
      </c>
      <c r="I3480" t="inlineStr">
        <is>
          <t>202607209890969883</t>
        </is>
      </c>
      <c r="J3480" t="inlineStr">
        <is>
          <t>https://docquery.fec.gov/cgi-bin/fecimg/?202607209890969883</t>
        </is>
      </c>
    </row>
    <row r="3481">
      <c r="A3481" t="inlineStr">
        <is>
          <t>2026</t>
        </is>
      </c>
      <c r="B3481" t="inlineStr">
        <is>
          <t>C00496307</t>
        </is>
      </c>
      <c r="C3481" t="inlineStr">
        <is>
          <t>Marathon Petroleum Corp Employees PAC (MPAC)</t>
        </is>
      </c>
      <c r="D3481" t="inlineStr">
        <is>
          <t>SMUCKER FOR CONGRESS</t>
        </is>
      </c>
      <c r="E3481" t="inlineStr">
        <is>
          <t>H6PA16320</t>
        </is>
      </c>
      <c r="F3481" t="inlineStr">
        <is>
          <t>REP</t>
        </is>
      </c>
      <c r="G3481" t="inlineStr">
        <is>
          <t>06182026</t>
        </is>
      </c>
      <c r="H3481" t="n">
        <v>2500</v>
      </c>
      <c r="I3481" t="inlineStr">
        <is>
          <t>202607209890969888</t>
        </is>
      </c>
      <c r="J3481" t="inlineStr">
        <is>
          <t>https://docquery.fec.gov/cgi-bin/fecimg/?202607209890969888</t>
        </is>
      </c>
    </row>
    <row r="3482">
      <c r="A3482" t="inlineStr">
        <is>
          <t>2026</t>
        </is>
      </c>
      <c r="B3482" t="inlineStr">
        <is>
          <t>C00496307</t>
        </is>
      </c>
      <c r="C3482" t="inlineStr">
        <is>
          <t>Marathon Petroleum Corp Employees PAC (MPAC)</t>
        </is>
      </c>
      <c r="D3482" t="inlineStr">
        <is>
          <t>LANGWORTHY FOR CONGRESS</t>
        </is>
      </c>
      <c r="E3482" t="inlineStr">
        <is>
          <t>H2NY23228</t>
        </is>
      </c>
      <c r="F3482" t="inlineStr">
        <is>
          <t>REP</t>
        </is>
      </c>
      <c r="G3482" t="inlineStr">
        <is>
          <t>06182026</t>
        </is>
      </c>
      <c r="H3482" t="n">
        <v>5000</v>
      </c>
      <c r="I3482" t="inlineStr">
        <is>
          <t>202607209890969884</t>
        </is>
      </c>
      <c r="J3482" t="inlineStr">
        <is>
          <t>https://docquery.fec.gov/cgi-bin/fecimg/?202607209890969884</t>
        </is>
      </c>
    </row>
    <row r="3483">
      <c r="A3483" t="inlineStr">
        <is>
          <t>2026</t>
        </is>
      </c>
      <c r="B3483" t="inlineStr">
        <is>
          <t>C00496307</t>
        </is>
      </c>
      <c r="C3483" t="inlineStr">
        <is>
          <t>Marathon Petroleum Corp Employees PAC (MPAC)</t>
        </is>
      </c>
      <c r="D3483" t="inlineStr">
        <is>
          <t>LISA MCCLAIN FOR CONGRESS</t>
        </is>
      </c>
      <c r="E3483" t="inlineStr">
        <is>
          <t>H0MI10287</t>
        </is>
      </c>
      <c r="F3483" t="inlineStr">
        <is>
          <t>REP</t>
        </is>
      </c>
      <c r="G3483" t="inlineStr">
        <is>
          <t>06182026</t>
        </is>
      </c>
      <c r="H3483" t="n">
        <v>5000</v>
      </c>
      <c r="I3483" t="inlineStr">
        <is>
          <t>202607209890969885</t>
        </is>
      </c>
      <c r="J3483" t="inlineStr">
        <is>
          <t>https://docquery.fec.gov/cgi-bin/fecimg/?202607209890969885</t>
        </is>
      </c>
    </row>
    <row r="3484">
      <c r="A3484" t="inlineStr">
        <is>
          <t>2026</t>
        </is>
      </c>
      <c r="B3484" t="inlineStr">
        <is>
          <t>C00496307</t>
        </is>
      </c>
      <c r="C3484" t="inlineStr">
        <is>
          <t>Marathon Petroleum Corp Employees PAC (MPAC)</t>
        </is>
      </c>
      <c r="D3484" t="inlineStr">
        <is>
          <t>MIKE THOMPSON FOR CONGRESS</t>
        </is>
      </c>
      <c r="E3484" t="inlineStr">
        <is>
          <t>H8CA01109</t>
        </is>
      </c>
      <c r="F3484" t="inlineStr">
        <is>
          <t>DEM</t>
        </is>
      </c>
      <c r="G3484" t="inlineStr">
        <is>
          <t>06182026</t>
        </is>
      </c>
      <c r="H3484" t="n">
        <v>2500</v>
      </c>
      <c r="I3484" t="inlineStr">
        <is>
          <t>202607209890969885</t>
        </is>
      </c>
      <c r="J3484" t="inlineStr">
        <is>
          <t>https://docquery.fec.gov/cgi-bin/fecimg/?202607209890969885</t>
        </is>
      </c>
    </row>
    <row r="3485">
      <c r="A3485" t="inlineStr">
        <is>
          <t>2026</t>
        </is>
      </c>
      <c r="B3485" t="inlineStr">
        <is>
          <t>C00496307</t>
        </is>
      </c>
      <c r="C3485" t="inlineStr">
        <is>
          <t>Marathon Petroleum Corp Employees PAC (MPAC)</t>
        </is>
      </c>
      <c r="D3485" t="inlineStr">
        <is>
          <t>ROB FOR PA</t>
        </is>
      </c>
      <c r="E3485" t="inlineStr">
        <is>
          <t>H4PA08124</t>
        </is>
      </c>
      <c r="F3485" t="inlineStr">
        <is>
          <t>REP</t>
        </is>
      </c>
      <c r="G3485" t="inlineStr">
        <is>
          <t>06182026</t>
        </is>
      </c>
      <c r="H3485" t="n">
        <v>2500</v>
      </c>
      <c r="I3485" t="inlineStr">
        <is>
          <t>202607209890969887</t>
        </is>
      </c>
      <c r="J3485" t="inlineStr">
        <is>
          <t>https://docquery.fec.gov/cgi-bin/fecimg/?202607209890969887</t>
        </is>
      </c>
    </row>
    <row r="3486">
      <c r="A3486" t="inlineStr">
        <is>
          <t>2026</t>
        </is>
      </c>
      <c r="B3486" t="inlineStr">
        <is>
          <t>C00496307</t>
        </is>
      </c>
      <c r="C3486" t="inlineStr">
        <is>
          <t>Marathon Petroleum Corp Employees PAC (MPAC)</t>
        </is>
      </c>
      <c r="D3486" t="inlineStr">
        <is>
          <t>RUDY FOR INDIANA</t>
        </is>
      </c>
      <c r="E3486" t="inlineStr">
        <is>
          <t>H2IN02295</t>
        </is>
      </c>
      <c r="F3486" t="inlineStr">
        <is>
          <t>REP</t>
        </is>
      </c>
      <c r="G3486" t="inlineStr">
        <is>
          <t>06182026</t>
        </is>
      </c>
      <c r="H3486" t="n">
        <v>5000</v>
      </c>
      <c r="I3486" t="inlineStr">
        <is>
          <t>202607209890969887</t>
        </is>
      </c>
      <c r="J3486" t="inlineStr">
        <is>
          <t>https://docquery.fec.gov/cgi-bin/fecimg/?202607209890969887</t>
        </is>
      </c>
    </row>
    <row r="3487">
      <c r="A3487" t="inlineStr">
        <is>
          <t>2026</t>
        </is>
      </c>
      <c r="B3487" t="inlineStr">
        <is>
          <t>C00496307</t>
        </is>
      </c>
      <c r="C3487" t="inlineStr">
        <is>
          <t>Marathon Petroleum Corp Employees PAC (MPAC)</t>
        </is>
      </c>
      <c r="D3487" t="inlineStr">
        <is>
          <t>RULLI FOR OHIO</t>
        </is>
      </c>
      <c r="E3487" t="inlineStr">
        <is>
          <t>H4OH06165</t>
        </is>
      </c>
      <c r="F3487" t="inlineStr">
        <is>
          <t>REP</t>
        </is>
      </c>
      <c r="G3487" t="inlineStr">
        <is>
          <t>06182026</t>
        </is>
      </c>
      <c r="H3487" t="n">
        <v>2500</v>
      </c>
      <c r="I3487" t="inlineStr">
        <is>
          <t>202607209890969888</t>
        </is>
      </c>
      <c r="J3487" t="inlineStr">
        <is>
          <t>https://docquery.fec.gov/cgi-bin/fecimg/?202607209890969888</t>
        </is>
      </c>
    </row>
    <row r="3488">
      <c r="A3488" t="inlineStr">
        <is>
          <t>2026</t>
        </is>
      </c>
      <c r="B3488" t="inlineStr">
        <is>
          <t>C00496307</t>
        </is>
      </c>
      <c r="C3488" t="inlineStr">
        <is>
          <t>Marathon Petroleum Corp Employees PAC (MPAC)</t>
        </is>
      </c>
      <c r="D3488" t="inlineStr">
        <is>
          <t>TEXANS FOR HENRY CUELLAR CONGRESSIONAL CAMPAIGN</t>
        </is>
      </c>
      <c r="E3488" t="inlineStr">
        <is>
          <t>H2TX23082</t>
        </is>
      </c>
      <c r="F3488" t="inlineStr">
        <is>
          <t>DEM</t>
        </is>
      </c>
      <c r="G3488" t="inlineStr">
        <is>
          <t>06182026</t>
        </is>
      </c>
      <c r="H3488" t="n">
        <v>2500</v>
      </c>
      <c r="I3488" t="inlineStr">
        <is>
          <t>202607209890969889</t>
        </is>
      </c>
      <c r="J3488" t="inlineStr">
        <is>
          <t>https://docquery.fec.gov/cgi-bin/fecimg/?202607209890969889</t>
        </is>
      </c>
    </row>
    <row r="3489">
      <c r="A3489" t="inlineStr">
        <is>
          <t>2026</t>
        </is>
      </c>
      <c r="B3489" t="inlineStr">
        <is>
          <t>C00496307</t>
        </is>
      </c>
      <c r="C3489" t="inlineStr">
        <is>
          <t>Marathon Petroleum Corp Employees PAC (MPAC)</t>
        </is>
      </c>
      <c r="D3489" t="inlineStr">
        <is>
          <t>VICENTE GONZALEZ FOR CONGRESS</t>
        </is>
      </c>
      <c r="E3489" t="inlineStr">
        <is>
          <t>H6TX15162</t>
        </is>
      </c>
      <c r="F3489" t="inlineStr">
        <is>
          <t>DEM</t>
        </is>
      </c>
      <c r="G3489" t="inlineStr">
        <is>
          <t>06182026</t>
        </is>
      </c>
      <c r="H3489" t="n">
        <v>2500</v>
      </c>
      <c r="I3489" t="inlineStr">
        <is>
          <t>202607209890969889</t>
        </is>
      </c>
      <c r="J3489" t="inlineStr">
        <is>
          <t>https://docquery.fec.gov/cgi-bin/fecimg/?202607209890969889</t>
        </is>
      </c>
    </row>
    <row r="3490">
      <c r="A3490" t="inlineStr">
        <is>
          <t>2026</t>
        </is>
      </c>
      <c r="B3490" t="inlineStr">
        <is>
          <t>C00496307</t>
        </is>
      </c>
      <c r="C3490" t="inlineStr">
        <is>
          <t>Marathon Petroleum Corp Employees PAC (MPAC)</t>
        </is>
      </c>
      <c r="D3490" t="inlineStr">
        <is>
          <t>VALADAO FOR CONGRESS</t>
        </is>
      </c>
      <c r="E3490" t="inlineStr">
        <is>
          <t>H2CA20094</t>
        </is>
      </c>
      <c r="F3490" t="inlineStr">
        <is>
          <t>REP</t>
        </is>
      </c>
      <c r="G3490" t="inlineStr">
        <is>
          <t>06202025</t>
        </is>
      </c>
      <c r="H3490" t="n">
        <v>2500</v>
      </c>
      <c r="I3490" t="inlineStr">
        <is>
          <t>202507109762748303</t>
        </is>
      </c>
      <c r="J3490" t="inlineStr">
        <is>
          <t>https://docquery.fec.gov/cgi-bin/fecimg/?202507109762748303</t>
        </is>
      </c>
    </row>
    <row r="3491">
      <c r="A3491" t="inlineStr">
        <is>
          <t>2026</t>
        </is>
      </c>
      <c r="B3491" t="inlineStr">
        <is>
          <t>C00496307</t>
        </is>
      </c>
      <c r="C3491" t="inlineStr">
        <is>
          <t>Marathon Petroleum Corp Employees PAC (MPAC)</t>
        </is>
      </c>
      <c r="D3491" t="inlineStr">
        <is>
          <t>JULIA LETLOW FOR LOUISIANA</t>
        </is>
      </c>
      <c r="E3491" t="inlineStr">
        <is>
          <t>S6LA00664</t>
        </is>
      </c>
      <c r="F3491" t="inlineStr">
        <is>
          <t>REP</t>
        </is>
      </c>
      <c r="G3491" t="inlineStr">
        <is>
          <t>07132026</t>
        </is>
      </c>
      <c r="H3491" t="n">
        <v>5000</v>
      </c>
      <c r="I3491" t="inlineStr">
        <is>
          <t>202608209899758610</t>
        </is>
      </c>
      <c r="J3491" t="inlineStr">
        <is>
          <t>https://docquery.fec.gov/cgi-bin/fecimg/?202608209899758610</t>
        </is>
      </c>
    </row>
    <row r="3492">
      <c r="A3492" t="inlineStr">
        <is>
          <t>2026</t>
        </is>
      </c>
      <c r="B3492" t="inlineStr">
        <is>
          <t>C00496307</t>
        </is>
      </c>
      <c r="C3492" t="inlineStr">
        <is>
          <t>Marathon Petroleum Corp Employees PAC (MPAC)</t>
        </is>
      </c>
      <c r="D3492" t="inlineStr">
        <is>
          <t>PETE RICKETTS FOR SENATE</t>
        </is>
      </c>
      <c r="E3492" t="inlineStr">
        <is>
          <t>S4NE00173</t>
        </is>
      </c>
      <c r="G3492" t="inlineStr">
        <is>
          <t>07132026</t>
        </is>
      </c>
      <c r="H3492" t="n">
        <v>5000</v>
      </c>
      <c r="I3492" t="inlineStr">
        <is>
          <t>202608209899758610</t>
        </is>
      </c>
      <c r="J3492" t="inlineStr">
        <is>
          <t>https://docquery.fec.gov/cgi-bin/fecimg/?202608209899758610</t>
        </is>
      </c>
    </row>
    <row r="3493">
      <c r="A3493" t="inlineStr">
        <is>
          <t>2026</t>
        </is>
      </c>
      <c r="B3493" t="inlineStr">
        <is>
          <t>C00496307</t>
        </is>
      </c>
      <c r="C3493" t="inlineStr">
        <is>
          <t>Marathon Petroleum Corp Employees PAC (MPAC)</t>
        </is>
      </c>
      <c r="D3493" t="inlineStr">
        <is>
          <t>VINCE FONG FOR CONGRESS</t>
        </is>
      </c>
      <c r="E3493" t="inlineStr">
        <is>
          <t>H4CA20181</t>
        </is>
      </c>
      <c r="F3493" t="inlineStr">
        <is>
          <t>REP</t>
        </is>
      </c>
      <c r="G3493" t="inlineStr">
        <is>
          <t>07132026</t>
        </is>
      </c>
      <c r="H3493" t="n">
        <v>2500</v>
      </c>
      <c r="I3493" t="inlineStr">
        <is>
          <t>202608209899758610</t>
        </is>
      </c>
      <c r="J3493" t="inlineStr">
        <is>
          <t>https://docquery.fec.gov/cgi-bin/fecimg/?202608209899758610</t>
        </is>
      </c>
    </row>
    <row r="3494">
      <c r="A3494" t="inlineStr">
        <is>
          <t>2026</t>
        </is>
      </c>
      <c r="B3494" t="inlineStr">
        <is>
          <t>C00496307</t>
        </is>
      </c>
      <c r="C3494" t="inlineStr">
        <is>
          <t>Marathon Petroleum Corp Employees PAC (MPAC)</t>
        </is>
      </c>
      <c r="D3494" t="inlineStr">
        <is>
          <t>CAREY FOR CONGRESS</t>
        </is>
      </c>
      <c r="E3494" t="inlineStr">
        <is>
          <t>H2OH15228</t>
        </is>
      </c>
      <c r="F3494" t="inlineStr">
        <is>
          <t>REP</t>
        </is>
      </c>
      <c r="G3494" t="inlineStr">
        <is>
          <t>08052025</t>
        </is>
      </c>
      <c r="H3494" t="n">
        <v>2500</v>
      </c>
      <c r="I3494" t="inlineStr">
        <is>
          <t>202509119790045092</t>
        </is>
      </c>
      <c r="J3494" t="inlineStr">
        <is>
          <t>https://docquery.fec.gov/cgi-bin/fecimg/?202509119790045092</t>
        </is>
      </c>
    </row>
    <row r="3495">
      <c r="A3495" t="inlineStr">
        <is>
          <t>2026</t>
        </is>
      </c>
      <c r="B3495" t="inlineStr">
        <is>
          <t>C00496307</t>
        </is>
      </c>
      <c r="C3495" t="inlineStr">
        <is>
          <t>Marathon Petroleum Corp Employees PAC (MPAC)</t>
        </is>
      </c>
      <c r="D3495" t="inlineStr">
        <is>
          <t>HUSTED FOR SENATE</t>
        </is>
      </c>
      <c r="E3495" t="inlineStr">
        <is>
          <t>S6OH00304</t>
        </is>
      </c>
      <c r="F3495" t="inlineStr">
        <is>
          <t>REP</t>
        </is>
      </c>
      <c r="G3495" t="inlineStr">
        <is>
          <t>08052025</t>
        </is>
      </c>
      <c r="H3495" t="n">
        <v>5000</v>
      </c>
      <c r="I3495" t="inlineStr">
        <is>
          <t>202509119790045093</t>
        </is>
      </c>
      <c r="J3495" t="inlineStr">
        <is>
          <t>https://docquery.fec.gov/cgi-bin/fecimg/?202509119790045093</t>
        </is>
      </c>
    </row>
    <row r="3496">
      <c r="A3496" t="inlineStr">
        <is>
          <t>2026</t>
        </is>
      </c>
      <c r="B3496" t="inlineStr">
        <is>
          <t>C00496307</t>
        </is>
      </c>
      <c r="C3496" t="inlineStr">
        <is>
          <t>Marathon Petroleum Corp Employees PAC (MPAC)</t>
        </is>
      </c>
      <c r="D3496" t="inlineStr">
        <is>
          <t>WALBERG FOR CONGRESS</t>
        </is>
      </c>
      <c r="E3496" t="inlineStr">
        <is>
          <t>H4MI07103</t>
        </is>
      </c>
      <c r="F3496" t="inlineStr">
        <is>
          <t>REP</t>
        </is>
      </c>
      <c r="G3496" t="inlineStr">
        <is>
          <t>08132025</t>
        </is>
      </c>
      <c r="H3496" t="n">
        <v>-2500</v>
      </c>
      <c r="I3496" t="inlineStr">
        <is>
          <t>202509119790045094</t>
        </is>
      </c>
      <c r="J3496" t="inlineStr">
        <is>
          <t>https://docquery.fec.gov/cgi-bin/fecimg/?202509119790045094</t>
        </is>
      </c>
    </row>
    <row r="3497">
      <c r="A3497" t="inlineStr">
        <is>
          <t>2026</t>
        </is>
      </c>
      <c r="B3497" t="inlineStr">
        <is>
          <t>C00496307</t>
        </is>
      </c>
      <c r="C3497" t="inlineStr">
        <is>
          <t>Marathon Petroleum Corp Employees PAC (MPAC)</t>
        </is>
      </c>
      <c r="D3497" t="inlineStr">
        <is>
          <t>VALADAO FOR CONGRESS</t>
        </is>
      </c>
      <c r="E3497" t="inlineStr">
        <is>
          <t>H2CA20094</t>
        </is>
      </c>
      <c r="F3497" t="inlineStr">
        <is>
          <t>REP</t>
        </is>
      </c>
      <c r="G3497" t="inlineStr">
        <is>
          <t>08132025</t>
        </is>
      </c>
      <c r="H3497" t="n">
        <v>-2500</v>
      </c>
      <c r="I3497" t="inlineStr">
        <is>
          <t>202509119790045093</t>
        </is>
      </c>
      <c r="J3497" t="inlineStr">
        <is>
          <t>https://docquery.fec.gov/cgi-bin/fecimg/?202509119790045093</t>
        </is>
      </c>
    </row>
    <row r="3498">
      <c r="A3498" t="inlineStr">
        <is>
          <t>2026</t>
        </is>
      </c>
      <c r="B3498" t="inlineStr">
        <is>
          <t>C00496307</t>
        </is>
      </c>
      <c r="C3498" t="inlineStr">
        <is>
          <t>Marathon Petroleum Corp Employees PAC (MPAC)</t>
        </is>
      </c>
      <c r="D3498" t="inlineStr">
        <is>
          <t>VALADAO FOR CONGRESS</t>
        </is>
      </c>
      <c r="E3498" t="inlineStr">
        <is>
          <t>H2CA20094</t>
        </is>
      </c>
      <c r="F3498" t="inlineStr">
        <is>
          <t>REP</t>
        </is>
      </c>
      <c r="G3498" t="inlineStr">
        <is>
          <t>08152025</t>
        </is>
      </c>
      <c r="H3498" t="n">
        <v>2500</v>
      </c>
      <c r="I3498" t="inlineStr">
        <is>
          <t>202509119790045093</t>
        </is>
      </c>
      <c r="J3498" t="inlineStr">
        <is>
          <t>https://docquery.fec.gov/cgi-bin/fecimg/?202509119790045093</t>
        </is>
      </c>
    </row>
    <row r="3499">
      <c r="A3499" t="inlineStr">
        <is>
          <t>2026</t>
        </is>
      </c>
      <c r="B3499" t="inlineStr">
        <is>
          <t>C00496307</t>
        </is>
      </c>
      <c r="C3499" t="inlineStr">
        <is>
          <t>Marathon Petroleum Corp Employees PAC (MPAC)</t>
        </is>
      </c>
      <c r="D3499" t="inlineStr">
        <is>
          <t>BETH VAN DUYNE FOR CONGRESS</t>
        </is>
      </c>
      <c r="E3499" t="inlineStr">
        <is>
          <t>H0TX24209</t>
        </is>
      </c>
      <c r="F3499" t="inlineStr">
        <is>
          <t>REP</t>
        </is>
      </c>
      <c r="G3499" t="inlineStr">
        <is>
          <t>09112025</t>
        </is>
      </c>
      <c r="H3499" t="n">
        <v>5000</v>
      </c>
      <c r="I3499" t="inlineStr">
        <is>
          <t>202510159791332884</t>
        </is>
      </c>
      <c r="J3499" t="inlineStr">
        <is>
          <t>https://docquery.fec.gov/cgi-bin/fecimg/?202510159791332884</t>
        </is>
      </c>
    </row>
    <row r="3500">
      <c r="A3500" t="inlineStr">
        <is>
          <t>2026</t>
        </is>
      </c>
      <c r="B3500" t="inlineStr">
        <is>
          <t>C00496307</t>
        </is>
      </c>
      <c r="C3500" t="inlineStr">
        <is>
          <t>Marathon Petroleum Corp Employees PAC (MPAC)</t>
        </is>
      </c>
      <c r="D3500" t="inlineStr">
        <is>
          <t>FALLON FOR CONGRESS</t>
        </is>
      </c>
      <c r="E3500" t="inlineStr">
        <is>
          <t>H0TX04219</t>
        </is>
      </c>
      <c r="F3500" t="inlineStr">
        <is>
          <t>REP</t>
        </is>
      </c>
      <c r="G3500" t="inlineStr">
        <is>
          <t>09112025</t>
        </is>
      </c>
      <c r="H3500" t="n">
        <v>2500</v>
      </c>
      <c r="I3500" t="inlineStr">
        <is>
          <t>202510159791332884</t>
        </is>
      </c>
      <c r="J3500" t="inlineStr">
        <is>
          <t>https://docquery.fec.gov/cgi-bin/fecimg/?202510159791332884</t>
        </is>
      </c>
    </row>
    <row r="3501">
      <c r="A3501" t="inlineStr">
        <is>
          <t>2026</t>
        </is>
      </c>
      <c r="B3501" t="inlineStr">
        <is>
          <t>C00496307</t>
        </is>
      </c>
      <c r="C3501" t="inlineStr">
        <is>
          <t>Marathon Petroleum Corp Employees PAC (MPAC)</t>
        </is>
      </c>
      <c r="D3501" t="inlineStr">
        <is>
          <t>STEVE DAINES FOR MONTANA</t>
        </is>
      </c>
      <c r="E3501" t="inlineStr">
        <is>
          <t>S2MT00096</t>
        </is>
      </c>
      <c r="F3501" t="inlineStr">
        <is>
          <t>REP</t>
        </is>
      </c>
      <c r="G3501" t="inlineStr">
        <is>
          <t>09112025</t>
        </is>
      </c>
      <c r="H3501" t="n">
        <v>5000</v>
      </c>
      <c r="I3501" t="inlineStr">
        <is>
          <t>202510159791332887</t>
        </is>
      </c>
      <c r="J3501" t="inlineStr">
        <is>
          <t>https://docquery.fec.gov/cgi-bin/fecimg/?202510159791332887</t>
        </is>
      </c>
    </row>
    <row r="3502">
      <c r="A3502" t="inlineStr">
        <is>
          <t>2026</t>
        </is>
      </c>
      <c r="B3502" t="inlineStr">
        <is>
          <t>C00496307</t>
        </is>
      </c>
      <c r="C3502" t="inlineStr">
        <is>
          <t>Marathon Petroleum Corp Employees PAC (MPAC)</t>
        </is>
      </c>
      <c r="D3502" t="inlineStr">
        <is>
          <t>JEFF CRANK FOR CONGRESS</t>
        </is>
      </c>
      <c r="E3502" t="inlineStr">
        <is>
          <t>H6CO05142</t>
        </is>
      </c>
      <c r="F3502" t="inlineStr">
        <is>
          <t>REP</t>
        </is>
      </c>
      <c r="G3502" t="inlineStr">
        <is>
          <t>09112025</t>
        </is>
      </c>
      <c r="H3502" t="n">
        <v>1000</v>
      </c>
      <c r="I3502" t="inlineStr">
        <is>
          <t>202510159791332884</t>
        </is>
      </c>
      <c r="J3502" t="inlineStr">
        <is>
          <t>https://docquery.fec.gov/cgi-bin/fecimg/?202510159791332884</t>
        </is>
      </c>
    </row>
    <row r="3503">
      <c r="A3503" t="inlineStr">
        <is>
          <t>2026</t>
        </is>
      </c>
      <c r="B3503" t="inlineStr">
        <is>
          <t>C00496307</t>
        </is>
      </c>
      <c r="C3503" t="inlineStr">
        <is>
          <t>Marathon Petroleum Corp Employees PAC (MPAC)</t>
        </is>
      </c>
      <c r="D3503" t="inlineStr">
        <is>
          <t>JULIA LETLOW FOR CONGRESS</t>
        </is>
      </c>
      <c r="E3503" t="inlineStr">
        <is>
          <t>H2LA05126</t>
        </is>
      </c>
      <c r="F3503" t="inlineStr">
        <is>
          <t>REP</t>
        </is>
      </c>
      <c r="G3503" t="inlineStr">
        <is>
          <t>09112025</t>
        </is>
      </c>
      <c r="H3503" t="n">
        <v>5000</v>
      </c>
      <c r="I3503" t="inlineStr">
        <is>
          <t>202510159791332885</t>
        </is>
      </c>
      <c r="J3503" t="inlineStr">
        <is>
          <t>https://docquery.fec.gov/cgi-bin/fecimg/?202510159791332885</t>
        </is>
      </c>
    </row>
    <row r="3504">
      <c r="A3504" t="inlineStr">
        <is>
          <t>2026</t>
        </is>
      </c>
      <c r="B3504" t="inlineStr">
        <is>
          <t>C00496307</t>
        </is>
      </c>
      <c r="C3504" t="inlineStr">
        <is>
          <t>Marathon Petroleum Corp Employees PAC (MPAC)</t>
        </is>
      </c>
      <c r="D3504" t="inlineStr">
        <is>
          <t>MIKE KELLY FOR CONGRESS</t>
        </is>
      </c>
      <c r="E3504" t="inlineStr">
        <is>
          <t>H0PA03271</t>
        </is>
      </c>
      <c r="F3504" t="inlineStr">
        <is>
          <t>REP</t>
        </is>
      </c>
      <c r="G3504" t="inlineStr">
        <is>
          <t>09112025</t>
        </is>
      </c>
      <c r="H3504" t="n">
        <v>5000</v>
      </c>
      <c r="I3504" t="inlineStr">
        <is>
          <t>202510159791332885</t>
        </is>
      </c>
      <c r="J3504" t="inlineStr">
        <is>
          <t>https://docquery.fec.gov/cgi-bin/fecimg/?202510159791332885</t>
        </is>
      </c>
    </row>
    <row r="3505">
      <c r="A3505" t="inlineStr">
        <is>
          <t>2026</t>
        </is>
      </c>
      <c r="B3505" t="inlineStr">
        <is>
          <t>C00496307</t>
        </is>
      </c>
      <c r="C3505" t="inlineStr">
        <is>
          <t>Marathon Petroleum Corp Employees PAC (MPAC)</t>
        </is>
      </c>
      <c r="D3505" t="inlineStr">
        <is>
          <t>NATHANIEL MORAN FOR CONGRESS</t>
        </is>
      </c>
      <c r="E3505" t="inlineStr">
        <is>
          <t>H2TX01112</t>
        </is>
      </c>
      <c r="F3505" t="inlineStr">
        <is>
          <t>REP</t>
        </is>
      </c>
      <c r="G3505" t="inlineStr">
        <is>
          <t>09112025</t>
        </is>
      </c>
      <c r="H3505" t="n">
        <v>2500</v>
      </c>
      <c r="I3505" t="inlineStr">
        <is>
          <t>202510159791332886</t>
        </is>
      </c>
      <c r="J3505" t="inlineStr">
        <is>
          <t>https://docquery.fec.gov/cgi-bin/fecimg/?202510159791332886</t>
        </is>
      </c>
    </row>
    <row r="3506">
      <c r="A3506" t="inlineStr">
        <is>
          <t>2026</t>
        </is>
      </c>
      <c r="B3506" t="inlineStr">
        <is>
          <t>C00496307</t>
        </is>
      </c>
      <c r="C3506" t="inlineStr">
        <is>
          <t>Marathon Petroleum Corp Employees PAC (MPAC)</t>
        </is>
      </c>
      <c r="D3506" t="inlineStr">
        <is>
          <t>RULLI FOR OHIO</t>
        </is>
      </c>
      <c r="E3506" t="inlineStr">
        <is>
          <t>H4OH06165</t>
        </is>
      </c>
      <c r="F3506" t="inlineStr">
        <is>
          <t>REP</t>
        </is>
      </c>
      <c r="G3506" t="inlineStr">
        <is>
          <t>09112025</t>
        </is>
      </c>
      <c r="H3506" t="n">
        <v>2500</v>
      </c>
      <c r="I3506" t="inlineStr">
        <is>
          <t>202510159791332886</t>
        </is>
      </c>
      <c r="J3506" t="inlineStr">
        <is>
          <t>https://docquery.fec.gov/cgi-bin/fecimg/?202510159791332886</t>
        </is>
      </c>
    </row>
    <row r="3507">
      <c r="A3507" t="inlineStr">
        <is>
          <t>2026</t>
        </is>
      </c>
      <c r="B3507" t="inlineStr">
        <is>
          <t>C00496307</t>
        </is>
      </c>
      <c r="C3507" t="inlineStr">
        <is>
          <t>Marathon Petroleum Corp Employees PAC (MPAC)</t>
        </is>
      </c>
      <c r="D3507" t="inlineStr">
        <is>
          <t>RULLI FOR OHIO</t>
        </is>
      </c>
      <c r="E3507" t="inlineStr">
        <is>
          <t>H4OH06165</t>
        </is>
      </c>
      <c r="F3507" t="inlineStr">
        <is>
          <t>REP</t>
        </is>
      </c>
      <c r="G3507" t="inlineStr">
        <is>
          <t>09122025</t>
        </is>
      </c>
      <c r="H3507" t="n">
        <v>2500</v>
      </c>
      <c r="I3507" t="inlineStr">
        <is>
          <t>202510159791332887</t>
        </is>
      </c>
      <c r="J3507" t="inlineStr">
        <is>
          <t>https://docquery.fec.gov/cgi-bin/fecimg/?202510159791332887</t>
        </is>
      </c>
    </row>
    <row r="3508">
      <c r="A3508" t="inlineStr">
        <is>
          <t>2026</t>
        </is>
      </c>
      <c r="B3508" t="inlineStr">
        <is>
          <t>C00496307</t>
        </is>
      </c>
      <c r="C3508" t="inlineStr">
        <is>
          <t>Marathon Petroleum Corp Employees PAC (MPAC)</t>
        </is>
      </c>
      <c r="D3508" t="inlineStr">
        <is>
          <t>RUSS FULCHER FOR IDAHO</t>
        </is>
      </c>
      <c r="E3508" t="inlineStr">
        <is>
          <t>H8ID01124</t>
        </is>
      </c>
      <c r="F3508" t="inlineStr">
        <is>
          <t>REP</t>
        </is>
      </c>
      <c r="G3508" t="inlineStr">
        <is>
          <t>10022025</t>
        </is>
      </c>
      <c r="H3508" t="n">
        <v>2500</v>
      </c>
      <c r="I3508" t="inlineStr">
        <is>
          <t>202511199792667613</t>
        </is>
      </c>
      <c r="J3508" t="inlineStr">
        <is>
          <t>https://docquery.fec.gov/cgi-bin/fecimg/?202511199792667613</t>
        </is>
      </c>
    </row>
    <row r="3509">
      <c r="A3509" t="inlineStr">
        <is>
          <t>2026</t>
        </is>
      </c>
      <c r="B3509" t="inlineStr">
        <is>
          <t>C00496307</t>
        </is>
      </c>
      <c r="C3509" t="inlineStr">
        <is>
          <t>Marathon Petroleum Corp Employees PAC (MPAC)</t>
        </is>
      </c>
      <c r="D3509" t="inlineStr">
        <is>
          <t>COTTON FOR SENATE</t>
        </is>
      </c>
      <c r="E3509" t="inlineStr">
        <is>
          <t>S4AR00103</t>
        </is>
      </c>
      <c r="F3509" t="inlineStr">
        <is>
          <t>REP</t>
        </is>
      </c>
      <c r="G3509" t="inlineStr">
        <is>
          <t>12112025</t>
        </is>
      </c>
      <c r="H3509" t="n">
        <v>5000</v>
      </c>
      <c r="I3509" t="inlineStr">
        <is>
          <t>202603129837938643</t>
        </is>
      </c>
      <c r="J3509" t="inlineStr">
        <is>
          <t>https://docquery.fec.gov/cgi-bin/fecimg/?202603129837938643</t>
        </is>
      </c>
    </row>
    <row r="3510">
      <c r="A3510" t="inlineStr">
        <is>
          <t>2026</t>
        </is>
      </c>
      <c r="B3510" t="inlineStr">
        <is>
          <t>C00496307</t>
        </is>
      </c>
      <c r="C3510" t="inlineStr">
        <is>
          <t>Marathon Petroleum Corp Employees PAC (MPAC)</t>
        </is>
      </c>
      <c r="D3510" t="inlineStr">
        <is>
          <t>GARY PALMER FOR CONGRESS</t>
        </is>
      </c>
      <c r="E3510" t="inlineStr">
        <is>
          <t>H4AL06098</t>
        </is>
      </c>
      <c r="F3510" t="inlineStr">
        <is>
          <t>REP</t>
        </is>
      </c>
      <c r="G3510" t="inlineStr">
        <is>
          <t>12112025</t>
        </is>
      </c>
      <c r="H3510" t="n">
        <v>2500</v>
      </c>
      <c r="I3510" t="inlineStr">
        <is>
          <t>202603129837938645</t>
        </is>
      </c>
      <c r="J3510" t="inlineStr">
        <is>
          <t>https://docquery.fec.gov/cgi-bin/fecimg/?202603129837938645</t>
        </is>
      </c>
    </row>
    <row r="3511">
      <c r="A3511" t="inlineStr">
        <is>
          <t>2026</t>
        </is>
      </c>
      <c r="B3511" t="inlineStr">
        <is>
          <t>C00496307</t>
        </is>
      </c>
      <c r="C3511" t="inlineStr">
        <is>
          <t>Marathon Petroleum Corp Employees PAC (MPAC)</t>
        </is>
      </c>
      <c r="D3511" t="inlineStr">
        <is>
          <t>LUMMIS FOR WYOMING</t>
        </is>
      </c>
      <c r="E3511" t="inlineStr">
        <is>
          <t>S0WY00137</t>
        </is>
      </c>
      <c r="F3511" t="inlineStr">
        <is>
          <t>REP</t>
        </is>
      </c>
      <c r="G3511" t="inlineStr">
        <is>
          <t>12112025</t>
        </is>
      </c>
      <c r="H3511" t="n">
        <v>5000</v>
      </c>
      <c r="I3511" t="inlineStr">
        <is>
          <t>202603129837938645</t>
        </is>
      </c>
      <c r="J3511" t="inlineStr">
        <is>
          <t>https://docquery.fec.gov/cgi-bin/fecimg/?202603129837938645</t>
        </is>
      </c>
    </row>
    <row r="3512">
      <c r="A3512" t="inlineStr">
        <is>
          <t>2026</t>
        </is>
      </c>
      <c r="B3512" t="inlineStr">
        <is>
          <t>C00496307</t>
        </is>
      </c>
      <c r="C3512" t="inlineStr">
        <is>
          <t>Marathon Petroleum Corp Employees PAC (MPAC)</t>
        </is>
      </c>
      <c r="D3512" t="inlineStr">
        <is>
          <t>MARK TEIXEIRA FOR CONGRESS</t>
        </is>
      </c>
      <c r="E3512" t="inlineStr">
        <is>
          <t>H6TX21301</t>
        </is>
      </c>
      <c r="F3512" t="inlineStr">
        <is>
          <t>REP</t>
        </is>
      </c>
      <c r="G3512" t="inlineStr">
        <is>
          <t>12112025</t>
        </is>
      </c>
      <c r="H3512" t="n">
        <v>2500</v>
      </c>
      <c r="I3512" t="inlineStr">
        <is>
          <t>202603129837938646</t>
        </is>
      </c>
      <c r="J3512" t="inlineStr">
        <is>
          <t>https://docquery.fec.gov/cgi-bin/fecimg/?202603129837938646</t>
        </is>
      </c>
    </row>
    <row r="3513">
      <c r="A3513" t="inlineStr">
        <is>
          <t>2026</t>
        </is>
      </c>
      <c r="B3513" t="inlineStr">
        <is>
          <t>C00496307</t>
        </is>
      </c>
      <c r="C3513" t="inlineStr">
        <is>
          <t>Marathon Petroleum Corp Employees PAC (MPAC)</t>
        </is>
      </c>
      <c r="D3513" t="inlineStr">
        <is>
          <t>MIKE KENNEDY FOR UTAH</t>
        </is>
      </c>
      <c r="E3513" t="inlineStr">
        <is>
          <t>H4UT03260</t>
        </is>
      </c>
      <c r="F3513" t="inlineStr">
        <is>
          <t>REP</t>
        </is>
      </c>
      <c r="G3513" t="inlineStr">
        <is>
          <t>12112025</t>
        </is>
      </c>
      <c r="H3513" t="n">
        <v>2500</v>
      </c>
      <c r="I3513" t="inlineStr">
        <is>
          <t>202603129837938646</t>
        </is>
      </c>
      <c r="J3513" t="inlineStr">
        <is>
          <t>https://docquery.fec.gov/cgi-bin/fecimg/?202603129837938646</t>
        </is>
      </c>
    </row>
    <row r="3514">
      <c r="A3514" t="inlineStr">
        <is>
          <t>2026</t>
        </is>
      </c>
      <c r="B3514" t="inlineStr">
        <is>
          <t>C00496307</t>
        </is>
      </c>
      <c r="C3514" t="inlineStr">
        <is>
          <t>Marathon Petroleum Corp Employees PAC (MPAC)</t>
        </is>
      </c>
      <c r="D3514" t="inlineStr">
        <is>
          <t>WHATLEY FOR SENATE</t>
        </is>
      </c>
      <c r="E3514" t="inlineStr">
        <is>
          <t>S6NC00415</t>
        </is>
      </c>
      <c r="F3514" t="inlineStr">
        <is>
          <t>REP</t>
        </is>
      </c>
      <c r="G3514" t="inlineStr">
        <is>
          <t>12112025</t>
        </is>
      </c>
      <c r="H3514" t="n">
        <v>5000</v>
      </c>
      <c r="I3514" t="inlineStr">
        <is>
          <t>202603129837938650</t>
        </is>
      </c>
      <c r="J3514" t="inlineStr">
        <is>
          <t>https://docquery.fec.gov/cgi-bin/fecimg/?202603129837938650</t>
        </is>
      </c>
    </row>
    <row r="3515">
      <c r="A3515" t="inlineStr">
        <is>
          <t>2026</t>
        </is>
      </c>
      <c r="B3515" t="inlineStr">
        <is>
          <t>C00496307</t>
        </is>
      </c>
      <c r="C3515" t="inlineStr">
        <is>
          <t>Marathon Petroleum Corp Employees PAC (MPAC)</t>
        </is>
      </c>
      <c r="D3515" t="inlineStr">
        <is>
          <t>BICE FOR CONGRESS</t>
        </is>
      </c>
      <c r="E3515" t="inlineStr">
        <is>
          <t>H0OK05205</t>
        </is>
      </c>
      <c r="F3515" t="inlineStr">
        <is>
          <t>REP</t>
        </is>
      </c>
      <c r="G3515" t="inlineStr">
        <is>
          <t>12162025</t>
        </is>
      </c>
      <c r="H3515" t="n">
        <v>2500</v>
      </c>
      <c r="I3515" t="inlineStr">
        <is>
          <t>202603129837938642</t>
        </is>
      </c>
      <c r="J3515" t="inlineStr">
        <is>
          <t>https://docquery.fec.gov/cgi-bin/fecimg/?202603129837938642</t>
        </is>
      </c>
    </row>
    <row r="3516">
      <c r="A3516" t="inlineStr">
        <is>
          <t>2026</t>
        </is>
      </c>
      <c r="B3516" t="inlineStr">
        <is>
          <t>C00496307</t>
        </is>
      </c>
      <c r="C3516" t="inlineStr">
        <is>
          <t>Marathon Petroleum Corp Employees PAC (MPAC)</t>
        </is>
      </c>
      <c r="D3516" t="inlineStr">
        <is>
          <t>CAROL FOR CONGRESS</t>
        </is>
      </c>
      <c r="E3516" t="inlineStr">
        <is>
          <t>H8WV03097</t>
        </is>
      </c>
      <c r="F3516" t="inlineStr">
        <is>
          <t>REP</t>
        </is>
      </c>
      <c r="G3516" t="inlineStr">
        <is>
          <t>12162025</t>
        </is>
      </c>
      <c r="H3516" t="n">
        <v>5000</v>
      </c>
      <c r="I3516" t="inlineStr">
        <is>
          <t>202603129837938642</t>
        </is>
      </c>
      <c r="J3516" t="inlineStr">
        <is>
          <t>https://docquery.fec.gov/cgi-bin/fecimg/?202603129837938642</t>
        </is>
      </c>
    </row>
    <row r="3517">
      <c r="A3517" t="inlineStr">
        <is>
          <t>2026</t>
        </is>
      </c>
      <c r="B3517" t="inlineStr">
        <is>
          <t>C00496307</t>
        </is>
      </c>
      <c r="C3517" t="inlineStr">
        <is>
          <t>Marathon Petroleum Corp Employees PAC (MPAC)</t>
        </is>
      </c>
      <c r="D3517" t="inlineStr">
        <is>
          <t>DAN CRENSHAW FOR CONGRESS</t>
        </is>
      </c>
      <c r="E3517" t="inlineStr">
        <is>
          <t>H8TX02166</t>
        </is>
      </c>
      <c r="F3517" t="inlineStr">
        <is>
          <t>REP</t>
        </is>
      </c>
      <c r="G3517" t="inlineStr">
        <is>
          <t>12162025</t>
        </is>
      </c>
      <c r="H3517" t="n">
        <v>5000</v>
      </c>
      <c r="I3517" t="inlineStr">
        <is>
          <t>202603129837938643</t>
        </is>
      </c>
      <c r="J3517" t="inlineStr">
        <is>
          <t>https://docquery.fec.gov/cgi-bin/fecimg/?202603129837938643</t>
        </is>
      </c>
    </row>
    <row r="3518">
      <c r="A3518" t="inlineStr">
        <is>
          <t>2026</t>
        </is>
      </c>
      <c r="B3518" t="inlineStr">
        <is>
          <t>C00496307</t>
        </is>
      </c>
      <c r="C3518" t="inlineStr">
        <is>
          <t>Marathon Petroleum Corp Employees PAC (MPAC)</t>
        </is>
      </c>
      <c r="D3518" t="inlineStr">
        <is>
          <t>FRIENDS OF DAVE JOYCE</t>
        </is>
      </c>
      <c r="E3518" t="inlineStr">
        <is>
          <t>H2OH14064</t>
        </is>
      </c>
      <c r="F3518" t="inlineStr">
        <is>
          <t>REP</t>
        </is>
      </c>
      <c r="G3518" t="inlineStr">
        <is>
          <t>12162025</t>
        </is>
      </c>
      <c r="H3518" t="n">
        <v>2500</v>
      </c>
      <c r="I3518" t="inlineStr">
        <is>
          <t>202603129837938644</t>
        </is>
      </c>
      <c r="J3518" t="inlineStr">
        <is>
          <t>https://docquery.fec.gov/cgi-bin/fecimg/?202603129837938644</t>
        </is>
      </c>
    </row>
    <row r="3519">
      <c r="A3519" t="inlineStr">
        <is>
          <t>2026</t>
        </is>
      </c>
      <c r="B3519" t="inlineStr">
        <is>
          <t>C00496307</t>
        </is>
      </c>
      <c r="C3519" t="inlineStr">
        <is>
          <t>Marathon Petroleum Corp Employees PAC (MPAC)</t>
        </is>
      </c>
      <c r="D3519" t="inlineStr">
        <is>
          <t>MIKE KELLY FOR CONGRESS</t>
        </is>
      </c>
      <c r="E3519" t="inlineStr">
        <is>
          <t>H0PA03271</t>
        </is>
      </c>
      <c r="F3519" t="inlineStr">
        <is>
          <t>REP</t>
        </is>
      </c>
      <c r="G3519" t="inlineStr">
        <is>
          <t>12162025</t>
        </is>
      </c>
      <c r="H3519" t="n">
        <v>2500</v>
      </c>
      <c r="I3519" t="inlineStr">
        <is>
          <t>202603129837938646</t>
        </is>
      </c>
      <c r="J3519" t="inlineStr">
        <is>
          <t>https://docquery.fec.gov/cgi-bin/fecimg/?202603129837938646</t>
        </is>
      </c>
    </row>
    <row r="3520">
      <c r="A3520" t="inlineStr">
        <is>
          <t>2026</t>
        </is>
      </c>
      <c r="B3520" t="inlineStr">
        <is>
          <t>C00496307</t>
        </is>
      </c>
      <c r="C3520" t="inlineStr">
        <is>
          <t>Marathon Petroleum Corp Employees PAC (MPAC)</t>
        </is>
      </c>
      <c r="D3520" t="inlineStr">
        <is>
          <t>PETE STAUBER FOR CONGRESS</t>
        </is>
      </c>
      <c r="E3520" t="inlineStr">
        <is>
          <t>H8MN08043</t>
        </is>
      </c>
      <c r="F3520" t="inlineStr">
        <is>
          <t>REP</t>
        </is>
      </c>
      <c r="G3520" t="inlineStr">
        <is>
          <t>12162025</t>
        </is>
      </c>
      <c r="H3520" t="n">
        <v>2500</v>
      </c>
      <c r="I3520" t="inlineStr">
        <is>
          <t>202603129837938647</t>
        </is>
      </c>
      <c r="J3520" t="inlineStr">
        <is>
          <t>https://docquery.fec.gov/cgi-bin/fecimg/?202603129837938647</t>
        </is>
      </c>
    </row>
    <row r="3521">
      <c r="A3521" t="inlineStr">
        <is>
          <t>2026</t>
        </is>
      </c>
      <c r="B3521" t="inlineStr">
        <is>
          <t>C00496307</t>
        </is>
      </c>
      <c r="C3521" t="inlineStr">
        <is>
          <t>Marathon Petroleum Corp Employees PAC (MPAC)</t>
        </is>
      </c>
      <c r="D3521" t="inlineStr">
        <is>
          <t>ROGER WILLIAMS FOR U.S. CONGRESS COMMITTEE</t>
        </is>
      </c>
      <c r="E3521" t="inlineStr">
        <is>
          <t>H2TX33040</t>
        </is>
      </c>
      <c r="F3521" t="inlineStr">
        <is>
          <t>REP</t>
        </is>
      </c>
      <c r="G3521" t="inlineStr">
        <is>
          <t>12162025</t>
        </is>
      </c>
      <c r="H3521" t="n">
        <v>5000</v>
      </c>
      <c r="I3521" t="inlineStr">
        <is>
          <t>202603129837938648</t>
        </is>
      </c>
      <c r="J3521" t="inlineStr">
        <is>
          <t>https://docquery.fec.gov/cgi-bin/fecimg/?202603129837938648</t>
        </is>
      </c>
    </row>
    <row r="3522">
      <c r="A3522" t="inlineStr">
        <is>
          <t>2026</t>
        </is>
      </c>
      <c r="B3522" t="inlineStr">
        <is>
          <t>C00496307</t>
        </is>
      </c>
      <c r="C3522" t="inlineStr">
        <is>
          <t>Marathon Petroleum Corp Employees PAC (MPAC)</t>
        </is>
      </c>
      <c r="D3522" t="inlineStr">
        <is>
          <t>WESTERMAN FOR CONGRESS</t>
        </is>
      </c>
      <c r="E3522" t="inlineStr">
        <is>
          <t>H4AR04048</t>
        </is>
      </c>
      <c r="F3522" t="inlineStr">
        <is>
          <t>REP</t>
        </is>
      </c>
      <c r="G3522" t="inlineStr">
        <is>
          <t>12162025</t>
        </is>
      </c>
      <c r="H3522" t="n">
        <v>5000</v>
      </c>
      <c r="I3522" t="inlineStr">
        <is>
          <t>202603129837938650</t>
        </is>
      </c>
      <c r="J3522" t="inlineStr">
        <is>
          <t>https://docquery.fec.gov/cgi-bin/fecimg/?202603129837938650</t>
        </is>
      </c>
    </row>
    <row r="3523">
      <c r="A3523" t="inlineStr">
        <is>
          <t>2026</t>
        </is>
      </c>
      <c r="B3523" t="inlineStr">
        <is>
          <t>C00496307</t>
        </is>
      </c>
      <c r="C3523" t="inlineStr">
        <is>
          <t>Marathon Petroleum Corp Employees PAC (MPAC)</t>
        </is>
      </c>
      <c r="D3523" t="inlineStr">
        <is>
          <t>STEIL FOR WISCONSIN, INC.</t>
        </is>
      </c>
      <c r="E3523" t="inlineStr">
        <is>
          <t>H8WI01156</t>
        </is>
      </c>
      <c r="F3523" t="inlineStr">
        <is>
          <t>REP</t>
        </is>
      </c>
      <c r="G3523" t="inlineStr">
        <is>
          <t>12162025</t>
        </is>
      </c>
      <c r="H3523" t="n">
        <v>2500</v>
      </c>
      <c r="I3523" t="inlineStr">
        <is>
          <t>202603129837938649</t>
        </is>
      </c>
      <c r="J3523" t="inlineStr">
        <is>
          <t>https://docquery.fec.gov/cgi-bin/fecimg/?202603129837938649</t>
        </is>
      </c>
    </row>
    <row r="3524">
      <c r="A3524" t="inlineStr">
        <is>
          <t>2026</t>
        </is>
      </c>
      <c r="B3524" t="inlineStr">
        <is>
          <t>C00496307</t>
        </is>
      </c>
      <c r="C3524" t="inlineStr">
        <is>
          <t>Marathon Petroleum Corp Employees PAC (MPAC)</t>
        </is>
      </c>
      <c r="D3524" t="inlineStr">
        <is>
          <t>COLLINS FOR SENATE</t>
        </is>
      </c>
      <c r="E3524" t="inlineStr">
        <is>
          <t>H4GA10071</t>
        </is>
      </c>
      <c r="F3524" t="inlineStr">
        <is>
          <t>REP</t>
        </is>
      </c>
      <c r="G3524" t="inlineStr">
        <is>
          <t>12182025</t>
        </is>
      </c>
      <c r="H3524" t="n">
        <v>-5000</v>
      </c>
      <c r="I3524" t="inlineStr">
        <is>
          <t>202603129837938643</t>
        </is>
      </c>
      <c r="J3524" t="inlineStr">
        <is>
          <t>https://docquery.fec.gov/cgi-bin/fecimg/?202603129837938643</t>
        </is>
      </c>
    </row>
    <row r="3525">
      <c r="A3525" t="inlineStr">
        <is>
          <t>2026</t>
        </is>
      </c>
      <c r="B3525" t="inlineStr">
        <is>
          <t>C00496307</t>
        </is>
      </c>
      <c r="C3525" t="inlineStr">
        <is>
          <t>Marathon Petroleum Corp Employees PAC (MPAC)</t>
        </is>
      </c>
      <c r="D3525" t="inlineStr">
        <is>
          <t>VALADAO FOR CONGRESS</t>
        </is>
      </c>
      <c r="E3525" t="inlineStr">
        <is>
          <t>H2CA20094</t>
        </is>
      </c>
      <c r="F3525" t="inlineStr">
        <is>
          <t>REP</t>
        </is>
      </c>
      <c r="G3525" t="inlineStr">
        <is>
          <t>12182025</t>
        </is>
      </c>
      <c r="H3525" t="n">
        <v>-2500</v>
      </c>
      <c r="I3525" t="inlineStr">
        <is>
          <t>202603129837938649</t>
        </is>
      </c>
      <c r="J3525" t="inlineStr">
        <is>
          <t>https://docquery.fec.gov/cgi-bin/fecimg/?202603129837938649</t>
        </is>
      </c>
    </row>
    <row r="3526">
      <c r="A3526" t="inlineStr">
        <is>
          <t>2026</t>
        </is>
      </c>
      <c r="B3526" t="inlineStr">
        <is>
          <t>C00496307</t>
        </is>
      </c>
      <c r="C3526" t="inlineStr">
        <is>
          <t>Marathon Petroleum Corp Employees PAC (MPAC)</t>
        </is>
      </c>
      <c r="D3526" t="inlineStr">
        <is>
          <t>ELECTGABEEVANS.COM</t>
        </is>
      </c>
      <c r="E3526" t="inlineStr">
        <is>
          <t>H4CO08034</t>
        </is>
      </c>
      <c r="F3526" t="inlineStr">
        <is>
          <t>REP</t>
        </is>
      </c>
      <c r="G3526" t="inlineStr">
        <is>
          <t>12312025</t>
        </is>
      </c>
      <c r="H3526" t="n">
        <v>-2500</v>
      </c>
      <c r="I3526" t="inlineStr">
        <is>
          <t>202603129837938644</t>
        </is>
      </c>
      <c r="J3526" t="inlineStr">
        <is>
          <t>https://docquery.fec.gov/cgi-bin/fecimg/?202603129837938644</t>
        </is>
      </c>
    </row>
    <row r="3527">
      <c r="A3527" t="inlineStr">
        <is>
          <t>2026</t>
        </is>
      </c>
      <c r="B3527" t="inlineStr">
        <is>
          <t>C00513549</t>
        </is>
      </c>
      <c r="C3527" t="inlineStr">
        <is>
          <t>Phillips 66 PAC</t>
        </is>
      </c>
      <c r="D3527" t="inlineStr">
        <is>
          <t>TEXANS FOR JODEY ARRINGTON</t>
        </is>
      </c>
      <c r="E3527" t="inlineStr">
        <is>
          <t>H6TX19099</t>
        </is>
      </c>
      <c r="F3527" t="inlineStr">
        <is>
          <t>REP</t>
        </is>
      </c>
      <c r="G3527" t="inlineStr">
        <is>
          <t>01082026</t>
        </is>
      </c>
      <c r="H3527" t="n">
        <v>-2500</v>
      </c>
      <c r="I3527" t="inlineStr">
        <is>
          <t>202602209834835439</t>
        </is>
      </c>
      <c r="J3527" t="inlineStr">
        <is>
          <t>https://docquery.fec.gov/cgi-bin/fecimg/?202602209834835439</t>
        </is>
      </c>
    </row>
    <row r="3528">
      <c r="A3528" t="inlineStr">
        <is>
          <t>2026</t>
        </is>
      </c>
      <c r="B3528" t="inlineStr">
        <is>
          <t>C00513549</t>
        </is>
      </c>
      <c r="C3528" t="inlineStr">
        <is>
          <t>Phillips 66 PAC</t>
        </is>
      </c>
      <c r="D3528" t="inlineStr">
        <is>
          <t>CAROL FOR CONGRESS</t>
        </is>
      </c>
      <c r="E3528" t="inlineStr">
        <is>
          <t>H8WV03097</t>
        </is>
      </c>
      <c r="F3528" t="inlineStr">
        <is>
          <t>REP</t>
        </is>
      </c>
      <c r="G3528" t="inlineStr">
        <is>
          <t>01122026</t>
        </is>
      </c>
      <c r="H3528" t="n">
        <v>2500</v>
      </c>
      <c r="I3528" t="inlineStr">
        <is>
          <t>202602209834835441</t>
        </is>
      </c>
      <c r="J3528" t="inlineStr">
        <is>
          <t>https://docquery.fec.gov/cgi-bin/fecimg/?202602209834835441</t>
        </is>
      </c>
    </row>
    <row r="3529">
      <c r="A3529" t="inlineStr">
        <is>
          <t>2026</t>
        </is>
      </c>
      <c r="B3529" t="inlineStr">
        <is>
          <t>C00513549</t>
        </is>
      </c>
      <c r="C3529" t="inlineStr">
        <is>
          <t>Phillips 66 PAC</t>
        </is>
      </c>
      <c r="D3529" t="inlineStr">
        <is>
          <t>JULIA LETLOW FOR CONGRESS</t>
        </is>
      </c>
      <c r="E3529" t="inlineStr">
        <is>
          <t>H2LA05126</t>
        </is>
      </c>
      <c r="F3529" t="inlineStr">
        <is>
          <t>REP</t>
        </is>
      </c>
      <c r="G3529" t="inlineStr">
        <is>
          <t>01122026</t>
        </is>
      </c>
      <c r="H3529" t="n">
        <v>2500</v>
      </c>
      <c r="I3529" t="inlineStr">
        <is>
          <t>202602209834835442</t>
        </is>
      </c>
      <c r="J3529" t="inlineStr">
        <is>
          <t>https://docquery.fec.gov/cgi-bin/fecimg/?202602209834835442</t>
        </is>
      </c>
    </row>
    <row r="3530">
      <c r="A3530" t="inlineStr">
        <is>
          <t>2026</t>
        </is>
      </c>
      <c r="B3530" t="inlineStr">
        <is>
          <t>C00513549</t>
        </is>
      </c>
      <c r="C3530" t="inlineStr">
        <is>
          <t>Phillips 66 PAC</t>
        </is>
      </c>
      <c r="D3530" t="inlineStr">
        <is>
          <t>MIKE JOHNSON FOR LOUISIANA</t>
        </is>
      </c>
      <c r="E3530" t="inlineStr">
        <is>
          <t>H6LA04138</t>
        </is>
      </c>
      <c r="F3530" t="inlineStr">
        <is>
          <t>REP</t>
        </is>
      </c>
      <c r="G3530" t="inlineStr">
        <is>
          <t>01122026</t>
        </is>
      </c>
      <c r="H3530" t="n">
        <v>5000</v>
      </c>
      <c r="I3530" t="inlineStr">
        <is>
          <t>202602209834835442</t>
        </is>
      </c>
      <c r="J3530" t="inlineStr">
        <is>
          <t>https://docquery.fec.gov/cgi-bin/fecimg/?202602209834835442</t>
        </is>
      </c>
    </row>
    <row r="3531">
      <c r="A3531" t="inlineStr">
        <is>
          <t>2026</t>
        </is>
      </c>
      <c r="B3531" t="inlineStr">
        <is>
          <t>C00513549</t>
        </is>
      </c>
      <c r="C3531" t="inlineStr">
        <is>
          <t>Phillips 66 PAC</t>
        </is>
      </c>
      <c r="D3531" t="inlineStr">
        <is>
          <t>STEVE DAINES FOR MONTANA</t>
        </is>
      </c>
      <c r="E3531" t="inlineStr">
        <is>
          <t>S2MT00096</t>
        </is>
      </c>
      <c r="F3531" t="inlineStr">
        <is>
          <t>REP</t>
        </is>
      </c>
      <c r="G3531" t="inlineStr">
        <is>
          <t>01122026</t>
        </is>
      </c>
      <c r="H3531" t="n">
        <v>2500</v>
      </c>
      <c r="I3531" t="inlineStr">
        <is>
          <t>202602209834835443</t>
        </is>
      </c>
      <c r="J3531" t="inlineStr">
        <is>
          <t>https://docquery.fec.gov/cgi-bin/fecimg/?202602209834835443</t>
        </is>
      </c>
    </row>
    <row r="3532">
      <c r="A3532" t="inlineStr">
        <is>
          <t>2026</t>
        </is>
      </c>
      <c r="B3532" t="inlineStr">
        <is>
          <t>C00513549</t>
        </is>
      </c>
      <c r="C3532" t="inlineStr">
        <is>
          <t>Phillips 66 PAC</t>
        </is>
      </c>
      <c r="D3532" t="inlineStr">
        <is>
          <t>WHATLEY FOR SENATE</t>
        </is>
      </c>
      <c r="E3532" t="inlineStr">
        <is>
          <t>S6NC00415</t>
        </is>
      </c>
      <c r="F3532" t="inlineStr">
        <is>
          <t>REP</t>
        </is>
      </c>
      <c r="G3532" t="inlineStr">
        <is>
          <t>01122026</t>
        </is>
      </c>
      <c r="H3532" t="n">
        <v>2500</v>
      </c>
      <c r="I3532" t="inlineStr">
        <is>
          <t>202602209834835443</t>
        </is>
      </c>
      <c r="J3532" t="inlineStr">
        <is>
          <t>https://docquery.fec.gov/cgi-bin/fecimg/?202602209834835443</t>
        </is>
      </c>
    </row>
    <row r="3533">
      <c r="A3533" t="inlineStr">
        <is>
          <t>2026</t>
        </is>
      </c>
      <c r="B3533" t="inlineStr">
        <is>
          <t>C00513549</t>
        </is>
      </c>
      <c r="C3533" t="inlineStr">
        <is>
          <t>Phillips 66 PAC</t>
        </is>
      </c>
      <c r="D3533" t="inlineStr">
        <is>
          <t>SCALISE FOR CONGRESS</t>
        </is>
      </c>
      <c r="E3533" t="inlineStr">
        <is>
          <t>H0LA01087</t>
        </is>
      </c>
      <c r="F3533" t="inlineStr">
        <is>
          <t>REP</t>
        </is>
      </c>
      <c r="G3533" t="inlineStr">
        <is>
          <t>02032026</t>
        </is>
      </c>
      <c r="H3533" t="n">
        <v>2500</v>
      </c>
      <c r="I3533" t="inlineStr">
        <is>
          <t>202603209853645338</t>
        </is>
      </c>
      <c r="J3533" t="inlineStr">
        <is>
          <t>https://docquery.fec.gov/cgi-bin/fecimg/?202603209853645338</t>
        </is>
      </c>
    </row>
    <row r="3534">
      <c r="A3534" t="inlineStr">
        <is>
          <t>2026</t>
        </is>
      </c>
      <c r="B3534" t="inlineStr">
        <is>
          <t>C00513549</t>
        </is>
      </c>
      <c r="C3534" t="inlineStr">
        <is>
          <t>Phillips 66 PAC</t>
        </is>
      </c>
      <c r="D3534" t="inlineStr">
        <is>
          <t>SYLVIA GARCIA FOR CONGRESS</t>
        </is>
      </c>
      <c r="E3534" t="inlineStr">
        <is>
          <t>H8TX29052</t>
        </is>
      </c>
      <c r="F3534" t="inlineStr">
        <is>
          <t>DEM</t>
        </is>
      </c>
      <c r="G3534" t="inlineStr">
        <is>
          <t>02032026</t>
        </is>
      </c>
      <c r="H3534" t="n">
        <v>2500</v>
      </c>
      <c r="I3534" t="inlineStr">
        <is>
          <t>202603209853645339</t>
        </is>
      </c>
      <c r="J3534" t="inlineStr">
        <is>
          <t>https://docquery.fec.gov/cgi-bin/fecimg/?202603209853645339</t>
        </is>
      </c>
    </row>
    <row r="3535">
      <c r="A3535" t="inlineStr">
        <is>
          <t>2026</t>
        </is>
      </c>
      <c r="B3535" t="inlineStr">
        <is>
          <t>C00513549</t>
        </is>
      </c>
      <c r="C3535" t="inlineStr">
        <is>
          <t>Phillips 66 PAC</t>
        </is>
      </c>
      <c r="D3535" t="inlineStr">
        <is>
          <t>VINCE FONG FOR CONGRESS</t>
        </is>
      </c>
      <c r="E3535" t="inlineStr">
        <is>
          <t>H4CA20181</t>
        </is>
      </c>
      <c r="F3535" t="inlineStr">
        <is>
          <t>REP</t>
        </is>
      </c>
      <c r="G3535" t="inlineStr">
        <is>
          <t>02032026</t>
        </is>
      </c>
      <c r="H3535" t="n">
        <v>2500</v>
      </c>
      <c r="I3535" t="inlineStr">
        <is>
          <t>202603209853645339</t>
        </is>
      </c>
      <c r="J3535" t="inlineStr">
        <is>
          <t>https://docquery.fec.gov/cgi-bin/fecimg/?202603209853645339</t>
        </is>
      </c>
    </row>
    <row r="3536">
      <c r="A3536" t="inlineStr">
        <is>
          <t>2026</t>
        </is>
      </c>
      <c r="B3536" t="inlineStr">
        <is>
          <t>C00513549</t>
        </is>
      </c>
      <c r="C3536" t="inlineStr">
        <is>
          <t>Phillips 66 PAC</t>
        </is>
      </c>
      <c r="D3536" t="inlineStr">
        <is>
          <t>BILL CASSIDY FOR US SENATE</t>
        </is>
      </c>
      <c r="E3536" t="inlineStr">
        <is>
          <t>S4LA00107</t>
        </is>
      </c>
      <c r="F3536" t="inlineStr">
        <is>
          <t>REP</t>
        </is>
      </c>
      <c r="G3536" t="inlineStr">
        <is>
          <t>02032026</t>
        </is>
      </c>
      <c r="H3536" t="n">
        <v>5000</v>
      </c>
      <c r="I3536" t="inlineStr">
        <is>
          <t>202603209853645334</t>
        </is>
      </c>
      <c r="J3536" t="inlineStr">
        <is>
          <t>https://docquery.fec.gov/cgi-bin/fecimg/?202603209853645334</t>
        </is>
      </c>
    </row>
    <row r="3537">
      <c r="A3537" t="inlineStr">
        <is>
          <t>2026</t>
        </is>
      </c>
      <c r="B3537" t="inlineStr">
        <is>
          <t>C00513549</t>
        </is>
      </c>
      <c r="C3537" t="inlineStr">
        <is>
          <t>Phillips 66 PAC</t>
        </is>
      </c>
      <c r="D3537" t="inlineStr">
        <is>
          <t>CLOUD FOR CONGRESS</t>
        </is>
      </c>
      <c r="E3537" t="inlineStr">
        <is>
          <t>H8TX27049</t>
        </is>
      </c>
      <c r="F3537" t="inlineStr">
        <is>
          <t>REP</t>
        </is>
      </c>
      <c r="G3537" t="inlineStr">
        <is>
          <t>02032026</t>
        </is>
      </c>
      <c r="H3537" t="n">
        <v>2500</v>
      </c>
      <c r="I3537" t="inlineStr">
        <is>
          <t>202603209853645334</t>
        </is>
      </c>
      <c r="J3537" t="inlineStr">
        <is>
          <t>https://docquery.fec.gov/cgi-bin/fecimg/?202603209853645334</t>
        </is>
      </c>
    </row>
    <row r="3538">
      <c r="A3538" t="inlineStr">
        <is>
          <t>2026</t>
        </is>
      </c>
      <c r="B3538" t="inlineStr">
        <is>
          <t>C00513549</t>
        </is>
      </c>
      <c r="C3538" t="inlineStr">
        <is>
          <t>Phillips 66 PAC</t>
        </is>
      </c>
      <c r="D3538" t="inlineStr">
        <is>
          <t>CRAIG GOLDMAN FOR CONGRESS</t>
        </is>
      </c>
      <c r="E3538" t="inlineStr">
        <is>
          <t>H4TX12065</t>
        </is>
      </c>
      <c r="F3538" t="inlineStr">
        <is>
          <t>REP</t>
        </is>
      </c>
      <c r="G3538" t="inlineStr">
        <is>
          <t>02032026</t>
        </is>
      </c>
      <c r="H3538" t="n">
        <v>2500</v>
      </c>
      <c r="I3538" t="inlineStr">
        <is>
          <t>202603209853645335</t>
        </is>
      </c>
      <c r="J3538" t="inlineStr">
        <is>
          <t>https://docquery.fec.gov/cgi-bin/fecimg/?202603209853645335</t>
        </is>
      </c>
    </row>
    <row r="3539">
      <c r="A3539" t="inlineStr">
        <is>
          <t>2026</t>
        </is>
      </c>
      <c r="B3539" t="inlineStr">
        <is>
          <t>C00513549</t>
        </is>
      </c>
      <c r="C3539" t="inlineStr">
        <is>
          <t>Phillips 66 PAC</t>
        </is>
      </c>
      <c r="D3539" t="inlineStr">
        <is>
          <t>DR. BRIAN BABIN FOR CONGRESS</t>
        </is>
      </c>
      <c r="E3539" t="inlineStr">
        <is>
          <t>H6TX02079</t>
        </is>
      </c>
      <c r="F3539" t="inlineStr">
        <is>
          <t>REP</t>
        </is>
      </c>
      <c r="G3539" t="inlineStr">
        <is>
          <t>02032026</t>
        </is>
      </c>
      <c r="H3539" t="n">
        <v>2500</v>
      </c>
      <c r="I3539" t="inlineStr">
        <is>
          <t>202603209853645335</t>
        </is>
      </c>
      <c r="J3539" t="inlineStr">
        <is>
          <t>https://docquery.fec.gov/cgi-bin/fecimg/?202603209853645335</t>
        </is>
      </c>
    </row>
    <row r="3540">
      <c r="A3540" t="inlineStr">
        <is>
          <t>2026</t>
        </is>
      </c>
      <c r="B3540" t="inlineStr">
        <is>
          <t>C00513549</t>
        </is>
      </c>
      <c r="C3540" t="inlineStr">
        <is>
          <t>Phillips 66 PAC</t>
        </is>
      </c>
      <c r="D3540" t="inlineStr">
        <is>
          <t>JEFF CRANK FOR CONGRESS</t>
        </is>
      </c>
      <c r="E3540" t="inlineStr">
        <is>
          <t>H4CO05147</t>
        </is>
      </c>
      <c r="G3540" t="inlineStr">
        <is>
          <t>02032026</t>
        </is>
      </c>
      <c r="H3540" t="n">
        <v>2500</v>
      </c>
      <c r="I3540" t="inlineStr">
        <is>
          <t>202603209853645337</t>
        </is>
      </c>
      <c r="J3540" t="inlineStr">
        <is>
          <t>https://docquery.fec.gov/cgi-bin/fecimg/?202603209853645337</t>
        </is>
      </c>
    </row>
    <row r="3541">
      <c r="A3541" t="inlineStr">
        <is>
          <t>2026</t>
        </is>
      </c>
      <c r="B3541" t="inlineStr">
        <is>
          <t>C00513549</t>
        </is>
      </c>
      <c r="C3541" t="inlineStr">
        <is>
          <t>Phillips 66 PAC</t>
        </is>
      </c>
      <c r="D3541" t="inlineStr">
        <is>
          <t>JULIE JOHNSON FOR CONGRESS</t>
        </is>
      </c>
      <c r="E3541" t="inlineStr">
        <is>
          <t>H4TX32089</t>
        </is>
      </c>
      <c r="F3541" t="inlineStr">
        <is>
          <t>DEM</t>
        </is>
      </c>
      <c r="G3541" t="inlineStr">
        <is>
          <t>02032026</t>
        </is>
      </c>
      <c r="H3541" t="n">
        <v>4000</v>
      </c>
      <c r="I3541" t="inlineStr">
        <is>
          <t>202603209853645337</t>
        </is>
      </c>
      <c r="J3541" t="inlineStr">
        <is>
          <t>https://docquery.fec.gov/cgi-bin/fecimg/?202603209853645337</t>
        </is>
      </c>
    </row>
    <row r="3542">
      <c r="A3542" t="inlineStr">
        <is>
          <t>2026</t>
        </is>
      </c>
      <c r="B3542" t="inlineStr">
        <is>
          <t>C00513549</t>
        </is>
      </c>
      <c r="C3542" t="inlineStr">
        <is>
          <t>Phillips 66 PAC</t>
        </is>
      </c>
      <c r="D3542" t="inlineStr">
        <is>
          <t>COLE FOR CONGRESS</t>
        </is>
      </c>
      <c r="E3542" t="inlineStr">
        <is>
          <t>H2OK04055</t>
        </is>
      </c>
      <c r="F3542" t="inlineStr">
        <is>
          <t>REP</t>
        </is>
      </c>
      <c r="G3542" t="inlineStr">
        <is>
          <t>02122025</t>
        </is>
      </c>
      <c r="H3542" t="n">
        <v>2500</v>
      </c>
      <c r="I3542" t="inlineStr">
        <is>
          <t>202503199754246666</t>
        </is>
      </c>
      <c r="J3542" t="inlineStr">
        <is>
          <t>https://docquery.fec.gov/cgi-bin/fecimg/?202503199754246666</t>
        </is>
      </c>
    </row>
    <row r="3543">
      <c r="A3543" t="inlineStr">
        <is>
          <t>2026</t>
        </is>
      </c>
      <c r="B3543" t="inlineStr">
        <is>
          <t>C00513549</t>
        </is>
      </c>
      <c r="C3543" t="inlineStr">
        <is>
          <t>Phillips 66 PAC</t>
        </is>
      </c>
      <c r="D3543" t="inlineStr">
        <is>
          <t>EMMER FOR CONGRESS</t>
        </is>
      </c>
      <c r="E3543" t="inlineStr">
        <is>
          <t>H4MN06087</t>
        </is>
      </c>
      <c r="F3543" t="inlineStr">
        <is>
          <t>REP</t>
        </is>
      </c>
      <c r="G3543" t="inlineStr">
        <is>
          <t>02122025</t>
        </is>
      </c>
      <c r="H3543" t="n">
        <v>5000</v>
      </c>
      <c r="I3543" t="inlineStr">
        <is>
          <t>202503199754246668</t>
        </is>
      </c>
      <c r="J3543" t="inlineStr">
        <is>
          <t>https://docquery.fec.gov/cgi-bin/fecimg/?202503199754246668</t>
        </is>
      </c>
    </row>
    <row r="3544">
      <c r="A3544" t="inlineStr">
        <is>
          <t>2026</t>
        </is>
      </c>
      <c r="B3544" t="inlineStr">
        <is>
          <t>C00513549</t>
        </is>
      </c>
      <c r="C3544" t="inlineStr">
        <is>
          <t>Phillips 66 PAC</t>
        </is>
      </c>
      <c r="D3544" t="inlineStr">
        <is>
          <t>FEENSTRA FOR CONGRESS</t>
        </is>
      </c>
      <c r="E3544" t="inlineStr">
        <is>
          <t>H0IA04145</t>
        </is>
      </c>
      <c r="F3544" t="inlineStr">
        <is>
          <t>REP</t>
        </is>
      </c>
      <c r="G3544" t="inlineStr">
        <is>
          <t>02122025</t>
        </is>
      </c>
      <c r="H3544" t="n">
        <v>2500</v>
      </c>
      <c r="I3544" t="inlineStr">
        <is>
          <t>202503199754246668</t>
        </is>
      </c>
      <c r="J3544" t="inlineStr">
        <is>
          <t>https://docquery.fec.gov/cgi-bin/fecimg/?202503199754246668</t>
        </is>
      </c>
    </row>
    <row r="3545">
      <c r="A3545" t="inlineStr">
        <is>
          <t>2026</t>
        </is>
      </c>
      <c r="B3545" t="inlineStr">
        <is>
          <t>C00513549</t>
        </is>
      </c>
      <c r="C3545" t="inlineStr">
        <is>
          <t>Phillips 66 PAC</t>
        </is>
      </c>
      <c r="D3545" t="inlineStr">
        <is>
          <t>THOM TILLIS COMMITTEE</t>
        </is>
      </c>
      <c r="E3545" t="inlineStr">
        <is>
          <t>S4NC00162</t>
        </is>
      </c>
      <c r="F3545" t="inlineStr">
        <is>
          <t>REP</t>
        </is>
      </c>
      <c r="G3545" t="inlineStr">
        <is>
          <t>02122025</t>
        </is>
      </c>
      <c r="H3545" t="n">
        <v>2500</v>
      </c>
      <c r="I3545" t="inlineStr">
        <is>
          <t>202503199754246674</t>
        </is>
      </c>
      <c r="J3545" t="inlineStr">
        <is>
          <t>https://docquery.fec.gov/cgi-bin/fecimg/?202503199754246674</t>
        </is>
      </c>
    </row>
    <row r="3546">
      <c r="A3546" t="inlineStr">
        <is>
          <t>2026</t>
        </is>
      </c>
      <c r="B3546" t="inlineStr">
        <is>
          <t>C00513549</t>
        </is>
      </c>
      <c r="C3546" t="inlineStr">
        <is>
          <t>Phillips 66 PAC</t>
        </is>
      </c>
      <c r="D3546" t="inlineStr">
        <is>
          <t>TEXANS FOR JODEY ARRINGTON</t>
        </is>
      </c>
      <c r="E3546" t="inlineStr">
        <is>
          <t>H6TX19099</t>
        </is>
      </c>
      <c r="F3546" t="inlineStr">
        <is>
          <t>REP</t>
        </is>
      </c>
      <c r="G3546" t="inlineStr">
        <is>
          <t>02122025</t>
        </is>
      </c>
      <c r="H3546" t="n">
        <v>5000</v>
      </c>
      <c r="I3546" t="inlineStr">
        <is>
          <t>202503199754246673</t>
        </is>
      </c>
      <c r="J3546" t="inlineStr">
        <is>
          <t>https://docquery.fec.gov/cgi-bin/fecimg/?202503199754246673</t>
        </is>
      </c>
    </row>
    <row r="3547">
      <c r="A3547" t="inlineStr">
        <is>
          <t>2026</t>
        </is>
      </c>
      <c r="B3547" t="inlineStr">
        <is>
          <t>C00513549</t>
        </is>
      </c>
      <c r="C3547" t="inlineStr">
        <is>
          <t>Phillips 66 PAC</t>
        </is>
      </c>
      <c r="D3547" t="inlineStr">
        <is>
          <t>DR JOHN JOYCE FOR CONGRESS</t>
        </is>
      </c>
      <c r="E3547" t="inlineStr">
        <is>
          <t>H8PA13125</t>
        </is>
      </c>
      <c r="F3547" t="inlineStr">
        <is>
          <t>REP</t>
        </is>
      </c>
      <c r="G3547" t="inlineStr">
        <is>
          <t>02122025</t>
        </is>
      </c>
      <c r="H3547" t="n">
        <v>2500</v>
      </c>
      <c r="I3547" t="inlineStr">
        <is>
          <t>202503199754246667</t>
        </is>
      </c>
      <c r="J3547" t="inlineStr">
        <is>
          <t>https://docquery.fec.gov/cgi-bin/fecimg/?202503199754246667</t>
        </is>
      </c>
    </row>
    <row r="3548">
      <c r="A3548" t="inlineStr">
        <is>
          <t>2026</t>
        </is>
      </c>
      <c r="B3548" t="inlineStr">
        <is>
          <t>C00513549</t>
        </is>
      </c>
      <c r="C3548" t="inlineStr">
        <is>
          <t>Phillips 66 PAC</t>
        </is>
      </c>
      <c r="D3548" t="inlineStr">
        <is>
          <t>GUY FOR CONGRESS</t>
        </is>
      </c>
      <c r="E3548" t="inlineStr">
        <is>
          <t>H8PA18199</t>
        </is>
      </c>
      <c r="F3548" t="inlineStr">
        <is>
          <t>REP</t>
        </is>
      </c>
      <c r="G3548" t="inlineStr">
        <is>
          <t>02122025</t>
        </is>
      </c>
      <c r="H3548" t="n">
        <v>2500</v>
      </c>
      <c r="I3548" t="inlineStr">
        <is>
          <t>202503199754246669</t>
        </is>
      </c>
      <c r="J3548" t="inlineStr">
        <is>
          <t>https://docquery.fec.gov/cgi-bin/fecimg/?202503199754246669</t>
        </is>
      </c>
    </row>
    <row r="3549">
      <c r="A3549" t="inlineStr">
        <is>
          <t>2026</t>
        </is>
      </c>
      <c r="B3549" t="inlineStr">
        <is>
          <t>C00513549</t>
        </is>
      </c>
      <c r="C3549" t="inlineStr">
        <is>
          <t>Phillips 66 PAC</t>
        </is>
      </c>
      <c r="D3549" t="inlineStr">
        <is>
          <t>FRIENDS OF MARK WARNER</t>
        </is>
      </c>
      <c r="E3549" t="inlineStr">
        <is>
          <t>S6VA00093</t>
        </is>
      </c>
      <c r="F3549" t="inlineStr">
        <is>
          <t>DEM</t>
        </is>
      </c>
      <c r="G3549" t="inlineStr">
        <is>
          <t>02122025</t>
        </is>
      </c>
      <c r="H3549" t="n">
        <v>1500</v>
      </c>
      <c r="I3549" t="inlineStr">
        <is>
          <t>202503199754246669</t>
        </is>
      </c>
      <c r="J3549" t="inlineStr">
        <is>
          <t>https://docquery.fec.gov/cgi-bin/fecimg/?202503199754246669</t>
        </is>
      </c>
    </row>
    <row r="3550">
      <c r="A3550" t="inlineStr">
        <is>
          <t>2026</t>
        </is>
      </c>
      <c r="B3550" t="inlineStr">
        <is>
          <t>C00513549</t>
        </is>
      </c>
      <c r="C3550" t="inlineStr">
        <is>
          <t>Phillips 66 PAC</t>
        </is>
      </c>
      <c r="D3550" t="inlineStr">
        <is>
          <t>GUTHRIE FOR CONGRESS</t>
        </is>
      </c>
      <c r="E3550" t="inlineStr">
        <is>
          <t>H8KY02031</t>
        </is>
      </c>
      <c r="F3550" t="inlineStr">
        <is>
          <t>REP</t>
        </is>
      </c>
      <c r="G3550" t="inlineStr">
        <is>
          <t>02122025</t>
        </is>
      </c>
      <c r="H3550" t="n">
        <v>2000</v>
      </c>
      <c r="I3550" t="inlineStr">
        <is>
          <t>202503199754246669</t>
        </is>
      </c>
      <c r="J3550" t="inlineStr">
        <is>
          <t>https://docquery.fec.gov/cgi-bin/fecimg/?202503199754246669</t>
        </is>
      </c>
    </row>
    <row r="3551">
      <c r="A3551" t="inlineStr">
        <is>
          <t>2026</t>
        </is>
      </c>
      <c r="B3551" t="inlineStr">
        <is>
          <t>C00513549</t>
        </is>
      </c>
      <c r="C3551" t="inlineStr">
        <is>
          <t>Phillips 66 PAC</t>
        </is>
      </c>
      <c r="D3551" t="inlineStr">
        <is>
          <t>MIKE JOHNSON FOR LOUISIANA</t>
        </is>
      </c>
      <c r="E3551" t="inlineStr">
        <is>
          <t>H6LA04138</t>
        </is>
      </c>
      <c r="F3551" t="inlineStr">
        <is>
          <t>REP</t>
        </is>
      </c>
      <c r="G3551" t="inlineStr">
        <is>
          <t>02122025</t>
        </is>
      </c>
      <c r="H3551" t="n">
        <v>5000</v>
      </c>
      <c r="I3551" t="inlineStr">
        <is>
          <t>202503199754246671</t>
        </is>
      </c>
      <c r="J3551" t="inlineStr">
        <is>
          <t>https://docquery.fec.gov/cgi-bin/fecimg/?202503199754246671</t>
        </is>
      </c>
    </row>
    <row r="3552">
      <c r="A3552" t="inlineStr">
        <is>
          <t>2026</t>
        </is>
      </c>
      <c r="B3552" t="inlineStr">
        <is>
          <t>C00513549</t>
        </is>
      </c>
      <c r="C3552" t="inlineStr">
        <is>
          <t>Phillips 66 PAC</t>
        </is>
      </c>
      <c r="D3552" t="inlineStr">
        <is>
          <t>SCALISE FOR CONGRESS</t>
        </is>
      </c>
      <c r="E3552" t="inlineStr">
        <is>
          <t>H0LA01087</t>
        </is>
      </c>
      <c r="F3552" t="inlineStr">
        <is>
          <t>REP</t>
        </is>
      </c>
      <c r="G3552" t="inlineStr">
        <is>
          <t>02122025</t>
        </is>
      </c>
      <c r="H3552" t="n">
        <v>5000</v>
      </c>
      <c r="I3552" t="inlineStr">
        <is>
          <t>202503199754246672</t>
        </is>
      </c>
      <c r="J3552" t="inlineStr">
        <is>
          <t>https://docquery.fec.gov/cgi-bin/fecimg/?202503199754246672</t>
        </is>
      </c>
    </row>
    <row r="3553">
      <c r="A3553" t="inlineStr">
        <is>
          <t>2026</t>
        </is>
      </c>
      <c r="B3553" t="inlineStr">
        <is>
          <t>C00513549</t>
        </is>
      </c>
      <c r="C3553" t="inlineStr">
        <is>
          <t>Phillips 66 PAC</t>
        </is>
      </c>
      <c r="D3553" t="inlineStr">
        <is>
          <t>SCHNEIDER FOR CONGRESS</t>
        </is>
      </c>
      <c r="E3553" t="inlineStr">
        <is>
          <t>H2IL10068</t>
        </is>
      </c>
      <c r="F3553" t="inlineStr">
        <is>
          <t>DEM</t>
        </is>
      </c>
      <c r="G3553" t="inlineStr">
        <is>
          <t>02122025</t>
        </is>
      </c>
      <c r="H3553" t="n">
        <v>1500</v>
      </c>
      <c r="I3553" t="inlineStr">
        <is>
          <t>202503199754246673</t>
        </is>
      </c>
      <c r="J3553" t="inlineStr">
        <is>
          <t>https://docquery.fec.gov/cgi-bin/fecimg/?202503199754246673</t>
        </is>
      </c>
    </row>
    <row r="3554">
      <c r="A3554" t="inlineStr">
        <is>
          <t>2026</t>
        </is>
      </c>
      <c r="B3554" t="inlineStr">
        <is>
          <t>C00513549</t>
        </is>
      </c>
      <c r="C3554" t="inlineStr">
        <is>
          <t>Phillips 66 PAC</t>
        </is>
      </c>
      <c r="D3554" t="inlineStr">
        <is>
          <t>TREVER NEHLS FOR CONGRESS</t>
        </is>
      </c>
      <c r="E3554" t="inlineStr">
        <is>
          <t>H6TX22283</t>
        </is>
      </c>
      <c r="F3554" t="inlineStr">
        <is>
          <t>REP</t>
        </is>
      </c>
      <c r="G3554" t="inlineStr">
        <is>
          <t>02252026</t>
        </is>
      </c>
      <c r="H3554" t="n">
        <v>5000</v>
      </c>
      <c r="I3554" t="inlineStr">
        <is>
          <t>202603209853645339</t>
        </is>
      </c>
      <c r="J3554" t="inlineStr">
        <is>
          <t>https://docquery.fec.gov/cgi-bin/fecimg/?202603209853645339</t>
        </is>
      </c>
    </row>
    <row r="3555">
      <c r="A3555" t="inlineStr">
        <is>
          <t>2026</t>
        </is>
      </c>
      <c r="B3555" t="inlineStr">
        <is>
          <t>C00513549</t>
        </is>
      </c>
      <c r="C3555" t="inlineStr">
        <is>
          <t>Phillips 66 PAC</t>
        </is>
      </c>
      <c r="D3555" t="inlineStr">
        <is>
          <t>WALBERG FOR CONGRESS</t>
        </is>
      </c>
      <c r="E3555" t="inlineStr">
        <is>
          <t>H4MI07103</t>
        </is>
      </c>
      <c r="F3555" t="inlineStr">
        <is>
          <t>REP</t>
        </is>
      </c>
      <c r="G3555" t="inlineStr">
        <is>
          <t>02252026</t>
        </is>
      </c>
      <c r="H3555" t="n">
        <v>2500</v>
      </c>
      <c r="I3555" t="inlineStr">
        <is>
          <t>202603209853645340</t>
        </is>
      </c>
      <c r="J3555" t="inlineStr">
        <is>
          <t>https://docquery.fec.gov/cgi-bin/fecimg/?202603209853645340</t>
        </is>
      </c>
    </row>
    <row r="3556">
      <c r="A3556" t="inlineStr">
        <is>
          <t>2026</t>
        </is>
      </c>
      <c r="B3556" t="inlineStr">
        <is>
          <t>C00513549</t>
        </is>
      </c>
      <c r="C3556" t="inlineStr">
        <is>
          <t>Phillips 66 PAC</t>
        </is>
      </c>
      <c r="D3556" t="inlineStr">
        <is>
          <t>DAN CRENSHAW FOR CONGRESS</t>
        </is>
      </c>
      <c r="E3556" t="inlineStr">
        <is>
          <t>H8TX02166</t>
        </is>
      </c>
      <c r="F3556" t="inlineStr">
        <is>
          <t>REP</t>
        </is>
      </c>
      <c r="G3556" t="inlineStr">
        <is>
          <t>02252026</t>
        </is>
      </c>
      <c r="H3556" t="n">
        <v>2500</v>
      </c>
      <c r="I3556" t="inlineStr">
        <is>
          <t>202603209853645335</t>
        </is>
      </c>
      <c r="J3556" t="inlineStr">
        <is>
          <t>https://docquery.fec.gov/cgi-bin/fecimg/?202603209853645335</t>
        </is>
      </c>
    </row>
    <row r="3557">
      <c r="A3557" t="inlineStr">
        <is>
          <t>2026</t>
        </is>
      </c>
      <c r="B3557" t="inlineStr">
        <is>
          <t>C00513549</t>
        </is>
      </c>
      <c r="C3557" t="inlineStr">
        <is>
          <t>Phillips 66 PAC</t>
        </is>
      </c>
      <c r="D3557" t="inlineStr">
        <is>
          <t>EMMER FOR CONGRESS</t>
        </is>
      </c>
      <c r="E3557" t="inlineStr">
        <is>
          <t>H4MN06087</t>
        </is>
      </c>
      <c r="F3557" t="inlineStr">
        <is>
          <t>REP</t>
        </is>
      </c>
      <c r="G3557" t="inlineStr">
        <is>
          <t>02252026</t>
        </is>
      </c>
      <c r="H3557" t="n">
        <v>2500</v>
      </c>
      <c r="I3557" t="inlineStr">
        <is>
          <t>202603209853645336</t>
        </is>
      </c>
      <c r="J3557" t="inlineStr">
        <is>
          <t>https://docquery.fec.gov/cgi-bin/fecimg/?202603209853645336</t>
        </is>
      </c>
    </row>
    <row r="3558">
      <c r="A3558" t="inlineStr">
        <is>
          <t>2026</t>
        </is>
      </c>
      <c r="B3558" t="inlineStr">
        <is>
          <t>C00513549</t>
        </is>
      </c>
      <c r="C3558" t="inlineStr">
        <is>
          <t>Phillips 66 PAC</t>
        </is>
      </c>
      <c r="D3558" t="inlineStr">
        <is>
          <t>HUDSON FOR CONGRESS</t>
        </is>
      </c>
      <c r="E3558" t="inlineStr">
        <is>
          <t>H2NC08185</t>
        </is>
      </c>
      <c r="F3558" t="inlineStr">
        <is>
          <t>REP</t>
        </is>
      </c>
      <c r="G3558" t="inlineStr">
        <is>
          <t>02252026</t>
        </is>
      </c>
      <c r="H3558" t="n">
        <v>2500</v>
      </c>
      <c r="I3558" t="inlineStr">
        <is>
          <t>202603209853645336</t>
        </is>
      </c>
      <c r="J3558" t="inlineStr">
        <is>
          <t>https://docquery.fec.gov/cgi-bin/fecimg/?202603209853645336</t>
        </is>
      </c>
    </row>
    <row r="3559">
      <c r="A3559" t="inlineStr">
        <is>
          <t>2026</t>
        </is>
      </c>
      <c r="B3559" t="inlineStr">
        <is>
          <t>C00513549</t>
        </is>
      </c>
      <c r="C3559" t="inlineStr">
        <is>
          <t>Phillips 66 PAC</t>
        </is>
      </c>
      <c r="D3559" t="inlineStr">
        <is>
          <t>JIM RISCH FOR U S SENATE COMMITTEE</t>
        </is>
      </c>
      <c r="E3559" t="inlineStr">
        <is>
          <t>S8ID00092</t>
        </is>
      </c>
      <c r="F3559" t="inlineStr">
        <is>
          <t>UNK</t>
        </is>
      </c>
      <c r="G3559" t="inlineStr">
        <is>
          <t>02252026</t>
        </is>
      </c>
      <c r="H3559" t="n">
        <v>2500</v>
      </c>
      <c r="I3559" t="inlineStr">
        <is>
          <t>202603209853645337</t>
        </is>
      </c>
      <c r="J3559" t="inlineStr">
        <is>
          <t>https://docquery.fec.gov/cgi-bin/fecimg/?202603209853645337</t>
        </is>
      </c>
    </row>
    <row r="3560">
      <c r="A3560" t="inlineStr">
        <is>
          <t>2026</t>
        </is>
      </c>
      <c r="B3560" t="inlineStr">
        <is>
          <t>C00513549</t>
        </is>
      </c>
      <c r="C3560" t="inlineStr">
        <is>
          <t>Phillips 66 PAC</t>
        </is>
      </c>
      <c r="D3560" t="inlineStr">
        <is>
          <t>ALASKANS FOR NICK BEGICH</t>
        </is>
      </c>
      <c r="E3560" t="inlineStr">
        <is>
          <t>H2AK01083</t>
        </is>
      </c>
      <c r="F3560" t="inlineStr">
        <is>
          <t>REP</t>
        </is>
      </c>
      <c r="G3560" t="inlineStr">
        <is>
          <t>02272025</t>
        </is>
      </c>
      <c r="H3560" t="n">
        <v>1000</v>
      </c>
      <c r="I3560" t="inlineStr">
        <is>
          <t>202503199754246665</t>
        </is>
      </c>
      <c r="J3560" t="inlineStr">
        <is>
          <t>https://docquery.fec.gov/cgi-bin/fecimg/?202503199754246665</t>
        </is>
      </c>
    </row>
    <row r="3561">
      <c r="A3561" t="inlineStr">
        <is>
          <t>2026</t>
        </is>
      </c>
      <c r="B3561" t="inlineStr">
        <is>
          <t>C00513549</t>
        </is>
      </c>
      <c r="C3561" t="inlineStr">
        <is>
          <t>Phillips 66 PAC</t>
        </is>
      </c>
      <c r="D3561" t="inlineStr">
        <is>
          <t>WESTERMAN FOR CONGRESS</t>
        </is>
      </c>
      <c r="E3561" t="inlineStr">
        <is>
          <t>H4AR04048</t>
        </is>
      </c>
      <c r="F3561" t="inlineStr">
        <is>
          <t>REP</t>
        </is>
      </c>
      <c r="G3561" t="inlineStr">
        <is>
          <t>02272025</t>
        </is>
      </c>
      <c r="H3561" t="n">
        <v>2500</v>
      </c>
      <c r="I3561" t="inlineStr">
        <is>
          <t>202503199754246675</t>
        </is>
      </c>
      <c r="J3561" t="inlineStr">
        <is>
          <t>https://docquery.fec.gov/cgi-bin/fecimg/?202503199754246675</t>
        </is>
      </c>
    </row>
    <row r="3562">
      <c r="A3562" t="inlineStr">
        <is>
          <t>2026</t>
        </is>
      </c>
      <c r="B3562" t="inlineStr">
        <is>
          <t>C00513549</t>
        </is>
      </c>
      <c r="C3562" t="inlineStr">
        <is>
          <t>Phillips 66 PAC</t>
        </is>
      </c>
      <c r="D3562" t="inlineStr">
        <is>
          <t>SCHNEIDER FOR CONGRESS</t>
        </is>
      </c>
      <c r="E3562" t="inlineStr">
        <is>
          <t>H2IL10068</t>
        </is>
      </c>
      <c r="F3562" t="inlineStr">
        <is>
          <t>DEM</t>
        </is>
      </c>
      <c r="G3562" t="inlineStr">
        <is>
          <t>02272025</t>
        </is>
      </c>
      <c r="H3562" t="n">
        <v>1500</v>
      </c>
      <c r="I3562" t="inlineStr">
        <is>
          <t>202503199754246673</t>
        </is>
      </c>
      <c r="J3562" t="inlineStr">
        <is>
          <t>https://docquery.fec.gov/cgi-bin/fecimg/?202503199754246673</t>
        </is>
      </c>
    </row>
    <row r="3563">
      <c r="A3563" t="inlineStr">
        <is>
          <t>2026</t>
        </is>
      </c>
      <c r="B3563" t="inlineStr">
        <is>
          <t>C00513549</t>
        </is>
      </c>
      <c r="C3563" t="inlineStr">
        <is>
          <t>Phillips 66 PAC</t>
        </is>
      </c>
      <c r="D3563" t="inlineStr">
        <is>
          <t>THOM TILLIS COMMITTEE</t>
        </is>
      </c>
      <c r="E3563" t="inlineStr">
        <is>
          <t>S4NC00162</t>
        </is>
      </c>
      <c r="F3563" t="inlineStr">
        <is>
          <t>REP</t>
        </is>
      </c>
      <c r="G3563" t="inlineStr">
        <is>
          <t>02272025</t>
        </is>
      </c>
      <c r="H3563" t="n">
        <v>2500</v>
      </c>
      <c r="I3563" t="inlineStr">
        <is>
          <t>202503199754246674</t>
        </is>
      </c>
      <c r="J3563" t="inlineStr">
        <is>
          <t>https://docquery.fec.gov/cgi-bin/fecimg/?202503199754246674</t>
        </is>
      </c>
    </row>
    <row r="3564">
      <c r="A3564" t="inlineStr">
        <is>
          <t>2026</t>
        </is>
      </c>
      <c r="B3564" t="inlineStr">
        <is>
          <t>C00513549</t>
        </is>
      </c>
      <c r="C3564" t="inlineStr">
        <is>
          <t>Phillips 66 PAC</t>
        </is>
      </c>
      <c r="D3564" t="inlineStr">
        <is>
          <t>COTTON FOR SENATE</t>
        </is>
      </c>
      <c r="E3564" t="inlineStr">
        <is>
          <t>S4AR00103</t>
        </is>
      </c>
      <c r="F3564" t="inlineStr">
        <is>
          <t>REP</t>
        </is>
      </c>
      <c r="G3564" t="inlineStr">
        <is>
          <t>02272025</t>
        </is>
      </c>
      <c r="H3564" t="n">
        <v>2500</v>
      </c>
      <c r="I3564" t="inlineStr">
        <is>
          <t>202503199754246666</t>
        </is>
      </c>
      <c r="J3564" t="inlineStr">
        <is>
          <t>https://docquery.fec.gov/cgi-bin/fecimg/?202503199754246666</t>
        </is>
      </c>
    </row>
    <row r="3565">
      <c r="A3565" t="inlineStr">
        <is>
          <t>2026</t>
        </is>
      </c>
      <c r="B3565" t="inlineStr">
        <is>
          <t>C00513549</t>
        </is>
      </c>
      <c r="C3565" t="inlineStr">
        <is>
          <t>Phillips 66 PAC</t>
        </is>
      </c>
      <c r="D3565" t="inlineStr">
        <is>
          <t>DAN CRENSHAW FOR CONGRESS</t>
        </is>
      </c>
      <c r="E3565" t="inlineStr">
        <is>
          <t>H8TX02166</t>
        </is>
      </c>
      <c r="F3565" t="inlineStr">
        <is>
          <t>REP</t>
        </is>
      </c>
      <c r="G3565" t="inlineStr">
        <is>
          <t>02272025</t>
        </is>
      </c>
      <c r="H3565" t="n">
        <v>1000</v>
      </c>
      <c r="I3565" t="inlineStr">
        <is>
          <t>202503199754246667</t>
        </is>
      </c>
      <c r="J3565" t="inlineStr">
        <is>
          <t>https://docquery.fec.gov/cgi-bin/fecimg/?202503199754246667</t>
        </is>
      </c>
    </row>
    <row r="3566">
      <c r="A3566" t="inlineStr">
        <is>
          <t>2026</t>
        </is>
      </c>
      <c r="B3566" t="inlineStr">
        <is>
          <t>C00513549</t>
        </is>
      </c>
      <c r="C3566" t="inlineStr">
        <is>
          <t>Phillips 66 PAC</t>
        </is>
      </c>
      <c r="D3566" t="inlineStr">
        <is>
          <t>ELECTGABEEVANS.COM</t>
        </is>
      </c>
      <c r="E3566" t="inlineStr">
        <is>
          <t>H4CO08034</t>
        </is>
      </c>
      <c r="F3566" t="inlineStr">
        <is>
          <t>REP</t>
        </is>
      </c>
      <c r="G3566" t="inlineStr">
        <is>
          <t>02272025</t>
        </is>
      </c>
      <c r="H3566" t="n">
        <v>2500</v>
      </c>
      <c r="I3566" t="inlineStr">
        <is>
          <t>202503199754246667</t>
        </is>
      </c>
      <c r="J3566" t="inlineStr">
        <is>
          <t>https://docquery.fec.gov/cgi-bin/fecimg/?202503199754246667</t>
        </is>
      </c>
    </row>
    <row r="3567">
      <c r="A3567" t="inlineStr">
        <is>
          <t>2026</t>
        </is>
      </c>
      <c r="B3567" t="inlineStr">
        <is>
          <t>C00513549</t>
        </is>
      </c>
      <c r="C3567" t="inlineStr">
        <is>
          <t>Phillips 66 PAC</t>
        </is>
      </c>
      <c r="D3567" t="inlineStr">
        <is>
          <t>FRIENDS OF JOHN BARRASSO</t>
        </is>
      </c>
      <c r="E3567" t="inlineStr">
        <is>
          <t>S6WY00068</t>
        </is>
      </c>
      <c r="F3567" t="inlineStr">
        <is>
          <t>REP</t>
        </is>
      </c>
      <c r="G3567" t="inlineStr">
        <is>
          <t>02272025</t>
        </is>
      </c>
      <c r="H3567" t="n">
        <v>2500</v>
      </c>
      <c r="I3567" t="inlineStr">
        <is>
          <t>202503199754246668</t>
        </is>
      </c>
      <c r="J3567" t="inlineStr">
        <is>
          <t>https://docquery.fec.gov/cgi-bin/fecimg/?202503199754246668</t>
        </is>
      </c>
    </row>
    <row r="3568">
      <c r="A3568" t="inlineStr">
        <is>
          <t>2026</t>
        </is>
      </c>
      <c r="B3568" t="inlineStr">
        <is>
          <t>C00513549</t>
        </is>
      </c>
      <c r="C3568" t="inlineStr">
        <is>
          <t>Phillips 66 PAC</t>
        </is>
      </c>
      <c r="D3568" t="inlineStr">
        <is>
          <t>JAY OBERNOLTE FOR CONGRESS</t>
        </is>
      </c>
      <c r="E3568" t="inlineStr">
        <is>
          <t>H0CA08135</t>
        </is>
      </c>
      <c r="F3568" t="inlineStr">
        <is>
          <t>REP</t>
        </is>
      </c>
      <c r="G3568" t="inlineStr">
        <is>
          <t>02272025</t>
        </is>
      </c>
      <c r="H3568" t="n">
        <v>1000</v>
      </c>
      <c r="I3568" t="inlineStr">
        <is>
          <t>202503199754246671</t>
        </is>
      </c>
      <c r="J3568" t="inlineStr">
        <is>
          <t>https://docquery.fec.gov/cgi-bin/fecimg/?202503199754246671</t>
        </is>
      </c>
    </row>
    <row r="3569">
      <c r="A3569" t="inlineStr">
        <is>
          <t>2026</t>
        </is>
      </c>
      <c r="B3569" t="inlineStr">
        <is>
          <t>C00513549</t>
        </is>
      </c>
      <c r="C3569" t="inlineStr">
        <is>
          <t>Phillips 66 PAC</t>
        </is>
      </c>
      <c r="D3569" t="inlineStr">
        <is>
          <t>PETE RICKETTS FOR SENATE</t>
        </is>
      </c>
      <c r="E3569" t="inlineStr">
        <is>
          <t>S4NE00173</t>
        </is>
      </c>
      <c r="G3569" t="inlineStr">
        <is>
          <t>03032025</t>
        </is>
      </c>
      <c r="H3569" t="n">
        <v>-5000</v>
      </c>
      <c r="I3569" t="inlineStr">
        <is>
          <t>202504189756150995</t>
        </is>
      </c>
      <c r="J3569" t="inlineStr">
        <is>
          <t>https://docquery.fec.gov/cgi-bin/fecimg/?202504189756150995</t>
        </is>
      </c>
    </row>
    <row r="3570">
      <c r="A3570" t="inlineStr">
        <is>
          <t>2026</t>
        </is>
      </c>
      <c r="B3570" t="inlineStr">
        <is>
          <t>C00513549</t>
        </is>
      </c>
      <c r="C3570" t="inlineStr">
        <is>
          <t>Phillips 66 PAC</t>
        </is>
      </c>
      <c r="D3570" t="inlineStr">
        <is>
          <t>AUGUST PFLUGER FOR CONGRESS</t>
        </is>
      </c>
      <c r="E3570" t="inlineStr">
        <is>
          <t>H0TX11230</t>
        </is>
      </c>
      <c r="F3570" t="inlineStr">
        <is>
          <t>REP</t>
        </is>
      </c>
      <c r="G3570" t="inlineStr">
        <is>
          <t>03172025</t>
        </is>
      </c>
      <c r="H3570" t="n">
        <v>2500</v>
      </c>
      <c r="I3570" t="inlineStr">
        <is>
          <t>202504189756150997</t>
        </is>
      </c>
      <c r="J3570" t="inlineStr">
        <is>
          <t>https://docquery.fec.gov/cgi-bin/fecimg/?202504189756150997</t>
        </is>
      </c>
    </row>
    <row r="3571">
      <c r="A3571" t="inlineStr">
        <is>
          <t>2026</t>
        </is>
      </c>
      <c r="B3571" t="inlineStr">
        <is>
          <t>C00513549</t>
        </is>
      </c>
      <c r="C3571" t="inlineStr">
        <is>
          <t>Phillips 66 PAC</t>
        </is>
      </c>
      <c r="D3571" t="inlineStr">
        <is>
          <t>CAREY FOR CONGRESS</t>
        </is>
      </c>
      <c r="E3571" t="inlineStr">
        <is>
          <t>H2OH15228</t>
        </is>
      </c>
      <c r="F3571" t="inlineStr">
        <is>
          <t>REP</t>
        </is>
      </c>
      <c r="G3571" t="inlineStr">
        <is>
          <t>03172025</t>
        </is>
      </c>
      <c r="H3571" t="n">
        <v>2500</v>
      </c>
      <c r="I3571" t="inlineStr">
        <is>
          <t>202504189756150998</t>
        </is>
      </c>
      <c r="J3571" t="inlineStr">
        <is>
          <t>https://docquery.fec.gov/cgi-bin/fecimg/?202504189756150998</t>
        </is>
      </c>
    </row>
    <row r="3572">
      <c r="A3572" t="inlineStr">
        <is>
          <t>2026</t>
        </is>
      </c>
      <c r="B3572" t="inlineStr">
        <is>
          <t>C00513549</t>
        </is>
      </c>
      <c r="C3572" t="inlineStr">
        <is>
          <t>Phillips 66 PAC</t>
        </is>
      </c>
      <c r="D3572" t="inlineStr">
        <is>
          <t>CRAIG GOLDMAN FOR CONGRESS</t>
        </is>
      </c>
      <c r="E3572" t="inlineStr">
        <is>
          <t>H4TX12065</t>
        </is>
      </c>
      <c r="F3572" t="inlineStr">
        <is>
          <t>REP</t>
        </is>
      </c>
      <c r="G3572" t="inlineStr">
        <is>
          <t>03172025</t>
        </is>
      </c>
      <c r="H3572" t="n">
        <v>2500</v>
      </c>
      <c r="I3572" t="inlineStr">
        <is>
          <t>202504189756150998</t>
        </is>
      </c>
      <c r="J3572" t="inlineStr">
        <is>
          <t>https://docquery.fec.gov/cgi-bin/fecimg/?202504189756150998</t>
        </is>
      </c>
    </row>
    <row r="3573">
      <c r="A3573" t="inlineStr">
        <is>
          <t>2026</t>
        </is>
      </c>
      <c r="B3573" t="inlineStr">
        <is>
          <t>C00513549</t>
        </is>
      </c>
      <c r="C3573" t="inlineStr">
        <is>
          <t>Phillips 66 PAC</t>
        </is>
      </c>
      <c r="D3573" t="inlineStr">
        <is>
          <t>JASON SMITH FOR CONGRESS</t>
        </is>
      </c>
      <c r="E3573" t="inlineStr">
        <is>
          <t>H4MO08162</t>
        </is>
      </c>
      <c r="F3573" t="inlineStr">
        <is>
          <t>REP</t>
        </is>
      </c>
      <c r="G3573" t="inlineStr">
        <is>
          <t>03172025</t>
        </is>
      </c>
      <c r="H3573" t="n">
        <v>2500</v>
      </c>
      <c r="I3573" t="inlineStr">
        <is>
          <t>202504189756151001</t>
        </is>
      </c>
      <c r="J3573" t="inlineStr">
        <is>
          <t>https://docquery.fec.gov/cgi-bin/fecimg/?202504189756151001</t>
        </is>
      </c>
    </row>
    <row r="3574">
      <c r="A3574" t="inlineStr">
        <is>
          <t>2026</t>
        </is>
      </c>
      <c r="B3574" t="inlineStr">
        <is>
          <t>C00513549</t>
        </is>
      </c>
      <c r="C3574" t="inlineStr">
        <is>
          <t>Phillips 66 PAC</t>
        </is>
      </c>
      <c r="D3574" t="inlineStr">
        <is>
          <t>PETE STAUBER FOR CONGRESS</t>
        </is>
      </c>
      <c r="E3574" t="inlineStr">
        <is>
          <t>H8MN08043</t>
        </is>
      </c>
      <c r="F3574" t="inlineStr">
        <is>
          <t>REP</t>
        </is>
      </c>
      <c r="G3574" t="inlineStr">
        <is>
          <t>03172025</t>
        </is>
      </c>
      <c r="H3574" t="n">
        <v>2500</v>
      </c>
      <c r="I3574" t="inlineStr">
        <is>
          <t>202504189756151003</t>
        </is>
      </c>
      <c r="J3574" t="inlineStr">
        <is>
          <t>https://docquery.fec.gov/cgi-bin/fecimg/?202504189756151003</t>
        </is>
      </c>
    </row>
    <row r="3575">
      <c r="A3575" t="inlineStr">
        <is>
          <t>2026</t>
        </is>
      </c>
      <c r="B3575" t="inlineStr">
        <is>
          <t>C00513549</t>
        </is>
      </c>
      <c r="C3575" t="inlineStr">
        <is>
          <t>Phillips 66 PAC</t>
        </is>
      </c>
      <c r="D3575" t="inlineStr">
        <is>
          <t>FEDORCHAK FOR ND</t>
        </is>
      </c>
      <c r="E3575" t="inlineStr">
        <is>
          <t>H4ND00061</t>
        </is>
      </c>
      <c r="F3575" t="inlineStr">
        <is>
          <t>REP</t>
        </is>
      </c>
      <c r="G3575" t="inlineStr">
        <is>
          <t>03172025</t>
        </is>
      </c>
      <c r="H3575" t="n">
        <v>2500</v>
      </c>
      <c r="I3575" t="inlineStr">
        <is>
          <t>202504189756150999</t>
        </is>
      </c>
      <c r="J3575" t="inlineStr">
        <is>
          <t>https://docquery.fec.gov/cgi-bin/fecimg/?202504189756150999</t>
        </is>
      </c>
    </row>
    <row r="3576">
      <c r="A3576" t="inlineStr">
        <is>
          <t>2026</t>
        </is>
      </c>
      <c r="B3576" t="inlineStr">
        <is>
          <t>C00513549</t>
        </is>
      </c>
      <c r="C3576" t="inlineStr">
        <is>
          <t>Phillips 66 PAC</t>
        </is>
      </c>
      <c r="D3576" t="inlineStr">
        <is>
          <t>GUTHRIE FOR CONGRESS</t>
        </is>
      </c>
      <c r="E3576" t="inlineStr">
        <is>
          <t>H8KY02031</t>
        </is>
      </c>
      <c r="F3576" t="inlineStr">
        <is>
          <t>REP</t>
        </is>
      </c>
      <c r="G3576" t="inlineStr">
        <is>
          <t>03172025</t>
        </is>
      </c>
      <c r="H3576" t="n">
        <v>3000</v>
      </c>
      <c r="I3576" t="inlineStr">
        <is>
          <t>202504189756150999</t>
        </is>
      </c>
      <c r="J3576" t="inlineStr">
        <is>
          <t>https://docquery.fec.gov/cgi-bin/fecimg/?202504189756150999</t>
        </is>
      </c>
    </row>
    <row r="3577">
      <c r="A3577" t="inlineStr">
        <is>
          <t>2026</t>
        </is>
      </c>
      <c r="B3577" t="inlineStr">
        <is>
          <t>C00513549</t>
        </is>
      </c>
      <c r="C3577" t="inlineStr">
        <is>
          <t>Phillips 66 PAC</t>
        </is>
      </c>
      <c r="D3577" t="inlineStr">
        <is>
          <t>HERN FOR CONGRESS</t>
        </is>
      </c>
      <c r="E3577" t="inlineStr">
        <is>
          <t>H8OK01157</t>
        </is>
      </c>
      <c r="F3577" t="inlineStr">
        <is>
          <t>REP</t>
        </is>
      </c>
      <c r="G3577" t="inlineStr">
        <is>
          <t>03172025</t>
        </is>
      </c>
      <c r="H3577" t="n">
        <v>2500</v>
      </c>
      <c r="I3577" t="inlineStr">
        <is>
          <t>202504189756151000</t>
        </is>
      </c>
      <c r="J3577" t="inlineStr">
        <is>
          <t>https://docquery.fec.gov/cgi-bin/fecimg/?202504189756151000</t>
        </is>
      </c>
    </row>
    <row r="3578">
      <c r="A3578" t="inlineStr">
        <is>
          <t>2026</t>
        </is>
      </c>
      <c r="B3578" t="inlineStr">
        <is>
          <t>C00513549</t>
        </is>
      </c>
      <c r="C3578" t="inlineStr">
        <is>
          <t>Phillips 66 PAC</t>
        </is>
      </c>
      <c r="D3578" t="inlineStr">
        <is>
          <t>HUDSON FOR CONGRESS</t>
        </is>
      </c>
      <c r="E3578" t="inlineStr">
        <is>
          <t>H2NC08185</t>
        </is>
      </c>
      <c r="F3578" t="inlineStr">
        <is>
          <t>REP</t>
        </is>
      </c>
      <c r="G3578" t="inlineStr">
        <is>
          <t>03172025</t>
        </is>
      </c>
      <c r="H3578" t="n">
        <v>2500</v>
      </c>
      <c r="I3578" t="inlineStr">
        <is>
          <t>202504189756151000</t>
        </is>
      </c>
      <c r="J3578" t="inlineStr">
        <is>
          <t>https://docquery.fec.gov/cgi-bin/fecimg/?202504189756151000</t>
        </is>
      </c>
    </row>
    <row r="3579">
      <c r="A3579" t="inlineStr">
        <is>
          <t>2026</t>
        </is>
      </c>
      <c r="B3579" t="inlineStr">
        <is>
          <t>C00513549</t>
        </is>
      </c>
      <c r="C3579" t="inlineStr">
        <is>
          <t>Phillips 66 PAC</t>
        </is>
      </c>
      <c r="D3579" t="inlineStr">
        <is>
          <t>HUNT FOR CONGRESS</t>
        </is>
      </c>
      <c r="E3579" t="inlineStr">
        <is>
          <t>H0TX07170</t>
        </is>
      </c>
      <c r="F3579" t="inlineStr">
        <is>
          <t>REP</t>
        </is>
      </c>
      <c r="G3579" t="inlineStr">
        <is>
          <t>03172025</t>
        </is>
      </c>
      <c r="H3579" t="n">
        <v>2500</v>
      </c>
      <c r="I3579" t="inlineStr">
        <is>
          <t>202504189756151001</t>
        </is>
      </c>
      <c r="J3579" t="inlineStr">
        <is>
          <t>https://docquery.fec.gov/cgi-bin/fecimg/?202504189756151001</t>
        </is>
      </c>
    </row>
    <row r="3580">
      <c r="A3580" t="inlineStr">
        <is>
          <t>2026</t>
        </is>
      </c>
      <c r="B3580" t="inlineStr">
        <is>
          <t>C00513549</t>
        </is>
      </c>
      <c r="C3580" t="inlineStr">
        <is>
          <t>Phillips 66 PAC</t>
        </is>
      </c>
      <c r="D3580" t="inlineStr">
        <is>
          <t>AUGUST PFLUGER FOR CONGRESS</t>
        </is>
      </c>
      <c r="E3580" t="inlineStr">
        <is>
          <t>H0TX11230</t>
        </is>
      </c>
      <c r="F3580" t="inlineStr">
        <is>
          <t>REP</t>
        </is>
      </c>
      <c r="G3580" t="inlineStr">
        <is>
          <t>03202025</t>
        </is>
      </c>
      <c r="H3580" t="n">
        <v>2500</v>
      </c>
      <c r="I3580" t="inlineStr">
        <is>
          <t>202504189756150997</t>
        </is>
      </c>
      <c r="J3580" t="inlineStr">
        <is>
          <t>https://docquery.fec.gov/cgi-bin/fecimg/?202504189756150997</t>
        </is>
      </c>
    </row>
    <row r="3581">
      <c r="A3581" t="inlineStr">
        <is>
          <t>2026</t>
        </is>
      </c>
      <c r="B3581" t="inlineStr">
        <is>
          <t>C00513549</t>
        </is>
      </c>
      <c r="C3581" t="inlineStr">
        <is>
          <t>Phillips 66 PAC</t>
        </is>
      </c>
      <c r="D3581" t="inlineStr">
        <is>
          <t>BICE FOR CONGRESS</t>
        </is>
      </c>
      <c r="E3581" t="inlineStr">
        <is>
          <t>H0OK05205</t>
        </is>
      </c>
      <c r="F3581" t="inlineStr">
        <is>
          <t>REP</t>
        </is>
      </c>
      <c r="G3581" t="inlineStr">
        <is>
          <t>03202025</t>
        </is>
      </c>
      <c r="H3581" t="n">
        <v>2500</v>
      </c>
      <c r="I3581" t="inlineStr">
        <is>
          <t>202504189756150997</t>
        </is>
      </c>
      <c r="J3581" t="inlineStr">
        <is>
          <t>https://docquery.fec.gov/cgi-bin/fecimg/?202504189756150997</t>
        </is>
      </c>
    </row>
    <row r="3582">
      <c r="A3582" t="inlineStr">
        <is>
          <t>2026</t>
        </is>
      </c>
      <c r="B3582" t="inlineStr">
        <is>
          <t>C00513549</t>
        </is>
      </c>
      <c r="C3582" t="inlineStr">
        <is>
          <t>Phillips 66 PAC</t>
        </is>
      </c>
      <c r="D3582" t="inlineStr">
        <is>
          <t>ELECTGABEEVANS.COM</t>
        </is>
      </c>
      <c r="E3582" t="inlineStr">
        <is>
          <t>H4CO08034</t>
        </is>
      </c>
      <c r="F3582" t="inlineStr">
        <is>
          <t>REP</t>
        </is>
      </c>
      <c r="G3582" t="inlineStr">
        <is>
          <t>03202025</t>
        </is>
      </c>
      <c r="H3582" t="n">
        <v>2500</v>
      </c>
      <c r="I3582" t="inlineStr">
        <is>
          <t>202504189756150998</t>
        </is>
      </c>
      <c r="J3582" t="inlineStr">
        <is>
          <t>https://docquery.fec.gov/cgi-bin/fecimg/?202504189756150998</t>
        </is>
      </c>
    </row>
    <row r="3583">
      <c r="A3583" t="inlineStr">
        <is>
          <t>2026</t>
        </is>
      </c>
      <c r="B3583" t="inlineStr">
        <is>
          <t>C00513549</t>
        </is>
      </c>
      <c r="C3583" t="inlineStr">
        <is>
          <t>Phillips 66 PAC</t>
        </is>
      </c>
      <c r="D3583" t="inlineStr">
        <is>
          <t>JASON SMITH FOR CONGRESS</t>
        </is>
      </c>
      <c r="E3583" t="inlineStr">
        <is>
          <t>H4MO08162</t>
        </is>
      </c>
      <c r="F3583" t="inlineStr">
        <is>
          <t>REP</t>
        </is>
      </c>
      <c r="G3583" t="inlineStr">
        <is>
          <t>03202025</t>
        </is>
      </c>
      <c r="H3583" t="n">
        <v>2500</v>
      </c>
      <c r="I3583" t="inlineStr">
        <is>
          <t>202504189756151001</t>
        </is>
      </c>
      <c r="J3583" t="inlineStr">
        <is>
          <t>https://docquery.fec.gov/cgi-bin/fecimg/?202504189756151001</t>
        </is>
      </c>
    </row>
    <row r="3584">
      <c r="A3584" t="inlineStr">
        <is>
          <t>2026</t>
        </is>
      </c>
      <c r="B3584" t="inlineStr">
        <is>
          <t>C00513549</t>
        </is>
      </c>
      <c r="C3584" t="inlineStr">
        <is>
          <t>Phillips 66 PAC</t>
        </is>
      </c>
      <c r="D3584" t="inlineStr">
        <is>
          <t>MIKE CRAPO FOR US SENATE</t>
        </is>
      </c>
      <c r="E3584" t="inlineStr">
        <is>
          <t>S8ID00027</t>
        </is>
      </c>
      <c r="F3584" t="inlineStr">
        <is>
          <t>REP</t>
        </is>
      </c>
      <c r="G3584" t="inlineStr">
        <is>
          <t>03202025</t>
        </is>
      </c>
      <c r="H3584" t="n">
        <v>5000</v>
      </c>
      <c r="I3584" t="inlineStr">
        <is>
          <t>202504189756151002</t>
        </is>
      </c>
      <c r="J3584" t="inlineStr">
        <is>
          <t>https://docquery.fec.gov/cgi-bin/fecimg/?202504189756151002</t>
        </is>
      </c>
    </row>
    <row r="3585">
      <c r="A3585" t="inlineStr">
        <is>
          <t>2026</t>
        </is>
      </c>
      <c r="B3585" t="inlineStr">
        <is>
          <t>C00513549</t>
        </is>
      </c>
      <c r="C3585" t="inlineStr">
        <is>
          <t>Phillips 66 PAC</t>
        </is>
      </c>
      <c r="D3585" t="inlineStr">
        <is>
          <t>MIKE THOMPSON FOR CONGRESS</t>
        </is>
      </c>
      <c r="E3585" t="inlineStr">
        <is>
          <t>H8CA01109</t>
        </is>
      </c>
      <c r="F3585" t="inlineStr">
        <is>
          <t>DEM</t>
        </is>
      </c>
      <c r="G3585" t="inlineStr">
        <is>
          <t>03202025</t>
        </is>
      </c>
      <c r="H3585" t="n">
        <v>2000</v>
      </c>
      <c r="I3585" t="inlineStr">
        <is>
          <t>202504189756151002</t>
        </is>
      </c>
      <c r="J3585" t="inlineStr">
        <is>
          <t>https://docquery.fec.gov/cgi-bin/fecimg/?202504189756151002</t>
        </is>
      </c>
    </row>
    <row r="3586">
      <c r="A3586" t="inlineStr">
        <is>
          <t>2026</t>
        </is>
      </c>
      <c r="B3586" t="inlineStr">
        <is>
          <t>C00513549</t>
        </is>
      </c>
      <c r="C3586" t="inlineStr">
        <is>
          <t>Phillips 66 PAC</t>
        </is>
      </c>
      <c r="D3586" t="inlineStr">
        <is>
          <t>SCALISE FOR CONGRESS</t>
        </is>
      </c>
      <c r="E3586" t="inlineStr">
        <is>
          <t>H0LA01087</t>
        </is>
      </c>
      <c r="F3586" t="inlineStr">
        <is>
          <t>REP</t>
        </is>
      </c>
      <c r="G3586" t="inlineStr">
        <is>
          <t>03202025</t>
        </is>
      </c>
      <c r="H3586" t="n">
        <v>2500</v>
      </c>
      <c r="I3586" t="inlineStr">
        <is>
          <t>202504189756151003</t>
        </is>
      </c>
      <c r="J3586" t="inlineStr">
        <is>
          <t>https://docquery.fec.gov/cgi-bin/fecimg/?202504189756151003</t>
        </is>
      </c>
    </row>
    <row r="3587">
      <c r="A3587" t="inlineStr">
        <is>
          <t>2026</t>
        </is>
      </c>
      <c r="B3587" t="inlineStr">
        <is>
          <t>C00513549</t>
        </is>
      </c>
      <c r="C3587" t="inlineStr">
        <is>
          <t>Phillips 66 PAC</t>
        </is>
      </c>
      <c r="D3587" t="inlineStr">
        <is>
          <t>VICENTE GONZALEZ FOR CONGRESS</t>
        </is>
      </c>
      <c r="E3587" t="inlineStr">
        <is>
          <t>H6TX15162</t>
        </is>
      </c>
      <c r="F3587" t="inlineStr">
        <is>
          <t>DEM</t>
        </is>
      </c>
      <c r="G3587" t="inlineStr">
        <is>
          <t>03202025</t>
        </is>
      </c>
      <c r="H3587" t="n">
        <v>2500</v>
      </c>
      <c r="I3587" t="inlineStr">
        <is>
          <t>202504189756151003</t>
        </is>
      </c>
      <c r="J3587" t="inlineStr">
        <is>
          <t>https://docquery.fec.gov/cgi-bin/fecimg/?202504189756151003</t>
        </is>
      </c>
    </row>
    <row r="3588">
      <c r="A3588" t="inlineStr">
        <is>
          <t>2026</t>
        </is>
      </c>
      <c r="B3588" t="inlineStr">
        <is>
          <t>C00513549</t>
        </is>
      </c>
      <c r="C3588" t="inlineStr">
        <is>
          <t>Phillips 66 PAC</t>
        </is>
      </c>
      <c r="D3588" t="inlineStr">
        <is>
          <t>HUDSON FOR CONGRESS</t>
        </is>
      </c>
      <c r="E3588" t="inlineStr">
        <is>
          <t>H2NC08185</t>
        </is>
      </c>
      <c r="F3588" t="inlineStr">
        <is>
          <t>REP</t>
        </is>
      </c>
      <c r="G3588" t="inlineStr">
        <is>
          <t>03202025</t>
        </is>
      </c>
      <c r="H3588" t="n">
        <v>2500</v>
      </c>
      <c r="I3588" t="inlineStr">
        <is>
          <t>202504189756151000</t>
        </is>
      </c>
      <c r="J3588" t="inlineStr">
        <is>
          <t>https://docquery.fec.gov/cgi-bin/fecimg/?202504189756151000</t>
        </is>
      </c>
    </row>
    <row r="3589">
      <c r="A3589" t="inlineStr">
        <is>
          <t>2026</t>
        </is>
      </c>
      <c r="B3589" t="inlineStr">
        <is>
          <t>C00513549</t>
        </is>
      </c>
      <c r="C3589" t="inlineStr">
        <is>
          <t>Phillips 66 PAC</t>
        </is>
      </c>
      <c r="D3589" t="inlineStr">
        <is>
          <t>ALASKANS FOR DAN SULLIVAN</t>
        </is>
      </c>
      <c r="E3589" t="inlineStr">
        <is>
          <t>S4AK00214</t>
        </is>
      </c>
      <c r="F3589" t="inlineStr">
        <is>
          <t>REP</t>
        </is>
      </c>
      <c r="G3589" t="inlineStr">
        <is>
          <t>03252026</t>
        </is>
      </c>
      <c r="H3589" t="n">
        <v>3000</v>
      </c>
      <c r="I3589" t="inlineStr">
        <is>
          <t>202604209863282086</t>
        </is>
      </c>
      <c r="J3589" t="inlineStr">
        <is>
          <t>https://docquery.fec.gov/cgi-bin/fecimg/?202604209863282086</t>
        </is>
      </c>
    </row>
    <row r="3590">
      <c r="A3590" t="inlineStr">
        <is>
          <t>2026</t>
        </is>
      </c>
      <c r="B3590" t="inlineStr">
        <is>
          <t>C00513549</t>
        </is>
      </c>
      <c r="C3590" t="inlineStr">
        <is>
          <t>Phillips 66 PAC</t>
        </is>
      </c>
      <c r="D3590" t="inlineStr">
        <is>
          <t>ALASKANS FOR DAN SULLIVAN</t>
        </is>
      </c>
      <c r="E3590" t="inlineStr">
        <is>
          <t>S4AK00214</t>
        </is>
      </c>
      <c r="F3590" t="inlineStr">
        <is>
          <t>REP</t>
        </is>
      </c>
      <c r="G3590" t="inlineStr">
        <is>
          <t>03252026</t>
        </is>
      </c>
      <c r="H3590" t="n">
        <v>2000</v>
      </c>
      <c r="I3590" t="inlineStr">
        <is>
          <t>202604209863282086</t>
        </is>
      </c>
      <c r="J3590" t="inlineStr">
        <is>
          <t>https://docquery.fec.gov/cgi-bin/fecimg/?202604209863282086</t>
        </is>
      </c>
    </row>
    <row r="3591">
      <c r="A3591" t="inlineStr">
        <is>
          <t>2026</t>
        </is>
      </c>
      <c r="B3591" t="inlineStr">
        <is>
          <t>C00513549</t>
        </is>
      </c>
      <c r="C3591" t="inlineStr">
        <is>
          <t>Phillips 66 PAC</t>
        </is>
      </c>
      <c r="D3591" t="inlineStr">
        <is>
          <t>AUGUST PFLUGER FOR CONGRESS</t>
        </is>
      </c>
      <c r="E3591" t="inlineStr">
        <is>
          <t>H0TX11230</t>
        </is>
      </c>
      <c r="F3591" t="inlineStr">
        <is>
          <t>REP</t>
        </is>
      </c>
      <c r="G3591" t="inlineStr">
        <is>
          <t>03252026</t>
        </is>
      </c>
      <c r="H3591" t="n">
        <v>2500</v>
      </c>
      <c r="I3591" t="inlineStr">
        <is>
          <t>202604209863282086</t>
        </is>
      </c>
      <c r="J3591" t="inlineStr">
        <is>
          <t>https://docquery.fec.gov/cgi-bin/fecimg/?202604209863282086</t>
        </is>
      </c>
    </row>
    <row r="3592">
      <c r="A3592" t="inlineStr">
        <is>
          <t>2026</t>
        </is>
      </c>
      <c r="B3592" t="inlineStr">
        <is>
          <t>C00513549</t>
        </is>
      </c>
      <c r="C3592" t="inlineStr">
        <is>
          <t>Phillips 66 PAC</t>
        </is>
      </c>
      <c r="D3592" t="inlineStr">
        <is>
          <t>BICE FOR CONGRESS</t>
        </is>
      </c>
      <c r="E3592" t="inlineStr">
        <is>
          <t>H0OK05205</t>
        </is>
      </c>
      <c r="F3592" t="inlineStr">
        <is>
          <t>REP</t>
        </is>
      </c>
      <c r="G3592" t="inlineStr">
        <is>
          <t>03252026</t>
        </is>
      </c>
      <c r="H3592" t="n">
        <v>2500</v>
      </c>
      <c r="I3592" t="inlineStr">
        <is>
          <t>202604209863282087</t>
        </is>
      </c>
      <c r="J3592" t="inlineStr">
        <is>
          <t>https://docquery.fec.gov/cgi-bin/fecimg/?202604209863282087</t>
        </is>
      </c>
    </row>
    <row r="3593">
      <c r="A3593" t="inlineStr">
        <is>
          <t>2026</t>
        </is>
      </c>
      <c r="B3593" t="inlineStr">
        <is>
          <t>C00513549</t>
        </is>
      </c>
      <c r="C3593" t="inlineStr">
        <is>
          <t>Phillips 66 PAC</t>
        </is>
      </c>
      <c r="D3593" t="inlineStr">
        <is>
          <t>CAREY FOR CONGRESS</t>
        </is>
      </c>
      <c r="E3593" t="inlineStr">
        <is>
          <t>H2OH15228</t>
        </is>
      </c>
      <c r="F3593" t="inlineStr">
        <is>
          <t>REP</t>
        </is>
      </c>
      <c r="G3593" t="inlineStr">
        <is>
          <t>03252026</t>
        </is>
      </c>
      <c r="H3593" t="n">
        <v>2500</v>
      </c>
      <c r="I3593" t="inlineStr">
        <is>
          <t>202604209863282087</t>
        </is>
      </c>
      <c r="J3593" t="inlineStr">
        <is>
          <t>https://docquery.fec.gov/cgi-bin/fecimg/?202604209863282087</t>
        </is>
      </c>
    </row>
    <row r="3594">
      <c r="A3594" t="inlineStr">
        <is>
          <t>2026</t>
        </is>
      </c>
      <c r="B3594" t="inlineStr">
        <is>
          <t>C00513549</t>
        </is>
      </c>
      <c r="C3594" t="inlineStr">
        <is>
          <t>Phillips 66 PAC</t>
        </is>
      </c>
      <c r="D3594" t="inlineStr">
        <is>
          <t>DON DAVIS FOR NC</t>
        </is>
      </c>
      <c r="E3594" t="inlineStr">
        <is>
          <t>H2NC02287</t>
        </is>
      </c>
      <c r="F3594" t="inlineStr">
        <is>
          <t>DEM</t>
        </is>
      </c>
      <c r="G3594" t="inlineStr">
        <is>
          <t>03252026</t>
        </is>
      </c>
      <c r="H3594" t="n">
        <v>2500</v>
      </c>
      <c r="I3594" t="inlineStr">
        <is>
          <t>202604209863282087</t>
        </is>
      </c>
      <c r="J3594" t="inlineStr">
        <is>
          <t>https://docquery.fec.gov/cgi-bin/fecimg/?202604209863282087</t>
        </is>
      </c>
    </row>
    <row r="3595">
      <c r="A3595" t="inlineStr">
        <is>
          <t>2026</t>
        </is>
      </c>
      <c r="B3595" t="inlineStr">
        <is>
          <t>C00513549</t>
        </is>
      </c>
      <c r="C3595" t="inlineStr">
        <is>
          <t>Phillips 66 PAC</t>
        </is>
      </c>
      <c r="D3595" t="inlineStr">
        <is>
          <t>FEDORCHAK FOR ND</t>
        </is>
      </c>
      <c r="E3595" t="inlineStr">
        <is>
          <t>H4ND00061</t>
        </is>
      </c>
      <c r="F3595" t="inlineStr">
        <is>
          <t>REP</t>
        </is>
      </c>
      <c r="G3595" t="inlineStr">
        <is>
          <t>03252026</t>
        </is>
      </c>
      <c r="H3595" t="n">
        <v>2500</v>
      </c>
      <c r="I3595" t="inlineStr">
        <is>
          <t>202604209863282088</t>
        </is>
      </c>
      <c r="J3595" t="inlineStr">
        <is>
          <t>https://docquery.fec.gov/cgi-bin/fecimg/?202604209863282088</t>
        </is>
      </c>
    </row>
    <row r="3596">
      <c r="A3596" t="inlineStr">
        <is>
          <t>2026</t>
        </is>
      </c>
      <c r="B3596" t="inlineStr">
        <is>
          <t>C00513549</t>
        </is>
      </c>
      <c r="C3596" t="inlineStr">
        <is>
          <t>Phillips 66 PAC</t>
        </is>
      </c>
      <c r="D3596" t="inlineStr">
        <is>
          <t>GUTHRIE FOR CONGRESS</t>
        </is>
      </c>
      <c r="E3596" t="inlineStr">
        <is>
          <t>H8KY02031</t>
        </is>
      </c>
      <c r="F3596" t="inlineStr">
        <is>
          <t>REP</t>
        </is>
      </c>
      <c r="G3596" t="inlineStr">
        <is>
          <t>03252026</t>
        </is>
      </c>
      <c r="H3596" t="n">
        <v>2500</v>
      </c>
      <c r="I3596" t="inlineStr">
        <is>
          <t>202604209863282088</t>
        </is>
      </c>
      <c r="J3596" t="inlineStr">
        <is>
          <t>https://docquery.fec.gov/cgi-bin/fecimg/?202604209863282088</t>
        </is>
      </c>
    </row>
    <row r="3597">
      <c r="A3597" t="inlineStr">
        <is>
          <t>2026</t>
        </is>
      </c>
      <c r="B3597" t="inlineStr">
        <is>
          <t>C00513549</t>
        </is>
      </c>
      <c r="C3597" t="inlineStr">
        <is>
          <t>Phillips 66 PAC</t>
        </is>
      </c>
      <c r="D3597" t="inlineStr">
        <is>
          <t>GUY FOR CONGRESS</t>
        </is>
      </c>
      <c r="E3597" t="inlineStr">
        <is>
          <t>H8PA18199</t>
        </is>
      </c>
      <c r="F3597" t="inlineStr">
        <is>
          <t>REP</t>
        </is>
      </c>
      <c r="G3597" t="inlineStr">
        <is>
          <t>03252026</t>
        </is>
      </c>
      <c r="H3597" t="n">
        <v>2500</v>
      </c>
      <c r="I3597" t="inlineStr">
        <is>
          <t>202604209863282088</t>
        </is>
      </c>
      <c r="J3597" t="inlineStr">
        <is>
          <t>https://docquery.fec.gov/cgi-bin/fecimg/?202604209863282088</t>
        </is>
      </c>
    </row>
    <row r="3598">
      <c r="A3598" t="inlineStr">
        <is>
          <t>2026</t>
        </is>
      </c>
      <c r="B3598" t="inlineStr">
        <is>
          <t>C00513549</t>
        </is>
      </c>
      <c r="C3598" t="inlineStr">
        <is>
          <t>Phillips 66 PAC</t>
        </is>
      </c>
      <c r="D3598" t="inlineStr">
        <is>
          <t>JEFF CRANK FOR CONGRESS</t>
        </is>
      </c>
      <c r="E3598" t="inlineStr">
        <is>
          <t>H4CO05147</t>
        </is>
      </c>
      <c r="G3598" t="inlineStr">
        <is>
          <t>03252026</t>
        </is>
      </c>
      <c r="H3598" t="n">
        <v>2500</v>
      </c>
      <c r="I3598" t="inlineStr">
        <is>
          <t>202604209863282089</t>
        </is>
      </c>
      <c r="J3598" t="inlineStr">
        <is>
          <t>https://docquery.fec.gov/cgi-bin/fecimg/?202604209863282089</t>
        </is>
      </c>
    </row>
    <row r="3599">
      <c r="A3599" t="inlineStr">
        <is>
          <t>2026</t>
        </is>
      </c>
      <c r="B3599" t="inlineStr">
        <is>
          <t>C00513549</t>
        </is>
      </c>
      <c r="C3599" t="inlineStr">
        <is>
          <t>Phillips 66 PAC</t>
        </is>
      </c>
      <c r="D3599" t="inlineStr">
        <is>
          <t>JESSICA STEINMANN FOR CONGRESS</t>
        </is>
      </c>
      <c r="E3599" t="inlineStr">
        <is>
          <t>H6TX08209</t>
        </is>
      </c>
      <c r="F3599" t="inlineStr">
        <is>
          <t>REP</t>
        </is>
      </c>
      <c r="G3599" t="inlineStr">
        <is>
          <t>03252026</t>
        </is>
      </c>
      <c r="H3599" t="n">
        <v>5000</v>
      </c>
      <c r="I3599" t="inlineStr">
        <is>
          <t>202604209863282089</t>
        </is>
      </c>
      <c r="J3599" t="inlineStr">
        <is>
          <t>https://docquery.fec.gov/cgi-bin/fecimg/?202604209863282089</t>
        </is>
      </c>
    </row>
    <row r="3600">
      <c r="A3600" t="inlineStr">
        <is>
          <t>2026</t>
        </is>
      </c>
      <c r="B3600" t="inlineStr">
        <is>
          <t>C00513549</t>
        </is>
      </c>
      <c r="C3600" t="inlineStr">
        <is>
          <t>Phillips 66 PAC</t>
        </is>
      </c>
      <c r="D3600" t="inlineStr">
        <is>
          <t>MOORE FOR WEST VIRGINIA, INC.</t>
        </is>
      </c>
      <c r="E3600" t="inlineStr">
        <is>
          <t>H4WV02205</t>
        </is>
      </c>
      <c r="F3600" t="inlineStr">
        <is>
          <t>REP</t>
        </is>
      </c>
      <c r="G3600" t="inlineStr">
        <is>
          <t>03252026</t>
        </is>
      </c>
      <c r="H3600" t="n">
        <v>2500</v>
      </c>
      <c r="I3600" t="inlineStr">
        <is>
          <t>202604209863282089</t>
        </is>
      </c>
      <c r="J3600" t="inlineStr">
        <is>
          <t>https://docquery.fec.gov/cgi-bin/fecimg/?202604209863282089</t>
        </is>
      </c>
    </row>
    <row r="3601">
      <c r="A3601" t="inlineStr">
        <is>
          <t>2026</t>
        </is>
      </c>
      <c r="B3601" t="inlineStr">
        <is>
          <t>C00513549</t>
        </is>
      </c>
      <c r="C3601" t="inlineStr">
        <is>
          <t>Phillips 66 PAC</t>
        </is>
      </c>
      <c r="D3601" t="inlineStr">
        <is>
          <t>RUDY FOR INDIANA</t>
        </is>
      </c>
      <c r="E3601" t="inlineStr">
        <is>
          <t>H2IN02295</t>
        </is>
      </c>
      <c r="F3601" t="inlineStr">
        <is>
          <t>REP</t>
        </is>
      </c>
      <c r="G3601" t="inlineStr">
        <is>
          <t>03252026</t>
        </is>
      </c>
      <c r="H3601" t="n">
        <v>2500</v>
      </c>
      <c r="I3601" t="inlineStr">
        <is>
          <t>202604209863282090</t>
        </is>
      </c>
      <c r="J3601" t="inlineStr">
        <is>
          <t>https://docquery.fec.gov/cgi-bin/fecimg/?202604209863282090</t>
        </is>
      </c>
    </row>
    <row r="3602">
      <c r="A3602" t="inlineStr">
        <is>
          <t>2026</t>
        </is>
      </c>
      <c r="B3602" t="inlineStr">
        <is>
          <t>C00513549</t>
        </is>
      </c>
      <c r="C3602" t="inlineStr">
        <is>
          <t>Phillips 66 PAC</t>
        </is>
      </c>
      <c r="D3602" t="inlineStr">
        <is>
          <t>TOM BARRETT FOR CONGRESS</t>
        </is>
      </c>
      <c r="E3602" t="inlineStr">
        <is>
          <t>H2MI07123</t>
        </is>
      </c>
      <c r="F3602" t="inlineStr">
        <is>
          <t>REP</t>
        </is>
      </c>
      <c r="G3602" t="inlineStr">
        <is>
          <t>03252026</t>
        </is>
      </c>
      <c r="H3602" t="n">
        <v>2500</v>
      </c>
      <c r="I3602" t="inlineStr">
        <is>
          <t>202604209863282090</t>
        </is>
      </c>
      <c r="J3602" t="inlineStr">
        <is>
          <t>https://docquery.fec.gov/cgi-bin/fecimg/?202604209863282090</t>
        </is>
      </c>
    </row>
    <row r="3603">
      <c r="A3603" t="inlineStr">
        <is>
          <t>2026</t>
        </is>
      </c>
      <c r="B3603" t="inlineStr">
        <is>
          <t>C00513549</t>
        </is>
      </c>
      <c r="C3603" t="inlineStr">
        <is>
          <t>Phillips 66 PAC</t>
        </is>
      </c>
      <c r="D3603" t="inlineStr">
        <is>
          <t>ANDY BARR FOR CONGRESS, INC.</t>
        </is>
      </c>
      <c r="E3603" t="inlineStr">
        <is>
          <t>H0KY06104</t>
        </is>
      </c>
      <c r="F3603" t="inlineStr">
        <is>
          <t>REP</t>
        </is>
      </c>
      <c r="G3603" t="inlineStr">
        <is>
          <t>04112025</t>
        </is>
      </c>
      <c r="H3603" t="n">
        <v>2500</v>
      </c>
      <c r="I3603" t="inlineStr">
        <is>
          <t>202505199761341122</t>
        </is>
      </c>
      <c r="J3603" t="inlineStr">
        <is>
          <t>https://docquery.fec.gov/cgi-bin/fecimg/?202505199761341122</t>
        </is>
      </c>
    </row>
    <row r="3604">
      <c r="A3604" t="inlineStr">
        <is>
          <t>2026</t>
        </is>
      </c>
      <c r="B3604" t="inlineStr">
        <is>
          <t>C00513549</t>
        </is>
      </c>
      <c r="C3604" t="inlineStr">
        <is>
          <t>Phillips 66 PAC</t>
        </is>
      </c>
      <c r="D3604" t="inlineStr">
        <is>
          <t>ASHLEY HINSON FOR CONGRESS</t>
        </is>
      </c>
      <c r="E3604" t="inlineStr">
        <is>
          <t>H0IA01174</t>
        </is>
      </c>
      <c r="F3604" t="inlineStr">
        <is>
          <t>REP</t>
        </is>
      </c>
      <c r="G3604" t="inlineStr">
        <is>
          <t>04112025</t>
        </is>
      </c>
      <c r="H3604" t="n">
        <v>2500</v>
      </c>
      <c r="I3604" t="inlineStr">
        <is>
          <t>202505199761341122</t>
        </is>
      </c>
      <c r="J3604" t="inlineStr">
        <is>
          <t>https://docquery.fec.gov/cgi-bin/fecimg/?202505199761341122</t>
        </is>
      </c>
    </row>
    <row r="3605">
      <c r="A3605" t="inlineStr">
        <is>
          <t>2026</t>
        </is>
      </c>
      <c r="B3605" t="inlineStr">
        <is>
          <t>C00513549</t>
        </is>
      </c>
      <c r="C3605" t="inlineStr">
        <is>
          <t>Phillips 66 PAC</t>
        </is>
      </c>
      <c r="D3605" t="inlineStr">
        <is>
          <t>BALDERSON FOR CONGRESS</t>
        </is>
      </c>
      <c r="E3605" t="inlineStr">
        <is>
          <t>H8OH12180</t>
        </is>
      </c>
      <c r="F3605" t="inlineStr">
        <is>
          <t>REP</t>
        </is>
      </c>
      <c r="G3605" t="inlineStr">
        <is>
          <t>04112025</t>
        </is>
      </c>
      <c r="H3605" t="n">
        <v>2500</v>
      </c>
      <c r="I3605" t="inlineStr">
        <is>
          <t>202505199761341123</t>
        </is>
      </c>
      <c r="J3605" t="inlineStr">
        <is>
          <t>https://docquery.fec.gov/cgi-bin/fecimg/?202505199761341123</t>
        </is>
      </c>
    </row>
    <row r="3606">
      <c r="A3606" t="inlineStr">
        <is>
          <t>2026</t>
        </is>
      </c>
      <c r="B3606" t="inlineStr">
        <is>
          <t>C00513549</t>
        </is>
      </c>
      <c r="C3606" t="inlineStr">
        <is>
          <t>Phillips 66 PAC</t>
        </is>
      </c>
      <c r="D3606" t="inlineStr">
        <is>
          <t>DAN CRENSHAW FOR CONGRESS</t>
        </is>
      </c>
      <c r="E3606" t="inlineStr">
        <is>
          <t>H8TX02166</t>
        </is>
      </c>
      <c r="F3606" t="inlineStr">
        <is>
          <t>REP</t>
        </is>
      </c>
      <c r="G3606" t="inlineStr">
        <is>
          <t>04112025</t>
        </is>
      </c>
      <c r="H3606" t="n">
        <v>2500</v>
      </c>
      <c r="I3606" t="inlineStr">
        <is>
          <t>202505199761341123</t>
        </is>
      </c>
      <c r="J3606" t="inlineStr">
        <is>
          <t>https://docquery.fec.gov/cgi-bin/fecimg/?202505199761341123</t>
        </is>
      </c>
    </row>
    <row r="3607">
      <c r="A3607" t="inlineStr">
        <is>
          <t>2026</t>
        </is>
      </c>
      <c r="B3607" t="inlineStr">
        <is>
          <t>C00513549</t>
        </is>
      </c>
      <c r="C3607" t="inlineStr">
        <is>
          <t>Phillips 66 PAC</t>
        </is>
      </c>
      <c r="D3607" t="inlineStr">
        <is>
          <t>ELIZABETH PANNILL FLETCHER FOR CONGRESS</t>
        </is>
      </c>
      <c r="E3607" t="inlineStr">
        <is>
          <t>H8TX07140</t>
        </is>
      </c>
      <c r="F3607" t="inlineStr">
        <is>
          <t>DEM</t>
        </is>
      </c>
      <c r="G3607" t="inlineStr">
        <is>
          <t>04112025</t>
        </is>
      </c>
      <c r="H3607" t="n">
        <v>2500</v>
      </c>
      <c r="I3607" t="inlineStr">
        <is>
          <t>202505199761341123</t>
        </is>
      </c>
      <c r="J3607" t="inlineStr">
        <is>
          <t>https://docquery.fec.gov/cgi-bin/fecimg/?202505199761341123</t>
        </is>
      </c>
    </row>
    <row r="3608">
      <c r="A3608" t="inlineStr">
        <is>
          <t>2026</t>
        </is>
      </c>
      <c r="B3608" t="inlineStr">
        <is>
          <t>C00513549</t>
        </is>
      </c>
      <c r="C3608" t="inlineStr">
        <is>
          <t>Phillips 66 PAC</t>
        </is>
      </c>
      <c r="D3608" t="inlineStr">
        <is>
          <t>JIM RISCH FOR U S SENATE COMMITTEE</t>
        </is>
      </c>
      <c r="E3608" t="inlineStr">
        <is>
          <t>S8ID00092</t>
        </is>
      </c>
      <c r="F3608" t="inlineStr">
        <is>
          <t>UNK</t>
        </is>
      </c>
      <c r="G3608" t="inlineStr">
        <is>
          <t>04112025</t>
        </is>
      </c>
      <c r="H3608" t="n">
        <v>2500</v>
      </c>
      <c r="I3608" t="inlineStr">
        <is>
          <t>202505199761341125</t>
        </is>
      </c>
      <c r="J3608" t="inlineStr">
        <is>
          <t>https://docquery.fec.gov/cgi-bin/fecimg/?202505199761341125</t>
        </is>
      </c>
    </row>
    <row r="3609">
      <c r="A3609" t="inlineStr">
        <is>
          <t>2026</t>
        </is>
      </c>
      <c r="B3609" t="inlineStr">
        <is>
          <t>C00513549</t>
        </is>
      </c>
      <c r="C3609" t="inlineStr">
        <is>
          <t>Phillips 66 PAC</t>
        </is>
      </c>
      <c r="D3609" t="inlineStr">
        <is>
          <t>KAT FOR CONGRESS</t>
        </is>
      </c>
      <c r="E3609" t="inlineStr">
        <is>
          <t>H0FL03175</t>
        </is>
      </c>
      <c r="F3609" t="inlineStr">
        <is>
          <t>REP</t>
        </is>
      </c>
      <c r="G3609" t="inlineStr">
        <is>
          <t>04112025</t>
        </is>
      </c>
      <c r="H3609" t="n">
        <v>2500</v>
      </c>
      <c r="I3609" t="inlineStr">
        <is>
          <t>202505199761341126</t>
        </is>
      </c>
      <c r="J3609" t="inlineStr">
        <is>
          <t>https://docquery.fec.gov/cgi-bin/fecimg/?202505199761341126</t>
        </is>
      </c>
    </row>
    <row r="3610">
      <c r="A3610" t="inlineStr">
        <is>
          <t>2026</t>
        </is>
      </c>
      <c r="B3610" t="inlineStr">
        <is>
          <t>C00513549</t>
        </is>
      </c>
      <c r="C3610" t="inlineStr">
        <is>
          <t>Phillips 66 PAC</t>
        </is>
      </c>
      <c r="D3610" t="inlineStr">
        <is>
          <t>KEAN FOR CONGRESS INC</t>
        </is>
      </c>
      <c r="E3610" t="inlineStr">
        <is>
          <t>H0NJ07261</t>
        </is>
      </c>
      <c r="F3610" t="inlineStr">
        <is>
          <t>REP</t>
        </is>
      </c>
      <c r="G3610" t="inlineStr">
        <is>
          <t>04112025</t>
        </is>
      </c>
      <c r="H3610" t="n">
        <v>2500</v>
      </c>
      <c r="I3610" t="inlineStr">
        <is>
          <t>202505199761341126</t>
        </is>
      </c>
      <c r="J3610" t="inlineStr">
        <is>
          <t>https://docquery.fec.gov/cgi-bin/fecimg/?202505199761341126</t>
        </is>
      </c>
    </row>
    <row r="3611">
      <c r="A3611" t="inlineStr">
        <is>
          <t>2026</t>
        </is>
      </c>
      <c r="B3611" t="inlineStr">
        <is>
          <t>C00513549</t>
        </is>
      </c>
      <c r="C3611" t="inlineStr">
        <is>
          <t>Phillips 66 PAC</t>
        </is>
      </c>
      <c r="D3611" t="inlineStr">
        <is>
          <t>LATTA FOR CONGRESS</t>
        </is>
      </c>
      <c r="E3611" t="inlineStr">
        <is>
          <t>H8OH05036</t>
        </is>
      </c>
      <c r="F3611" t="inlineStr">
        <is>
          <t>REP</t>
        </is>
      </c>
      <c r="G3611" t="inlineStr">
        <is>
          <t>04112025</t>
        </is>
      </c>
      <c r="H3611" t="n">
        <v>2500</v>
      </c>
      <c r="I3611" t="inlineStr">
        <is>
          <t>202505199761341127</t>
        </is>
      </c>
      <c r="J3611" t="inlineStr">
        <is>
          <t>https://docquery.fec.gov/cgi-bin/fecimg/?202505199761341127</t>
        </is>
      </c>
    </row>
    <row r="3612">
      <c r="A3612" t="inlineStr">
        <is>
          <t>2026</t>
        </is>
      </c>
      <c r="B3612" t="inlineStr">
        <is>
          <t>C00513549</t>
        </is>
      </c>
      <c r="C3612" t="inlineStr">
        <is>
          <t>Phillips 66 PAC</t>
        </is>
      </c>
      <c r="D3612" t="inlineStr">
        <is>
          <t>LISA MCCLAIN FOR CONGRESS</t>
        </is>
      </c>
      <c r="E3612" t="inlineStr">
        <is>
          <t>H0MI10287</t>
        </is>
      </c>
      <c r="F3612" t="inlineStr">
        <is>
          <t>REP</t>
        </is>
      </c>
      <c r="G3612" t="inlineStr">
        <is>
          <t>04112025</t>
        </is>
      </c>
      <c r="H3612" t="n">
        <v>2500</v>
      </c>
      <c r="I3612" t="inlineStr">
        <is>
          <t>202505199761341128</t>
        </is>
      </c>
      <c r="J3612" t="inlineStr">
        <is>
          <t>https://docquery.fec.gov/cgi-bin/fecimg/?202505199761341128</t>
        </is>
      </c>
    </row>
    <row r="3613">
      <c r="A3613" t="inlineStr">
        <is>
          <t>2026</t>
        </is>
      </c>
      <c r="B3613" t="inlineStr">
        <is>
          <t>C00513549</t>
        </is>
      </c>
      <c r="C3613" t="inlineStr">
        <is>
          <t>Phillips 66 PAC</t>
        </is>
      </c>
      <c r="D3613" t="inlineStr">
        <is>
          <t>LUMMIS FOR WYOMING INC.</t>
        </is>
      </c>
      <c r="E3613" t="inlineStr">
        <is>
          <t>S0WY00137</t>
        </is>
      </c>
      <c r="F3613" t="inlineStr">
        <is>
          <t>REP</t>
        </is>
      </c>
      <c r="G3613" t="inlineStr">
        <is>
          <t>04112025</t>
        </is>
      </c>
      <c r="H3613" t="n">
        <v>5000</v>
      </c>
      <c r="I3613" t="inlineStr">
        <is>
          <t>202505199761341128</t>
        </is>
      </c>
      <c r="J3613" t="inlineStr">
        <is>
          <t>https://docquery.fec.gov/cgi-bin/fecimg/?202505199761341128</t>
        </is>
      </c>
    </row>
    <row r="3614">
      <c r="A3614" t="inlineStr">
        <is>
          <t>2026</t>
        </is>
      </c>
      <c r="B3614" t="inlineStr">
        <is>
          <t>C00513549</t>
        </is>
      </c>
      <c r="C3614" t="inlineStr">
        <is>
          <t>Phillips 66 PAC</t>
        </is>
      </c>
      <c r="D3614" t="inlineStr">
        <is>
          <t>MULLIN FOR AMERICA</t>
        </is>
      </c>
      <c r="E3614" t="inlineStr">
        <is>
          <t>S2OK00186</t>
        </is>
      </c>
      <c r="F3614" t="inlineStr">
        <is>
          <t>REP</t>
        </is>
      </c>
      <c r="G3614" t="inlineStr">
        <is>
          <t>04112025</t>
        </is>
      </c>
      <c r="H3614" t="n">
        <v>5000</v>
      </c>
      <c r="I3614" t="inlineStr">
        <is>
          <t>202505199761341128</t>
        </is>
      </c>
      <c r="J3614" t="inlineStr">
        <is>
          <t>https://docquery.fec.gov/cgi-bin/fecimg/?202505199761341128</t>
        </is>
      </c>
    </row>
    <row r="3615">
      <c r="A3615" t="inlineStr">
        <is>
          <t>2026</t>
        </is>
      </c>
      <c r="B3615" t="inlineStr">
        <is>
          <t>C00513549</t>
        </is>
      </c>
      <c r="C3615" t="inlineStr">
        <is>
          <t>Phillips 66 PAC</t>
        </is>
      </c>
      <c r="D3615" t="inlineStr">
        <is>
          <t>NATHANIEL MORAN FOR CONGRESS</t>
        </is>
      </c>
      <c r="E3615" t="inlineStr">
        <is>
          <t>H2TX01112</t>
        </is>
      </c>
      <c r="F3615" t="inlineStr">
        <is>
          <t>REP</t>
        </is>
      </c>
      <c r="G3615" t="inlineStr">
        <is>
          <t>04112025</t>
        </is>
      </c>
      <c r="H3615" t="n">
        <v>2500</v>
      </c>
      <c r="I3615" t="inlineStr">
        <is>
          <t>202505199761341129</t>
        </is>
      </c>
      <c r="J3615" t="inlineStr">
        <is>
          <t>https://docquery.fec.gov/cgi-bin/fecimg/?202505199761341129</t>
        </is>
      </c>
    </row>
    <row r="3616">
      <c r="A3616" t="inlineStr">
        <is>
          <t>2026</t>
        </is>
      </c>
      <c r="B3616" t="inlineStr">
        <is>
          <t>C00513549</t>
        </is>
      </c>
      <c r="C3616" t="inlineStr">
        <is>
          <t>Phillips 66 PAC</t>
        </is>
      </c>
      <c r="D3616" t="inlineStr">
        <is>
          <t>PETE RICKETTS FOR SENATE</t>
        </is>
      </c>
      <c r="E3616" t="inlineStr">
        <is>
          <t>S4NE00173</t>
        </is>
      </c>
      <c r="G3616" t="inlineStr">
        <is>
          <t>04112025</t>
        </is>
      </c>
      <c r="H3616" t="n">
        <v>1000</v>
      </c>
      <c r="I3616" t="inlineStr">
        <is>
          <t>202505199761341129</t>
        </is>
      </c>
      <c r="J3616" t="inlineStr">
        <is>
          <t>https://docquery.fec.gov/cgi-bin/fecimg/?202505199761341129</t>
        </is>
      </c>
    </row>
    <row r="3617">
      <c r="A3617" t="inlineStr">
        <is>
          <t>2026</t>
        </is>
      </c>
      <c r="B3617" t="inlineStr">
        <is>
          <t>C00513549</t>
        </is>
      </c>
      <c r="C3617" t="inlineStr">
        <is>
          <t>Phillips 66 PAC</t>
        </is>
      </c>
      <c r="D3617" t="inlineStr">
        <is>
          <t>JOSH FOR JERSEY</t>
        </is>
      </c>
      <c r="E3617" t="inlineStr">
        <is>
          <t>H6NJ05171</t>
        </is>
      </c>
      <c r="F3617" t="inlineStr">
        <is>
          <t>DEM</t>
        </is>
      </c>
      <c r="G3617" t="inlineStr">
        <is>
          <t>04182026</t>
        </is>
      </c>
      <c r="H3617" t="n">
        <v>2500</v>
      </c>
      <c r="I3617" t="inlineStr">
        <is>
          <t>202605199867428784</t>
        </is>
      </c>
      <c r="J3617" t="inlineStr">
        <is>
          <t>https://docquery.fec.gov/cgi-bin/fecimg/?202605199867428784</t>
        </is>
      </c>
    </row>
    <row r="3618">
      <c r="A3618" t="inlineStr">
        <is>
          <t>2026</t>
        </is>
      </c>
      <c r="B3618" t="inlineStr">
        <is>
          <t>C00513549</t>
        </is>
      </c>
      <c r="C3618" t="inlineStr">
        <is>
          <t>Phillips 66 PAC</t>
        </is>
      </c>
      <c r="D3618" t="inlineStr">
        <is>
          <t>KEAN FOR CONGRESS INC</t>
        </is>
      </c>
      <c r="E3618" t="inlineStr">
        <is>
          <t>H0NJ07261</t>
        </is>
      </c>
      <c r="F3618" t="inlineStr">
        <is>
          <t>REP</t>
        </is>
      </c>
      <c r="G3618" t="inlineStr">
        <is>
          <t>04182026</t>
        </is>
      </c>
      <c r="H3618" t="n">
        <v>2500</v>
      </c>
      <c r="I3618" t="inlineStr">
        <is>
          <t>202605199867428785</t>
        </is>
      </c>
      <c r="J3618" t="inlineStr">
        <is>
          <t>https://docquery.fec.gov/cgi-bin/fecimg/?202605199867428785</t>
        </is>
      </c>
    </row>
    <row r="3619">
      <c r="A3619" t="inlineStr">
        <is>
          <t>2026</t>
        </is>
      </c>
      <c r="B3619" t="inlineStr">
        <is>
          <t>C00513549</t>
        </is>
      </c>
      <c r="C3619" t="inlineStr">
        <is>
          <t>Phillips 66 PAC</t>
        </is>
      </c>
      <c r="D3619" t="inlineStr">
        <is>
          <t>LATTA FOR CONGRESS</t>
        </is>
      </c>
      <c r="E3619" t="inlineStr">
        <is>
          <t>H8OH05036</t>
        </is>
      </c>
      <c r="F3619" t="inlineStr">
        <is>
          <t>REP</t>
        </is>
      </c>
      <c r="G3619" t="inlineStr">
        <is>
          <t>04182026</t>
        </is>
      </c>
      <c r="H3619" t="n">
        <v>1500</v>
      </c>
      <c r="I3619" t="inlineStr">
        <is>
          <t>202605199867428785</t>
        </is>
      </c>
      <c r="J3619" t="inlineStr">
        <is>
          <t>https://docquery.fec.gov/cgi-bin/fecimg/?202605199867428785</t>
        </is>
      </c>
    </row>
    <row r="3620">
      <c r="A3620" t="inlineStr">
        <is>
          <t>2026</t>
        </is>
      </c>
      <c r="B3620" t="inlineStr">
        <is>
          <t>C00513549</t>
        </is>
      </c>
      <c r="C3620" t="inlineStr">
        <is>
          <t>Phillips 66 PAC</t>
        </is>
      </c>
      <c r="D3620" t="inlineStr">
        <is>
          <t>LAWLER FOR CONGRESS, INC.</t>
        </is>
      </c>
      <c r="E3620" t="inlineStr">
        <is>
          <t>H2NY17162</t>
        </is>
      </c>
      <c r="F3620" t="inlineStr">
        <is>
          <t>REP</t>
        </is>
      </c>
      <c r="G3620" t="inlineStr">
        <is>
          <t>04182026</t>
        </is>
      </c>
      <c r="H3620" t="n">
        <v>2500</v>
      </c>
      <c r="I3620" t="inlineStr">
        <is>
          <t>202605199867428785</t>
        </is>
      </c>
      <c r="J3620" t="inlineStr">
        <is>
          <t>https://docquery.fec.gov/cgi-bin/fecimg/?202605199867428785</t>
        </is>
      </c>
    </row>
    <row r="3621">
      <c r="A3621" t="inlineStr">
        <is>
          <t>2026</t>
        </is>
      </c>
      <c r="B3621" t="inlineStr">
        <is>
          <t>C00513549</t>
        </is>
      </c>
      <c r="C3621" t="inlineStr">
        <is>
          <t>Phillips 66 PAC</t>
        </is>
      </c>
      <c r="D3621" t="inlineStr">
        <is>
          <t>LUCAS FOR CONGRESS</t>
        </is>
      </c>
      <c r="E3621" t="inlineStr">
        <is>
          <t>H4OK06056</t>
        </is>
      </c>
      <c r="F3621" t="inlineStr">
        <is>
          <t>REP</t>
        </is>
      </c>
      <c r="G3621" t="inlineStr">
        <is>
          <t>04182026</t>
        </is>
      </c>
      <c r="H3621" t="n">
        <v>2500</v>
      </c>
      <c r="I3621" t="inlineStr">
        <is>
          <t>202605199867428786</t>
        </is>
      </c>
      <c r="J3621" t="inlineStr">
        <is>
          <t>https://docquery.fec.gov/cgi-bin/fecimg/?202605199867428786</t>
        </is>
      </c>
    </row>
    <row r="3622">
      <c r="A3622" t="inlineStr">
        <is>
          <t>2026</t>
        </is>
      </c>
      <c r="B3622" t="inlineStr">
        <is>
          <t>C00513549</t>
        </is>
      </c>
      <c r="C3622" t="inlineStr">
        <is>
          <t>Phillips 66 PAC</t>
        </is>
      </c>
      <c r="D3622" t="inlineStr">
        <is>
          <t>MILLER-MEEKS FOR CONGRESS</t>
        </is>
      </c>
      <c r="E3622" t="inlineStr">
        <is>
          <t>H8IA02043</t>
        </is>
      </c>
      <c r="F3622" t="inlineStr">
        <is>
          <t>REP</t>
        </is>
      </c>
      <c r="G3622" t="inlineStr">
        <is>
          <t>04182026</t>
        </is>
      </c>
      <c r="H3622" t="n">
        <v>5000</v>
      </c>
      <c r="I3622" t="inlineStr">
        <is>
          <t>202605199867428786</t>
        </is>
      </c>
      <c r="J3622" t="inlineStr">
        <is>
          <t>https://docquery.fec.gov/cgi-bin/fecimg/?202605199867428786</t>
        </is>
      </c>
    </row>
    <row r="3623">
      <c r="A3623" t="inlineStr">
        <is>
          <t>2026</t>
        </is>
      </c>
      <c r="B3623" t="inlineStr">
        <is>
          <t>C00513549</t>
        </is>
      </c>
      <c r="C3623" t="inlineStr">
        <is>
          <t>Phillips 66 PAC</t>
        </is>
      </c>
      <c r="D3623" t="inlineStr">
        <is>
          <t>NEVADANS FOR STEVEN HORSFORD</t>
        </is>
      </c>
      <c r="E3623" t="inlineStr">
        <is>
          <t>H2NV04011</t>
        </is>
      </c>
      <c r="F3623" t="inlineStr">
        <is>
          <t>DEM</t>
        </is>
      </c>
      <c r="G3623" t="inlineStr">
        <is>
          <t>04182026</t>
        </is>
      </c>
      <c r="H3623" t="n">
        <v>2500</v>
      </c>
      <c r="I3623" t="inlineStr">
        <is>
          <t>202605199867428786</t>
        </is>
      </c>
      <c r="J3623" t="inlineStr">
        <is>
          <t>https://docquery.fec.gov/cgi-bin/fecimg/?202605199867428786</t>
        </is>
      </c>
    </row>
    <row r="3624">
      <c r="A3624" t="inlineStr">
        <is>
          <t>2026</t>
        </is>
      </c>
      <c r="B3624" t="inlineStr">
        <is>
          <t>C00513549</t>
        </is>
      </c>
      <c r="C3624" t="inlineStr">
        <is>
          <t>Phillips 66 PAC</t>
        </is>
      </c>
      <c r="D3624" t="inlineStr">
        <is>
          <t>PETE RICKETTS FOR SENATE</t>
        </is>
      </c>
      <c r="E3624" t="inlineStr">
        <is>
          <t>S4NE00173</t>
        </is>
      </c>
      <c r="G3624" t="inlineStr">
        <is>
          <t>04182026</t>
        </is>
      </c>
      <c r="H3624" t="n">
        <v>3000</v>
      </c>
      <c r="I3624" t="inlineStr">
        <is>
          <t>202605199867428787</t>
        </is>
      </c>
      <c r="J3624" t="inlineStr">
        <is>
          <t>https://docquery.fec.gov/cgi-bin/fecimg/?202605199867428787</t>
        </is>
      </c>
    </row>
    <row r="3625">
      <c r="A3625" t="inlineStr">
        <is>
          <t>2026</t>
        </is>
      </c>
      <c r="B3625" t="inlineStr">
        <is>
          <t>C00513549</t>
        </is>
      </c>
      <c r="C3625" t="inlineStr">
        <is>
          <t>Phillips 66 PAC</t>
        </is>
      </c>
      <c r="D3625" t="inlineStr">
        <is>
          <t>TEXANS FOR HENRY CUELLAR CONGRESSIONAL CAMPAIGN</t>
        </is>
      </c>
      <c r="E3625" t="inlineStr">
        <is>
          <t>H2TX23082</t>
        </is>
      </c>
      <c r="F3625" t="inlineStr">
        <is>
          <t>DEM</t>
        </is>
      </c>
      <c r="G3625" t="inlineStr">
        <is>
          <t>04182026</t>
        </is>
      </c>
      <c r="H3625" t="n">
        <v>1000</v>
      </c>
      <c r="I3625" t="inlineStr">
        <is>
          <t>202605199867428787</t>
        </is>
      </c>
      <c r="J3625" t="inlineStr">
        <is>
          <t>https://docquery.fec.gov/cgi-bin/fecimg/?202605199867428787</t>
        </is>
      </c>
    </row>
    <row r="3626">
      <c r="A3626" t="inlineStr">
        <is>
          <t>2026</t>
        </is>
      </c>
      <c r="B3626" t="inlineStr">
        <is>
          <t>C00513549</t>
        </is>
      </c>
      <c r="C3626" t="inlineStr">
        <is>
          <t>Phillips 66 PAC</t>
        </is>
      </c>
      <c r="D3626" t="inlineStr">
        <is>
          <t>TEXANS FOR SENATOR JOHN CORNYN INC.</t>
        </is>
      </c>
      <c r="E3626" t="inlineStr">
        <is>
          <t>S2TX00106</t>
        </is>
      </c>
      <c r="F3626" t="inlineStr">
        <is>
          <t>REP</t>
        </is>
      </c>
      <c r="G3626" t="inlineStr">
        <is>
          <t>04182026</t>
        </is>
      </c>
      <c r="H3626" t="n">
        <v>5000</v>
      </c>
      <c r="I3626" t="inlineStr">
        <is>
          <t>202605199867428787</t>
        </is>
      </c>
      <c r="J3626" t="inlineStr">
        <is>
          <t>https://docquery.fec.gov/cgi-bin/fecimg/?202605199867428787</t>
        </is>
      </c>
    </row>
    <row r="3627">
      <c r="A3627" t="inlineStr">
        <is>
          <t>2026</t>
        </is>
      </c>
      <c r="B3627" t="inlineStr">
        <is>
          <t>C00513549</t>
        </is>
      </c>
      <c r="C3627" t="inlineStr">
        <is>
          <t>Phillips 66 PAC</t>
        </is>
      </c>
      <c r="D3627" t="inlineStr">
        <is>
          <t>TEXANS FOR SENATOR JOHN CORNYN INC.</t>
        </is>
      </c>
      <c r="E3627" t="inlineStr">
        <is>
          <t>S2TX00106</t>
        </is>
      </c>
      <c r="F3627" t="inlineStr">
        <is>
          <t>REP</t>
        </is>
      </c>
      <c r="G3627" t="inlineStr">
        <is>
          <t>04182026</t>
        </is>
      </c>
      <c r="H3627" t="n">
        <v>5000</v>
      </c>
      <c r="I3627" t="inlineStr">
        <is>
          <t>202605199867428788</t>
        </is>
      </c>
      <c r="J3627" t="inlineStr">
        <is>
          <t>https://docquery.fec.gov/cgi-bin/fecimg/?202605199867428788</t>
        </is>
      </c>
    </row>
    <row r="3628">
      <c r="A3628" t="inlineStr">
        <is>
          <t>2026</t>
        </is>
      </c>
      <c r="B3628" t="inlineStr">
        <is>
          <t>C00513549</t>
        </is>
      </c>
      <c r="C3628" t="inlineStr">
        <is>
          <t>Phillips 66 PAC</t>
        </is>
      </c>
      <c r="D3628" t="inlineStr">
        <is>
          <t>TROY DOWNING FOR CONGRESS</t>
        </is>
      </c>
      <c r="E3628" t="inlineStr">
        <is>
          <t>H4MT02098</t>
        </is>
      </c>
      <c r="F3628" t="inlineStr">
        <is>
          <t>REP</t>
        </is>
      </c>
      <c r="G3628" t="inlineStr">
        <is>
          <t>04182026</t>
        </is>
      </c>
      <c r="H3628" t="n">
        <v>4000</v>
      </c>
      <c r="I3628" t="inlineStr">
        <is>
          <t>202605199867428788</t>
        </is>
      </c>
      <c r="J3628" t="inlineStr">
        <is>
          <t>https://docquery.fec.gov/cgi-bin/fecimg/?202605199867428788</t>
        </is>
      </c>
    </row>
    <row r="3629">
      <c r="A3629" t="inlineStr">
        <is>
          <t>2026</t>
        </is>
      </c>
      <c r="B3629" t="inlineStr">
        <is>
          <t>C00513549</t>
        </is>
      </c>
      <c r="C3629" t="inlineStr">
        <is>
          <t>Phillips 66 PAC</t>
        </is>
      </c>
      <c r="D3629" t="inlineStr">
        <is>
          <t>VICENTE GONZALEZ FOR CONGRESS</t>
        </is>
      </c>
      <c r="E3629" t="inlineStr">
        <is>
          <t>H6TX15162</t>
        </is>
      </c>
      <c r="F3629" t="inlineStr">
        <is>
          <t>DEM</t>
        </is>
      </c>
      <c r="G3629" t="inlineStr">
        <is>
          <t>04182026</t>
        </is>
      </c>
      <c r="H3629" t="n">
        <v>1000</v>
      </c>
      <c r="I3629" t="inlineStr">
        <is>
          <t>202605199867428788</t>
        </is>
      </c>
      <c r="J3629" t="inlineStr">
        <is>
          <t>https://docquery.fec.gov/cgi-bin/fecimg/?202605199867428788</t>
        </is>
      </c>
    </row>
    <row r="3630">
      <c r="A3630" t="inlineStr">
        <is>
          <t>2026</t>
        </is>
      </c>
      <c r="B3630" t="inlineStr">
        <is>
          <t>C00513549</t>
        </is>
      </c>
      <c r="C3630" t="inlineStr">
        <is>
          <t>Phillips 66 PAC</t>
        </is>
      </c>
      <c r="D3630" t="inlineStr">
        <is>
          <t>ADAM GRAY FOR CONGRESS</t>
        </is>
      </c>
      <c r="E3630" t="inlineStr">
        <is>
          <t>H2CA13115</t>
        </is>
      </c>
      <c r="F3630" t="inlineStr">
        <is>
          <t>DEM</t>
        </is>
      </c>
      <c r="G3630" t="inlineStr">
        <is>
          <t>04182026</t>
        </is>
      </c>
      <c r="H3630" t="n">
        <v>1000</v>
      </c>
      <c r="I3630" t="inlineStr">
        <is>
          <t>202605199867428782</t>
        </is>
      </c>
      <c r="J3630" t="inlineStr">
        <is>
          <t>https://docquery.fec.gov/cgi-bin/fecimg/?202605199867428782</t>
        </is>
      </c>
    </row>
    <row r="3631">
      <c r="A3631" t="inlineStr">
        <is>
          <t>2026</t>
        </is>
      </c>
      <c r="B3631" t="inlineStr">
        <is>
          <t>C00513549</t>
        </is>
      </c>
      <c r="C3631" t="inlineStr">
        <is>
          <t>Phillips 66 PAC</t>
        </is>
      </c>
      <c r="D3631" t="inlineStr">
        <is>
          <t>CAPTAIN HIGGINS FOR CONGRESS</t>
        </is>
      </c>
      <c r="E3631" t="inlineStr">
        <is>
          <t>H6LA03148</t>
        </is>
      </c>
      <c r="F3631" t="inlineStr">
        <is>
          <t>REP</t>
        </is>
      </c>
      <c r="G3631" t="inlineStr">
        <is>
          <t>04182026</t>
        </is>
      </c>
      <c r="H3631" t="n">
        <v>2500</v>
      </c>
      <c r="I3631" t="inlineStr">
        <is>
          <t>202605199867428782</t>
        </is>
      </c>
      <c r="J3631" t="inlineStr">
        <is>
          <t>https://docquery.fec.gov/cgi-bin/fecimg/?202605199867428782</t>
        </is>
      </c>
    </row>
    <row r="3632">
      <c r="A3632" t="inlineStr">
        <is>
          <t>2026</t>
        </is>
      </c>
      <c r="B3632" t="inlineStr">
        <is>
          <t>C00513549</t>
        </is>
      </c>
      <c r="C3632" t="inlineStr">
        <is>
          <t>Phillips 66 PAC</t>
        </is>
      </c>
      <c r="D3632" t="inlineStr">
        <is>
          <t>COLE FOR CONGRESS</t>
        </is>
      </c>
      <c r="E3632" t="inlineStr">
        <is>
          <t>H2OK04055</t>
        </is>
      </c>
      <c r="F3632" t="inlineStr">
        <is>
          <t>REP</t>
        </is>
      </c>
      <c r="G3632" t="inlineStr">
        <is>
          <t>04182026</t>
        </is>
      </c>
      <c r="H3632" t="n">
        <v>2500</v>
      </c>
      <c r="I3632" t="inlineStr">
        <is>
          <t>202605199867428782</t>
        </is>
      </c>
      <c r="J3632" t="inlineStr">
        <is>
          <t>https://docquery.fec.gov/cgi-bin/fecimg/?202605199867428782</t>
        </is>
      </c>
    </row>
    <row r="3633">
      <c r="A3633" t="inlineStr">
        <is>
          <t>2026</t>
        </is>
      </c>
      <c r="B3633" t="inlineStr">
        <is>
          <t>C00513549</t>
        </is>
      </c>
      <c r="C3633" t="inlineStr">
        <is>
          <t>Phillips 66 PAC</t>
        </is>
      </c>
      <c r="D3633" t="inlineStr">
        <is>
          <t>HUSTED FOR SENATE</t>
        </is>
      </c>
      <c r="E3633" t="inlineStr">
        <is>
          <t>S6OH00304</t>
        </is>
      </c>
      <c r="F3633" t="inlineStr">
        <is>
          <t>REP</t>
        </is>
      </c>
      <c r="G3633" t="inlineStr">
        <is>
          <t>04182026</t>
        </is>
      </c>
      <c r="H3633" t="n">
        <v>2500</v>
      </c>
      <c r="I3633" t="inlineStr">
        <is>
          <t>202605199867428784</t>
        </is>
      </c>
      <c r="J3633" t="inlineStr">
        <is>
          <t>https://docquery.fec.gov/cgi-bin/fecimg/?202605199867428784</t>
        </is>
      </c>
    </row>
    <row r="3634">
      <c r="A3634" t="inlineStr">
        <is>
          <t>2026</t>
        </is>
      </c>
      <c r="B3634" t="inlineStr">
        <is>
          <t>C00513549</t>
        </is>
      </c>
      <c r="C3634" t="inlineStr">
        <is>
          <t>Phillips 66 PAC</t>
        </is>
      </c>
      <c r="D3634" t="inlineStr">
        <is>
          <t>COLLINS FOR SENATOR</t>
        </is>
      </c>
      <c r="E3634" t="inlineStr">
        <is>
          <t>S6ME00159</t>
        </is>
      </c>
      <c r="F3634" t="inlineStr">
        <is>
          <t>REP</t>
        </is>
      </c>
      <c r="G3634" t="inlineStr">
        <is>
          <t>04182026</t>
        </is>
      </c>
      <c r="H3634" t="n">
        <v>2500</v>
      </c>
      <c r="I3634" t="inlineStr">
        <is>
          <t>202605199867428783</t>
        </is>
      </c>
      <c r="J3634" t="inlineStr">
        <is>
          <t>https://docquery.fec.gov/cgi-bin/fecimg/?202605199867428783</t>
        </is>
      </c>
    </row>
    <row r="3635">
      <c r="A3635" t="inlineStr">
        <is>
          <t>2026</t>
        </is>
      </c>
      <c r="B3635" t="inlineStr">
        <is>
          <t>C00513549</t>
        </is>
      </c>
      <c r="C3635" t="inlineStr">
        <is>
          <t>Phillips 66 PAC</t>
        </is>
      </c>
      <c r="D3635" t="inlineStr">
        <is>
          <t>FRIENDS OF GLENN THOMPSON</t>
        </is>
      </c>
      <c r="E3635" t="inlineStr">
        <is>
          <t>H8PA05071</t>
        </is>
      </c>
      <c r="F3635" t="inlineStr">
        <is>
          <t>REP</t>
        </is>
      </c>
      <c r="G3635" t="inlineStr">
        <is>
          <t>04182026</t>
        </is>
      </c>
      <c r="H3635" t="n">
        <v>2500</v>
      </c>
      <c r="I3635" t="inlineStr">
        <is>
          <t>202605199867428783</t>
        </is>
      </c>
      <c r="J3635" t="inlineStr">
        <is>
          <t>https://docquery.fec.gov/cgi-bin/fecimg/?202605199867428783</t>
        </is>
      </c>
    </row>
    <row r="3636">
      <c r="A3636" t="inlineStr">
        <is>
          <t>2026</t>
        </is>
      </c>
      <c r="B3636" t="inlineStr">
        <is>
          <t>C00513549</t>
        </is>
      </c>
      <c r="C3636" t="inlineStr">
        <is>
          <t>Phillips 66 PAC</t>
        </is>
      </c>
      <c r="D3636" t="inlineStr">
        <is>
          <t>HERN FOR SENATE</t>
        </is>
      </c>
      <c r="E3636" t="inlineStr">
        <is>
          <t>S6OK04247</t>
        </is>
      </c>
      <c r="F3636" t="inlineStr">
        <is>
          <t>REP</t>
        </is>
      </c>
      <c r="G3636" t="inlineStr">
        <is>
          <t>04182026</t>
        </is>
      </c>
      <c r="H3636" t="n">
        <v>2500</v>
      </c>
      <c r="I3636" t="inlineStr">
        <is>
          <t>202605199867428783</t>
        </is>
      </c>
      <c r="J3636" t="inlineStr">
        <is>
          <t>https://docquery.fec.gov/cgi-bin/fecimg/?202605199867428783</t>
        </is>
      </c>
    </row>
    <row r="3637">
      <c r="A3637" t="inlineStr">
        <is>
          <t>2026</t>
        </is>
      </c>
      <c r="B3637" t="inlineStr">
        <is>
          <t>C00513549</t>
        </is>
      </c>
      <c r="C3637" t="inlineStr">
        <is>
          <t>Phillips 66 PAC</t>
        </is>
      </c>
      <c r="D3637" t="inlineStr">
        <is>
          <t>JEFF HURD FOR CONGRESS</t>
        </is>
      </c>
      <c r="E3637" t="inlineStr">
        <is>
          <t>H4CO03357</t>
        </is>
      </c>
      <c r="F3637" t="inlineStr">
        <is>
          <t>REP</t>
        </is>
      </c>
      <c r="G3637" t="inlineStr">
        <is>
          <t>04182026</t>
        </is>
      </c>
      <c r="H3637" t="n">
        <v>4000</v>
      </c>
      <c r="I3637" t="inlineStr">
        <is>
          <t>202605199867428784</t>
        </is>
      </c>
      <c r="J3637" t="inlineStr">
        <is>
          <t>https://docquery.fec.gov/cgi-bin/fecimg/?202605199867428784</t>
        </is>
      </c>
    </row>
    <row r="3638">
      <c r="A3638" t="inlineStr">
        <is>
          <t>2026</t>
        </is>
      </c>
      <c r="B3638" t="inlineStr">
        <is>
          <t>C00513549</t>
        </is>
      </c>
      <c r="C3638" t="inlineStr">
        <is>
          <t>Phillips 66 PAC</t>
        </is>
      </c>
      <c r="D3638" t="inlineStr">
        <is>
          <t>ALASKANS FOR DAN SULLIVAN</t>
        </is>
      </c>
      <c r="E3638" t="inlineStr">
        <is>
          <t>S4AK00214</t>
        </is>
      </c>
      <c r="F3638" t="inlineStr">
        <is>
          <t>REP</t>
        </is>
      </c>
      <c r="G3638" t="inlineStr">
        <is>
          <t>04222025</t>
        </is>
      </c>
      <c r="H3638" t="n">
        <v>2000</v>
      </c>
      <c r="I3638" t="inlineStr">
        <is>
          <t>202505199761341122</t>
        </is>
      </c>
      <c r="J3638" t="inlineStr">
        <is>
          <t>https://docquery.fec.gov/cgi-bin/fecimg/?202505199761341122</t>
        </is>
      </c>
    </row>
    <row r="3639">
      <c r="A3639" t="inlineStr">
        <is>
          <t>2026</t>
        </is>
      </c>
      <c r="B3639" t="inlineStr">
        <is>
          <t>C00513549</t>
        </is>
      </c>
      <c r="C3639" t="inlineStr">
        <is>
          <t>Phillips 66 PAC</t>
        </is>
      </c>
      <c r="D3639" t="inlineStr">
        <is>
          <t>HUSTED FOR SENATE</t>
        </is>
      </c>
      <c r="E3639" t="inlineStr">
        <is>
          <t>S6OH00304</t>
        </is>
      </c>
      <c r="F3639" t="inlineStr">
        <is>
          <t>REP</t>
        </is>
      </c>
      <c r="G3639" t="inlineStr">
        <is>
          <t>04222025</t>
        </is>
      </c>
      <c r="H3639" t="n">
        <v>1000</v>
      </c>
      <c r="I3639" t="inlineStr">
        <is>
          <t>202505199761341125</t>
        </is>
      </c>
      <c r="J3639" t="inlineStr">
        <is>
          <t>https://docquery.fec.gov/cgi-bin/fecimg/?202505199761341125</t>
        </is>
      </c>
    </row>
    <row r="3640">
      <c r="A3640" t="inlineStr">
        <is>
          <t>2026</t>
        </is>
      </c>
      <c r="B3640" t="inlineStr">
        <is>
          <t>C00513549</t>
        </is>
      </c>
      <c r="C3640" t="inlineStr">
        <is>
          <t>Phillips 66 PAC</t>
        </is>
      </c>
      <c r="D3640" t="inlineStr">
        <is>
          <t>JONI FOR IOWA</t>
        </is>
      </c>
      <c r="E3640" t="inlineStr">
        <is>
          <t>S4IA00129</t>
        </is>
      </c>
      <c r="F3640" t="inlineStr">
        <is>
          <t>REP</t>
        </is>
      </c>
      <c r="G3640" t="inlineStr">
        <is>
          <t>04222025</t>
        </is>
      </c>
      <c r="H3640" t="n">
        <v>1000</v>
      </c>
      <c r="I3640" t="inlineStr">
        <is>
          <t>202505199761341126</t>
        </is>
      </c>
      <c r="J3640" t="inlineStr">
        <is>
          <t>https://docquery.fec.gov/cgi-bin/fecimg/?202505199761341126</t>
        </is>
      </c>
    </row>
    <row r="3641">
      <c r="A3641" t="inlineStr">
        <is>
          <t>2026</t>
        </is>
      </c>
      <c r="B3641" t="inlineStr">
        <is>
          <t>C00513549</t>
        </is>
      </c>
      <c r="C3641" t="inlineStr">
        <is>
          <t>Phillips 66 PAC</t>
        </is>
      </c>
      <c r="D3641" t="inlineStr">
        <is>
          <t>PETE RICKETTS FOR SENATE</t>
        </is>
      </c>
      <c r="E3641" t="inlineStr">
        <is>
          <t>S4NE00173</t>
        </is>
      </c>
      <c r="G3641" t="inlineStr">
        <is>
          <t>04222025</t>
        </is>
      </c>
      <c r="H3641" t="n">
        <v>1000</v>
      </c>
      <c r="I3641" t="inlineStr">
        <is>
          <t>202505199761341129</t>
        </is>
      </c>
      <c r="J3641" t="inlineStr">
        <is>
          <t>https://docquery.fec.gov/cgi-bin/fecimg/?202505199761341129</t>
        </is>
      </c>
    </row>
    <row r="3642">
      <c r="A3642" t="inlineStr">
        <is>
          <t>2026</t>
        </is>
      </c>
      <c r="B3642" t="inlineStr">
        <is>
          <t>C00513549</t>
        </is>
      </c>
      <c r="C3642" t="inlineStr">
        <is>
          <t>Phillips 66 PAC</t>
        </is>
      </c>
      <c r="D3642" t="inlineStr">
        <is>
          <t>ROUNDS FOR SENATE</t>
        </is>
      </c>
      <c r="E3642" t="inlineStr">
        <is>
          <t>S4SD00049</t>
        </is>
      </c>
      <c r="F3642" t="inlineStr">
        <is>
          <t>REP</t>
        </is>
      </c>
      <c r="G3642" t="inlineStr">
        <is>
          <t>04222025</t>
        </is>
      </c>
      <c r="H3642" t="n">
        <v>1000</v>
      </c>
      <c r="I3642" t="inlineStr">
        <is>
          <t>202505199761341130</t>
        </is>
      </c>
      <c r="J3642" t="inlineStr">
        <is>
          <t>https://docquery.fec.gov/cgi-bin/fecimg/?202505199761341130</t>
        </is>
      </c>
    </row>
    <row r="3643">
      <c r="A3643" t="inlineStr">
        <is>
          <t>2026</t>
        </is>
      </c>
      <c r="B3643" t="inlineStr">
        <is>
          <t>C00513549</t>
        </is>
      </c>
      <c r="C3643" t="inlineStr">
        <is>
          <t>Phillips 66 PAC</t>
        </is>
      </c>
      <c r="D3643" t="inlineStr">
        <is>
          <t>TEAM GRAHAM INC.</t>
        </is>
      </c>
      <c r="E3643" t="inlineStr">
        <is>
          <t>S0SC00149</t>
        </is>
      </c>
      <c r="F3643" t="inlineStr">
        <is>
          <t>REP</t>
        </is>
      </c>
      <c r="G3643" t="inlineStr">
        <is>
          <t>04222025</t>
        </is>
      </c>
      <c r="H3643" t="n">
        <v>1000</v>
      </c>
      <c r="I3643" t="inlineStr">
        <is>
          <t>202505199761341131</t>
        </is>
      </c>
      <c r="J3643" t="inlineStr">
        <is>
          <t>https://docquery.fec.gov/cgi-bin/fecimg/?202505199761341131</t>
        </is>
      </c>
    </row>
    <row r="3644">
      <c r="A3644" t="inlineStr">
        <is>
          <t>2026</t>
        </is>
      </c>
      <c r="B3644" t="inlineStr">
        <is>
          <t>C00513549</t>
        </is>
      </c>
      <c r="C3644" t="inlineStr">
        <is>
          <t>Phillips 66 PAC</t>
        </is>
      </c>
      <c r="D3644" t="inlineStr">
        <is>
          <t>TEXANS FOR SENATOR JOHN CORNYN INC</t>
        </is>
      </c>
      <c r="E3644" t="inlineStr">
        <is>
          <t>S2TX00106</t>
        </is>
      </c>
      <c r="F3644" t="inlineStr">
        <is>
          <t>REP</t>
        </is>
      </c>
      <c r="G3644" t="inlineStr">
        <is>
          <t>04222025</t>
        </is>
      </c>
      <c r="H3644" t="n">
        <v>2000</v>
      </c>
      <c r="I3644" t="inlineStr">
        <is>
          <t>202505199761341131</t>
        </is>
      </c>
      <c r="J3644" t="inlineStr">
        <is>
          <t>https://docquery.fec.gov/cgi-bin/fecimg/?202505199761341131</t>
        </is>
      </c>
    </row>
    <row r="3645">
      <c r="A3645" t="inlineStr">
        <is>
          <t>2026</t>
        </is>
      </c>
      <c r="B3645" t="inlineStr">
        <is>
          <t>C00513549</t>
        </is>
      </c>
      <c r="C3645" t="inlineStr">
        <is>
          <t>Phillips 66 PAC</t>
        </is>
      </c>
      <c r="D3645" t="inlineStr">
        <is>
          <t>HAGEMAN FOR WYOMING</t>
        </is>
      </c>
      <c r="E3645" t="inlineStr">
        <is>
          <t>H2WY00166</t>
        </is>
      </c>
      <c r="F3645" t="inlineStr">
        <is>
          <t>REP</t>
        </is>
      </c>
      <c r="G3645" t="inlineStr">
        <is>
          <t>04292025</t>
        </is>
      </c>
      <c r="H3645" t="n">
        <v>2500</v>
      </c>
      <c r="I3645" t="inlineStr">
        <is>
          <t>202505199761341124</t>
        </is>
      </c>
      <c r="J3645" t="inlineStr">
        <is>
          <t>https://docquery.fec.gov/cgi-bin/fecimg/?202505199761341124</t>
        </is>
      </c>
    </row>
    <row r="3646">
      <c r="A3646" t="inlineStr">
        <is>
          <t>2026</t>
        </is>
      </c>
      <c r="B3646" t="inlineStr">
        <is>
          <t>C00513549</t>
        </is>
      </c>
      <c r="C3646" t="inlineStr">
        <is>
          <t>Phillips 66 PAC</t>
        </is>
      </c>
      <c r="D3646" t="inlineStr">
        <is>
          <t>HERB CONAWAY FOR CONGRESS</t>
        </is>
      </c>
      <c r="E3646" t="inlineStr">
        <is>
          <t>H4NJ03080</t>
        </is>
      </c>
      <c r="F3646" t="inlineStr">
        <is>
          <t>DEM</t>
        </is>
      </c>
      <c r="G3646" t="inlineStr">
        <is>
          <t>04292025</t>
        </is>
      </c>
      <c r="H3646" t="n">
        <v>1000</v>
      </c>
      <c r="I3646" t="inlineStr">
        <is>
          <t>202505199761341124</t>
        </is>
      </c>
      <c r="J3646" t="inlineStr">
        <is>
          <t>https://docquery.fec.gov/cgi-bin/fecimg/?202505199761341124</t>
        </is>
      </c>
    </row>
    <row r="3647">
      <c r="A3647" t="inlineStr">
        <is>
          <t>2026</t>
        </is>
      </c>
      <c r="B3647" t="inlineStr">
        <is>
          <t>C00513549</t>
        </is>
      </c>
      <c r="C3647" t="inlineStr">
        <is>
          <t>Phillips 66 PAC</t>
        </is>
      </c>
      <c r="D3647" t="inlineStr">
        <is>
          <t>HUNT FOR CONGRESS</t>
        </is>
      </c>
      <c r="E3647" t="inlineStr">
        <is>
          <t>H0TX07170</t>
        </is>
      </c>
      <c r="F3647" t="inlineStr">
        <is>
          <t>REP</t>
        </is>
      </c>
      <c r="G3647" t="inlineStr">
        <is>
          <t>04292025</t>
        </is>
      </c>
      <c r="H3647" t="n">
        <v>2500</v>
      </c>
      <c r="I3647" t="inlineStr">
        <is>
          <t>202505199761341124</t>
        </is>
      </c>
      <c r="J3647" t="inlineStr">
        <is>
          <t>https://docquery.fec.gov/cgi-bin/fecimg/?202505199761341124</t>
        </is>
      </c>
    </row>
    <row r="3648">
      <c r="A3648" t="inlineStr">
        <is>
          <t>2026</t>
        </is>
      </c>
      <c r="B3648" t="inlineStr">
        <is>
          <t>C00513549</t>
        </is>
      </c>
      <c r="C3648" t="inlineStr">
        <is>
          <t>Phillips 66 PAC</t>
        </is>
      </c>
      <c r="D3648" t="inlineStr">
        <is>
          <t>LANGWORTHY FOR CONGRESS</t>
        </is>
      </c>
      <c r="E3648" t="inlineStr">
        <is>
          <t>H2NY23228</t>
        </is>
      </c>
      <c r="F3648" t="inlineStr">
        <is>
          <t>REP</t>
        </is>
      </c>
      <c r="G3648" t="inlineStr">
        <is>
          <t>04292025</t>
        </is>
      </c>
      <c r="H3648" t="n">
        <v>2500</v>
      </c>
      <c r="I3648" t="inlineStr">
        <is>
          <t>202505199761341127</t>
        </is>
      </c>
      <c r="J3648" t="inlineStr">
        <is>
          <t>https://docquery.fec.gov/cgi-bin/fecimg/?202505199761341127</t>
        </is>
      </c>
    </row>
    <row r="3649">
      <c r="A3649" t="inlineStr">
        <is>
          <t>2026</t>
        </is>
      </c>
      <c r="B3649" t="inlineStr">
        <is>
          <t>C00513549</t>
        </is>
      </c>
      <c r="C3649" t="inlineStr">
        <is>
          <t>Phillips 66 PAC</t>
        </is>
      </c>
      <c r="D3649" t="inlineStr">
        <is>
          <t>ROB FOR PA</t>
        </is>
      </c>
      <c r="E3649" t="inlineStr">
        <is>
          <t>H4PA08124</t>
        </is>
      </c>
      <c r="F3649" t="inlineStr">
        <is>
          <t>REP</t>
        </is>
      </c>
      <c r="G3649" t="inlineStr">
        <is>
          <t>04292025</t>
        </is>
      </c>
      <c r="H3649" t="n">
        <v>2500</v>
      </c>
      <c r="I3649" t="inlineStr">
        <is>
          <t>202505199761341130</t>
        </is>
      </c>
      <c r="J3649" t="inlineStr">
        <is>
          <t>https://docquery.fec.gov/cgi-bin/fecimg/?202505199761341130</t>
        </is>
      </c>
    </row>
    <row r="3650">
      <c r="A3650" t="inlineStr">
        <is>
          <t>2026</t>
        </is>
      </c>
      <c r="B3650" t="inlineStr">
        <is>
          <t>C00513549</t>
        </is>
      </c>
      <c r="C3650" t="inlineStr">
        <is>
          <t>Phillips 66 PAC</t>
        </is>
      </c>
      <c r="D3650" t="inlineStr">
        <is>
          <t>TEXANS FOR MORGAN LUTTRELL</t>
        </is>
      </c>
      <c r="E3650" t="inlineStr">
        <is>
          <t>H2TX08182</t>
        </is>
      </c>
      <c r="F3650" t="inlineStr">
        <is>
          <t>REP</t>
        </is>
      </c>
      <c r="G3650" t="inlineStr">
        <is>
          <t>04292025</t>
        </is>
      </c>
      <c r="H3650" t="n">
        <v>2500</v>
      </c>
      <c r="I3650" t="inlineStr">
        <is>
          <t>202505199761341131</t>
        </is>
      </c>
      <c r="J3650" t="inlineStr">
        <is>
          <t>https://docquery.fec.gov/cgi-bin/fecimg/?202505199761341131</t>
        </is>
      </c>
    </row>
    <row r="3651">
      <c r="A3651" t="inlineStr">
        <is>
          <t>2026</t>
        </is>
      </c>
      <c r="B3651" t="inlineStr">
        <is>
          <t>C00513549</t>
        </is>
      </c>
      <c r="C3651" t="inlineStr">
        <is>
          <t>Phillips 66 PAC</t>
        </is>
      </c>
      <c r="D3651" t="inlineStr">
        <is>
          <t>RON ESTES FOR CONGRESS</t>
        </is>
      </c>
      <c r="E3651" t="inlineStr">
        <is>
          <t>H8KS04112</t>
        </is>
      </c>
      <c r="F3651" t="inlineStr">
        <is>
          <t>REP</t>
        </is>
      </c>
      <c r="G3651" t="inlineStr">
        <is>
          <t>04292025</t>
        </is>
      </c>
      <c r="H3651" t="n">
        <v>2500</v>
      </c>
      <c r="I3651" t="inlineStr">
        <is>
          <t>202505199761341130</t>
        </is>
      </c>
      <c r="J3651" t="inlineStr">
        <is>
          <t>https://docquery.fec.gov/cgi-bin/fecimg/?202505199761341130</t>
        </is>
      </c>
    </row>
    <row r="3652">
      <c r="A3652" t="inlineStr">
        <is>
          <t>2026</t>
        </is>
      </c>
      <c r="B3652" t="inlineStr">
        <is>
          <t>C00513549</t>
        </is>
      </c>
      <c r="C3652" t="inlineStr">
        <is>
          <t>Phillips 66 PAC</t>
        </is>
      </c>
      <c r="D3652" t="inlineStr">
        <is>
          <t>VALADAO FOR CONGRESS</t>
        </is>
      </c>
      <c r="E3652" t="inlineStr">
        <is>
          <t>H2CA20094</t>
        </is>
      </c>
      <c r="F3652" t="inlineStr">
        <is>
          <t>REP</t>
        </is>
      </c>
      <c r="G3652" t="inlineStr">
        <is>
          <t>04292025</t>
        </is>
      </c>
      <c r="H3652" t="n">
        <v>2500</v>
      </c>
      <c r="I3652" t="inlineStr">
        <is>
          <t>202505199761341132</t>
        </is>
      </c>
      <c r="J3652" t="inlineStr">
        <is>
          <t>https://docquery.fec.gov/cgi-bin/fecimg/?202505199761341132</t>
        </is>
      </c>
    </row>
    <row r="3653">
      <c r="A3653" t="inlineStr">
        <is>
          <t>2026</t>
        </is>
      </c>
      <c r="B3653" t="inlineStr">
        <is>
          <t>C00513549</t>
        </is>
      </c>
      <c r="C3653" t="inlineStr">
        <is>
          <t>Phillips 66 PAC</t>
        </is>
      </c>
      <c r="D3653" t="inlineStr">
        <is>
          <t>VINCE FONG FOR CONGRESS</t>
        </is>
      </c>
      <c r="E3653" t="inlineStr">
        <is>
          <t>H4CA20181</t>
        </is>
      </c>
      <c r="F3653" t="inlineStr">
        <is>
          <t>REP</t>
        </is>
      </c>
      <c r="G3653" t="inlineStr">
        <is>
          <t>04292025</t>
        </is>
      </c>
      <c r="H3653" t="n">
        <v>2500</v>
      </c>
      <c r="I3653" t="inlineStr">
        <is>
          <t>202505199761341132</t>
        </is>
      </c>
      <c r="J3653" t="inlineStr">
        <is>
          <t>https://docquery.fec.gov/cgi-bin/fecimg/?202505199761341132</t>
        </is>
      </c>
    </row>
    <row r="3654">
      <c r="A3654" t="inlineStr">
        <is>
          <t>2026</t>
        </is>
      </c>
      <c r="B3654" t="inlineStr">
        <is>
          <t>C00513549</t>
        </is>
      </c>
      <c r="C3654" t="inlineStr">
        <is>
          <t>Phillips 66 PAC</t>
        </is>
      </c>
      <c r="D3654" t="inlineStr">
        <is>
          <t>LOU CORREA FOR CONGRESS</t>
        </is>
      </c>
      <c r="E3654" t="inlineStr">
        <is>
          <t>H6CA46116</t>
        </is>
      </c>
      <c r="F3654" t="inlineStr">
        <is>
          <t>DEM</t>
        </is>
      </c>
      <c r="G3654" t="inlineStr">
        <is>
          <t>05072026</t>
        </is>
      </c>
      <c r="H3654" t="n">
        <v>2500</v>
      </c>
      <c r="I3654" t="inlineStr">
        <is>
          <t>202606189870780930</t>
        </is>
      </c>
      <c r="J3654" t="inlineStr">
        <is>
          <t>https://docquery.fec.gov/cgi-bin/fecimg/?202606189870780930</t>
        </is>
      </c>
    </row>
    <row r="3655">
      <c r="A3655" t="inlineStr">
        <is>
          <t>2026</t>
        </is>
      </c>
      <c r="B3655" t="inlineStr">
        <is>
          <t>C00513549</t>
        </is>
      </c>
      <c r="C3655" t="inlineStr">
        <is>
          <t>Phillips 66 PAC</t>
        </is>
      </c>
      <c r="D3655" t="inlineStr">
        <is>
          <t>MARK TEIXEIRA FOR CONGRESS</t>
        </is>
      </c>
      <c r="E3655" t="inlineStr">
        <is>
          <t>H6TX21301</t>
        </is>
      </c>
      <c r="F3655" t="inlineStr">
        <is>
          <t>REP</t>
        </is>
      </c>
      <c r="G3655" t="inlineStr">
        <is>
          <t>05072026</t>
        </is>
      </c>
      <c r="H3655" t="n">
        <v>2500</v>
      </c>
      <c r="I3655" t="inlineStr">
        <is>
          <t>202606189870780930</t>
        </is>
      </c>
      <c r="J3655" t="inlineStr">
        <is>
          <t>https://docquery.fec.gov/cgi-bin/fecimg/?202606189870780930</t>
        </is>
      </c>
    </row>
    <row r="3656">
      <c r="A3656" t="inlineStr">
        <is>
          <t>2026</t>
        </is>
      </c>
      <c r="B3656" t="inlineStr">
        <is>
          <t>C00513549</t>
        </is>
      </c>
      <c r="C3656" t="inlineStr">
        <is>
          <t>Phillips 66 PAC</t>
        </is>
      </c>
      <c r="D3656" t="inlineStr">
        <is>
          <t>MOODY FOR FLORIDA</t>
        </is>
      </c>
      <c r="E3656" t="inlineStr">
        <is>
          <t>S6FL00640</t>
        </is>
      </c>
      <c r="F3656" t="inlineStr">
        <is>
          <t>REP</t>
        </is>
      </c>
      <c r="G3656" t="inlineStr">
        <is>
          <t>05072026</t>
        </is>
      </c>
      <c r="H3656" t="n">
        <v>2500</v>
      </c>
      <c r="I3656" t="inlineStr">
        <is>
          <t>202606189870780931</t>
        </is>
      </c>
      <c r="J3656" t="inlineStr">
        <is>
          <t>https://docquery.fec.gov/cgi-bin/fecimg/?202606189870780931</t>
        </is>
      </c>
    </row>
    <row r="3657">
      <c r="A3657" t="inlineStr">
        <is>
          <t>2026</t>
        </is>
      </c>
      <c r="B3657" t="inlineStr">
        <is>
          <t>C00513549</t>
        </is>
      </c>
      <c r="C3657" t="inlineStr">
        <is>
          <t>Phillips 66 PAC</t>
        </is>
      </c>
      <c r="D3657" t="inlineStr">
        <is>
          <t>ROGERS FOR SENATE</t>
        </is>
      </c>
      <c r="E3657" t="inlineStr">
        <is>
          <t>S4MI00595</t>
        </is>
      </c>
      <c r="F3657" t="inlineStr">
        <is>
          <t>REP</t>
        </is>
      </c>
      <c r="G3657" t="inlineStr">
        <is>
          <t>05072026</t>
        </is>
      </c>
      <c r="H3657" t="n">
        <v>5000</v>
      </c>
      <c r="I3657" t="inlineStr">
        <is>
          <t>202606189870780933</t>
        </is>
      </c>
      <c r="J3657" t="inlineStr">
        <is>
          <t>https://docquery.fec.gov/cgi-bin/fecimg/?202606189870780933</t>
        </is>
      </c>
    </row>
    <row r="3658">
      <c r="A3658" t="inlineStr">
        <is>
          <t>2026</t>
        </is>
      </c>
      <c r="B3658" t="inlineStr">
        <is>
          <t>C00513549</t>
        </is>
      </c>
      <c r="C3658" t="inlineStr">
        <is>
          <t>Phillips 66 PAC</t>
        </is>
      </c>
      <c r="D3658" t="inlineStr">
        <is>
          <t>TOTH FOR CONGRESS</t>
        </is>
      </c>
      <c r="E3658" t="inlineStr">
        <is>
          <t>H6TX08175</t>
        </is>
      </c>
      <c r="F3658" t="inlineStr">
        <is>
          <t>REP</t>
        </is>
      </c>
      <c r="G3658" t="inlineStr">
        <is>
          <t>05072026</t>
        </is>
      </c>
      <c r="H3658" t="n">
        <v>2500</v>
      </c>
      <c r="I3658" t="inlineStr">
        <is>
          <t>202606189870780934</t>
        </is>
      </c>
      <c r="J3658" t="inlineStr">
        <is>
          <t>https://docquery.fec.gov/cgi-bin/fecimg/?202606189870780934</t>
        </is>
      </c>
    </row>
    <row r="3659">
      <c r="A3659" t="inlineStr">
        <is>
          <t>2026</t>
        </is>
      </c>
      <c r="B3659" t="inlineStr">
        <is>
          <t>C00513549</t>
        </is>
      </c>
      <c r="C3659" t="inlineStr">
        <is>
          <t>Phillips 66 PAC</t>
        </is>
      </c>
      <c r="D3659" t="inlineStr">
        <is>
          <t>VALADAO FOR CONGRESS</t>
        </is>
      </c>
      <c r="E3659" t="inlineStr">
        <is>
          <t>H2CA20094</t>
        </is>
      </c>
      <c r="F3659" t="inlineStr">
        <is>
          <t>REP</t>
        </is>
      </c>
      <c r="G3659" t="inlineStr">
        <is>
          <t>05072026</t>
        </is>
      </c>
      <c r="H3659" t="n">
        <v>2500</v>
      </c>
      <c r="I3659" t="inlineStr">
        <is>
          <t>202606189870780935</t>
        </is>
      </c>
      <c r="J3659" t="inlineStr">
        <is>
          <t>https://docquery.fec.gov/cgi-bin/fecimg/?202606189870780935</t>
        </is>
      </c>
    </row>
    <row r="3660">
      <c r="A3660" t="inlineStr">
        <is>
          <t>2026</t>
        </is>
      </c>
      <c r="B3660" t="inlineStr">
        <is>
          <t>C00513549</t>
        </is>
      </c>
      <c r="C3660" t="inlineStr">
        <is>
          <t>Phillips 66 PAC</t>
        </is>
      </c>
      <c r="D3660" t="inlineStr">
        <is>
          <t>WEBER FOR CONGRESS</t>
        </is>
      </c>
      <c r="E3660" t="inlineStr">
        <is>
          <t>H2TX14149</t>
        </is>
      </c>
      <c r="F3660" t="inlineStr">
        <is>
          <t>REP</t>
        </is>
      </c>
      <c r="G3660" t="inlineStr">
        <is>
          <t>05072026</t>
        </is>
      </c>
      <c r="H3660" t="n">
        <v>2500</v>
      </c>
      <c r="I3660" t="inlineStr">
        <is>
          <t>202606189870780936</t>
        </is>
      </c>
      <c r="J3660" t="inlineStr">
        <is>
          <t>https://docquery.fec.gov/cgi-bin/fecimg/?202606189870780936</t>
        </is>
      </c>
    </row>
    <row r="3661">
      <c r="A3661" t="inlineStr">
        <is>
          <t>2026</t>
        </is>
      </c>
      <c r="B3661" t="inlineStr">
        <is>
          <t>C00513549</t>
        </is>
      </c>
      <c r="C3661" t="inlineStr">
        <is>
          <t>Phillips 66 PAC</t>
        </is>
      </c>
      <c r="D3661" t="inlineStr">
        <is>
          <t>ASHLEY FOR IOWA</t>
        </is>
      </c>
      <c r="E3661" t="inlineStr">
        <is>
          <t>H0IA01174</t>
        </is>
      </c>
      <c r="F3661" t="inlineStr">
        <is>
          <t>REP</t>
        </is>
      </c>
      <c r="G3661" t="inlineStr">
        <is>
          <t>05072026</t>
        </is>
      </c>
      <c r="H3661" t="n">
        <v>2500</v>
      </c>
      <c r="I3661" t="inlineStr">
        <is>
          <t>202606189870780921</t>
        </is>
      </c>
      <c r="J3661" t="inlineStr">
        <is>
          <t>https://docquery.fec.gov/cgi-bin/fecimg/?202606189870780921</t>
        </is>
      </c>
    </row>
    <row r="3662">
      <c r="A3662" t="inlineStr">
        <is>
          <t>2026</t>
        </is>
      </c>
      <c r="B3662" t="inlineStr">
        <is>
          <t>C00513549</t>
        </is>
      </c>
      <c r="C3662" t="inlineStr">
        <is>
          <t>Phillips 66 PAC</t>
        </is>
      </c>
      <c r="D3662" t="inlineStr">
        <is>
          <t>CITIZENS TO ELECT RICK LARSEN</t>
        </is>
      </c>
      <c r="E3662" t="inlineStr">
        <is>
          <t>H0WA02080</t>
        </is>
      </c>
      <c r="F3662" t="inlineStr">
        <is>
          <t>DEM</t>
        </is>
      </c>
      <c r="G3662" t="inlineStr">
        <is>
          <t>05072026</t>
        </is>
      </c>
      <c r="H3662" t="n">
        <v>2500</v>
      </c>
      <c r="I3662" t="inlineStr">
        <is>
          <t>202606189870780922</t>
        </is>
      </c>
      <c r="J3662" t="inlineStr">
        <is>
          <t>https://docquery.fec.gov/cgi-bin/fecimg/?202606189870780922</t>
        </is>
      </c>
    </row>
    <row r="3663">
      <c r="A3663" t="inlineStr">
        <is>
          <t>2026</t>
        </is>
      </c>
      <c r="B3663" t="inlineStr">
        <is>
          <t>C00513549</t>
        </is>
      </c>
      <c r="C3663" t="inlineStr">
        <is>
          <t>Phillips 66 PAC</t>
        </is>
      </c>
      <c r="D3663" t="inlineStr">
        <is>
          <t>CRAIG GOLDMAN FOR CONGRESS</t>
        </is>
      </c>
      <c r="E3663" t="inlineStr">
        <is>
          <t>H4TX12065</t>
        </is>
      </c>
      <c r="F3663" t="inlineStr">
        <is>
          <t>REP</t>
        </is>
      </c>
      <c r="G3663" t="inlineStr">
        <is>
          <t>05072026</t>
        </is>
      </c>
      <c r="H3663" t="n">
        <v>2500</v>
      </c>
      <c r="I3663" t="inlineStr">
        <is>
          <t>202606189870780923</t>
        </is>
      </c>
      <c r="J3663" t="inlineStr">
        <is>
          <t>https://docquery.fec.gov/cgi-bin/fecimg/?202606189870780923</t>
        </is>
      </c>
    </row>
    <row r="3664">
      <c r="A3664" t="inlineStr">
        <is>
          <t>2026</t>
        </is>
      </c>
      <c r="B3664" t="inlineStr">
        <is>
          <t>C00513549</t>
        </is>
      </c>
      <c r="C3664" t="inlineStr">
        <is>
          <t>Phillips 66 PAC</t>
        </is>
      </c>
      <c r="D3664" t="inlineStr">
        <is>
          <t>ELIZABETH PANNILL FLETCHER FOR CONGRESS</t>
        </is>
      </c>
      <c r="E3664" t="inlineStr">
        <is>
          <t>H8TX07140</t>
        </is>
      </c>
      <c r="F3664" t="inlineStr">
        <is>
          <t>DEM</t>
        </is>
      </c>
      <c r="G3664" t="inlineStr">
        <is>
          <t>05072026</t>
        </is>
      </c>
      <c r="H3664" t="n">
        <v>2500</v>
      </c>
      <c r="I3664" t="inlineStr">
        <is>
          <t>202606189870780924</t>
        </is>
      </c>
      <c r="J3664" t="inlineStr">
        <is>
          <t>https://docquery.fec.gov/cgi-bin/fecimg/?202606189870780924</t>
        </is>
      </c>
    </row>
    <row r="3665">
      <c r="A3665" t="inlineStr">
        <is>
          <t>2026</t>
        </is>
      </c>
      <c r="B3665" t="inlineStr">
        <is>
          <t>C00513549</t>
        </is>
      </c>
      <c r="C3665" t="inlineStr">
        <is>
          <t>Phillips 66 PAC</t>
        </is>
      </c>
      <c r="D3665" t="inlineStr">
        <is>
          <t>JIM COSTA FOR CONGRESS</t>
        </is>
      </c>
      <c r="E3665" t="inlineStr">
        <is>
          <t>H4CA20082</t>
        </is>
      </c>
      <c r="F3665" t="inlineStr">
        <is>
          <t>DEM</t>
        </is>
      </c>
      <c r="G3665" t="inlineStr">
        <is>
          <t>05072026</t>
        </is>
      </c>
      <c r="H3665" t="n">
        <v>2500</v>
      </c>
      <c r="I3665" t="inlineStr">
        <is>
          <t>202606189870780928</t>
        </is>
      </c>
      <c r="J3665" t="inlineStr">
        <is>
          <t>https://docquery.fec.gov/cgi-bin/fecimg/?202606189870780928</t>
        </is>
      </c>
    </row>
    <row r="3666">
      <c r="A3666" t="inlineStr">
        <is>
          <t>2026</t>
        </is>
      </c>
      <c r="B3666" t="inlineStr">
        <is>
          <t>C00513549</t>
        </is>
      </c>
      <c r="C3666" t="inlineStr">
        <is>
          <t>Phillips 66 PAC</t>
        </is>
      </c>
      <c r="D3666" t="inlineStr">
        <is>
          <t>LANGWORTHY FOR CONGRESS</t>
        </is>
      </c>
      <c r="E3666" t="inlineStr">
        <is>
          <t>H2NY23228</t>
        </is>
      </c>
      <c r="F3666" t="inlineStr">
        <is>
          <t>REP</t>
        </is>
      </c>
      <c r="G3666" t="inlineStr">
        <is>
          <t>05072026</t>
        </is>
      </c>
      <c r="H3666" t="n">
        <v>2500</v>
      </c>
      <c r="I3666" t="inlineStr">
        <is>
          <t>202606189870780928</t>
        </is>
      </c>
      <c r="J3666" t="inlineStr">
        <is>
          <t>https://docquery.fec.gov/cgi-bin/fecimg/?202606189870780928</t>
        </is>
      </c>
    </row>
    <row r="3667">
      <c r="A3667" t="inlineStr">
        <is>
          <t>2026</t>
        </is>
      </c>
      <c r="B3667" t="inlineStr">
        <is>
          <t>C00513549</t>
        </is>
      </c>
      <c r="C3667" t="inlineStr">
        <is>
          <t>Phillips 66 PAC</t>
        </is>
      </c>
      <c r="D3667" t="inlineStr">
        <is>
          <t>LISA MCCLAIN FOR CONGRESS</t>
        </is>
      </c>
      <c r="E3667" t="inlineStr">
        <is>
          <t>H0MI10287</t>
        </is>
      </c>
      <c r="F3667" t="inlineStr">
        <is>
          <t>REP</t>
        </is>
      </c>
      <c r="G3667" t="inlineStr">
        <is>
          <t>05072026</t>
        </is>
      </c>
      <c r="H3667" t="n">
        <v>2500</v>
      </c>
      <c r="I3667" t="inlineStr">
        <is>
          <t>202606189870780929</t>
        </is>
      </c>
      <c r="J3667" t="inlineStr">
        <is>
          <t>https://docquery.fec.gov/cgi-bin/fecimg/?202606189870780929</t>
        </is>
      </c>
    </row>
    <row r="3668">
      <c r="A3668" t="inlineStr">
        <is>
          <t>2026</t>
        </is>
      </c>
      <c r="B3668" t="inlineStr">
        <is>
          <t>C00513549</t>
        </is>
      </c>
      <c r="C3668" t="inlineStr">
        <is>
          <t>Phillips 66 PAC</t>
        </is>
      </c>
      <c r="D3668" t="inlineStr">
        <is>
          <t>DAN CRENSHAW FOR CONGRESS</t>
        </is>
      </c>
      <c r="E3668" t="inlineStr">
        <is>
          <t>H8TX02166</t>
        </is>
      </c>
      <c r="F3668" t="inlineStr">
        <is>
          <t>REP</t>
        </is>
      </c>
      <c r="G3668" t="inlineStr">
        <is>
          <t>05112026</t>
        </is>
      </c>
      <c r="H3668" t="n">
        <v>-2500</v>
      </c>
      <c r="I3668" t="inlineStr">
        <is>
          <t>202606189870780918</t>
        </is>
      </c>
      <c r="J3668" t="inlineStr">
        <is>
          <t>https://docquery.fec.gov/cgi-bin/fecimg/?202606189870780918</t>
        </is>
      </c>
    </row>
    <row r="3669">
      <c r="A3669" t="inlineStr">
        <is>
          <t>2026</t>
        </is>
      </c>
      <c r="B3669" t="inlineStr">
        <is>
          <t>C00513549</t>
        </is>
      </c>
      <c r="C3669" t="inlineStr">
        <is>
          <t>Phillips 66 PAC</t>
        </is>
      </c>
      <c r="D3669" t="inlineStr">
        <is>
          <t>MONICA FOR CONGRESS</t>
        </is>
      </c>
      <c r="E3669" t="inlineStr">
        <is>
          <t>H0TX15124</t>
        </is>
      </c>
      <c r="F3669" t="inlineStr">
        <is>
          <t>REP</t>
        </is>
      </c>
      <c r="G3669" t="inlineStr">
        <is>
          <t>05132025</t>
        </is>
      </c>
      <c r="H3669" t="n">
        <v>2500</v>
      </c>
      <c r="I3669" t="inlineStr">
        <is>
          <t>202506189762337362</t>
        </is>
      </c>
      <c r="J3669" t="inlineStr">
        <is>
          <t>https://docquery.fec.gov/cgi-bin/fecimg/?202506189762337362</t>
        </is>
      </c>
    </row>
    <row r="3670">
      <c r="A3670" t="inlineStr">
        <is>
          <t>2026</t>
        </is>
      </c>
      <c r="B3670" t="inlineStr">
        <is>
          <t>C00513549</t>
        </is>
      </c>
      <c r="C3670" t="inlineStr">
        <is>
          <t>Phillips 66 PAC</t>
        </is>
      </c>
      <c r="D3670" t="inlineStr">
        <is>
          <t>SANFORD BISHOP FOR CONGRESS</t>
        </is>
      </c>
      <c r="E3670" t="inlineStr">
        <is>
          <t>H2GA02031</t>
        </is>
      </c>
      <c r="F3670" t="inlineStr">
        <is>
          <t>DEM</t>
        </is>
      </c>
      <c r="G3670" t="inlineStr">
        <is>
          <t>05132025</t>
        </is>
      </c>
      <c r="H3670" t="n">
        <v>1000</v>
      </c>
      <c r="I3670" t="inlineStr">
        <is>
          <t>202506189762337362</t>
        </is>
      </c>
      <c r="J3670" t="inlineStr">
        <is>
          <t>https://docquery.fec.gov/cgi-bin/fecimg/?202506189762337362</t>
        </is>
      </c>
    </row>
    <row r="3671">
      <c r="A3671" t="inlineStr">
        <is>
          <t>2026</t>
        </is>
      </c>
      <c r="B3671" t="inlineStr">
        <is>
          <t>C00513549</t>
        </is>
      </c>
      <c r="C3671" t="inlineStr">
        <is>
          <t>Phillips 66 PAC</t>
        </is>
      </c>
      <c r="D3671" t="inlineStr">
        <is>
          <t>WEBER FOR CONGRESS</t>
        </is>
      </c>
      <c r="E3671" t="inlineStr">
        <is>
          <t>H2TX14149</t>
        </is>
      </c>
      <c r="F3671" t="inlineStr">
        <is>
          <t>REP</t>
        </is>
      </c>
      <c r="G3671" t="inlineStr">
        <is>
          <t>05132025</t>
        </is>
      </c>
      <c r="H3671" t="n">
        <v>2500</v>
      </c>
      <c r="I3671" t="inlineStr">
        <is>
          <t>202506189762337363</t>
        </is>
      </c>
      <c r="J3671" t="inlineStr">
        <is>
          <t>https://docquery.fec.gov/cgi-bin/fecimg/?202506189762337363</t>
        </is>
      </c>
    </row>
    <row r="3672">
      <c r="A3672" t="inlineStr">
        <is>
          <t>2026</t>
        </is>
      </c>
      <c r="B3672" t="inlineStr">
        <is>
          <t>C00513549</t>
        </is>
      </c>
      <c r="C3672" t="inlineStr">
        <is>
          <t>Phillips 66 PAC</t>
        </is>
      </c>
      <c r="D3672" t="inlineStr">
        <is>
          <t>LAUREL LEE FOR CONGRESS, INC.</t>
        </is>
      </c>
      <c r="E3672" t="inlineStr">
        <is>
          <t>H2FL15241</t>
        </is>
      </c>
      <c r="F3672" t="inlineStr">
        <is>
          <t>REP</t>
        </is>
      </c>
      <c r="G3672" t="inlineStr">
        <is>
          <t>05132025</t>
        </is>
      </c>
      <c r="H3672" t="n">
        <v>1000</v>
      </c>
      <c r="I3672" t="inlineStr">
        <is>
          <t>202506189762337362</t>
        </is>
      </c>
      <c r="J3672" t="inlineStr">
        <is>
          <t>https://docquery.fec.gov/cgi-bin/fecimg/?202506189762337362</t>
        </is>
      </c>
    </row>
    <row r="3673">
      <c r="A3673" t="inlineStr">
        <is>
          <t>2026</t>
        </is>
      </c>
      <c r="B3673" t="inlineStr">
        <is>
          <t>C00513549</t>
        </is>
      </c>
      <c r="C3673" t="inlineStr">
        <is>
          <t>Phillips 66 PAC</t>
        </is>
      </c>
      <c r="D3673" t="inlineStr">
        <is>
          <t>GRAVES FOR CONGRESS</t>
        </is>
      </c>
      <c r="E3673" t="inlineStr">
        <is>
          <t>H0MO06073</t>
        </is>
      </c>
      <c r="F3673" t="inlineStr">
        <is>
          <t>REP</t>
        </is>
      </c>
      <c r="G3673" t="inlineStr">
        <is>
          <t>05132025</t>
        </is>
      </c>
      <c r="H3673" t="n">
        <v>2500</v>
      </c>
      <c r="I3673" t="inlineStr">
        <is>
          <t>202506189762337361</t>
        </is>
      </c>
      <c r="J3673" t="inlineStr">
        <is>
          <t>https://docquery.fec.gov/cgi-bin/fecimg/?202506189762337361</t>
        </is>
      </c>
    </row>
    <row r="3674">
      <c r="A3674" t="inlineStr">
        <is>
          <t>2026</t>
        </is>
      </c>
      <c r="B3674" t="inlineStr">
        <is>
          <t>C00513549</t>
        </is>
      </c>
      <c r="C3674" t="inlineStr">
        <is>
          <t>Phillips 66 PAC</t>
        </is>
      </c>
      <c r="D3674" t="inlineStr">
        <is>
          <t>JEFF CRANK FOR CONGRESS</t>
        </is>
      </c>
      <c r="E3674" t="inlineStr">
        <is>
          <t>H4CO05147</t>
        </is>
      </c>
      <c r="G3674" t="inlineStr">
        <is>
          <t>05132025</t>
        </is>
      </c>
      <c r="H3674" t="n">
        <v>2500</v>
      </c>
      <c r="I3674" t="inlineStr">
        <is>
          <t>202506189762337361</t>
        </is>
      </c>
      <c r="J3674" t="inlineStr">
        <is>
          <t>https://docquery.fec.gov/cgi-bin/fecimg/?202506189762337361</t>
        </is>
      </c>
    </row>
    <row r="3675">
      <c r="A3675" t="inlineStr">
        <is>
          <t>2026</t>
        </is>
      </c>
      <c r="B3675" t="inlineStr">
        <is>
          <t>C00513549</t>
        </is>
      </c>
      <c r="C3675" t="inlineStr">
        <is>
          <t>Phillips 66 PAC</t>
        </is>
      </c>
      <c r="D3675" t="inlineStr">
        <is>
          <t>JULIA LETLOW FOR CONGRESS</t>
        </is>
      </c>
      <c r="E3675" t="inlineStr">
        <is>
          <t>H2LA05126</t>
        </is>
      </c>
      <c r="F3675" t="inlineStr">
        <is>
          <t>REP</t>
        </is>
      </c>
      <c r="G3675" t="inlineStr">
        <is>
          <t>05132025</t>
        </is>
      </c>
      <c r="H3675" t="n">
        <v>2500</v>
      </c>
      <c r="I3675" t="inlineStr">
        <is>
          <t>202506189762337361</t>
        </is>
      </c>
      <c r="J3675" t="inlineStr">
        <is>
          <t>https://docquery.fec.gov/cgi-bin/fecimg/?202506189762337361</t>
        </is>
      </c>
    </row>
    <row r="3676">
      <c r="A3676" t="inlineStr">
        <is>
          <t>2026</t>
        </is>
      </c>
      <c r="B3676" t="inlineStr">
        <is>
          <t>C00513549</t>
        </is>
      </c>
      <c r="C3676" t="inlineStr">
        <is>
          <t>Phillips 66 PAC</t>
        </is>
      </c>
      <c r="D3676" t="inlineStr">
        <is>
          <t>ROGERS FOR SENATE</t>
        </is>
      </c>
      <c r="E3676" t="inlineStr">
        <is>
          <t>S4MI00595</t>
        </is>
      </c>
      <c r="F3676" t="inlineStr">
        <is>
          <t>REP</t>
        </is>
      </c>
      <c r="G3676" t="inlineStr">
        <is>
          <t>05152026</t>
        </is>
      </c>
      <c r="H3676" t="n">
        <v>2500</v>
      </c>
      <c r="I3676" t="inlineStr">
        <is>
          <t>202606189870780933</t>
        </is>
      </c>
      <c r="J3676" t="inlineStr">
        <is>
          <t>https://docquery.fec.gov/cgi-bin/fecimg/?202606189870780933</t>
        </is>
      </c>
    </row>
    <row r="3677">
      <c r="A3677" t="inlineStr">
        <is>
          <t>2026</t>
        </is>
      </c>
      <c r="B3677" t="inlineStr">
        <is>
          <t>C00513549</t>
        </is>
      </c>
      <c r="C3677" t="inlineStr">
        <is>
          <t>Phillips 66 PAC</t>
        </is>
      </c>
      <c r="D3677" t="inlineStr">
        <is>
          <t>ALME FOR SENATE</t>
        </is>
      </c>
      <c r="E3677" t="inlineStr">
        <is>
          <t>S6MT00295</t>
        </is>
      </c>
      <c r="F3677" t="inlineStr">
        <is>
          <t>REP</t>
        </is>
      </c>
      <c r="G3677" t="inlineStr">
        <is>
          <t>05152026</t>
        </is>
      </c>
      <c r="H3677" t="n">
        <v>5000</v>
      </c>
      <c r="I3677" t="inlineStr">
        <is>
          <t>202606189870780920</t>
        </is>
      </c>
      <c r="J3677" t="inlineStr">
        <is>
          <t>https://docquery.fec.gov/cgi-bin/fecimg/?202606189870780920</t>
        </is>
      </c>
    </row>
    <row r="3678">
      <c r="A3678" t="inlineStr">
        <is>
          <t>2026</t>
        </is>
      </c>
      <c r="B3678" t="inlineStr">
        <is>
          <t>C00513549</t>
        </is>
      </c>
      <c r="C3678" t="inlineStr">
        <is>
          <t>Phillips 66 PAC</t>
        </is>
      </c>
      <c r="D3678" t="inlineStr">
        <is>
          <t>ASHLEY FOR IOWA</t>
        </is>
      </c>
      <c r="E3678" t="inlineStr">
        <is>
          <t>H0IA01174</t>
        </is>
      </c>
      <c r="F3678" t="inlineStr">
        <is>
          <t>REP</t>
        </is>
      </c>
      <c r="G3678" t="inlineStr">
        <is>
          <t>05152026</t>
        </is>
      </c>
      <c r="H3678" t="n">
        <v>2500</v>
      </c>
      <c r="I3678" t="inlineStr">
        <is>
          <t>202606189870780921</t>
        </is>
      </c>
      <c r="J3678" t="inlineStr">
        <is>
          <t>https://docquery.fec.gov/cgi-bin/fecimg/?202606189870780921</t>
        </is>
      </c>
    </row>
    <row r="3679">
      <c r="A3679" t="inlineStr">
        <is>
          <t>2026</t>
        </is>
      </c>
      <c r="B3679" t="inlineStr">
        <is>
          <t>C00513549</t>
        </is>
      </c>
      <c r="C3679" t="inlineStr">
        <is>
          <t>Phillips 66 PAC</t>
        </is>
      </c>
      <c r="D3679" t="inlineStr">
        <is>
          <t>COTTON FOR SENATE, INC.</t>
        </is>
      </c>
      <c r="E3679" t="inlineStr">
        <is>
          <t>S4AR00103</t>
        </is>
      </c>
      <c r="F3679" t="inlineStr">
        <is>
          <t>REP</t>
        </is>
      </c>
      <c r="G3679" t="inlineStr">
        <is>
          <t>05152026</t>
        </is>
      </c>
      <c r="H3679" t="n">
        <v>2500</v>
      </c>
      <c r="I3679" t="inlineStr">
        <is>
          <t>202606189870780923</t>
        </is>
      </c>
      <c r="J3679" t="inlineStr">
        <is>
          <t>https://docquery.fec.gov/cgi-bin/fecimg/?202606189870780923</t>
        </is>
      </c>
    </row>
    <row r="3680">
      <c r="A3680" t="inlineStr">
        <is>
          <t>2026</t>
        </is>
      </c>
      <c r="B3680" t="inlineStr">
        <is>
          <t>C00513549</t>
        </is>
      </c>
      <c r="C3680" t="inlineStr">
        <is>
          <t>Phillips 66 PAC</t>
        </is>
      </c>
      <c r="D3680" t="inlineStr">
        <is>
          <t>KANSANS FOR MARSHALL</t>
        </is>
      </c>
      <c r="E3680" t="inlineStr">
        <is>
          <t>S0KS00315</t>
        </is>
      </c>
      <c r="F3680" t="inlineStr">
        <is>
          <t>REP</t>
        </is>
      </c>
      <c r="G3680" t="inlineStr">
        <is>
          <t>05152026</t>
        </is>
      </c>
      <c r="H3680" t="n">
        <v>2500</v>
      </c>
      <c r="I3680" t="inlineStr">
        <is>
          <t>202606189870780928</t>
        </is>
      </c>
      <c r="J3680" t="inlineStr">
        <is>
          <t>https://docquery.fec.gov/cgi-bin/fecimg/?202606189870780928</t>
        </is>
      </c>
    </row>
    <row r="3681">
      <c r="A3681" t="inlineStr">
        <is>
          <t>2026</t>
        </is>
      </c>
      <c r="B3681" t="inlineStr">
        <is>
          <t>C00513549</t>
        </is>
      </c>
      <c r="C3681" t="inlineStr">
        <is>
          <t>Phillips 66 PAC</t>
        </is>
      </c>
      <c r="D3681" t="inlineStr">
        <is>
          <t>NEHLS FOR CONGRESS</t>
        </is>
      </c>
      <c r="E3681" t="inlineStr">
        <is>
          <t>H0TX22302</t>
        </is>
      </c>
      <c r="F3681" t="inlineStr">
        <is>
          <t>REP</t>
        </is>
      </c>
      <c r="G3681" t="inlineStr">
        <is>
          <t>05182026</t>
        </is>
      </c>
      <c r="H3681" t="n">
        <v>-5000</v>
      </c>
      <c r="I3681" t="inlineStr">
        <is>
          <t>202606189870780932</t>
        </is>
      </c>
      <c r="J3681" t="inlineStr">
        <is>
          <t>https://docquery.fec.gov/cgi-bin/fecimg/?202606189870780932</t>
        </is>
      </c>
    </row>
    <row r="3682">
      <c r="A3682" t="inlineStr">
        <is>
          <t>2026</t>
        </is>
      </c>
      <c r="B3682" t="inlineStr">
        <is>
          <t>C00513549</t>
        </is>
      </c>
      <c r="C3682" t="inlineStr">
        <is>
          <t>Phillips 66 PAC</t>
        </is>
      </c>
      <c r="D3682" t="inlineStr">
        <is>
          <t>MONICA FOR CONGRESS</t>
        </is>
      </c>
      <c r="E3682" t="inlineStr">
        <is>
          <t>H0TX15124</t>
        </is>
      </c>
      <c r="F3682" t="inlineStr">
        <is>
          <t>REP</t>
        </is>
      </c>
      <c r="G3682" t="inlineStr">
        <is>
          <t>05282026</t>
        </is>
      </c>
      <c r="H3682" t="n">
        <v>2500</v>
      </c>
      <c r="I3682" t="inlineStr">
        <is>
          <t>202606189870780931</t>
        </is>
      </c>
      <c r="J3682" t="inlineStr">
        <is>
          <t>https://docquery.fec.gov/cgi-bin/fecimg/?202606189870780931</t>
        </is>
      </c>
    </row>
    <row r="3683">
      <c r="A3683" t="inlineStr">
        <is>
          <t>2026</t>
        </is>
      </c>
      <c r="B3683" t="inlineStr">
        <is>
          <t>C00513549</t>
        </is>
      </c>
      <c r="C3683" t="inlineStr">
        <is>
          <t>Phillips 66 PAC</t>
        </is>
      </c>
      <c r="D3683" t="inlineStr">
        <is>
          <t>NATHANIEL MORAN FOR CONGRESS</t>
        </is>
      </c>
      <c r="E3683" t="inlineStr">
        <is>
          <t>H2TX01112</t>
        </is>
      </c>
      <c r="F3683" t="inlineStr">
        <is>
          <t>REP</t>
        </is>
      </c>
      <c r="G3683" t="inlineStr">
        <is>
          <t>05282026</t>
        </is>
      </c>
      <c r="H3683" t="n">
        <v>2500</v>
      </c>
      <c r="I3683" t="inlineStr">
        <is>
          <t>202606189870780931</t>
        </is>
      </c>
      <c r="J3683" t="inlineStr">
        <is>
          <t>https://docquery.fec.gov/cgi-bin/fecimg/?202606189870780931</t>
        </is>
      </c>
    </row>
    <row r="3684">
      <c r="A3684" t="inlineStr">
        <is>
          <t>2026</t>
        </is>
      </c>
      <c r="B3684" t="inlineStr">
        <is>
          <t>C00513549</t>
        </is>
      </c>
      <c r="C3684" t="inlineStr">
        <is>
          <t>Phillips 66 PAC</t>
        </is>
      </c>
      <c r="D3684" t="inlineStr">
        <is>
          <t>PETE STAUBER FOR CONGRESS</t>
        </is>
      </c>
      <c r="E3684" t="inlineStr">
        <is>
          <t>H8MN08043</t>
        </is>
      </c>
      <c r="F3684" t="inlineStr">
        <is>
          <t>REP</t>
        </is>
      </c>
      <c r="G3684" t="inlineStr">
        <is>
          <t>05282026</t>
        </is>
      </c>
      <c r="H3684" t="n">
        <v>1500</v>
      </c>
      <c r="I3684" t="inlineStr">
        <is>
          <t>202606189870780932</t>
        </is>
      </c>
      <c r="J3684" t="inlineStr">
        <is>
          <t>https://docquery.fec.gov/cgi-bin/fecimg/?202606189870780932</t>
        </is>
      </c>
    </row>
    <row r="3685">
      <c r="A3685" t="inlineStr">
        <is>
          <t>2026</t>
        </is>
      </c>
      <c r="B3685" t="inlineStr">
        <is>
          <t>C00513549</t>
        </is>
      </c>
      <c r="C3685" t="inlineStr">
        <is>
          <t>Phillips 66 PAC</t>
        </is>
      </c>
      <c r="D3685" t="inlineStr">
        <is>
          <t>RICHARD E NEAL FOR CONGRESS COMMITTEE</t>
        </is>
      </c>
      <c r="E3685" t="inlineStr">
        <is>
          <t>H8MA02041</t>
        </is>
      </c>
      <c r="F3685" t="inlineStr">
        <is>
          <t>DEM</t>
        </is>
      </c>
      <c r="G3685" t="inlineStr">
        <is>
          <t>05282026</t>
        </is>
      </c>
      <c r="H3685" t="n">
        <v>4000</v>
      </c>
      <c r="I3685" t="inlineStr">
        <is>
          <t>202606189870780933</t>
        </is>
      </c>
      <c r="J3685" t="inlineStr">
        <is>
          <t>https://docquery.fec.gov/cgi-bin/fecimg/?202606189870780933</t>
        </is>
      </c>
    </row>
    <row r="3686">
      <c r="A3686" t="inlineStr">
        <is>
          <t>2026</t>
        </is>
      </c>
      <c r="B3686" t="inlineStr">
        <is>
          <t>C00513549</t>
        </is>
      </c>
      <c r="C3686" t="inlineStr">
        <is>
          <t>Phillips 66 PAC</t>
        </is>
      </c>
      <c r="D3686" t="inlineStr">
        <is>
          <t>ROUNDS FOR SENATE</t>
        </is>
      </c>
      <c r="E3686" t="inlineStr">
        <is>
          <t>S4SD00049</t>
        </is>
      </c>
      <c r="F3686" t="inlineStr">
        <is>
          <t>REP</t>
        </is>
      </c>
      <c r="G3686" t="inlineStr">
        <is>
          <t>05282026</t>
        </is>
      </c>
      <c r="H3686" t="n">
        <v>1500</v>
      </c>
      <c r="I3686" t="inlineStr">
        <is>
          <t>202606189870780934</t>
        </is>
      </c>
      <c r="J3686" t="inlineStr">
        <is>
          <t>https://docquery.fec.gov/cgi-bin/fecimg/?202606189870780934</t>
        </is>
      </c>
    </row>
    <row r="3687">
      <c r="A3687" t="inlineStr">
        <is>
          <t>2026</t>
        </is>
      </c>
      <c r="B3687" t="inlineStr">
        <is>
          <t>C00513549</t>
        </is>
      </c>
      <c r="C3687" t="inlineStr">
        <is>
          <t>Phillips 66 PAC</t>
        </is>
      </c>
      <c r="D3687" t="inlineStr">
        <is>
          <t>TEXANS FOR RONNY JACKSON</t>
        </is>
      </c>
      <c r="E3687" t="inlineStr">
        <is>
          <t>H0TX13228</t>
        </is>
      </c>
      <c r="F3687" t="inlineStr">
        <is>
          <t>REP</t>
        </is>
      </c>
      <c r="G3687" t="inlineStr">
        <is>
          <t>05282026</t>
        </is>
      </c>
      <c r="H3687" t="n">
        <v>2500</v>
      </c>
      <c r="I3687" t="inlineStr">
        <is>
          <t>202606189870780934</t>
        </is>
      </c>
      <c r="J3687" t="inlineStr">
        <is>
          <t>https://docquery.fec.gov/cgi-bin/fecimg/?202606189870780934</t>
        </is>
      </c>
    </row>
    <row r="3688">
      <c r="A3688" t="inlineStr">
        <is>
          <t>2026</t>
        </is>
      </c>
      <c r="B3688" t="inlineStr">
        <is>
          <t>C00513549</t>
        </is>
      </c>
      <c r="C3688" t="inlineStr">
        <is>
          <t>Phillips 66 PAC</t>
        </is>
      </c>
      <c r="D3688" t="inlineStr">
        <is>
          <t>VINCE FONG FOR CONGRESS</t>
        </is>
      </c>
      <c r="E3688" t="inlineStr">
        <is>
          <t>H4CA20181</t>
        </is>
      </c>
      <c r="F3688" t="inlineStr">
        <is>
          <t>REP</t>
        </is>
      </c>
      <c r="G3688" t="inlineStr">
        <is>
          <t>05282026</t>
        </is>
      </c>
      <c r="H3688" t="n">
        <v>2500</v>
      </c>
      <c r="I3688" t="inlineStr">
        <is>
          <t>202606189870780935</t>
        </is>
      </c>
      <c r="J3688" t="inlineStr">
        <is>
          <t>https://docquery.fec.gov/cgi-bin/fecimg/?202606189870780935</t>
        </is>
      </c>
    </row>
    <row r="3689">
      <c r="A3689" t="inlineStr">
        <is>
          <t>2026</t>
        </is>
      </c>
      <c r="B3689" t="inlineStr">
        <is>
          <t>C00513549</t>
        </is>
      </c>
      <c r="C3689" t="inlineStr">
        <is>
          <t>Phillips 66 PAC</t>
        </is>
      </c>
      <c r="D3689" t="inlineStr">
        <is>
          <t>VICENTE GONZALEZ FOR CONGRESS</t>
        </is>
      </c>
      <c r="E3689" t="inlineStr">
        <is>
          <t>H6TX15162</t>
        </is>
      </c>
      <c r="F3689" t="inlineStr">
        <is>
          <t>DEM</t>
        </is>
      </c>
      <c r="G3689" t="inlineStr">
        <is>
          <t>05282026</t>
        </is>
      </c>
      <c r="H3689" t="n">
        <v>1500</v>
      </c>
      <c r="I3689" t="inlineStr">
        <is>
          <t>202606189870780935</t>
        </is>
      </c>
      <c r="J3689" t="inlineStr">
        <is>
          <t>https://docquery.fec.gov/cgi-bin/fecimg/?202606189870780935</t>
        </is>
      </c>
    </row>
    <row r="3690">
      <c r="A3690" t="inlineStr">
        <is>
          <t>2026</t>
        </is>
      </c>
      <c r="B3690" t="inlineStr">
        <is>
          <t>C00513549</t>
        </is>
      </c>
      <c r="C3690" t="inlineStr">
        <is>
          <t>Phillips 66 PAC</t>
        </is>
      </c>
      <c r="D3690" t="inlineStr">
        <is>
          <t>WESTERMAN FOR CONGRESS</t>
        </is>
      </c>
      <c r="E3690" t="inlineStr">
        <is>
          <t>H4AR04048</t>
        </is>
      </c>
      <c r="F3690" t="inlineStr">
        <is>
          <t>REP</t>
        </is>
      </c>
      <c r="G3690" t="inlineStr">
        <is>
          <t>05282026</t>
        </is>
      </c>
      <c r="H3690" t="n">
        <v>2500</v>
      </c>
      <c r="I3690" t="inlineStr">
        <is>
          <t>202606189870780936</t>
        </is>
      </c>
      <c r="J3690" t="inlineStr">
        <is>
          <t>https://docquery.fec.gov/cgi-bin/fecimg/?202606189870780936</t>
        </is>
      </c>
    </row>
    <row r="3691">
      <c r="A3691" t="inlineStr">
        <is>
          <t>2026</t>
        </is>
      </c>
      <c r="B3691" t="inlineStr">
        <is>
          <t>C00513549</t>
        </is>
      </c>
      <c r="C3691" t="inlineStr">
        <is>
          <t>Phillips 66 PAC</t>
        </is>
      </c>
      <c r="D3691" t="inlineStr">
        <is>
          <t>WHATLEY FOR SENATE</t>
        </is>
      </c>
      <c r="E3691" t="inlineStr">
        <is>
          <t>S6NC00415</t>
        </is>
      </c>
      <c r="F3691" t="inlineStr">
        <is>
          <t>REP</t>
        </is>
      </c>
      <c r="G3691" t="inlineStr">
        <is>
          <t>05282026</t>
        </is>
      </c>
      <c r="H3691" t="n">
        <v>5000</v>
      </c>
      <c r="I3691" t="inlineStr">
        <is>
          <t>202606189870780936</t>
        </is>
      </c>
      <c r="J3691" t="inlineStr">
        <is>
          <t>https://docquery.fec.gov/cgi-bin/fecimg/?202606189870780936</t>
        </is>
      </c>
    </row>
    <row r="3692">
      <c r="A3692" t="inlineStr">
        <is>
          <t>2026</t>
        </is>
      </c>
      <c r="B3692" t="inlineStr">
        <is>
          <t>C00513549</t>
        </is>
      </c>
      <c r="C3692" t="inlineStr">
        <is>
          <t>Phillips 66 PAC</t>
        </is>
      </c>
      <c r="D3692" t="inlineStr">
        <is>
          <t>ADRIAN SMITH FOR CONGRESS</t>
        </is>
      </c>
      <c r="E3692" t="inlineStr">
        <is>
          <t>H6NE03115</t>
        </is>
      </c>
      <c r="F3692" t="inlineStr">
        <is>
          <t>REP</t>
        </is>
      </c>
      <c r="G3692" t="inlineStr">
        <is>
          <t>05282026</t>
        </is>
      </c>
      <c r="H3692" t="n">
        <v>2500</v>
      </c>
      <c r="I3692" t="inlineStr">
        <is>
          <t>202606189870780920</t>
        </is>
      </c>
      <c r="J3692" t="inlineStr">
        <is>
          <t>https://docquery.fec.gov/cgi-bin/fecimg/?202606189870780920</t>
        </is>
      </c>
    </row>
    <row r="3693">
      <c r="A3693" t="inlineStr">
        <is>
          <t>2026</t>
        </is>
      </c>
      <c r="B3693" t="inlineStr">
        <is>
          <t>C00513549</t>
        </is>
      </c>
      <c r="C3693" t="inlineStr">
        <is>
          <t>Phillips 66 PAC</t>
        </is>
      </c>
      <c r="D3693" t="inlineStr">
        <is>
          <t>ALASKANS FOR DAN SULLIVAN</t>
        </is>
      </c>
      <c r="E3693" t="inlineStr">
        <is>
          <t>S4AK00214</t>
        </is>
      </c>
      <c r="F3693" t="inlineStr">
        <is>
          <t>REP</t>
        </is>
      </c>
      <c r="G3693" t="inlineStr">
        <is>
          <t>05282026</t>
        </is>
      </c>
      <c r="H3693" t="n">
        <v>3000</v>
      </c>
      <c r="I3693" t="inlineStr">
        <is>
          <t>202606189870780920</t>
        </is>
      </c>
      <c r="J3693" t="inlineStr">
        <is>
          <t>https://docquery.fec.gov/cgi-bin/fecimg/?202606189870780920</t>
        </is>
      </c>
    </row>
    <row r="3694">
      <c r="A3694" t="inlineStr">
        <is>
          <t>2026</t>
        </is>
      </c>
      <c r="B3694" t="inlineStr">
        <is>
          <t>C00513549</t>
        </is>
      </c>
      <c r="C3694" t="inlineStr">
        <is>
          <t>Phillips 66 PAC</t>
        </is>
      </c>
      <c r="D3694" t="inlineStr">
        <is>
          <t>AUGUST PFLUGER FOR CONGRESS</t>
        </is>
      </c>
      <c r="E3694" t="inlineStr">
        <is>
          <t>H0TX11230</t>
        </is>
      </c>
      <c r="F3694" t="inlineStr">
        <is>
          <t>REP</t>
        </is>
      </c>
      <c r="G3694" t="inlineStr">
        <is>
          <t>05282026</t>
        </is>
      </c>
      <c r="H3694" t="n">
        <v>2500</v>
      </c>
      <c r="I3694" t="inlineStr">
        <is>
          <t>202606189870780921</t>
        </is>
      </c>
      <c r="J3694" t="inlineStr">
        <is>
          <t>https://docquery.fec.gov/cgi-bin/fecimg/?202606189870780921</t>
        </is>
      </c>
    </row>
    <row r="3695">
      <c r="A3695" t="inlineStr">
        <is>
          <t>2026</t>
        </is>
      </c>
      <c r="B3695" t="inlineStr">
        <is>
          <t>C00513549</t>
        </is>
      </c>
      <c r="C3695" t="inlineStr">
        <is>
          <t>Phillips 66 PAC</t>
        </is>
      </c>
      <c r="D3695" t="inlineStr">
        <is>
          <t>CLOUD FOR CONGRESS</t>
        </is>
      </c>
      <c r="E3695" t="inlineStr">
        <is>
          <t>H8TX27049</t>
        </is>
      </c>
      <c r="F3695" t="inlineStr">
        <is>
          <t>REP</t>
        </is>
      </c>
      <c r="G3695" t="inlineStr">
        <is>
          <t>05282026</t>
        </is>
      </c>
      <c r="H3695" t="n">
        <v>1000</v>
      </c>
      <c r="I3695" t="inlineStr">
        <is>
          <t>202606189870780922</t>
        </is>
      </c>
      <c r="J3695" t="inlineStr">
        <is>
          <t>https://docquery.fec.gov/cgi-bin/fecimg/?202606189870780922</t>
        </is>
      </c>
    </row>
    <row r="3696">
      <c r="A3696" t="inlineStr">
        <is>
          <t>2026</t>
        </is>
      </c>
      <c r="B3696" t="inlineStr">
        <is>
          <t>C00513549</t>
        </is>
      </c>
      <c r="C3696" t="inlineStr">
        <is>
          <t>Phillips 66 PAC</t>
        </is>
      </c>
      <c r="D3696" t="inlineStr">
        <is>
          <t>EMMER FOR CONGRESS</t>
        </is>
      </c>
      <c r="E3696" t="inlineStr">
        <is>
          <t>H4MN06087</t>
        </is>
      </c>
      <c r="F3696" t="inlineStr">
        <is>
          <t>REP</t>
        </is>
      </c>
      <c r="G3696" t="inlineStr">
        <is>
          <t>05282026</t>
        </is>
      </c>
      <c r="H3696" t="n">
        <v>2500</v>
      </c>
      <c r="I3696" t="inlineStr">
        <is>
          <t>202606189870780924</t>
        </is>
      </c>
      <c r="J3696" t="inlineStr">
        <is>
          <t>https://docquery.fec.gov/cgi-bin/fecimg/?202606189870780924</t>
        </is>
      </c>
    </row>
    <row r="3697">
      <c r="A3697" t="inlineStr">
        <is>
          <t>2026</t>
        </is>
      </c>
      <c r="B3697" t="inlineStr">
        <is>
          <t>C00513549</t>
        </is>
      </c>
      <c r="C3697" t="inlineStr">
        <is>
          <t>Phillips 66 PAC</t>
        </is>
      </c>
      <c r="D3697" t="inlineStr">
        <is>
          <t>FRIENDS OF MARK WARNER</t>
        </is>
      </c>
      <c r="E3697" t="inlineStr">
        <is>
          <t>S6VA00093</t>
        </is>
      </c>
      <c r="F3697" t="inlineStr">
        <is>
          <t>DEM</t>
        </is>
      </c>
      <c r="G3697" t="inlineStr">
        <is>
          <t>05282026</t>
        </is>
      </c>
      <c r="H3697" t="n">
        <v>3500</v>
      </c>
      <c r="I3697" t="inlineStr">
        <is>
          <t>202606189870780925</t>
        </is>
      </c>
      <c r="J3697" t="inlineStr">
        <is>
          <t>https://docquery.fec.gov/cgi-bin/fecimg/?202606189870780925</t>
        </is>
      </c>
    </row>
    <row r="3698">
      <c r="A3698" t="inlineStr">
        <is>
          <t>2026</t>
        </is>
      </c>
      <c r="B3698" t="inlineStr">
        <is>
          <t>C00513549</t>
        </is>
      </c>
      <c r="C3698" t="inlineStr">
        <is>
          <t>Phillips 66 PAC</t>
        </is>
      </c>
      <c r="D3698" t="inlineStr">
        <is>
          <t>GABE VASQUEZ FOR CONGRESS</t>
        </is>
      </c>
      <c r="E3698" t="inlineStr">
        <is>
          <t>H2NM02191</t>
        </is>
      </c>
      <c r="F3698" t="inlineStr">
        <is>
          <t>DEM</t>
        </is>
      </c>
      <c r="G3698" t="inlineStr">
        <is>
          <t>05282026</t>
        </is>
      </c>
      <c r="H3698" t="n">
        <v>2500</v>
      </c>
      <c r="I3698" t="inlineStr">
        <is>
          <t>202606189870780926</t>
        </is>
      </c>
      <c r="J3698" t="inlineStr">
        <is>
          <t>https://docquery.fec.gov/cgi-bin/fecimg/?202606189870780926</t>
        </is>
      </c>
    </row>
    <row r="3699">
      <c r="A3699" t="inlineStr">
        <is>
          <t>2026</t>
        </is>
      </c>
      <c r="B3699" t="inlineStr">
        <is>
          <t>C00513549</t>
        </is>
      </c>
      <c r="C3699" t="inlineStr">
        <is>
          <t>Phillips 66 PAC</t>
        </is>
      </c>
      <c r="D3699" t="inlineStr">
        <is>
          <t>GUTHRIE FOR CONGRESS</t>
        </is>
      </c>
      <c r="E3699" t="inlineStr">
        <is>
          <t>H8KY02031</t>
        </is>
      </c>
      <c r="F3699" t="inlineStr">
        <is>
          <t>REP</t>
        </is>
      </c>
      <c r="G3699" t="inlineStr">
        <is>
          <t>05282026</t>
        </is>
      </c>
      <c r="H3699" t="n">
        <v>2500</v>
      </c>
      <c r="I3699" t="inlineStr">
        <is>
          <t>202606189870780926</t>
        </is>
      </c>
      <c r="J3699" t="inlineStr">
        <is>
          <t>https://docquery.fec.gov/cgi-bin/fecimg/?202606189870780926</t>
        </is>
      </c>
    </row>
    <row r="3700">
      <c r="A3700" t="inlineStr">
        <is>
          <t>2026</t>
        </is>
      </c>
      <c r="B3700" t="inlineStr">
        <is>
          <t>C00513549</t>
        </is>
      </c>
      <c r="C3700" t="inlineStr">
        <is>
          <t>Phillips 66 PAC</t>
        </is>
      </c>
      <c r="D3700" t="inlineStr">
        <is>
          <t>HAGEMAN FOR WYOMING</t>
        </is>
      </c>
      <c r="E3700" t="inlineStr">
        <is>
          <t>H2WY00166</t>
        </is>
      </c>
      <c r="F3700" t="inlineStr">
        <is>
          <t>REP</t>
        </is>
      </c>
      <c r="G3700" t="inlineStr">
        <is>
          <t>05282026</t>
        </is>
      </c>
      <c r="H3700" t="n">
        <v>2500</v>
      </c>
      <c r="I3700" t="inlineStr">
        <is>
          <t>202606189870780926</t>
        </is>
      </c>
      <c r="J3700" t="inlineStr">
        <is>
          <t>https://docquery.fec.gov/cgi-bin/fecimg/?202606189870780926</t>
        </is>
      </c>
    </row>
    <row r="3701">
      <c r="A3701" t="inlineStr">
        <is>
          <t>2026</t>
        </is>
      </c>
      <c r="B3701" t="inlineStr">
        <is>
          <t>C00513549</t>
        </is>
      </c>
      <c r="C3701" t="inlineStr">
        <is>
          <t>Phillips 66 PAC</t>
        </is>
      </c>
      <c r="D3701" t="inlineStr">
        <is>
          <t>JAKE ELLZEY FOR CONGRESS</t>
        </is>
      </c>
      <c r="E3701" t="inlineStr">
        <is>
          <t>H8TX06266</t>
        </is>
      </c>
      <c r="F3701" t="inlineStr">
        <is>
          <t>REP</t>
        </is>
      </c>
      <c r="G3701" t="inlineStr">
        <is>
          <t>05282026</t>
        </is>
      </c>
      <c r="H3701" t="n">
        <v>2500</v>
      </c>
      <c r="I3701" t="inlineStr">
        <is>
          <t>202606189870780927</t>
        </is>
      </c>
      <c r="J3701" t="inlineStr">
        <is>
          <t>https://docquery.fec.gov/cgi-bin/fecimg/?202606189870780927</t>
        </is>
      </c>
    </row>
    <row r="3702">
      <c r="A3702" t="inlineStr">
        <is>
          <t>2026</t>
        </is>
      </c>
      <c r="B3702" t="inlineStr">
        <is>
          <t>C00513549</t>
        </is>
      </c>
      <c r="C3702" t="inlineStr">
        <is>
          <t>Phillips 66 PAC</t>
        </is>
      </c>
      <c r="D3702" t="inlineStr">
        <is>
          <t>JEFF HURD FOR CONGRESS</t>
        </is>
      </c>
      <c r="E3702" t="inlineStr">
        <is>
          <t>H4CO03357</t>
        </is>
      </c>
      <c r="F3702" t="inlineStr">
        <is>
          <t>REP</t>
        </is>
      </c>
      <c r="G3702" t="inlineStr">
        <is>
          <t>05282026</t>
        </is>
      </c>
      <c r="H3702" t="n">
        <v>2500</v>
      </c>
      <c r="I3702" t="inlineStr">
        <is>
          <t>202606189870780927</t>
        </is>
      </c>
      <c r="J3702" t="inlineStr">
        <is>
          <t>https://docquery.fec.gov/cgi-bin/fecimg/?202606189870780927</t>
        </is>
      </c>
    </row>
    <row r="3703">
      <c r="A3703" t="inlineStr">
        <is>
          <t>2026</t>
        </is>
      </c>
      <c r="B3703" t="inlineStr">
        <is>
          <t>C00513549</t>
        </is>
      </c>
      <c r="C3703" t="inlineStr">
        <is>
          <t>Phillips 66 PAC</t>
        </is>
      </c>
      <c r="D3703" t="inlineStr">
        <is>
          <t>LAWLER FOR CONGRESS, INC.</t>
        </is>
      </c>
      <c r="E3703" t="inlineStr">
        <is>
          <t>H2NY17162</t>
        </is>
      </c>
      <c r="F3703" t="inlineStr">
        <is>
          <t>REP</t>
        </is>
      </c>
      <c r="G3703" t="inlineStr">
        <is>
          <t>05282026</t>
        </is>
      </c>
      <c r="H3703" t="n">
        <v>2500</v>
      </c>
      <c r="I3703" t="inlineStr">
        <is>
          <t>202606189870780929</t>
        </is>
      </c>
      <c r="J3703" t="inlineStr">
        <is>
          <t>https://docquery.fec.gov/cgi-bin/fecimg/?202606189870780929</t>
        </is>
      </c>
    </row>
    <row r="3704">
      <c r="A3704" t="inlineStr">
        <is>
          <t>2026</t>
        </is>
      </c>
      <c r="B3704" t="inlineStr">
        <is>
          <t>C00513549</t>
        </is>
      </c>
      <c r="C3704" t="inlineStr">
        <is>
          <t>Phillips 66 PAC</t>
        </is>
      </c>
      <c r="D3704" t="inlineStr">
        <is>
          <t>LISA MCCLAIN FOR CONGRESS</t>
        </is>
      </c>
      <c r="E3704" t="inlineStr">
        <is>
          <t>H0MI10287</t>
        </is>
      </c>
      <c r="F3704" t="inlineStr">
        <is>
          <t>REP</t>
        </is>
      </c>
      <c r="G3704" t="inlineStr">
        <is>
          <t>05282026</t>
        </is>
      </c>
      <c r="H3704" t="n">
        <v>2500</v>
      </c>
      <c r="I3704" t="inlineStr">
        <is>
          <t>202606189870780929</t>
        </is>
      </c>
      <c r="J3704" t="inlineStr">
        <is>
          <t>https://docquery.fec.gov/cgi-bin/fecimg/?202606189870780929</t>
        </is>
      </c>
    </row>
    <row r="3705">
      <c r="A3705" t="inlineStr">
        <is>
          <t>2026</t>
        </is>
      </c>
      <c r="B3705" t="inlineStr">
        <is>
          <t>C00513549</t>
        </is>
      </c>
      <c r="C3705" t="inlineStr">
        <is>
          <t>Phillips 66 PAC</t>
        </is>
      </c>
      <c r="D3705" t="inlineStr">
        <is>
          <t>JAY OBERNOLTE FOR CONGRESS</t>
        </is>
      </c>
      <c r="E3705" t="inlineStr">
        <is>
          <t>H0CA08135</t>
        </is>
      </c>
      <c r="F3705" t="inlineStr">
        <is>
          <t>REP</t>
        </is>
      </c>
      <c r="G3705" t="inlineStr">
        <is>
          <t>05292026</t>
        </is>
      </c>
      <c r="H3705" t="n">
        <v>2000</v>
      </c>
      <c r="I3705" t="inlineStr">
        <is>
          <t>202606189870780927</t>
        </is>
      </c>
      <c r="J3705" t="inlineStr">
        <is>
          <t>https://docquery.fec.gov/cgi-bin/fecimg/?202606189870780927</t>
        </is>
      </c>
    </row>
    <row r="3706">
      <c r="A3706" t="inlineStr">
        <is>
          <t>2026</t>
        </is>
      </c>
      <c r="B3706" t="inlineStr">
        <is>
          <t>C00513549</t>
        </is>
      </c>
      <c r="C3706" t="inlineStr">
        <is>
          <t>Phillips 66 PAC</t>
        </is>
      </c>
      <c r="D3706" t="inlineStr">
        <is>
          <t>JULIA LETLOW FOR LOUISIANA</t>
        </is>
      </c>
      <c r="E3706" t="inlineStr">
        <is>
          <t>S6LA00664</t>
        </is>
      </c>
      <c r="F3706" t="inlineStr">
        <is>
          <t>REP</t>
        </is>
      </c>
      <c r="G3706" t="inlineStr">
        <is>
          <t>06102026</t>
        </is>
      </c>
      <c r="H3706" t="n">
        <v>5000</v>
      </c>
      <c r="I3706" t="inlineStr">
        <is>
          <t>202607209890938771</t>
        </is>
      </c>
      <c r="J3706" t="inlineStr">
        <is>
          <t>https://docquery.fec.gov/cgi-bin/fecimg/?202607209890938771</t>
        </is>
      </c>
    </row>
    <row r="3707">
      <c r="A3707" t="inlineStr">
        <is>
          <t>2026</t>
        </is>
      </c>
      <c r="B3707" t="inlineStr">
        <is>
          <t>C00513549</t>
        </is>
      </c>
      <c r="C3707" t="inlineStr">
        <is>
          <t>Phillips 66 PAC</t>
        </is>
      </c>
      <c r="D3707" t="inlineStr">
        <is>
          <t>ALEXANDRA DEL MORAL MEALER FOR CONGRESS</t>
        </is>
      </c>
      <c r="E3707" t="inlineStr">
        <is>
          <t>H6TX09140</t>
        </is>
      </c>
      <c r="F3707" t="inlineStr">
        <is>
          <t>REP</t>
        </is>
      </c>
      <c r="G3707" t="inlineStr">
        <is>
          <t>06102026</t>
        </is>
      </c>
      <c r="H3707" t="n">
        <v>5000</v>
      </c>
      <c r="I3707" t="inlineStr">
        <is>
          <t>202607209890938769</t>
        </is>
      </c>
      <c r="J3707" t="inlineStr">
        <is>
          <t>https://docquery.fec.gov/cgi-bin/fecimg/?202607209890938769</t>
        </is>
      </c>
    </row>
    <row r="3708">
      <c r="A3708" t="inlineStr">
        <is>
          <t>2026</t>
        </is>
      </c>
      <c r="B3708" t="inlineStr">
        <is>
          <t>C00513549</t>
        </is>
      </c>
      <c r="C3708" t="inlineStr">
        <is>
          <t>Phillips 66 PAC</t>
        </is>
      </c>
      <c r="D3708" t="inlineStr">
        <is>
          <t>ASHLEY FOR IOWA</t>
        </is>
      </c>
      <c r="E3708" t="inlineStr">
        <is>
          <t>H0IA01174</t>
        </is>
      </c>
      <c r="F3708" t="inlineStr">
        <is>
          <t>REP</t>
        </is>
      </c>
      <c r="G3708" t="inlineStr">
        <is>
          <t>06102026</t>
        </is>
      </c>
      <c r="H3708" t="n">
        <v>2500</v>
      </c>
      <c r="I3708" t="inlineStr">
        <is>
          <t>202607209890938769</t>
        </is>
      </c>
      <c r="J3708" t="inlineStr">
        <is>
          <t>https://docquery.fec.gov/cgi-bin/fecimg/?202607209890938769</t>
        </is>
      </c>
    </row>
    <row r="3709">
      <c r="A3709" t="inlineStr">
        <is>
          <t>2026</t>
        </is>
      </c>
      <c r="B3709" t="inlineStr">
        <is>
          <t>C00513549</t>
        </is>
      </c>
      <c r="C3709" t="inlineStr">
        <is>
          <t>Phillips 66 PAC</t>
        </is>
      </c>
      <c r="D3709" t="inlineStr">
        <is>
          <t>JAKE ELLZEY FOR CONGRESS</t>
        </is>
      </c>
      <c r="E3709" t="inlineStr">
        <is>
          <t>H8TX06266</t>
        </is>
      </c>
      <c r="F3709" t="inlineStr">
        <is>
          <t>REP</t>
        </is>
      </c>
      <c r="G3709" t="inlineStr">
        <is>
          <t>06152025</t>
        </is>
      </c>
      <c r="H3709" t="n">
        <v>2500</v>
      </c>
      <c r="I3709" t="inlineStr">
        <is>
          <t>202507159762991515</t>
        </is>
      </c>
      <c r="J3709" t="inlineStr">
        <is>
          <t>https://docquery.fec.gov/cgi-bin/fecimg/?202507159762991515</t>
        </is>
      </c>
    </row>
    <row r="3710">
      <c r="A3710" t="inlineStr">
        <is>
          <t>2026</t>
        </is>
      </c>
      <c r="B3710" t="inlineStr">
        <is>
          <t>C00513549</t>
        </is>
      </c>
      <c r="C3710" t="inlineStr">
        <is>
          <t>Phillips 66 PAC</t>
        </is>
      </c>
      <c r="D3710" t="inlineStr">
        <is>
          <t>JAY OBERNOLTE FOR CONGRESS</t>
        </is>
      </c>
      <c r="E3710" t="inlineStr">
        <is>
          <t>H0CA08135</t>
        </is>
      </c>
      <c r="F3710" t="inlineStr">
        <is>
          <t>REP</t>
        </is>
      </c>
      <c r="G3710" t="inlineStr">
        <is>
          <t>06152025</t>
        </is>
      </c>
      <c r="H3710" t="n">
        <v>2000</v>
      </c>
      <c r="I3710" t="inlineStr">
        <is>
          <t>202507159762991516</t>
        </is>
      </c>
      <c r="J3710" t="inlineStr">
        <is>
          <t>https://docquery.fec.gov/cgi-bin/fecimg/?202507159762991516</t>
        </is>
      </c>
    </row>
    <row r="3711">
      <c r="A3711" t="inlineStr">
        <is>
          <t>2026</t>
        </is>
      </c>
      <c r="B3711" t="inlineStr">
        <is>
          <t>C00513549</t>
        </is>
      </c>
      <c r="C3711" t="inlineStr">
        <is>
          <t>Phillips 66 PAC</t>
        </is>
      </c>
      <c r="D3711" t="inlineStr">
        <is>
          <t>LATTA FOR CONGRESS</t>
        </is>
      </c>
      <c r="E3711" t="inlineStr">
        <is>
          <t>H8OH05036</t>
        </is>
      </c>
      <c r="F3711" t="inlineStr">
        <is>
          <t>REP</t>
        </is>
      </c>
      <c r="G3711" t="inlineStr">
        <is>
          <t>06152025</t>
        </is>
      </c>
      <c r="H3711" t="n">
        <v>1000</v>
      </c>
      <c r="I3711" t="inlineStr">
        <is>
          <t>202507159762991516</t>
        </is>
      </c>
      <c r="J3711" t="inlineStr">
        <is>
          <t>https://docquery.fec.gov/cgi-bin/fecimg/?202507159762991516</t>
        </is>
      </c>
    </row>
    <row r="3712">
      <c r="A3712" t="inlineStr">
        <is>
          <t>2026</t>
        </is>
      </c>
      <c r="B3712" t="inlineStr">
        <is>
          <t>C00513549</t>
        </is>
      </c>
      <c r="C3712" t="inlineStr">
        <is>
          <t>Phillips 66 PAC</t>
        </is>
      </c>
      <c r="D3712" t="inlineStr">
        <is>
          <t>MORGAN GRIFFITH FOR CONGRESS</t>
        </is>
      </c>
      <c r="E3712" t="inlineStr">
        <is>
          <t>H0VA09055</t>
        </is>
      </c>
      <c r="F3712" t="inlineStr">
        <is>
          <t>REP</t>
        </is>
      </c>
      <c r="G3712" t="inlineStr">
        <is>
          <t>06152025</t>
        </is>
      </c>
      <c r="H3712" t="n">
        <v>2500</v>
      </c>
      <c r="I3712" t="inlineStr">
        <is>
          <t>202507159762991516</t>
        </is>
      </c>
      <c r="J3712" t="inlineStr">
        <is>
          <t>https://docquery.fec.gov/cgi-bin/fecimg/?202507159762991516</t>
        </is>
      </c>
    </row>
    <row r="3713">
      <c r="A3713" t="inlineStr">
        <is>
          <t>2026</t>
        </is>
      </c>
      <c r="B3713" t="inlineStr">
        <is>
          <t>C00513549</t>
        </is>
      </c>
      <c r="C3713" t="inlineStr">
        <is>
          <t>Phillips 66 PAC</t>
        </is>
      </c>
      <c r="D3713" t="inlineStr">
        <is>
          <t>NATHANIEL MORAN FOR CONGRESS</t>
        </is>
      </c>
      <c r="E3713" t="inlineStr">
        <is>
          <t>H2TX01112</t>
        </is>
      </c>
      <c r="F3713" t="inlineStr">
        <is>
          <t>REP</t>
        </is>
      </c>
      <c r="G3713" t="inlineStr">
        <is>
          <t>06152025</t>
        </is>
      </c>
      <c r="H3713" t="n">
        <v>1000</v>
      </c>
      <c r="I3713" t="inlineStr">
        <is>
          <t>202507159762991517</t>
        </is>
      </c>
      <c r="J3713" t="inlineStr">
        <is>
          <t>https://docquery.fec.gov/cgi-bin/fecimg/?202507159762991517</t>
        </is>
      </c>
    </row>
    <row r="3714">
      <c r="A3714" t="inlineStr">
        <is>
          <t>2026</t>
        </is>
      </c>
      <c r="B3714" t="inlineStr">
        <is>
          <t>C00513549</t>
        </is>
      </c>
      <c r="C3714" t="inlineStr">
        <is>
          <t>Phillips 66 PAC</t>
        </is>
      </c>
      <c r="D3714" t="inlineStr">
        <is>
          <t>TEXANS FOR RONNY JACKSON</t>
        </is>
      </c>
      <c r="E3714" t="inlineStr">
        <is>
          <t>H0TX13228</t>
        </is>
      </c>
      <c r="F3714" t="inlineStr">
        <is>
          <t>REP</t>
        </is>
      </c>
      <c r="G3714" t="inlineStr">
        <is>
          <t>06152025</t>
        </is>
      </c>
      <c r="H3714" t="n">
        <v>2500</v>
      </c>
      <c r="I3714" t="inlineStr">
        <is>
          <t>202507159762991517</t>
        </is>
      </c>
      <c r="J3714" t="inlineStr">
        <is>
          <t>https://docquery.fec.gov/cgi-bin/fecimg/?202507159762991517</t>
        </is>
      </c>
    </row>
    <row r="3715">
      <c r="A3715" t="inlineStr">
        <is>
          <t>2026</t>
        </is>
      </c>
      <c r="B3715" t="inlineStr">
        <is>
          <t>C00513549</t>
        </is>
      </c>
      <c r="C3715" t="inlineStr">
        <is>
          <t>Phillips 66 PAC</t>
        </is>
      </c>
      <c r="D3715" t="inlineStr">
        <is>
          <t>GRAVES FOR CONGRESS</t>
        </is>
      </c>
      <c r="E3715" t="inlineStr">
        <is>
          <t>H0MO06073</t>
        </is>
      </c>
      <c r="F3715" t="inlineStr">
        <is>
          <t>REP</t>
        </is>
      </c>
      <c r="G3715" t="inlineStr">
        <is>
          <t>06152025</t>
        </is>
      </c>
      <c r="H3715" t="n">
        <v>1000</v>
      </c>
      <c r="I3715" t="inlineStr">
        <is>
          <t>202507159762991515</t>
        </is>
      </c>
      <c r="J3715" t="inlineStr">
        <is>
          <t>https://docquery.fec.gov/cgi-bin/fecimg/?202507159762991515</t>
        </is>
      </c>
    </row>
    <row r="3716">
      <c r="A3716" t="inlineStr">
        <is>
          <t>2026</t>
        </is>
      </c>
      <c r="B3716" t="inlineStr">
        <is>
          <t>C00513549</t>
        </is>
      </c>
      <c r="C3716" t="inlineStr">
        <is>
          <t>Phillips 66 PAC</t>
        </is>
      </c>
      <c r="D3716" t="inlineStr">
        <is>
          <t>HUSTED FOR SENATE</t>
        </is>
      </c>
      <c r="E3716" t="inlineStr">
        <is>
          <t>S6OH00304</t>
        </is>
      </c>
      <c r="F3716" t="inlineStr">
        <is>
          <t>REP</t>
        </is>
      </c>
      <c r="G3716" t="inlineStr">
        <is>
          <t>06152025</t>
        </is>
      </c>
      <c r="H3716" t="n">
        <v>1500</v>
      </c>
      <c r="I3716" t="inlineStr">
        <is>
          <t>202507159762991515</t>
        </is>
      </c>
      <c r="J3716" t="inlineStr">
        <is>
          <t>https://docquery.fec.gov/cgi-bin/fecimg/?202507159762991515</t>
        </is>
      </c>
    </row>
    <row r="3717">
      <c r="A3717" t="inlineStr">
        <is>
          <t>2026</t>
        </is>
      </c>
      <c r="B3717" t="inlineStr">
        <is>
          <t>C00513549</t>
        </is>
      </c>
      <c r="C3717" t="inlineStr">
        <is>
          <t>Phillips 66 PAC</t>
        </is>
      </c>
      <c r="D3717" t="inlineStr">
        <is>
          <t>JULIA LETLOW FOR LOUISIANA</t>
        </is>
      </c>
      <c r="E3717" t="inlineStr">
        <is>
          <t>S6LA00664</t>
        </is>
      </c>
      <c r="F3717" t="inlineStr">
        <is>
          <t>REP</t>
        </is>
      </c>
      <c r="G3717" t="inlineStr">
        <is>
          <t>06232026</t>
        </is>
      </c>
      <c r="H3717" t="n">
        <v>2500</v>
      </c>
      <c r="I3717" t="inlineStr">
        <is>
          <t>202607209890938771</t>
        </is>
      </c>
      <c r="J3717" t="inlineStr">
        <is>
          <t>https://docquery.fec.gov/cgi-bin/fecimg/?202607209890938771</t>
        </is>
      </c>
    </row>
    <row r="3718">
      <c r="A3718" t="inlineStr">
        <is>
          <t>2026</t>
        </is>
      </c>
      <c r="B3718" t="inlineStr">
        <is>
          <t>C00513549</t>
        </is>
      </c>
      <c r="C3718" t="inlineStr">
        <is>
          <t>Phillips 66 PAC</t>
        </is>
      </c>
      <c r="D3718" t="inlineStr">
        <is>
          <t>MONICA FOR CONGRESS</t>
        </is>
      </c>
      <c r="E3718" t="inlineStr">
        <is>
          <t>H0TX15124</t>
        </is>
      </c>
      <c r="F3718" t="inlineStr">
        <is>
          <t>REP</t>
        </is>
      </c>
      <c r="G3718" t="inlineStr">
        <is>
          <t>06232026</t>
        </is>
      </c>
      <c r="H3718" t="n">
        <v>2500</v>
      </c>
      <c r="I3718" t="inlineStr">
        <is>
          <t>202607209890938772</t>
        </is>
      </c>
      <c r="J3718" t="inlineStr">
        <is>
          <t>https://docquery.fec.gov/cgi-bin/fecimg/?202607209890938772</t>
        </is>
      </c>
    </row>
    <row r="3719">
      <c r="A3719" t="inlineStr">
        <is>
          <t>2026</t>
        </is>
      </c>
      <c r="B3719" t="inlineStr">
        <is>
          <t>C00513549</t>
        </is>
      </c>
      <c r="C3719" t="inlineStr">
        <is>
          <t>Phillips 66 PAC</t>
        </is>
      </c>
      <c r="D3719" t="inlineStr">
        <is>
          <t>NIKKI FOR CONGRESS</t>
        </is>
      </c>
      <c r="E3719" t="inlineStr">
        <is>
          <t>H2IL13153</t>
        </is>
      </c>
      <c r="F3719" t="inlineStr">
        <is>
          <t>DEM</t>
        </is>
      </c>
      <c r="G3719" t="inlineStr">
        <is>
          <t>06232026</t>
        </is>
      </c>
      <c r="H3719" t="n">
        <v>1000</v>
      </c>
      <c r="I3719" t="inlineStr">
        <is>
          <t>202607209890938772</t>
        </is>
      </c>
      <c r="J3719" t="inlineStr">
        <is>
          <t>https://docquery.fec.gov/cgi-bin/fecimg/?202607209890938772</t>
        </is>
      </c>
    </row>
    <row r="3720">
      <c r="A3720" t="inlineStr">
        <is>
          <t>2026</t>
        </is>
      </c>
      <c r="B3720" t="inlineStr">
        <is>
          <t>C00513549</t>
        </is>
      </c>
      <c r="C3720" t="inlineStr">
        <is>
          <t>Phillips 66 PAC</t>
        </is>
      </c>
      <c r="D3720" t="inlineStr">
        <is>
          <t>PETE RICKETTS FOR SENATE</t>
        </is>
      </c>
      <c r="E3720" t="inlineStr">
        <is>
          <t>S4NE00173</t>
        </is>
      </c>
      <c r="G3720" t="inlineStr">
        <is>
          <t>06232026</t>
        </is>
      </c>
      <c r="H3720" t="n">
        <v>2500</v>
      </c>
      <c r="I3720" t="inlineStr">
        <is>
          <t>202607209890938772</t>
        </is>
      </c>
      <c r="J3720" t="inlineStr">
        <is>
          <t>https://docquery.fec.gov/cgi-bin/fecimg/?202607209890938772</t>
        </is>
      </c>
    </row>
    <row r="3721">
      <c r="A3721" t="inlineStr">
        <is>
          <t>2026</t>
        </is>
      </c>
      <c r="B3721" t="inlineStr">
        <is>
          <t>C00513549</t>
        </is>
      </c>
      <c r="C3721" t="inlineStr">
        <is>
          <t>Phillips 66 PAC</t>
        </is>
      </c>
      <c r="D3721" t="inlineStr">
        <is>
          <t>RICK W. ALLEN FOR CONGRESS</t>
        </is>
      </c>
      <c r="E3721" t="inlineStr">
        <is>
          <t>H2GA12121</t>
        </is>
      </c>
      <c r="F3721" t="inlineStr">
        <is>
          <t>REP</t>
        </is>
      </c>
      <c r="G3721" t="inlineStr">
        <is>
          <t>06232026</t>
        </is>
      </c>
      <c r="H3721" t="n">
        <v>1000</v>
      </c>
      <c r="I3721" t="inlineStr">
        <is>
          <t>202607209890938773</t>
        </is>
      </c>
      <c r="J3721" t="inlineStr">
        <is>
          <t>https://docquery.fec.gov/cgi-bin/fecimg/?202607209890938773</t>
        </is>
      </c>
    </row>
    <row r="3722">
      <c r="A3722" t="inlineStr">
        <is>
          <t>2026</t>
        </is>
      </c>
      <c r="B3722" t="inlineStr">
        <is>
          <t>C00513549</t>
        </is>
      </c>
      <c r="C3722" t="inlineStr">
        <is>
          <t>Phillips 66 PAC</t>
        </is>
      </c>
      <c r="D3722" t="inlineStr">
        <is>
          <t>RULLI FOR OHIO</t>
        </is>
      </c>
      <c r="E3722" t="inlineStr">
        <is>
          <t>H4OH06165</t>
        </is>
      </c>
      <c r="F3722" t="inlineStr">
        <is>
          <t>REP</t>
        </is>
      </c>
      <c r="G3722" t="inlineStr">
        <is>
          <t>06232026</t>
        </is>
      </c>
      <c r="H3722" t="n">
        <v>2500</v>
      </c>
      <c r="I3722" t="inlineStr">
        <is>
          <t>202607209890938773</t>
        </is>
      </c>
      <c r="J3722" t="inlineStr">
        <is>
          <t>https://docquery.fec.gov/cgi-bin/fecimg/?202607209890938773</t>
        </is>
      </c>
    </row>
    <row r="3723">
      <c r="A3723" t="inlineStr">
        <is>
          <t>2026</t>
        </is>
      </c>
      <c r="B3723" t="inlineStr">
        <is>
          <t>C00513549</t>
        </is>
      </c>
      <c r="C3723" t="inlineStr">
        <is>
          <t>Phillips 66 PAC</t>
        </is>
      </c>
      <c r="D3723" t="inlineStr">
        <is>
          <t>CELESTE FOR CONGRESS</t>
        </is>
      </c>
      <c r="E3723" t="inlineStr">
        <is>
          <t>H4UT02296</t>
        </is>
      </c>
      <c r="F3723" t="inlineStr">
        <is>
          <t>REP</t>
        </is>
      </c>
      <c r="G3723" t="inlineStr">
        <is>
          <t>06232026</t>
        </is>
      </c>
      <c r="H3723" t="n">
        <v>2500</v>
      </c>
      <c r="I3723" t="inlineStr">
        <is>
          <t>202607209890938769</t>
        </is>
      </c>
      <c r="J3723" t="inlineStr">
        <is>
          <t>https://docquery.fec.gov/cgi-bin/fecimg/?202607209890938769</t>
        </is>
      </c>
    </row>
    <row r="3724">
      <c r="A3724" t="inlineStr">
        <is>
          <t>2026</t>
        </is>
      </c>
      <c r="B3724" t="inlineStr">
        <is>
          <t>C00513549</t>
        </is>
      </c>
      <c r="C3724" t="inlineStr">
        <is>
          <t>Phillips 66 PAC</t>
        </is>
      </c>
      <c r="D3724" t="inlineStr">
        <is>
          <t>COLLINS FOR SENATOR</t>
        </is>
      </c>
      <c r="E3724" t="inlineStr">
        <is>
          <t>S6ME00159</t>
        </is>
      </c>
      <c r="F3724" t="inlineStr">
        <is>
          <t>REP</t>
        </is>
      </c>
      <c r="G3724" t="inlineStr">
        <is>
          <t>06232026</t>
        </is>
      </c>
      <c r="H3724" t="n">
        <v>2500</v>
      </c>
      <c r="I3724" t="inlineStr">
        <is>
          <t>202607209890938770</t>
        </is>
      </c>
      <c r="J3724" t="inlineStr">
        <is>
          <t>https://docquery.fec.gov/cgi-bin/fecimg/?202607209890938770</t>
        </is>
      </c>
    </row>
    <row r="3725">
      <c r="A3725" t="inlineStr">
        <is>
          <t>2026</t>
        </is>
      </c>
      <c r="B3725" t="inlineStr">
        <is>
          <t>C00513549</t>
        </is>
      </c>
      <c r="C3725" t="inlineStr">
        <is>
          <t>Phillips 66 PAC</t>
        </is>
      </c>
      <c r="D3725" t="inlineStr">
        <is>
          <t>CONSERVATIVE TOM SELL FOR CONGRESS</t>
        </is>
      </c>
      <c r="E3725" t="inlineStr">
        <is>
          <t>H6TX19206</t>
        </is>
      </c>
      <c r="F3725" t="inlineStr">
        <is>
          <t>REP</t>
        </is>
      </c>
      <c r="G3725" t="inlineStr">
        <is>
          <t>06232026</t>
        </is>
      </c>
      <c r="H3725" t="n">
        <v>5000</v>
      </c>
      <c r="I3725" t="inlineStr">
        <is>
          <t>202607209890938770</t>
        </is>
      </c>
      <c r="J3725" t="inlineStr">
        <is>
          <t>https://docquery.fec.gov/cgi-bin/fecimg/?202607209890938770</t>
        </is>
      </c>
    </row>
    <row r="3726">
      <c r="A3726" t="inlineStr">
        <is>
          <t>2026</t>
        </is>
      </c>
      <c r="B3726" t="inlineStr">
        <is>
          <t>C00513549</t>
        </is>
      </c>
      <c r="C3726" t="inlineStr">
        <is>
          <t>Phillips 66 PAC</t>
        </is>
      </c>
      <c r="D3726" t="inlineStr">
        <is>
          <t>HERN FOR SENATE</t>
        </is>
      </c>
      <c r="E3726" t="inlineStr">
        <is>
          <t>S6OK04247</t>
        </is>
      </c>
      <c r="F3726" t="inlineStr">
        <is>
          <t>REP</t>
        </is>
      </c>
      <c r="G3726" t="inlineStr">
        <is>
          <t>06232026</t>
        </is>
      </c>
      <c r="H3726" t="n">
        <v>5000</v>
      </c>
      <c r="I3726" t="inlineStr">
        <is>
          <t>202607209890938770</t>
        </is>
      </c>
      <c r="J3726" t="inlineStr">
        <is>
          <t>https://docquery.fec.gov/cgi-bin/fecimg/?202607209890938770</t>
        </is>
      </c>
    </row>
    <row r="3727">
      <c r="A3727" t="inlineStr">
        <is>
          <t>2026</t>
        </is>
      </c>
      <c r="B3727" t="inlineStr">
        <is>
          <t>C00513549</t>
        </is>
      </c>
      <c r="C3727" t="inlineStr">
        <is>
          <t>Phillips 66 PAC</t>
        </is>
      </c>
      <c r="D3727" t="inlineStr">
        <is>
          <t>JON BONCK FOR CONGRESS</t>
        </is>
      </c>
      <c r="E3727" t="inlineStr">
        <is>
          <t>H6TX02244</t>
        </is>
      </c>
      <c r="F3727" t="inlineStr">
        <is>
          <t>REP</t>
        </is>
      </c>
      <c r="G3727" t="inlineStr">
        <is>
          <t>06232026</t>
        </is>
      </c>
      <c r="H3727" t="n">
        <v>5000</v>
      </c>
      <c r="I3727" t="inlineStr">
        <is>
          <t>202607209890938771</t>
        </is>
      </c>
      <c r="J3727" t="inlineStr">
        <is>
          <t>https://docquery.fec.gov/cgi-bin/fecimg/?202607209890938771</t>
        </is>
      </c>
    </row>
    <row r="3728">
      <c r="A3728" t="inlineStr">
        <is>
          <t>2026</t>
        </is>
      </c>
      <c r="B3728" t="inlineStr">
        <is>
          <t>C00513549</t>
        </is>
      </c>
      <c r="C3728" t="inlineStr">
        <is>
          <t>Phillips 66 PAC</t>
        </is>
      </c>
      <c r="D3728" t="inlineStr">
        <is>
          <t>MULLIN FOR AMERICA</t>
        </is>
      </c>
      <c r="E3728" t="inlineStr">
        <is>
          <t>S2OK00186</t>
        </is>
      </c>
      <c r="F3728" t="inlineStr">
        <is>
          <t>REP</t>
        </is>
      </c>
      <c r="G3728" t="inlineStr">
        <is>
          <t>07062026</t>
        </is>
      </c>
      <c r="H3728" t="n">
        <v>-5000</v>
      </c>
      <c r="I3728" t="inlineStr">
        <is>
          <t>202608209899753638</t>
        </is>
      </c>
      <c r="J3728" t="inlineStr">
        <is>
          <t>https://docquery.fec.gov/cgi-bin/fecimg/?202608209899753638</t>
        </is>
      </c>
    </row>
    <row r="3729">
      <c r="A3729" t="inlineStr">
        <is>
          <t>2026</t>
        </is>
      </c>
      <c r="B3729" t="inlineStr">
        <is>
          <t>C00513549</t>
        </is>
      </c>
      <c r="C3729" t="inlineStr">
        <is>
          <t>Phillips 66 PAC</t>
        </is>
      </c>
      <c r="D3729" t="inlineStr">
        <is>
          <t>MIKE THOMPSON FOR CONGRESS</t>
        </is>
      </c>
      <c r="E3729" t="inlineStr">
        <is>
          <t>H8CA01109</t>
        </is>
      </c>
      <c r="F3729" t="inlineStr">
        <is>
          <t>DEM</t>
        </is>
      </c>
      <c r="G3729" t="inlineStr">
        <is>
          <t>07062026</t>
        </is>
      </c>
      <c r="H3729" t="n">
        <v>2000</v>
      </c>
      <c r="I3729" t="inlineStr">
        <is>
          <t>202608209899753647</t>
        </is>
      </c>
      <c r="J3729" t="inlineStr">
        <is>
          <t>https://docquery.fec.gov/cgi-bin/fecimg/?202608209899753647</t>
        </is>
      </c>
    </row>
    <row r="3730">
      <c r="A3730" t="inlineStr">
        <is>
          <t>2026</t>
        </is>
      </c>
      <c r="B3730" t="inlineStr">
        <is>
          <t>C00513549</t>
        </is>
      </c>
      <c r="C3730" t="inlineStr">
        <is>
          <t>Phillips 66 PAC</t>
        </is>
      </c>
      <c r="D3730" t="inlineStr">
        <is>
          <t>ADAM GRAY FOR CONGRESS</t>
        </is>
      </c>
      <c r="E3730" t="inlineStr">
        <is>
          <t>H2CA13115</t>
        </is>
      </c>
      <c r="F3730" t="inlineStr">
        <is>
          <t>DEM</t>
        </is>
      </c>
      <c r="G3730" t="inlineStr">
        <is>
          <t>07062026</t>
        </is>
      </c>
      <c r="H3730" t="n">
        <v>3000</v>
      </c>
      <c r="I3730" t="inlineStr">
        <is>
          <t>202608209899753640</t>
        </is>
      </c>
      <c r="J3730" t="inlineStr">
        <is>
          <t>https://docquery.fec.gov/cgi-bin/fecimg/?202608209899753640</t>
        </is>
      </c>
    </row>
    <row r="3731">
      <c r="A3731" t="inlineStr">
        <is>
          <t>2026</t>
        </is>
      </c>
      <c r="B3731" t="inlineStr">
        <is>
          <t>C00513549</t>
        </is>
      </c>
      <c r="C3731" t="inlineStr">
        <is>
          <t>Phillips 66 PAC</t>
        </is>
      </c>
      <c r="D3731" t="inlineStr">
        <is>
          <t>FEDORCHAK FOR ND</t>
        </is>
      </c>
      <c r="E3731" t="inlineStr">
        <is>
          <t>H4ND00061</t>
        </is>
      </c>
      <c r="F3731" t="inlineStr">
        <is>
          <t>REP</t>
        </is>
      </c>
      <c r="G3731" t="inlineStr">
        <is>
          <t>07062026</t>
        </is>
      </c>
      <c r="H3731" t="n">
        <v>2500</v>
      </c>
      <c r="I3731" t="inlineStr">
        <is>
          <t>202608209899753642</t>
        </is>
      </c>
      <c r="J3731" t="inlineStr">
        <is>
          <t>https://docquery.fec.gov/cgi-bin/fecimg/?202608209899753642</t>
        </is>
      </c>
    </row>
    <row r="3732">
      <c r="A3732" t="inlineStr">
        <is>
          <t>2026</t>
        </is>
      </c>
      <c r="B3732" t="inlineStr">
        <is>
          <t>C00513549</t>
        </is>
      </c>
      <c r="C3732" t="inlineStr">
        <is>
          <t>Phillips 66 PAC</t>
        </is>
      </c>
      <c r="D3732" t="inlineStr">
        <is>
          <t>TEXANS FOR SENATOR JOHN CORNYN INC.</t>
        </is>
      </c>
      <c r="E3732" t="inlineStr">
        <is>
          <t>S2TX00106</t>
        </is>
      </c>
      <c r="F3732" t="inlineStr">
        <is>
          <t>REP</t>
        </is>
      </c>
      <c r="G3732" t="inlineStr">
        <is>
          <t>07242026</t>
        </is>
      </c>
      <c r="H3732" t="n">
        <v>-5000</v>
      </c>
      <c r="I3732" t="inlineStr">
        <is>
          <t>202608209899753638</t>
        </is>
      </c>
      <c r="J3732" t="inlineStr">
        <is>
          <t>https://docquery.fec.gov/cgi-bin/fecimg/?202608209899753638</t>
        </is>
      </c>
    </row>
    <row r="3733">
      <c r="A3733" t="inlineStr">
        <is>
          <t>2026</t>
        </is>
      </c>
      <c r="B3733" t="inlineStr">
        <is>
          <t>C00513549</t>
        </is>
      </c>
      <c r="C3733" t="inlineStr">
        <is>
          <t>Phillips 66 PAC</t>
        </is>
      </c>
      <c r="D3733" t="inlineStr">
        <is>
          <t>HUDSON FOR CONGRESS</t>
        </is>
      </c>
      <c r="E3733" t="inlineStr">
        <is>
          <t>H2NC08185</t>
        </is>
      </c>
      <c r="F3733" t="inlineStr">
        <is>
          <t>REP</t>
        </is>
      </c>
      <c r="G3733" t="inlineStr">
        <is>
          <t>07312026</t>
        </is>
      </c>
      <c r="H3733" t="n">
        <v>2500</v>
      </c>
      <c r="I3733" t="inlineStr">
        <is>
          <t>202608209899753644</t>
        </is>
      </c>
      <c r="J3733" t="inlineStr">
        <is>
          <t>https://docquery.fec.gov/cgi-bin/fecimg/?202608209899753644</t>
        </is>
      </c>
    </row>
    <row r="3734">
      <c r="A3734" t="inlineStr">
        <is>
          <t>2026</t>
        </is>
      </c>
      <c r="B3734" t="inlineStr">
        <is>
          <t>C00513549</t>
        </is>
      </c>
      <c r="C3734" t="inlineStr">
        <is>
          <t>Phillips 66 PAC</t>
        </is>
      </c>
      <c r="D3734" t="inlineStr">
        <is>
          <t>HUSTED FOR SENATE</t>
        </is>
      </c>
      <c r="E3734" t="inlineStr">
        <is>
          <t>S6OH00304</t>
        </is>
      </c>
      <c r="F3734" t="inlineStr">
        <is>
          <t>REP</t>
        </is>
      </c>
      <c r="G3734" t="inlineStr">
        <is>
          <t>07312026</t>
        </is>
      </c>
      <c r="H3734" t="n">
        <v>5000</v>
      </c>
      <c r="I3734" t="inlineStr">
        <is>
          <t>202608209899753644</t>
        </is>
      </c>
      <c r="J3734" t="inlineStr">
        <is>
          <t>https://docquery.fec.gov/cgi-bin/fecimg/?202608209899753644</t>
        </is>
      </c>
    </row>
    <row r="3735">
      <c r="A3735" t="inlineStr">
        <is>
          <t>2026</t>
        </is>
      </c>
      <c r="B3735" t="inlineStr">
        <is>
          <t>C00513549</t>
        </is>
      </c>
      <c r="C3735" t="inlineStr">
        <is>
          <t>Phillips 66 PAC</t>
        </is>
      </c>
      <c r="D3735" t="inlineStr">
        <is>
          <t>JASON SMITH FOR CONGRESS</t>
        </is>
      </c>
      <c r="E3735" t="inlineStr">
        <is>
          <t>H4MO08162</t>
        </is>
      </c>
      <c r="F3735" t="inlineStr">
        <is>
          <t>REP</t>
        </is>
      </c>
      <c r="G3735" t="inlineStr">
        <is>
          <t>07312026</t>
        </is>
      </c>
      <c r="H3735" t="n">
        <v>2500</v>
      </c>
      <c r="I3735" t="inlineStr">
        <is>
          <t>202608209899753645</t>
        </is>
      </c>
      <c r="J3735" t="inlineStr">
        <is>
          <t>https://docquery.fec.gov/cgi-bin/fecimg/?202608209899753645</t>
        </is>
      </c>
    </row>
    <row r="3736">
      <c r="A3736" t="inlineStr">
        <is>
          <t>2026</t>
        </is>
      </c>
      <c r="B3736" t="inlineStr">
        <is>
          <t>C00513549</t>
        </is>
      </c>
      <c r="C3736" t="inlineStr">
        <is>
          <t>Phillips 66 PAC</t>
        </is>
      </c>
      <c r="D3736" t="inlineStr">
        <is>
          <t>JIM COSTA FOR CONGRESS</t>
        </is>
      </c>
      <c r="E3736" t="inlineStr">
        <is>
          <t>H4CA20082</t>
        </is>
      </c>
      <c r="F3736" t="inlineStr">
        <is>
          <t>DEM</t>
        </is>
      </c>
      <c r="G3736" t="inlineStr">
        <is>
          <t>07312026</t>
        </is>
      </c>
      <c r="H3736" t="n">
        <v>2500</v>
      </c>
      <c r="I3736" t="inlineStr">
        <is>
          <t>202608209899753645</t>
        </is>
      </c>
      <c r="J3736" t="inlineStr">
        <is>
          <t>https://docquery.fec.gov/cgi-bin/fecimg/?202608209899753645</t>
        </is>
      </c>
    </row>
    <row r="3737">
      <c r="A3737" t="inlineStr">
        <is>
          <t>2026</t>
        </is>
      </c>
      <c r="B3737" t="inlineStr">
        <is>
          <t>C00513549</t>
        </is>
      </c>
      <c r="C3737" t="inlineStr">
        <is>
          <t>Phillips 66 PAC</t>
        </is>
      </c>
      <c r="D3737" t="inlineStr">
        <is>
          <t>KANSANS FOR MARSHALL</t>
        </is>
      </c>
      <c r="E3737" t="inlineStr">
        <is>
          <t>S0KS00315</t>
        </is>
      </c>
      <c r="F3737" t="inlineStr">
        <is>
          <t>REP</t>
        </is>
      </c>
      <c r="G3737" t="inlineStr">
        <is>
          <t>07312026</t>
        </is>
      </c>
      <c r="H3737" t="n">
        <v>2500</v>
      </c>
      <c r="I3737" t="inlineStr">
        <is>
          <t>202608209899753646</t>
        </is>
      </c>
      <c r="J3737" t="inlineStr">
        <is>
          <t>https://docquery.fec.gov/cgi-bin/fecimg/?202608209899753646</t>
        </is>
      </c>
    </row>
    <row r="3738">
      <c r="A3738" t="inlineStr">
        <is>
          <t>2026</t>
        </is>
      </c>
      <c r="B3738" t="inlineStr">
        <is>
          <t>C00513549</t>
        </is>
      </c>
      <c r="C3738" t="inlineStr">
        <is>
          <t>Phillips 66 PAC</t>
        </is>
      </c>
      <c r="D3738" t="inlineStr">
        <is>
          <t>LOU CORREA FOR CONGRESS</t>
        </is>
      </c>
      <c r="E3738" t="inlineStr">
        <is>
          <t>H6CA46116</t>
        </is>
      </c>
      <c r="F3738" t="inlineStr">
        <is>
          <t>DEM</t>
        </is>
      </c>
      <c r="G3738" t="inlineStr">
        <is>
          <t>07312026</t>
        </is>
      </c>
      <c r="H3738" t="n">
        <v>2500</v>
      </c>
      <c r="I3738" t="inlineStr">
        <is>
          <t>202608209899753646</t>
        </is>
      </c>
      <c r="J3738" t="inlineStr">
        <is>
          <t>https://docquery.fec.gov/cgi-bin/fecimg/?202608209899753646</t>
        </is>
      </c>
    </row>
    <row r="3739">
      <c r="A3739" t="inlineStr">
        <is>
          <t>2026</t>
        </is>
      </c>
      <c r="B3739" t="inlineStr">
        <is>
          <t>C00513549</t>
        </is>
      </c>
      <c r="C3739" t="inlineStr">
        <is>
          <t>Phillips 66 PAC</t>
        </is>
      </c>
      <c r="D3739" t="inlineStr">
        <is>
          <t>LUCAS FOR CONGRESS</t>
        </is>
      </c>
      <c r="E3739" t="inlineStr">
        <is>
          <t>H4OK06056</t>
        </is>
      </c>
      <c r="F3739" t="inlineStr">
        <is>
          <t>REP</t>
        </is>
      </c>
      <c r="G3739" t="inlineStr">
        <is>
          <t>07312026</t>
        </is>
      </c>
      <c r="H3739" t="n">
        <v>5000</v>
      </c>
      <c r="I3739" t="inlineStr">
        <is>
          <t>202608209899753646</t>
        </is>
      </c>
      <c r="J3739" t="inlineStr">
        <is>
          <t>https://docquery.fec.gov/cgi-bin/fecimg/?202608209899753646</t>
        </is>
      </c>
    </row>
    <row r="3740">
      <c r="A3740" t="inlineStr">
        <is>
          <t>2026</t>
        </is>
      </c>
      <c r="B3740" t="inlineStr">
        <is>
          <t>C00513549</t>
        </is>
      </c>
      <c r="C3740" t="inlineStr">
        <is>
          <t>Phillips 66 PAC</t>
        </is>
      </c>
      <c r="D3740" t="inlineStr">
        <is>
          <t>PETE AGUILAR FOR CONGRESS</t>
        </is>
      </c>
      <c r="E3740" t="inlineStr">
        <is>
          <t>H2CA31125</t>
        </is>
      </c>
      <c r="F3740" t="inlineStr">
        <is>
          <t>DEM</t>
        </is>
      </c>
      <c r="G3740" t="inlineStr">
        <is>
          <t>07312026</t>
        </is>
      </c>
      <c r="H3740" t="n">
        <v>1000</v>
      </c>
      <c r="I3740" t="inlineStr">
        <is>
          <t>202608209899753647</t>
        </is>
      </c>
      <c r="J3740" t="inlineStr">
        <is>
          <t>https://docquery.fec.gov/cgi-bin/fecimg/?202608209899753647</t>
        </is>
      </c>
    </row>
    <row r="3741">
      <c r="A3741" t="inlineStr">
        <is>
          <t>2026</t>
        </is>
      </c>
      <c r="B3741" t="inlineStr">
        <is>
          <t>C00513549</t>
        </is>
      </c>
      <c r="C3741" t="inlineStr">
        <is>
          <t>Phillips 66 PAC</t>
        </is>
      </c>
      <c r="D3741" t="inlineStr">
        <is>
          <t>PETE RICKETTS FOR SENATE</t>
        </is>
      </c>
      <c r="E3741" t="inlineStr">
        <is>
          <t>S4NE00173</t>
        </is>
      </c>
      <c r="G3741" t="inlineStr">
        <is>
          <t>07312026</t>
        </is>
      </c>
      <c r="H3741" t="n">
        <v>2500</v>
      </c>
      <c r="I3741" t="inlineStr">
        <is>
          <t>202608209899753647</t>
        </is>
      </c>
      <c r="J3741" t="inlineStr">
        <is>
          <t>https://docquery.fec.gov/cgi-bin/fecimg/?202608209899753647</t>
        </is>
      </c>
    </row>
    <row r="3742">
      <c r="A3742" t="inlineStr">
        <is>
          <t>2026</t>
        </is>
      </c>
      <c r="B3742" t="inlineStr">
        <is>
          <t>C00513549</t>
        </is>
      </c>
      <c r="C3742" t="inlineStr">
        <is>
          <t>Phillips 66 PAC</t>
        </is>
      </c>
      <c r="D3742" t="inlineStr">
        <is>
          <t>RICHARD E NEAL FOR CONGRESS COMMITTEE</t>
        </is>
      </c>
      <c r="E3742" t="inlineStr">
        <is>
          <t>H8MA02041</t>
        </is>
      </c>
      <c r="F3742" t="inlineStr">
        <is>
          <t>DEM</t>
        </is>
      </c>
      <c r="G3742" t="inlineStr">
        <is>
          <t>07312026</t>
        </is>
      </c>
      <c r="H3742" t="n">
        <v>2500</v>
      </c>
      <c r="I3742" t="inlineStr">
        <is>
          <t>202608209899753648</t>
        </is>
      </c>
      <c r="J3742" t="inlineStr">
        <is>
          <t>https://docquery.fec.gov/cgi-bin/fecimg/?202608209899753648</t>
        </is>
      </c>
    </row>
    <row r="3743">
      <c r="A3743" t="inlineStr">
        <is>
          <t>2026</t>
        </is>
      </c>
      <c r="B3743" t="inlineStr">
        <is>
          <t>C00513549</t>
        </is>
      </c>
      <c r="C3743" t="inlineStr">
        <is>
          <t>Phillips 66 PAC</t>
        </is>
      </c>
      <c r="D3743" t="inlineStr">
        <is>
          <t>RULLI FOR OHIO</t>
        </is>
      </c>
      <c r="E3743" t="inlineStr">
        <is>
          <t>H4OH06165</t>
        </is>
      </c>
      <c r="F3743" t="inlineStr">
        <is>
          <t>REP</t>
        </is>
      </c>
      <c r="G3743" t="inlineStr">
        <is>
          <t>07312026</t>
        </is>
      </c>
      <c r="H3743" t="n">
        <v>2500</v>
      </c>
      <c r="I3743" t="inlineStr">
        <is>
          <t>202608209899753648</t>
        </is>
      </c>
      <c r="J3743" t="inlineStr">
        <is>
          <t>https://docquery.fec.gov/cgi-bin/fecimg/?202608209899753648</t>
        </is>
      </c>
    </row>
    <row r="3744">
      <c r="A3744" t="inlineStr">
        <is>
          <t>2026</t>
        </is>
      </c>
      <c r="B3744" t="inlineStr">
        <is>
          <t>C00513549</t>
        </is>
      </c>
      <c r="C3744" t="inlineStr">
        <is>
          <t>Phillips 66 PAC</t>
        </is>
      </c>
      <c r="D3744" t="inlineStr">
        <is>
          <t>SANFORD BISHOP FOR CONGRESS</t>
        </is>
      </c>
      <c r="E3744" t="inlineStr">
        <is>
          <t>H2GA02031</t>
        </is>
      </c>
      <c r="F3744" t="inlineStr">
        <is>
          <t>DEM</t>
        </is>
      </c>
      <c r="G3744" t="inlineStr">
        <is>
          <t>07312026</t>
        </is>
      </c>
      <c r="H3744" t="n">
        <v>1500</v>
      </c>
      <c r="I3744" t="inlineStr">
        <is>
          <t>202608209899753648</t>
        </is>
      </c>
      <c r="J3744" t="inlineStr">
        <is>
          <t>https://docquery.fec.gov/cgi-bin/fecimg/?202608209899753648</t>
        </is>
      </c>
    </row>
    <row r="3745">
      <c r="A3745" t="inlineStr">
        <is>
          <t>2026</t>
        </is>
      </c>
      <c r="B3745" t="inlineStr">
        <is>
          <t>C00513549</t>
        </is>
      </c>
      <c r="C3745" t="inlineStr">
        <is>
          <t>Phillips 66 PAC</t>
        </is>
      </c>
      <c r="D3745" t="inlineStr">
        <is>
          <t>SCHNEIDER FOR CONGRESS</t>
        </is>
      </c>
      <c r="E3745" t="inlineStr">
        <is>
          <t>H2IL10068</t>
        </is>
      </c>
      <c r="F3745" t="inlineStr">
        <is>
          <t>DEM</t>
        </is>
      </c>
      <c r="G3745" t="inlineStr">
        <is>
          <t>07312026</t>
        </is>
      </c>
      <c r="H3745" t="n">
        <v>2500</v>
      </c>
      <c r="I3745" t="inlineStr">
        <is>
          <t>202608209899753649</t>
        </is>
      </c>
      <c r="J3745" t="inlineStr">
        <is>
          <t>https://docquery.fec.gov/cgi-bin/fecimg/?202608209899753649</t>
        </is>
      </c>
    </row>
    <row r="3746">
      <c r="A3746" t="inlineStr">
        <is>
          <t>2026</t>
        </is>
      </c>
      <c r="B3746" t="inlineStr">
        <is>
          <t>C00513549</t>
        </is>
      </c>
      <c r="C3746" t="inlineStr">
        <is>
          <t>Phillips 66 PAC</t>
        </is>
      </c>
      <c r="D3746" t="inlineStr">
        <is>
          <t>TERRI SEWELL FOR CONGRESS</t>
        </is>
      </c>
      <c r="E3746" t="inlineStr">
        <is>
          <t>H0AL07086</t>
        </is>
      </c>
      <c r="F3746" t="inlineStr">
        <is>
          <t>DEM</t>
        </is>
      </c>
      <c r="G3746" t="inlineStr">
        <is>
          <t>07312026</t>
        </is>
      </c>
      <c r="H3746" t="n">
        <v>1500</v>
      </c>
      <c r="I3746" t="inlineStr">
        <is>
          <t>202608209899753649</t>
        </is>
      </c>
      <c r="J3746" t="inlineStr">
        <is>
          <t>https://docquery.fec.gov/cgi-bin/fecimg/?202608209899753649</t>
        </is>
      </c>
    </row>
    <row r="3747">
      <c r="A3747" t="inlineStr">
        <is>
          <t>2026</t>
        </is>
      </c>
      <c r="B3747" t="inlineStr">
        <is>
          <t>C00513549</t>
        </is>
      </c>
      <c r="C3747" t="inlineStr">
        <is>
          <t>Phillips 66 PAC</t>
        </is>
      </c>
      <c r="D3747" t="inlineStr">
        <is>
          <t>TEXANS FOR HENRY CUELLAR CONGRESSIONAL CAMPAIGN</t>
        </is>
      </c>
      <c r="E3747" t="inlineStr">
        <is>
          <t>H2TX23082</t>
        </is>
      </c>
      <c r="F3747" t="inlineStr">
        <is>
          <t>DEM</t>
        </is>
      </c>
      <c r="G3747" t="inlineStr">
        <is>
          <t>07312026</t>
        </is>
      </c>
      <c r="H3747" t="n">
        <v>1500</v>
      </c>
      <c r="I3747" t="inlineStr">
        <is>
          <t>202608209899753649</t>
        </is>
      </c>
      <c r="J3747" t="inlineStr">
        <is>
          <t>https://docquery.fec.gov/cgi-bin/fecimg/?202608209899753649</t>
        </is>
      </c>
    </row>
    <row r="3748">
      <c r="A3748" t="inlineStr">
        <is>
          <t>2026</t>
        </is>
      </c>
      <c r="B3748" t="inlineStr">
        <is>
          <t>C00513549</t>
        </is>
      </c>
      <c r="C3748" t="inlineStr">
        <is>
          <t>Phillips 66 PAC</t>
        </is>
      </c>
      <c r="D3748" t="inlineStr">
        <is>
          <t>TOM BARRETT FOR CONGRESS</t>
        </is>
      </c>
      <c r="E3748" t="inlineStr">
        <is>
          <t>H2MI07123</t>
        </is>
      </c>
      <c r="F3748" t="inlineStr">
        <is>
          <t>REP</t>
        </is>
      </c>
      <c r="G3748" t="inlineStr">
        <is>
          <t>07312026</t>
        </is>
      </c>
      <c r="H3748" t="n">
        <v>2500</v>
      </c>
      <c r="I3748" t="inlineStr">
        <is>
          <t>202608209899753650</t>
        </is>
      </c>
      <c r="J3748" t="inlineStr">
        <is>
          <t>https://docquery.fec.gov/cgi-bin/fecimg/?202608209899753650</t>
        </is>
      </c>
    </row>
    <row r="3749">
      <c r="A3749" t="inlineStr">
        <is>
          <t>2026</t>
        </is>
      </c>
      <c r="B3749" t="inlineStr">
        <is>
          <t>C00513549</t>
        </is>
      </c>
      <c r="C3749" t="inlineStr">
        <is>
          <t>Phillips 66 PAC</t>
        </is>
      </c>
      <c r="D3749" t="inlineStr">
        <is>
          <t>TREVER NEHLS FOR CONGRESS</t>
        </is>
      </c>
      <c r="E3749" t="inlineStr">
        <is>
          <t>H6TX22283</t>
        </is>
      </c>
      <c r="F3749" t="inlineStr">
        <is>
          <t>REP</t>
        </is>
      </c>
      <c r="G3749" t="inlineStr">
        <is>
          <t>07312026</t>
        </is>
      </c>
      <c r="H3749" t="n">
        <v>2500</v>
      </c>
      <c r="I3749" t="inlineStr">
        <is>
          <t>202608209899753650</t>
        </is>
      </c>
      <c r="J3749" t="inlineStr">
        <is>
          <t>https://docquery.fec.gov/cgi-bin/fecimg/?202608209899753650</t>
        </is>
      </c>
    </row>
    <row r="3750">
      <c r="A3750" t="inlineStr">
        <is>
          <t>2026</t>
        </is>
      </c>
      <c r="B3750" t="inlineStr">
        <is>
          <t>C00513549</t>
        </is>
      </c>
      <c r="C3750" t="inlineStr">
        <is>
          <t>Phillips 66 PAC</t>
        </is>
      </c>
      <c r="D3750" t="inlineStr">
        <is>
          <t>TROY DOWNING FOR CONGRESS</t>
        </is>
      </c>
      <c r="E3750" t="inlineStr">
        <is>
          <t>H4MT02098</t>
        </is>
      </c>
      <c r="F3750" t="inlineStr">
        <is>
          <t>REP</t>
        </is>
      </c>
      <c r="G3750" t="inlineStr">
        <is>
          <t>07312026</t>
        </is>
      </c>
      <c r="H3750" t="n">
        <v>2500</v>
      </c>
      <c r="I3750" t="inlineStr">
        <is>
          <t>202608209899753650</t>
        </is>
      </c>
      <c r="J3750" t="inlineStr">
        <is>
          <t>https://docquery.fec.gov/cgi-bin/fecimg/?202608209899753650</t>
        </is>
      </c>
    </row>
    <row r="3751">
      <c r="A3751" t="inlineStr">
        <is>
          <t>2026</t>
        </is>
      </c>
      <c r="B3751" t="inlineStr">
        <is>
          <t>C00513549</t>
        </is>
      </c>
      <c r="C3751" t="inlineStr">
        <is>
          <t>Phillips 66 PAC</t>
        </is>
      </c>
      <c r="D3751" t="inlineStr">
        <is>
          <t>ALME FOR SENATE</t>
        </is>
      </c>
      <c r="E3751" t="inlineStr">
        <is>
          <t>S6MT00295</t>
        </is>
      </c>
      <c r="F3751" t="inlineStr">
        <is>
          <t>REP</t>
        </is>
      </c>
      <c r="G3751" t="inlineStr">
        <is>
          <t>07312026</t>
        </is>
      </c>
      <c r="H3751" t="n">
        <v>5000</v>
      </c>
      <c r="I3751" t="inlineStr">
        <is>
          <t>202608209899753640</t>
        </is>
      </c>
      <c r="J3751" t="inlineStr">
        <is>
          <t>https://docquery.fec.gov/cgi-bin/fecimg/?202608209899753640</t>
        </is>
      </c>
    </row>
    <row r="3752">
      <c r="A3752" t="inlineStr">
        <is>
          <t>2026</t>
        </is>
      </c>
      <c r="B3752" t="inlineStr">
        <is>
          <t>C00513549</t>
        </is>
      </c>
      <c r="C3752" t="inlineStr">
        <is>
          <t>Phillips 66 PAC</t>
        </is>
      </c>
      <c r="D3752" t="inlineStr">
        <is>
          <t>FAMILIES FOR JAMES LANKFORD</t>
        </is>
      </c>
      <c r="E3752" t="inlineStr">
        <is>
          <t>S4OK00232</t>
        </is>
      </c>
      <c r="F3752" t="inlineStr">
        <is>
          <t>REP</t>
        </is>
      </c>
      <c r="G3752" t="inlineStr">
        <is>
          <t>07312026</t>
        </is>
      </c>
      <c r="H3752" t="n">
        <v>2500</v>
      </c>
      <c r="I3752" t="inlineStr">
        <is>
          <t>202608209899753641</t>
        </is>
      </c>
      <c r="J3752" t="inlineStr">
        <is>
          <t>https://docquery.fec.gov/cgi-bin/fecimg/?202608209899753641</t>
        </is>
      </c>
    </row>
    <row r="3753">
      <c r="A3753" t="inlineStr">
        <is>
          <t>2026</t>
        </is>
      </c>
      <c r="B3753" t="inlineStr">
        <is>
          <t>C00513549</t>
        </is>
      </c>
      <c r="C3753" t="inlineStr">
        <is>
          <t>Phillips 66 PAC</t>
        </is>
      </c>
      <c r="D3753" t="inlineStr">
        <is>
          <t>BETH VAN DUYNE FOR CONGRESS</t>
        </is>
      </c>
      <c r="E3753" t="inlineStr">
        <is>
          <t>H0TX24209</t>
        </is>
      </c>
      <c r="F3753" t="inlineStr">
        <is>
          <t>REP</t>
        </is>
      </c>
      <c r="G3753" t="inlineStr">
        <is>
          <t>07312026</t>
        </is>
      </c>
      <c r="H3753" t="n">
        <v>2500</v>
      </c>
      <c r="I3753" t="inlineStr">
        <is>
          <t>202608209899753640</t>
        </is>
      </c>
      <c r="J3753" t="inlineStr">
        <is>
          <t>https://docquery.fec.gov/cgi-bin/fecimg/?202608209899753640</t>
        </is>
      </c>
    </row>
    <row r="3754">
      <c r="A3754" t="inlineStr">
        <is>
          <t>2026</t>
        </is>
      </c>
      <c r="B3754" t="inlineStr">
        <is>
          <t>C00513549</t>
        </is>
      </c>
      <c r="C3754" t="inlineStr">
        <is>
          <t>Phillips 66 PAC</t>
        </is>
      </c>
      <c r="D3754" t="inlineStr">
        <is>
          <t>CITIZENS TO ELECT RICK LARSEN</t>
        </is>
      </c>
      <c r="E3754" t="inlineStr">
        <is>
          <t>H0WA02080</t>
        </is>
      </c>
      <c r="F3754" t="inlineStr">
        <is>
          <t>DEM</t>
        </is>
      </c>
      <c r="G3754" t="inlineStr">
        <is>
          <t>07312026</t>
        </is>
      </c>
      <c r="H3754" t="n">
        <v>2500</v>
      </c>
      <c r="I3754" t="inlineStr">
        <is>
          <t>202608209899753641</t>
        </is>
      </c>
      <c r="J3754" t="inlineStr">
        <is>
          <t>https://docquery.fec.gov/cgi-bin/fecimg/?202608209899753641</t>
        </is>
      </c>
    </row>
    <row r="3755">
      <c r="A3755" t="inlineStr">
        <is>
          <t>2026</t>
        </is>
      </c>
      <c r="B3755" t="inlineStr">
        <is>
          <t>C00513549</t>
        </is>
      </c>
      <c r="C3755" t="inlineStr">
        <is>
          <t>Phillips 66 PAC</t>
        </is>
      </c>
      <c r="D3755" t="inlineStr">
        <is>
          <t>COLLINS FOR SENATOR</t>
        </is>
      </c>
      <c r="E3755" t="inlineStr">
        <is>
          <t>S6ME00159</t>
        </is>
      </c>
      <c r="F3755" t="inlineStr">
        <is>
          <t>REP</t>
        </is>
      </c>
      <c r="G3755" t="inlineStr">
        <is>
          <t>07312026</t>
        </is>
      </c>
      <c r="H3755" t="n">
        <v>2500</v>
      </c>
      <c r="I3755" t="inlineStr">
        <is>
          <t>202608209899753641</t>
        </is>
      </c>
      <c r="J3755" t="inlineStr">
        <is>
          <t>https://docquery.fec.gov/cgi-bin/fecimg/?202608209899753641</t>
        </is>
      </c>
    </row>
    <row r="3756">
      <c r="A3756" t="inlineStr">
        <is>
          <t>2026</t>
        </is>
      </c>
      <c r="B3756" t="inlineStr">
        <is>
          <t>C00513549</t>
        </is>
      </c>
      <c r="C3756" t="inlineStr">
        <is>
          <t>Phillips 66 PAC</t>
        </is>
      </c>
      <c r="D3756" t="inlineStr">
        <is>
          <t>HAGEMAN FOR WYOMING</t>
        </is>
      </c>
      <c r="E3756" t="inlineStr">
        <is>
          <t>H2WY00166</t>
        </is>
      </c>
      <c r="F3756" t="inlineStr">
        <is>
          <t>REP</t>
        </is>
      </c>
      <c r="G3756" t="inlineStr">
        <is>
          <t>07312026</t>
        </is>
      </c>
      <c r="H3756" t="n">
        <v>5000</v>
      </c>
      <c r="I3756" t="inlineStr">
        <is>
          <t>202608209899753643</t>
        </is>
      </c>
      <c r="J3756" t="inlineStr">
        <is>
          <t>https://docquery.fec.gov/cgi-bin/fecimg/?202608209899753643</t>
        </is>
      </c>
    </row>
    <row r="3757">
      <c r="A3757" t="inlineStr">
        <is>
          <t>2026</t>
        </is>
      </c>
      <c r="B3757" t="inlineStr">
        <is>
          <t>C00513549</t>
        </is>
      </c>
      <c r="C3757" t="inlineStr">
        <is>
          <t>Phillips 66 PAC</t>
        </is>
      </c>
      <c r="D3757" t="inlineStr">
        <is>
          <t>HERB CONAWAY FOR CONGRESS</t>
        </is>
      </c>
      <c r="E3757" t="inlineStr">
        <is>
          <t>H4NJ03080</t>
        </is>
      </c>
      <c r="F3757" t="inlineStr">
        <is>
          <t>DEM</t>
        </is>
      </c>
      <c r="G3757" t="inlineStr">
        <is>
          <t>07312026</t>
        </is>
      </c>
      <c r="H3757" t="n">
        <v>1500</v>
      </c>
      <c r="I3757" t="inlineStr">
        <is>
          <t>202608209899753643</t>
        </is>
      </c>
      <c r="J3757" t="inlineStr">
        <is>
          <t>https://docquery.fec.gov/cgi-bin/fecimg/?202608209899753643</t>
        </is>
      </c>
    </row>
    <row r="3758">
      <c r="A3758" t="inlineStr">
        <is>
          <t>2026</t>
        </is>
      </c>
      <c r="B3758" t="inlineStr">
        <is>
          <t>C00513549</t>
        </is>
      </c>
      <c r="C3758" t="inlineStr">
        <is>
          <t>Phillips 66 PAC</t>
        </is>
      </c>
      <c r="D3758" t="inlineStr">
        <is>
          <t>WEBER FOR CONGRESS</t>
        </is>
      </c>
      <c r="E3758" t="inlineStr">
        <is>
          <t>H2TX14149</t>
        </is>
      </c>
      <c r="F3758" t="inlineStr">
        <is>
          <t>REP</t>
        </is>
      </c>
      <c r="G3758" t="inlineStr">
        <is>
          <t>07312026</t>
        </is>
      </c>
      <c r="H3758" t="n">
        <v>2500</v>
      </c>
      <c r="I3758" t="inlineStr">
        <is>
          <t>202608209899753651</t>
        </is>
      </c>
      <c r="J3758" t="inlineStr">
        <is>
          <t>https://docquery.fec.gov/cgi-bin/fecimg/?202608209899753651</t>
        </is>
      </c>
    </row>
    <row r="3759">
      <c r="A3759" t="inlineStr">
        <is>
          <t>2026</t>
        </is>
      </c>
      <c r="B3759" t="inlineStr">
        <is>
          <t>C00513549</t>
        </is>
      </c>
      <c r="C3759" t="inlineStr">
        <is>
          <t>Phillips 66 PAC</t>
        </is>
      </c>
      <c r="D3759" t="inlineStr">
        <is>
          <t>WESTERMAN FOR CONGRESS</t>
        </is>
      </c>
      <c r="E3759" t="inlineStr">
        <is>
          <t>H4AR04048</t>
        </is>
      </c>
      <c r="F3759" t="inlineStr">
        <is>
          <t>REP</t>
        </is>
      </c>
      <c r="G3759" t="inlineStr">
        <is>
          <t>07312026</t>
        </is>
      </c>
      <c r="H3759" t="n">
        <v>2500</v>
      </c>
      <c r="I3759" t="inlineStr">
        <is>
          <t>202608209899753651</t>
        </is>
      </c>
      <c r="J3759" t="inlineStr">
        <is>
          <t>https://docquery.fec.gov/cgi-bin/fecimg/?202608209899753651</t>
        </is>
      </c>
    </row>
    <row r="3760">
      <c r="A3760" t="inlineStr">
        <is>
          <t>2026</t>
        </is>
      </c>
      <c r="B3760" t="inlineStr">
        <is>
          <t>C00513549</t>
        </is>
      </c>
      <c r="C3760" t="inlineStr">
        <is>
          <t>Phillips 66 PAC</t>
        </is>
      </c>
      <c r="D3760" t="inlineStr">
        <is>
          <t>ASHLEY MOODY FOR U. S. SENATE</t>
        </is>
      </c>
      <c r="E3760" t="inlineStr">
        <is>
          <t>S6FL00640</t>
        </is>
      </c>
      <c r="F3760" t="inlineStr">
        <is>
          <t>REP</t>
        </is>
      </c>
      <c r="G3760" t="inlineStr">
        <is>
          <t>08272025</t>
        </is>
      </c>
      <c r="H3760" t="n">
        <v>2500</v>
      </c>
      <c r="I3760" t="inlineStr">
        <is>
          <t>202509199790130451</t>
        </is>
      </c>
      <c r="J3760" t="inlineStr">
        <is>
          <t>https://docquery.fec.gov/cgi-bin/fecimg/?202509199790130451</t>
        </is>
      </c>
    </row>
    <row r="3761">
      <c r="A3761" t="inlineStr">
        <is>
          <t>2026</t>
        </is>
      </c>
      <c r="B3761" t="inlineStr">
        <is>
          <t>C00513549</t>
        </is>
      </c>
      <c r="C3761" t="inlineStr">
        <is>
          <t>Phillips 66 PAC</t>
        </is>
      </c>
      <c r="D3761" t="inlineStr">
        <is>
          <t>BETH VAN DUYNE FOR CONGRESS</t>
        </is>
      </c>
      <c r="E3761" t="inlineStr">
        <is>
          <t>H0TX24209</t>
        </is>
      </c>
      <c r="F3761" t="inlineStr">
        <is>
          <t>REP</t>
        </is>
      </c>
      <c r="G3761" t="inlineStr">
        <is>
          <t>08272025</t>
        </is>
      </c>
      <c r="H3761" t="n">
        <v>2500</v>
      </c>
      <c r="I3761" t="inlineStr">
        <is>
          <t>202509199790130451</t>
        </is>
      </c>
      <c r="J3761" t="inlineStr">
        <is>
          <t>https://docquery.fec.gov/cgi-bin/fecimg/?202509199790130451</t>
        </is>
      </c>
    </row>
    <row r="3762">
      <c r="A3762" t="inlineStr">
        <is>
          <t>2026</t>
        </is>
      </c>
      <c r="B3762" t="inlineStr">
        <is>
          <t>C00513549</t>
        </is>
      </c>
      <c r="C3762" t="inlineStr">
        <is>
          <t>Phillips 66 PAC</t>
        </is>
      </c>
      <c r="D3762" t="inlineStr">
        <is>
          <t>CAPITO FOR WEST VIRGINIA</t>
        </is>
      </c>
      <c r="E3762" t="inlineStr">
        <is>
          <t>S4WV00159</t>
        </is>
      </c>
      <c r="F3762" t="inlineStr">
        <is>
          <t>REP</t>
        </is>
      </c>
      <c r="G3762" t="inlineStr">
        <is>
          <t>08272025</t>
        </is>
      </c>
      <c r="H3762" t="n">
        <v>5000</v>
      </c>
      <c r="I3762" t="inlineStr">
        <is>
          <t>202509199790130451</t>
        </is>
      </c>
      <c r="J3762" t="inlineStr">
        <is>
          <t>https://docquery.fec.gov/cgi-bin/fecimg/?202509199790130451</t>
        </is>
      </c>
    </row>
    <row r="3763">
      <c r="A3763" t="inlineStr">
        <is>
          <t>2026</t>
        </is>
      </c>
      <c r="B3763" t="inlineStr">
        <is>
          <t>C00513549</t>
        </is>
      </c>
      <c r="C3763" t="inlineStr">
        <is>
          <t>Phillips 66 PAC</t>
        </is>
      </c>
      <c r="D3763" t="inlineStr">
        <is>
          <t>JEFF HURD FOR COLORADO</t>
        </is>
      </c>
      <c r="E3763" t="inlineStr">
        <is>
          <t>H4CO03357</t>
        </is>
      </c>
      <c r="F3763" t="inlineStr">
        <is>
          <t>REP</t>
        </is>
      </c>
      <c r="G3763" t="inlineStr">
        <is>
          <t>08272025</t>
        </is>
      </c>
      <c r="H3763" t="n">
        <v>1000</v>
      </c>
      <c r="I3763" t="inlineStr">
        <is>
          <t>202509199790130452</t>
        </is>
      </c>
      <c r="J3763" t="inlineStr">
        <is>
          <t>https://docquery.fec.gov/cgi-bin/fecimg/?202509199790130452</t>
        </is>
      </c>
    </row>
    <row r="3764">
      <c r="A3764" t="inlineStr">
        <is>
          <t>2026</t>
        </is>
      </c>
      <c r="B3764" t="inlineStr">
        <is>
          <t>C00513549</t>
        </is>
      </c>
      <c r="C3764" t="inlineStr">
        <is>
          <t>Phillips 66 PAC</t>
        </is>
      </c>
      <c r="D3764" t="inlineStr">
        <is>
          <t>JULIA LETLOW FOR CONGRESS</t>
        </is>
      </c>
      <c r="E3764" t="inlineStr">
        <is>
          <t>H2LA05126</t>
        </is>
      </c>
      <c r="F3764" t="inlineStr">
        <is>
          <t>REP</t>
        </is>
      </c>
      <c r="G3764" t="inlineStr">
        <is>
          <t>08272025</t>
        </is>
      </c>
      <c r="H3764" t="n">
        <v>2500</v>
      </c>
      <c r="I3764" t="inlineStr">
        <is>
          <t>202509199790130452</t>
        </is>
      </c>
      <c r="J3764" t="inlineStr">
        <is>
          <t>https://docquery.fec.gov/cgi-bin/fecimg/?202509199790130452</t>
        </is>
      </c>
    </row>
    <row r="3765">
      <c r="A3765" t="inlineStr">
        <is>
          <t>2026</t>
        </is>
      </c>
      <c r="B3765" t="inlineStr">
        <is>
          <t>C00513549</t>
        </is>
      </c>
      <c r="C3765" t="inlineStr">
        <is>
          <t>Phillips 66 PAC</t>
        </is>
      </c>
      <c r="D3765" t="inlineStr">
        <is>
          <t>MOORE FOR WEST VIRGINIA, INC.</t>
        </is>
      </c>
      <c r="E3765" t="inlineStr">
        <is>
          <t>H4WV02205</t>
        </is>
      </c>
      <c r="F3765" t="inlineStr">
        <is>
          <t>REP</t>
        </is>
      </c>
      <c r="G3765" t="inlineStr">
        <is>
          <t>08272025</t>
        </is>
      </c>
      <c r="H3765" t="n">
        <v>2500</v>
      </c>
      <c r="I3765" t="inlineStr">
        <is>
          <t>202509199790130452</t>
        </is>
      </c>
      <c r="J3765" t="inlineStr">
        <is>
          <t>https://docquery.fec.gov/cgi-bin/fecimg/?202509199790130452</t>
        </is>
      </c>
    </row>
    <row r="3766">
      <c r="A3766" t="inlineStr">
        <is>
          <t>2026</t>
        </is>
      </c>
      <c r="B3766" t="inlineStr">
        <is>
          <t>C00513549</t>
        </is>
      </c>
      <c r="C3766" t="inlineStr">
        <is>
          <t>Phillips 66 PAC</t>
        </is>
      </c>
      <c r="D3766" t="inlineStr">
        <is>
          <t>TEXANS FOR JODEY ARRINGTON</t>
        </is>
      </c>
      <c r="E3766" t="inlineStr">
        <is>
          <t>H6TX19099</t>
        </is>
      </c>
      <c r="F3766" t="inlineStr">
        <is>
          <t>REP</t>
        </is>
      </c>
      <c r="G3766" t="inlineStr">
        <is>
          <t>08272025</t>
        </is>
      </c>
      <c r="H3766" t="n">
        <v>2500</v>
      </c>
      <c r="I3766" t="inlineStr">
        <is>
          <t>202509199790130453</t>
        </is>
      </c>
      <c r="J3766" t="inlineStr">
        <is>
          <t>https://docquery.fec.gov/cgi-bin/fecimg/?202509199790130453</t>
        </is>
      </c>
    </row>
    <row r="3767">
      <c r="A3767" t="inlineStr">
        <is>
          <t>2026</t>
        </is>
      </c>
      <c r="B3767" t="inlineStr">
        <is>
          <t>C00513549</t>
        </is>
      </c>
      <c r="C3767" t="inlineStr">
        <is>
          <t>Phillips 66 PAC</t>
        </is>
      </c>
      <c r="D3767" t="inlineStr">
        <is>
          <t>DR JOHN JOYCE FOR CONGRESS</t>
        </is>
      </c>
      <c r="E3767" t="inlineStr">
        <is>
          <t>H8PA13125</t>
        </is>
      </c>
      <c r="F3767" t="inlineStr">
        <is>
          <t>REP</t>
        </is>
      </c>
      <c r="G3767" t="inlineStr">
        <is>
          <t>09152025</t>
        </is>
      </c>
      <c r="H3767" t="n">
        <v>1500</v>
      </c>
      <c r="I3767" t="inlineStr">
        <is>
          <t>202510209791713215</t>
        </is>
      </c>
      <c r="J3767" t="inlineStr">
        <is>
          <t>https://docquery.fec.gov/cgi-bin/fecimg/?202510209791713215</t>
        </is>
      </c>
    </row>
    <row r="3768">
      <c r="A3768" t="inlineStr">
        <is>
          <t>2026</t>
        </is>
      </c>
      <c r="B3768" t="inlineStr">
        <is>
          <t>C00513549</t>
        </is>
      </c>
      <c r="C3768" t="inlineStr">
        <is>
          <t>Phillips 66 PAC</t>
        </is>
      </c>
      <c r="D3768" t="inlineStr">
        <is>
          <t>ELECTGABEEVANS.COM</t>
        </is>
      </c>
      <c r="E3768" t="inlineStr">
        <is>
          <t>H4CO08034</t>
        </is>
      </c>
      <c r="F3768" t="inlineStr">
        <is>
          <t>REP</t>
        </is>
      </c>
      <c r="G3768" t="inlineStr">
        <is>
          <t>09152025</t>
        </is>
      </c>
      <c r="H3768" t="n">
        <v>5000</v>
      </c>
      <c r="I3768" t="inlineStr">
        <is>
          <t>202510209791713215</t>
        </is>
      </c>
      <c r="J3768" t="inlineStr">
        <is>
          <t>https://docquery.fec.gov/cgi-bin/fecimg/?202510209791713215</t>
        </is>
      </c>
    </row>
    <row r="3769">
      <c r="A3769" t="inlineStr">
        <is>
          <t>2026</t>
        </is>
      </c>
      <c r="B3769" t="inlineStr">
        <is>
          <t>C00513549</t>
        </is>
      </c>
      <c r="C3769" t="inlineStr">
        <is>
          <t>Phillips 66 PAC</t>
        </is>
      </c>
      <c r="D3769" t="inlineStr">
        <is>
          <t>FEDORCHAK FOR ND</t>
        </is>
      </c>
      <c r="E3769" t="inlineStr">
        <is>
          <t>H4ND00061</t>
        </is>
      </c>
      <c r="F3769" t="inlineStr">
        <is>
          <t>REP</t>
        </is>
      </c>
      <c r="G3769" t="inlineStr">
        <is>
          <t>09152025</t>
        </is>
      </c>
      <c r="H3769" t="n">
        <v>2500</v>
      </c>
      <c r="I3769" t="inlineStr">
        <is>
          <t>202510209791713216</t>
        </is>
      </c>
      <c r="J3769" t="inlineStr">
        <is>
          <t>https://docquery.fec.gov/cgi-bin/fecimg/?202510209791713216</t>
        </is>
      </c>
    </row>
    <row r="3770">
      <c r="A3770" t="inlineStr">
        <is>
          <t>2026</t>
        </is>
      </c>
      <c r="B3770" t="inlineStr">
        <is>
          <t>C00513549</t>
        </is>
      </c>
      <c r="C3770" t="inlineStr">
        <is>
          <t>Phillips 66 PAC</t>
        </is>
      </c>
      <c r="D3770" t="inlineStr">
        <is>
          <t>JEFF CRANK FOR CONGRESS</t>
        </is>
      </c>
      <c r="E3770" t="inlineStr">
        <is>
          <t>H4CO05147</t>
        </is>
      </c>
      <c r="G3770" t="inlineStr">
        <is>
          <t>09152025</t>
        </is>
      </c>
      <c r="H3770" t="n">
        <v>2500</v>
      </c>
      <c r="I3770" t="inlineStr">
        <is>
          <t>202510209791713216</t>
        </is>
      </c>
      <c r="J3770" t="inlineStr">
        <is>
          <t>https://docquery.fec.gov/cgi-bin/fecimg/?202510209791713216</t>
        </is>
      </c>
    </row>
    <row r="3771">
      <c r="A3771" t="inlineStr">
        <is>
          <t>2026</t>
        </is>
      </c>
      <c r="B3771" t="inlineStr">
        <is>
          <t>C00513549</t>
        </is>
      </c>
      <c r="C3771" t="inlineStr">
        <is>
          <t>Phillips 66 PAC</t>
        </is>
      </c>
      <c r="D3771" t="inlineStr">
        <is>
          <t>NATHANIEL MORAN FOR CONGRESS</t>
        </is>
      </c>
      <c r="E3771" t="inlineStr">
        <is>
          <t>H2TX01112</t>
        </is>
      </c>
      <c r="F3771" t="inlineStr">
        <is>
          <t>REP</t>
        </is>
      </c>
      <c r="G3771" t="inlineStr">
        <is>
          <t>09152025</t>
        </is>
      </c>
      <c r="H3771" t="n">
        <v>1500</v>
      </c>
      <c r="I3771" t="inlineStr">
        <is>
          <t>202510209791713216</t>
        </is>
      </c>
      <c r="J3771" t="inlineStr">
        <is>
          <t>https://docquery.fec.gov/cgi-bin/fecimg/?202510209791713216</t>
        </is>
      </c>
    </row>
    <row r="3772">
      <c r="A3772" t="inlineStr">
        <is>
          <t>2026</t>
        </is>
      </c>
      <c r="B3772" t="inlineStr">
        <is>
          <t>C00513549</t>
        </is>
      </c>
      <c r="C3772" t="inlineStr">
        <is>
          <t>Phillips 66 PAC</t>
        </is>
      </c>
      <c r="D3772" t="inlineStr">
        <is>
          <t>RUSS FULCHER FOR IDAHO</t>
        </is>
      </c>
      <c r="E3772" t="inlineStr">
        <is>
          <t>H8ID01124</t>
        </is>
      </c>
      <c r="F3772" t="inlineStr">
        <is>
          <t>REP</t>
        </is>
      </c>
      <c r="G3772" t="inlineStr">
        <is>
          <t>09152025</t>
        </is>
      </c>
      <c r="H3772" t="n">
        <v>2500</v>
      </c>
      <c r="I3772" t="inlineStr">
        <is>
          <t>202510209791713217</t>
        </is>
      </c>
      <c r="J3772" t="inlineStr">
        <is>
          <t>https://docquery.fec.gov/cgi-bin/fecimg/?202510209791713217</t>
        </is>
      </c>
    </row>
    <row r="3773">
      <c r="A3773" t="inlineStr">
        <is>
          <t>2026</t>
        </is>
      </c>
      <c r="B3773" t="inlineStr">
        <is>
          <t>C00513549</t>
        </is>
      </c>
      <c r="C3773" t="inlineStr">
        <is>
          <t>Phillips 66 PAC</t>
        </is>
      </c>
      <c r="D3773" t="inlineStr">
        <is>
          <t>BETH VAN DUYNE FOR CONGRESS</t>
        </is>
      </c>
      <c r="E3773" t="inlineStr">
        <is>
          <t>H0TX24209</t>
        </is>
      </c>
      <c r="F3773" t="inlineStr">
        <is>
          <t>REP</t>
        </is>
      </c>
      <c r="G3773" t="inlineStr">
        <is>
          <t>10152025</t>
        </is>
      </c>
      <c r="H3773" t="n">
        <v>1500</v>
      </c>
      <c r="I3773" t="inlineStr">
        <is>
          <t>202511199792698278</t>
        </is>
      </c>
      <c r="J3773" t="inlineStr">
        <is>
          <t>https://docquery.fec.gov/cgi-bin/fecimg/?202511199792698278</t>
        </is>
      </c>
    </row>
    <row r="3774">
      <c r="A3774" t="inlineStr">
        <is>
          <t>2026</t>
        </is>
      </c>
      <c r="B3774" t="inlineStr">
        <is>
          <t>C00513549</t>
        </is>
      </c>
      <c r="C3774" t="inlineStr">
        <is>
          <t>Phillips 66 PAC</t>
        </is>
      </c>
      <c r="D3774" t="inlineStr">
        <is>
          <t>BICE FOR CONGRESS</t>
        </is>
      </c>
      <c r="E3774" t="inlineStr">
        <is>
          <t>H0OK05205</t>
        </is>
      </c>
      <c r="F3774" t="inlineStr">
        <is>
          <t>REP</t>
        </is>
      </c>
      <c r="G3774" t="inlineStr">
        <is>
          <t>10152025</t>
        </is>
      </c>
      <c r="H3774" t="n">
        <v>2500</v>
      </c>
      <c r="I3774" t="inlineStr">
        <is>
          <t>202511199792698278</t>
        </is>
      </c>
      <c r="J3774" t="inlineStr">
        <is>
          <t>https://docquery.fec.gov/cgi-bin/fecimg/?202511199792698278</t>
        </is>
      </c>
    </row>
    <row r="3775">
      <c r="A3775" t="inlineStr">
        <is>
          <t>2026</t>
        </is>
      </c>
      <c r="B3775" t="inlineStr">
        <is>
          <t>C00513549</t>
        </is>
      </c>
      <c r="C3775" t="inlineStr">
        <is>
          <t>Phillips 66 PAC</t>
        </is>
      </c>
      <c r="D3775" t="inlineStr">
        <is>
          <t>DAN CRENSHAW FOR CONGRESS</t>
        </is>
      </c>
      <c r="E3775" t="inlineStr">
        <is>
          <t>H8TX02166</t>
        </is>
      </c>
      <c r="F3775" t="inlineStr">
        <is>
          <t>REP</t>
        </is>
      </c>
      <c r="G3775" t="inlineStr">
        <is>
          <t>10152025</t>
        </is>
      </c>
      <c r="H3775" t="n">
        <v>1500</v>
      </c>
      <c r="I3775" t="inlineStr">
        <is>
          <t>202511199792698278</t>
        </is>
      </c>
      <c r="J3775" t="inlineStr">
        <is>
          <t>https://docquery.fec.gov/cgi-bin/fecimg/?202511199792698278</t>
        </is>
      </c>
    </row>
    <row r="3776">
      <c r="A3776" t="inlineStr">
        <is>
          <t>2026</t>
        </is>
      </c>
      <c r="B3776" t="inlineStr">
        <is>
          <t>C00513549</t>
        </is>
      </c>
      <c r="C3776" t="inlineStr">
        <is>
          <t>Phillips 66 PAC</t>
        </is>
      </c>
      <c r="D3776" t="inlineStr">
        <is>
          <t>PETE STAUBER FOR CONGRESS</t>
        </is>
      </c>
      <c r="E3776" t="inlineStr">
        <is>
          <t>H8MN08043</t>
        </is>
      </c>
      <c r="F3776" t="inlineStr">
        <is>
          <t>REP</t>
        </is>
      </c>
      <c r="G3776" t="inlineStr">
        <is>
          <t>10152025</t>
        </is>
      </c>
      <c r="H3776" t="n">
        <v>1000</v>
      </c>
      <c r="I3776" t="inlineStr">
        <is>
          <t>202511199792698279</t>
        </is>
      </c>
      <c r="J3776" t="inlineStr">
        <is>
          <t>https://docquery.fec.gov/cgi-bin/fecimg/?202511199792698279</t>
        </is>
      </c>
    </row>
    <row r="3777">
      <c r="A3777" t="inlineStr">
        <is>
          <t>2026</t>
        </is>
      </c>
      <c r="B3777" t="inlineStr">
        <is>
          <t>C00513549</t>
        </is>
      </c>
      <c r="C3777" t="inlineStr">
        <is>
          <t>Phillips 66 PAC</t>
        </is>
      </c>
      <c r="D3777" t="inlineStr">
        <is>
          <t>TONY GONZALES FOR CONGRESS</t>
        </is>
      </c>
      <c r="E3777" t="inlineStr">
        <is>
          <t>H0TX35015</t>
        </is>
      </c>
      <c r="F3777" t="inlineStr">
        <is>
          <t>REP</t>
        </is>
      </c>
      <c r="G3777" t="inlineStr">
        <is>
          <t>10152025</t>
        </is>
      </c>
      <c r="H3777" t="n">
        <v>2500</v>
      </c>
      <c r="I3777" t="inlineStr">
        <is>
          <t>202511199792698279</t>
        </is>
      </c>
      <c r="J3777" t="inlineStr">
        <is>
          <t>https://docquery.fec.gov/cgi-bin/fecimg/?202511199792698279</t>
        </is>
      </c>
    </row>
    <row r="3778">
      <c r="A3778" t="inlineStr">
        <is>
          <t>2026</t>
        </is>
      </c>
      <c r="B3778" t="inlineStr">
        <is>
          <t>C00513549</t>
        </is>
      </c>
      <c r="C3778" t="inlineStr">
        <is>
          <t>Phillips 66 PAC</t>
        </is>
      </c>
      <c r="D3778" t="inlineStr">
        <is>
          <t>WEBER FOR CONGRESS</t>
        </is>
      </c>
      <c r="E3778" t="inlineStr">
        <is>
          <t>H2TX14149</t>
        </is>
      </c>
      <c r="F3778" t="inlineStr">
        <is>
          <t>REP</t>
        </is>
      </c>
      <c r="G3778" t="inlineStr">
        <is>
          <t>10152025</t>
        </is>
      </c>
      <c r="H3778" t="n">
        <v>1000</v>
      </c>
      <c r="I3778" t="inlineStr">
        <is>
          <t>202511199792698279</t>
        </is>
      </c>
      <c r="J3778" t="inlineStr">
        <is>
          <t>https://docquery.fec.gov/cgi-bin/fecimg/?202511199792698279</t>
        </is>
      </c>
    </row>
    <row r="3779">
      <c r="A3779" t="inlineStr">
        <is>
          <t>2026</t>
        </is>
      </c>
      <c r="B3779" t="inlineStr">
        <is>
          <t>C00513549</t>
        </is>
      </c>
      <c r="C3779" t="inlineStr">
        <is>
          <t>Phillips 66 PAC</t>
        </is>
      </c>
      <c r="D3779" t="inlineStr">
        <is>
          <t>WESTERMAN FOR CONGRESS</t>
        </is>
      </c>
      <c r="E3779" t="inlineStr">
        <is>
          <t>H4AR04048</t>
        </is>
      </c>
      <c r="F3779" t="inlineStr">
        <is>
          <t>REP</t>
        </is>
      </c>
      <c r="G3779" t="inlineStr">
        <is>
          <t>10152025</t>
        </is>
      </c>
      <c r="H3779" t="n">
        <v>2500</v>
      </c>
      <c r="I3779" t="inlineStr">
        <is>
          <t>202511199792698280</t>
        </is>
      </c>
      <c r="J3779" t="inlineStr">
        <is>
          <t>https://docquery.fec.gov/cgi-bin/fecimg/?202511199792698280</t>
        </is>
      </c>
    </row>
    <row r="3780">
      <c r="A3780" t="inlineStr">
        <is>
          <t>2026</t>
        </is>
      </c>
      <c r="B3780" t="inlineStr">
        <is>
          <t>C00513549</t>
        </is>
      </c>
      <c r="C3780" t="inlineStr">
        <is>
          <t>Phillips 66 PAC</t>
        </is>
      </c>
      <c r="D3780" t="inlineStr">
        <is>
          <t>HOYER FOR CONGRESS</t>
        </is>
      </c>
      <c r="E3780" t="inlineStr">
        <is>
          <t>H2MD05155</t>
        </is>
      </c>
      <c r="F3780" t="inlineStr">
        <is>
          <t>DEM</t>
        </is>
      </c>
      <c r="G3780" t="inlineStr">
        <is>
          <t>11182025</t>
        </is>
      </c>
      <c r="H3780" t="n">
        <v>1000</v>
      </c>
      <c r="I3780" t="inlineStr">
        <is>
          <t>202512129793498630</t>
        </is>
      </c>
      <c r="J3780" t="inlineStr">
        <is>
          <t>https://docquery.fec.gov/cgi-bin/fecimg/?202512129793498630</t>
        </is>
      </c>
    </row>
    <row r="3781">
      <c r="A3781" t="inlineStr">
        <is>
          <t>2026</t>
        </is>
      </c>
      <c r="B3781" t="inlineStr">
        <is>
          <t>C00513549</t>
        </is>
      </c>
      <c r="C3781" t="inlineStr">
        <is>
          <t>Phillips 66 PAC</t>
        </is>
      </c>
      <c r="D3781" t="inlineStr">
        <is>
          <t>JIM COSTA FOR CONGRESS</t>
        </is>
      </c>
      <c r="E3781" t="inlineStr">
        <is>
          <t>H4CA20082</t>
        </is>
      </c>
      <c r="F3781" t="inlineStr">
        <is>
          <t>DEM</t>
        </is>
      </c>
      <c r="G3781" t="inlineStr">
        <is>
          <t>11182025</t>
        </is>
      </c>
      <c r="H3781" t="n">
        <v>2500</v>
      </c>
      <c r="I3781" t="inlineStr">
        <is>
          <t>202512129793498630</t>
        </is>
      </c>
      <c r="J3781" t="inlineStr">
        <is>
          <t>https://docquery.fec.gov/cgi-bin/fecimg/?202512129793498630</t>
        </is>
      </c>
    </row>
    <row r="3782">
      <c r="A3782" t="inlineStr">
        <is>
          <t>2026</t>
        </is>
      </c>
      <c r="B3782" t="inlineStr">
        <is>
          <t>C00513549</t>
        </is>
      </c>
      <c r="C3782" t="inlineStr">
        <is>
          <t>Phillips 66 PAC</t>
        </is>
      </c>
      <c r="D3782" t="inlineStr">
        <is>
          <t>JOSH GOTTHEIMER FOR CONGRESS</t>
        </is>
      </c>
      <c r="E3782" t="inlineStr">
        <is>
          <t>H6NJ05171</t>
        </is>
      </c>
      <c r="F3782" t="inlineStr">
        <is>
          <t>DEM</t>
        </is>
      </c>
      <c r="G3782" t="inlineStr">
        <is>
          <t>11182025</t>
        </is>
      </c>
      <c r="H3782" t="n">
        <v>2500</v>
      </c>
      <c r="I3782" t="inlineStr">
        <is>
          <t>202512129793498631</t>
        </is>
      </c>
      <c r="J3782" t="inlineStr">
        <is>
          <t>https://docquery.fec.gov/cgi-bin/fecimg/?202512129793498631</t>
        </is>
      </c>
    </row>
    <row r="3783">
      <c r="A3783" t="inlineStr">
        <is>
          <t>2026</t>
        </is>
      </c>
      <c r="B3783" t="inlineStr">
        <is>
          <t>C00513549</t>
        </is>
      </c>
      <c r="C3783" t="inlineStr">
        <is>
          <t>Phillips 66 PAC</t>
        </is>
      </c>
      <c r="D3783" t="inlineStr">
        <is>
          <t>JULIE JOHNSON FOR CONGRESS</t>
        </is>
      </c>
      <c r="E3783" t="inlineStr">
        <is>
          <t>H4TX32089</t>
        </is>
      </c>
      <c r="F3783" t="inlineStr">
        <is>
          <t>DEM</t>
        </is>
      </c>
      <c r="G3783" t="inlineStr">
        <is>
          <t>11182025</t>
        </is>
      </c>
      <c r="H3783" t="n">
        <v>1000</v>
      </c>
      <c r="I3783" t="inlineStr">
        <is>
          <t>202512129793498631</t>
        </is>
      </c>
      <c r="J3783" t="inlineStr">
        <is>
          <t>https://docquery.fec.gov/cgi-bin/fecimg/?202512129793498631</t>
        </is>
      </c>
    </row>
    <row r="3784">
      <c r="A3784" t="inlineStr">
        <is>
          <t>2026</t>
        </is>
      </c>
      <c r="B3784" t="inlineStr">
        <is>
          <t>C00513549</t>
        </is>
      </c>
      <c r="C3784" t="inlineStr">
        <is>
          <t>Phillips 66 PAC</t>
        </is>
      </c>
      <c r="D3784" t="inlineStr">
        <is>
          <t>LOU CORREA FOR CONGRESS</t>
        </is>
      </c>
      <c r="E3784" t="inlineStr">
        <is>
          <t>H6CA46116</t>
        </is>
      </c>
      <c r="F3784" t="inlineStr">
        <is>
          <t>DEM</t>
        </is>
      </c>
      <c r="G3784" t="inlineStr">
        <is>
          <t>11182025</t>
        </is>
      </c>
      <c r="H3784" t="n">
        <v>2500</v>
      </c>
      <c r="I3784" t="inlineStr">
        <is>
          <t>202512129793498631</t>
        </is>
      </c>
      <c r="J3784" t="inlineStr">
        <is>
          <t>https://docquery.fec.gov/cgi-bin/fecimg/?202512129793498631</t>
        </is>
      </c>
    </row>
    <row r="3785">
      <c r="A3785" t="inlineStr">
        <is>
          <t>2026</t>
        </is>
      </c>
      <c r="B3785" t="inlineStr">
        <is>
          <t>C00513549</t>
        </is>
      </c>
      <c r="C3785" t="inlineStr">
        <is>
          <t>Phillips 66 PAC</t>
        </is>
      </c>
      <c r="D3785" t="inlineStr">
        <is>
          <t>LUCAS FOR CONGRESS</t>
        </is>
      </c>
      <c r="E3785" t="inlineStr">
        <is>
          <t>H4OK06056</t>
        </is>
      </c>
      <c r="F3785" t="inlineStr">
        <is>
          <t>REP</t>
        </is>
      </c>
      <c r="G3785" t="inlineStr">
        <is>
          <t>11182025</t>
        </is>
      </c>
      <c r="H3785" t="n">
        <v>2500</v>
      </c>
      <c r="I3785" t="inlineStr">
        <is>
          <t>202512129793498632</t>
        </is>
      </c>
      <c r="J3785" t="inlineStr">
        <is>
          <t>https://docquery.fec.gov/cgi-bin/fecimg/?202512129793498632</t>
        </is>
      </c>
    </row>
    <row r="3786">
      <c r="A3786" t="inlineStr">
        <is>
          <t>2026</t>
        </is>
      </c>
      <c r="B3786" t="inlineStr">
        <is>
          <t>C00513549</t>
        </is>
      </c>
      <c r="C3786" t="inlineStr">
        <is>
          <t>Phillips 66 PAC</t>
        </is>
      </c>
      <c r="D3786" t="inlineStr">
        <is>
          <t>LUMMIS FOR WYOMING INC.</t>
        </is>
      </c>
      <c r="E3786" t="inlineStr">
        <is>
          <t>S0WY00137</t>
        </is>
      </c>
      <c r="F3786" t="inlineStr">
        <is>
          <t>REP</t>
        </is>
      </c>
      <c r="G3786" t="inlineStr">
        <is>
          <t>11182025</t>
        </is>
      </c>
      <c r="H3786" t="n">
        <v>2500</v>
      </c>
      <c r="I3786" t="inlineStr">
        <is>
          <t>202512129793498632</t>
        </is>
      </c>
      <c r="J3786" t="inlineStr">
        <is>
          <t>https://docquery.fec.gov/cgi-bin/fecimg/?202512129793498632</t>
        </is>
      </c>
    </row>
    <row r="3787">
      <c r="A3787" t="inlineStr">
        <is>
          <t>2026</t>
        </is>
      </c>
      <c r="B3787" t="inlineStr">
        <is>
          <t>C00513549</t>
        </is>
      </c>
      <c r="C3787" t="inlineStr">
        <is>
          <t>Phillips 66 PAC</t>
        </is>
      </c>
      <c r="D3787" t="inlineStr">
        <is>
          <t>MARC VEASEY CONGRESSIONAL CAMPAIGN COMMITTEE</t>
        </is>
      </c>
      <c r="E3787" t="inlineStr">
        <is>
          <t>H2TX33073</t>
        </is>
      </c>
      <c r="F3787" t="inlineStr">
        <is>
          <t>DEM</t>
        </is>
      </c>
      <c r="G3787" t="inlineStr">
        <is>
          <t>11182025</t>
        </is>
      </c>
      <c r="H3787" t="n">
        <v>2500</v>
      </c>
      <c r="I3787" t="inlineStr">
        <is>
          <t>202512129793498632</t>
        </is>
      </c>
      <c r="J3787" t="inlineStr">
        <is>
          <t>https://docquery.fec.gov/cgi-bin/fecimg/?202512129793498632</t>
        </is>
      </c>
    </row>
    <row r="3788">
      <c r="A3788" t="inlineStr">
        <is>
          <t>2026</t>
        </is>
      </c>
      <c r="B3788" t="inlineStr">
        <is>
          <t>C00513549</t>
        </is>
      </c>
      <c r="C3788" t="inlineStr">
        <is>
          <t>Phillips 66 PAC</t>
        </is>
      </c>
      <c r="D3788" t="inlineStr">
        <is>
          <t>NEHLS FOR CONGRESS</t>
        </is>
      </c>
      <c r="E3788" t="inlineStr">
        <is>
          <t>H0TX22302</t>
        </is>
      </c>
      <c r="F3788" t="inlineStr">
        <is>
          <t>REP</t>
        </is>
      </c>
      <c r="G3788" t="inlineStr">
        <is>
          <t>11182025</t>
        </is>
      </c>
      <c r="H3788" t="n">
        <v>5000</v>
      </c>
      <c r="I3788" t="inlineStr">
        <is>
          <t>202512129793498633</t>
        </is>
      </c>
      <c r="J3788" t="inlineStr">
        <is>
          <t>https://docquery.fec.gov/cgi-bin/fecimg/?202512129793498633</t>
        </is>
      </c>
    </row>
    <row r="3789">
      <c r="A3789" t="inlineStr">
        <is>
          <t>2026</t>
        </is>
      </c>
      <c r="B3789" t="inlineStr">
        <is>
          <t>C00513549</t>
        </is>
      </c>
      <c r="C3789" t="inlineStr">
        <is>
          <t>Phillips 66 PAC</t>
        </is>
      </c>
      <c r="D3789" t="inlineStr">
        <is>
          <t>NEVADANS FOR STEVEN HORSFORD</t>
        </is>
      </c>
      <c r="E3789" t="inlineStr">
        <is>
          <t>H2NV04011</t>
        </is>
      </c>
      <c r="F3789" t="inlineStr">
        <is>
          <t>DEM</t>
        </is>
      </c>
      <c r="G3789" t="inlineStr">
        <is>
          <t>11182025</t>
        </is>
      </c>
      <c r="H3789" t="n">
        <v>2500</v>
      </c>
      <c r="I3789" t="inlineStr">
        <is>
          <t>202512129793498633</t>
        </is>
      </c>
      <c r="J3789" t="inlineStr">
        <is>
          <t>https://docquery.fec.gov/cgi-bin/fecimg/?202512129793498633</t>
        </is>
      </c>
    </row>
    <row r="3790">
      <c r="A3790" t="inlineStr">
        <is>
          <t>2026</t>
        </is>
      </c>
      <c r="B3790" t="inlineStr">
        <is>
          <t>C00513549</t>
        </is>
      </c>
      <c r="C3790" t="inlineStr">
        <is>
          <t>Phillips 66 PAC</t>
        </is>
      </c>
      <c r="D3790" t="inlineStr">
        <is>
          <t>RICHARD E. NEAL FOR CONGRESS COMMITTEE</t>
        </is>
      </c>
      <c r="E3790" t="inlineStr">
        <is>
          <t>H8MA02041</t>
        </is>
      </c>
      <c r="F3790" t="inlineStr">
        <is>
          <t>DEM</t>
        </is>
      </c>
      <c r="G3790" t="inlineStr">
        <is>
          <t>11182025</t>
        </is>
      </c>
      <c r="H3790" t="n">
        <v>1000</v>
      </c>
      <c r="I3790" t="inlineStr">
        <is>
          <t>202512129793498633</t>
        </is>
      </c>
      <c r="J3790" t="inlineStr">
        <is>
          <t>https://docquery.fec.gov/cgi-bin/fecimg/?202512129793498633</t>
        </is>
      </c>
    </row>
    <row r="3791">
      <c r="A3791" t="inlineStr">
        <is>
          <t>2026</t>
        </is>
      </c>
      <c r="B3791" t="inlineStr">
        <is>
          <t>C00513549</t>
        </is>
      </c>
      <c r="C3791" t="inlineStr">
        <is>
          <t>Phillips 66 PAC</t>
        </is>
      </c>
      <c r="D3791" t="inlineStr">
        <is>
          <t>STEVE DAINES FOR MONTANA</t>
        </is>
      </c>
      <c r="E3791" t="inlineStr">
        <is>
          <t>S2MT00096</t>
        </is>
      </c>
      <c r="F3791" t="inlineStr">
        <is>
          <t>REP</t>
        </is>
      </c>
      <c r="G3791" t="inlineStr">
        <is>
          <t>11182025</t>
        </is>
      </c>
      <c r="H3791" t="n">
        <v>2500</v>
      </c>
      <c r="I3791" t="inlineStr">
        <is>
          <t>202512129793498634</t>
        </is>
      </c>
      <c r="J3791" t="inlineStr">
        <is>
          <t>https://docquery.fec.gov/cgi-bin/fecimg/?202512129793498634</t>
        </is>
      </c>
    </row>
    <row r="3792">
      <c r="A3792" t="inlineStr">
        <is>
          <t>2026</t>
        </is>
      </c>
      <c r="B3792" t="inlineStr">
        <is>
          <t>C00513549</t>
        </is>
      </c>
      <c r="C3792" t="inlineStr">
        <is>
          <t>Phillips 66 PAC</t>
        </is>
      </c>
      <c r="D3792" t="inlineStr">
        <is>
          <t>SYLVIA GARCIA FOR CONGRESS</t>
        </is>
      </c>
      <c r="E3792" t="inlineStr">
        <is>
          <t>H8TX29052</t>
        </is>
      </c>
      <c r="F3792" t="inlineStr">
        <is>
          <t>DEM</t>
        </is>
      </c>
      <c r="G3792" t="inlineStr">
        <is>
          <t>11182025</t>
        </is>
      </c>
      <c r="H3792" t="n">
        <v>2500</v>
      </c>
      <c r="I3792" t="inlineStr">
        <is>
          <t>202512129793498634</t>
        </is>
      </c>
      <c r="J3792" t="inlineStr">
        <is>
          <t>https://docquery.fec.gov/cgi-bin/fecimg/?202512129793498634</t>
        </is>
      </c>
    </row>
    <row r="3793">
      <c r="A3793" t="inlineStr">
        <is>
          <t>2026</t>
        </is>
      </c>
      <c r="B3793" t="inlineStr">
        <is>
          <t>C00513549</t>
        </is>
      </c>
      <c r="C3793" t="inlineStr">
        <is>
          <t>Phillips 66 PAC</t>
        </is>
      </c>
      <c r="D3793" t="inlineStr">
        <is>
          <t>TERRI SEWELL FOR CONGRESS</t>
        </is>
      </c>
      <c r="E3793" t="inlineStr">
        <is>
          <t>H0AL07086</t>
        </is>
      </c>
      <c r="F3793" t="inlineStr">
        <is>
          <t>DEM</t>
        </is>
      </c>
      <c r="G3793" t="inlineStr">
        <is>
          <t>11182025</t>
        </is>
      </c>
      <c r="H3793" t="n">
        <v>1000</v>
      </c>
      <c r="I3793" t="inlineStr">
        <is>
          <t>202512129793498634</t>
        </is>
      </c>
      <c r="J3793" t="inlineStr">
        <is>
          <t>https://docquery.fec.gov/cgi-bin/fecimg/?202512129793498634</t>
        </is>
      </c>
    </row>
    <row r="3794">
      <c r="A3794" t="inlineStr">
        <is>
          <t>2026</t>
        </is>
      </c>
      <c r="B3794" t="inlineStr">
        <is>
          <t>C00513549</t>
        </is>
      </c>
      <c r="C3794" t="inlineStr">
        <is>
          <t>Phillips 66 PAC</t>
        </is>
      </c>
      <c r="D3794" t="inlineStr">
        <is>
          <t>TROY DOWNING FOR CONGRESS</t>
        </is>
      </c>
      <c r="E3794" t="inlineStr">
        <is>
          <t>H4MT02098</t>
        </is>
      </c>
      <c r="F3794" t="inlineStr">
        <is>
          <t>REP</t>
        </is>
      </c>
      <c r="G3794" t="inlineStr">
        <is>
          <t>11182025</t>
        </is>
      </c>
      <c r="H3794" t="n">
        <v>1000</v>
      </c>
      <c r="I3794" t="inlineStr">
        <is>
          <t>202512129793498635</t>
        </is>
      </c>
      <c r="J3794" t="inlineStr">
        <is>
          <t>https://docquery.fec.gov/cgi-bin/fecimg/?202512129793498635</t>
        </is>
      </c>
    </row>
    <row r="3795">
      <c r="A3795" t="inlineStr">
        <is>
          <t>2026</t>
        </is>
      </c>
      <c r="B3795" t="inlineStr">
        <is>
          <t>C00513549</t>
        </is>
      </c>
      <c r="C3795" t="inlineStr">
        <is>
          <t>Phillips 66 PAC</t>
        </is>
      </c>
      <c r="D3795" t="inlineStr">
        <is>
          <t>VICENTE GONZALEZ FOR CONGRESS</t>
        </is>
      </c>
      <c r="E3795" t="inlineStr">
        <is>
          <t>H6TX15162</t>
        </is>
      </c>
      <c r="F3795" t="inlineStr">
        <is>
          <t>DEM</t>
        </is>
      </c>
      <c r="G3795" t="inlineStr">
        <is>
          <t>11182025</t>
        </is>
      </c>
      <c r="H3795" t="n">
        <v>2500</v>
      </c>
      <c r="I3795" t="inlineStr">
        <is>
          <t>202512129793498635</t>
        </is>
      </c>
      <c r="J3795" t="inlineStr">
        <is>
          <t>https://docquery.fec.gov/cgi-bin/fecimg/?202512129793498635</t>
        </is>
      </c>
    </row>
    <row r="3796">
      <c r="A3796" t="inlineStr">
        <is>
          <t>2026</t>
        </is>
      </c>
      <c r="B3796" t="inlineStr">
        <is>
          <t>C00513549</t>
        </is>
      </c>
      <c r="C3796" t="inlineStr">
        <is>
          <t>Phillips 66 PAC</t>
        </is>
      </c>
      <c r="D3796" t="inlineStr">
        <is>
          <t>WHATLEY FOR SENATE</t>
        </is>
      </c>
      <c r="E3796" t="inlineStr">
        <is>
          <t>S6NC00415</t>
        </is>
      </c>
      <c r="F3796" t="inlineStr">
        <is>
          <t>REP</t>
        </is>
      </c>
      <c r="G3796" t="inlineStr">
        <is>
          <t>11182025</t>
        </is>
      </c>
      <c r="H3796" t="n">
        <v>2500</v>
      </c>
      <c r="I3796" t="inlineStr">
        <is>
          <t>202512129793498635</t>
        </is>
      </c>
      <c r="J3796" t="inlineStr">
        <is>
          <t>https://docquery.fec.gov/cgi-bin/fecimg/?202512129793498635</t>
        </is>
      </c>
    </row>
    <row r="3797">
      <c r="A3797" t="inlineStr">
        <is>
          <t>2026</t>
        </is>
      </c>
      <c r="B3797" t="inlineStr">
        <is>
          <t>C00513549</t>
        </is>
      </c>
      <c r="C3797" t="inlineStr">
        <is>
          <t>Phillips 66 PAC</t>
        </is>
      </c>
      <c r="D3797" t="inlineStr">
        <is>
          <t>ADAM GRAY FOR CONGRESS</t>
        </is>
      </c>
      <c r="E3797" t="inlineStr">
        <is>
          <t>H2CA13115</t>
        </is>
      </c>
      <c r="F3797" t="inlineStr">
        <is>
          <t>DEM</t>
        </is>
      </c>
      <c r="G3797" t="inlineStr">
        <is>
          <t>11182025</t>
        </is>
      </c>
      <c r="H3797" t="n">
        <v>1000</v>
      </c>
      <c r="I3797" t="inlineStr">
        <is>
          <t>202512129793498627</t>
        </is>
      </c>
      <c r="J3797" t="inlineStr">
        <is>
          <t>https://docquery.fec.gov/cgi-bin/fecimg/?202512129793498627</t>
        </is>
      </c>
    </row>
    <row r="3798">
      <c r="A3798" t="inlineStr">
        <is>
          <t>2026</t>
        </is>
      </c>
      <c r="B3798" t="inlineStr">
        <is>
          <t>C00513549</t>
        </is>
      </c>
      <c r="C3798" t="inlineStr">
        <is>
          <t>Phillips 66 PAC</t>
        </is>
      </c>
      <c r="D3798" t="inlineStr">
        <is>
          <t>CAPTAIN HIGGINS FOR CONGRESS</t>
        </is>
      </c>
      <c r="E3798" t="inlineStr">
        <is>
          <t>H6LA03148</t>
        </is>
      </c>
      <c r="F3798" t="inlineStr">
        <is>
          <t>REP</t>
        </is>
      </c>
      <c r="G3798" t="inlineStr">
        <is>
          <t>11182025</t>
        </is>
      </c>
      <c r="H3798" t="n">
        <v>2500</v>
      </c>
      <c r="I3798" t="inlineStr">
        <is>
          <t>202512129793498627</t>
        </is>
      </c>
      <c r="J3798" t="inlineStr">
        <is>
          <t>https://docquery.fec.gov/cgi-bin/fecimg/?202512129793498627</t>
        </is>
      </c>
    </row>
    <row r="3799">
      <c r="A3799" t="inlineStr">
        <is>
          <t>2026</t>
        </is>
      </c>
      <c r="B3799" t="inlineStr">
        <is>
          <t>C00513549</t>
        </is>
      </c>
      <c r="C3799" t="inlineStr">
        <is>
          <t>Phillips 66 PAC</t>
        </is>
      </c>
      <c r="D3799" t="inlineStr">
        <is>
          <t>CHRIS COONS FOR DELAWARE</t>
        </is>
      </c>
      <c r="E3799" t="inlineStr">
        <is>
          <t>S0DE00092</t>
        </is>
      </c>
      <c r="F3799" t="inlineStr">
        <is>
          <t>DEM</t>
        </is>
      </c>
      <c r="G3799" t="inlineStr">
        <is>
          <t>11182025</t>
        </is>
      </c>
      <c r="H3799" t="n">
        <v>1000</v>
      </c>
      <c r="I3799" t="inlineStr">
        <is>
          <t>202512129793498628</t>
        </is>
      </c>
      <c r="J3799" t="inlineStr">
        <is>
          <t>https://docquery.fec.gov/cgi-bin/fecimg/?202512129793498628</t>
        </is>
      </c>
    </row>
    <row r="3800">
      <c r="A3800" t="inlineStr">
        <is>
          <t>2026</t>
        </is>
      </c>
      <c r="B3800" t="inlineStr">
        <is>
          <t>C00513549</t>
        </is>
      </c>
      <c r="C3800" t="inlineStr">
        <is>
          <t>Phillips 66 PAC</t>
        </is>
      </c>
      <c r="D3800" t="inlineStr">
        <is>
          <t>CITIZENS TO ELECT RICK LARSEN</t>
        </is>
      </c>
      <c r="E3800" t="inlineStr">
        <is>
          <t>H0WA02080</t>
        </is>
      </c>
      <c r="F3800" t="inlineStr">
        <is>
          <t>DEM</t>
        </is>
      </c>
      <c r="G3800" t="inlineStr">
        <is>
          <t>11182025</t>
        </is>
      </c>
      <c r="H3800" t="n">
        <v>2500</v>
      </c>
      <c r="I3800" t="inlineStr">
        <is>
          <t>202512129793498628</t>
        </is>
      </c>
      <c r="J3800" t="inlineStr">
        <is>
          <t>https://docquery.fec.gov/cgi-bin/fecimg/?202512129793498628</t>
        </is>
      </c>
    </row>
    <row r="3801">
      <c r="A3801" t="inlineStr">
        <is>
          <t>2026</t>
        </is>
      </c>
      <c r="B3801" t="inlineStr">
        <is>
          <t>C00513549</t>
        </is>
      </c>
      <c r="C3801" t="inlineStr">
        <is>
          <t>Phillips 66 PAC</t>
        </is>
      </c>
      <c r="D3801" t="inlineStr">
        <is>
          <t>COLLINS FOR SENATOR</t>
        </is>
      </c>
      <c r="E3801" t="inlineStr">
        <is>
          <t>S6ME00159</t>
        </is>
      </c>
      <c r="F3801" t="inlineStr">
        <is>
          <t>REP</t>
        </is>
      </c>
      <c r="G3801" t="inlineStr">
        <is>
          <t>11182025</t>
        </is>
      </c>
      <c r="H3801" t="n">
        <v>2500</v>
      </c>
      <c r="I3801" t="inlineStr">
        <is>
          <t>202512129793498628</t>
        </is>
      </c>
      <c r="J3801" t="inlineStr">
        <is>
          <t>https://docquery.fec.gov/cgi-bin/fecimg/?202512129793498628</t>
        </is>
      </c>
    </row>
    <row r="3802">
      <c r="A3802" t="inlineStr">
        <is>
          <t>2026</t>
        </is>
      </c>
      <c r="B3802" t="inlineStr">
        <is>
          <t>C00513549</t>
        </is>
      </c>
      <c r="C3802" t="inlineStr">
        <is>
          <t>Phillips 66 PAC</t>
        </is>
      </c>
      <c r="D3802" t="inlineStr">
        <is>
          <t>DON DAVIS FOR NC</t>
        </is>
      </c>
      <c r="E3802" t="inlineStr">
        <is>
          <t>H2NC02287</t>
        </is>
      </c>
      <c r="F3802" t="inlineStr">
        <is>
          <t>DEM</t>
        </is>
      </c>
      <c r="G3802" t="inlineStr">
        <is>
          <t>11182025</t>
        </is>
      </c>
      <c r="H3802" t="n">
        <v>2500</v>
      </c>
      <c r="I3802" t="inlineStr">
        <is>
          <t>202512129793498629</t>
        </is>
      </c>
      <c r="J3802" t="inlineStr">
        <is>
          <t>https://docquery.fec.gov/cgi-bin/fecimg/?202512129793498629</t>
        </is>
      </c>
    </row>
    <row r="3803">
      <c r="A3803" t="inlineStr">
        <is>
          <t>2026</t>
        </is>
      </c>
      <c r="B3803" t="inlineStr">
        <is>
          <t>C00513549</t>
        </is>
      </c>
      <c r="C3803" t="inlineStr">
        <is>
          <t>Phillips 66 PAC</t>
        </is>
      </c>
      <c r="D3803" t="inlineStr">
        <is>
          <t>ELIZABETH PANNILL FLETCHER FOR CONGRESS</t>
        </is>
      </c>
      <c r="E3803" t="inlineStr">
        <is>
          <t>H8TX07140</t>
        </is>
      </c>
      <c r="F3803" t="inlineStr">
        <is>
          <t>DEM</t>
        </is>
      </c>
      <c r="G3803" t="inlineStr">
        <is>
          <t>11182025</t>
        </is>
      </c>
      <c r="H3803" t="n">
        <v>2500</v>
      </c>
      <c r="I3803" t="inlineStr">
        <is>
          <t>202512129793498629</t>
        </is>
      </c>
      <c r="J3803" t="inlineStr">
        <is>
          <t>https://docquery.fec.gov/cgi-bin/fecimg/?202512129793498629</t>
        </is>
      </c>
    </row>
    <row r="3804">
      <c r="A3804" t="inlineStr">
        <is>
          <t>2026</t>
        </is>
      </c>
      <c r="B3804" t="inlineStr">
        <is>
          <t>C00513549</t>
        </is>
      </c>
      <c r="C3804" t="inlineStr">
        <is>
          <t>Phillips 66 PAC</t>
        </is>
      </c>
      <c r="D3804" t="inlineStr">
        <is>
          <t>CLOUD FOR CONGRESS</t>
        </is>
      </c>
      <c r="E3804" t="inlineStr">
        <is>
          <t>H8TX27049</t>
        </is>
      </c>
      <c r="F3804" t="inlineStr">
        <is>
          <t>REP</t>
        </is>
      </c>
      <c r="G3804" t="inlineStr">
        <is>
          <t>12112025</t>
        </is>
      </c>
      <c r="H3804" t="n">
        <v>2500</v>
      </c>
      <c r="I3804" t="inlineStr">
        <is>
          <t>202601279794246609</t>
        </is>
      </c>
      <c r="J3804" t="inlineStr">
        <is>
          <t>https://docquery.fec.gov/cgi-bin/fecimg/?202601279794246609</t>
        </is>
      </c>
    </row>
    <row r="3805">
      <c r="A3805" t="inlineStr">
        <is>
          <t>2026</t>
        </is>
      </c>
      <c r="B3805" t="inlineStr">
        <is>
          <t>C00513549</t>
        </is>
      </c>
      <c r="C3805" t="inlineStr">
        <is>
          <t>Phillips 66 PAC</t>
        </is>
      </c>
      <c r="D3805" t="inlineStr">
        <is>
          <t>COTTON FOR SENATE</t>
        </is>
      </c>
      <c r="E3805" t="inlineStr">
        <is>
          <t>S4AR00103</t>
        </is>
      </c>
      <c r="F3805" t="inlineStr">
        <is>
          <t>REP</t>
        </is>
      </c>
      <c r="G3805" t="inlineStr">
        <is>
          <t>12112025</t>
        </is>
      </c>
      <c r="H3805" t="n">
        <v>2500</v>
      </c>
      <c r="I3805" t="inlineStr">
        <is>
          <t>202601279794246609</t>
        </is>
      </c>
      <c r="J3805" t="inlineStr">
        <is>
          <t>https://docquery.fec.gov/cgi-bin/fecimg/?202601279794246609</t>
        </is>
      </c>
    </row>
    <row r="3806">
      <c r="A3806" t="inlineStr">
        <is>
          <t>2026</t>
        </is>
      </c>
      <c r="B3806" t="inlineStr">
        <is>
          <t>C00513549</t>
        </is>
      </c>
      <c r="C3806" t="inlineStr">
        <is>
          <t>Phillips 66 PAC</t>
        </is>
      </c>
      <c r="D3806" t="inlineStr">
        <is>
          <t>GARY PALMER FOR CONGRESS</t>
        </is>
      </c>
      <c r="E3806" t="inlineStr">
        <is>
          <t>H4AL06098</t>
        </is>
      </c>
      <c r="F3806" t="inlineStr">
        <is>
          <t>REP</t>
        </is>
      </c>
      <c r="G3806" t="inlineStr">
        <is>
          <t>12112025</t>
        </is>
      </c>
      <c r="H3806" t="n">
        <v>1000</v>
      </c>
      <c r="I3806" t="inlineStr">
        <is>
          <t>202601279794246609</t>
        </is>
      </c>
      <c r="J3806" t="inlineStr">
        <is>
          <t>https://docquery.fec.gov/cgi-bin/fecimg/?202601279794246609</t>
        </is>
      </c>
    </row>
    <row r="3807">
      <c r="A3807" t="inlineStr">
        <is>
          <t>2026</t>
        </is>
      </c>
      <c r="B3807" t="inlineStr">
        <is>
          <t>C00513549</t>
        </is>
      </c>
      <c r="C3807" t="inlineStr">
        <is>
          <t>Phillips 66 PAC</t>
        </is>
      </c>
      <c r="D3807" t="inlineStr">
        <is>
          <t>JESSICA STEINMANN FOR CONGRESS</t>
        </is>
      </c>
      <c r="E3807" t="inlineStr">
        <is>
          <t>H6TX08209</t>
        </is>
      </c>
      <c r="F3807" t="inlineStr">
        <is>
          <t>REP</t>
        </is>
      </c>
      <c r="G3807" t="inlineStr">
        <is>
          <t>12112025</t>
        </is>
      </c>
      <c r="H3807" t="n">
        <v>5000</v>
      </c>
      <c r="I3807" t="inlineStr">
        <is>
          <t>202601279794246610</t>
        </is>
      </c>
      <c r="J3807" t="inlineStr">
        <is>
          <t>https://docquery.fec.gov/cgi-bin/fecimg/?202601279794246610</t>
        </is>
      </c>
    </row>
    <row r="3808">
      <c r="A3808" t="inlineStr">
        <is>
          <t>2026</t>
        </is>
      </c>
      <c r="B3808" t="inlineStr">
        <is>
          <t>C00513549</t>
        </is>
      </c>
      <c r="C3808" t="inlineStr">
        <is>
          <t>Phillips 66 PAC</t>
        </is>
      </c>
      <c r="D3808" t="inlineStr">
        <is>
          <t>MIKE THOMPSON FOR CONGRESS</t>
        </is>
      </c>
      <c r="E3808" t="inlineStr">
        <is>
          <t>H8CA01109</t>
        </is>
      </c>
      <c r="F3808" t="inlineStr">
        <is>
          <t>DEM</t>
        </is>
      </c>
      <c r="G3808" t="inlineStr">
        <is>
          <t>12112025</t>
        </is>
      </c>
      <c r="H3808" t="n">
        <v>3000</v>
      </c>
      <c r="I3808" t="inlineStr">
        <is>
          <t>202601279794246611</t>
        </is>
      </c>
      <c r="J3808" t="inlineStr">
        <is>
          <t>https://docquery.fec.gov/cgi-bin/fecimg/?202601279794246611</t>
        </is>
      </c>
    </row>
    <row r="3809">
      <c r="A3809" t="inlineStr">
        <is>
          <t>2026</t>
        </is>
      </c>
      <c r="B3809" t="inlineStr">
        <is>
          <t>C00513549</t>
        </is>
      </c>
      <c r="C3809" t="inlineStr">
        <is>
          <t>Phillips 66 PAC</t>
        </is>
      </c>
      <c r="D3809" t="inlineStr">
        <is>
          <t>TEXANS FOR RONNY JACKSON</t>
        </is>
      </c>
      <c r="E3809" t="inlineStr">
        <is>
          <t>H0TX13228</t>
        </is>
      </c>
      <c r="F3809" t="inlineStr">
        <is>
          <t>REP</t>
        </is>
      </c>
      <c r="G3809" t="inlineStr">
        <is>
          <t>12112025</t>
        </is>
      </c>
      <c r="H3809" t="n">
        <v>2500</v>
      </c>
      <c r="I3809" t="inlineStr">
        <is>
          <t>202601279794246612</t>
        </is>
      </c>
      <c r="J3809" t="inlineStr">
        <is>
          <t>https://docquery.fec.gov/cgi-bin/fecimg/?202601279794246612</t>
        </is>
      </c>
    </row>
    <row r="3810">
      <c r="A3810" t="inlineStr">
        <is>
          <t>2026</t>
        </is>
      </c>
      <c r="B3810" t="inlineStr">
        <is>
          <t>C00513549</t>
        </is>
      </c>
      <c r="C3810" t="inlineStr">
        <is>
          <t>Phillips 66 PAC</t>
        </is>
      </c>
      <c r="D3810" t="inlineStr">
        <is>
          <t>MONICA FOR CONGRESS</t>
        </is>
      </c>
      <c r="E3810" t="inlineStr">
        <is>
          <t>H0TX15124</t>
        </is>
      </c>
      <c r="F3810" t="inlineStr">
        <is>
          <t>REP</t>
        </is>
      </c>
      <c r="G3810" t="inlineStr">
        <is>
          <t>12112025</t>
        </is>
      </c>
      <c r="H3810" t="n">
        <v>2500</v>
      </c>
      <c r="I3810" t="inlineStr">
        <is>
          <t>202601279794246611</t>
        </is>
      </c>
      <c r="J3810" t="inlineStr">
        <is>
          <t>https://docquery.fec.gov/cgi-bin/fecimg/?202601279794246611</t>
        </is>
      </c>
    </row>
    <row r="3811">
      <c r="A3811" t="inlineStr">
        <is>
          <t>2026</t>
        </is>
      </c>
      <c r="B3811" t="inlineStr">
        <is>
          <t>C00513549</t>
        </is>
      </c>
      <c r="C3811" t="inlineStr">
        <is>
          <t>Phillips 66 PAC</t>
        </is>
      </c>
      <c r="D3811" t="inlineStr">
        <is>
          <t>TONY GONZALES FOR CONGRESS</t>
        </is>
      </c>
      <c r="E3811" t="inlineStr">
        <is>
          <t>H0TX35015</t>
        </is>
      </c>
      <c r="F3811" t="inlineStr">
        <is>
          <t>REP</t>
        </is>
      </c>
      <c r="G3811" t="inlineStr">
        <is>
          <t>12112025</t>
        </is>
      </c>
      <c r="H3811" t="n">
        <v>2500</v>
      </c>
      <c r="I3811" t="inlineStr">
        <is>
          <t>202601279794246613</t>
        </is>
      </c>
      <c r="J3811" t="inlineStr">
        <is>
          <t>https://docquery.fec.gov/cgi-bin/fecimg/?202601279794246613</t>
        </is>
      </c>
    </row>
    <row r="3812">
      <c r="A3812" t="inlineStr">
        <is>
          <t>2026</t>
        </is>
      </c>
      <c r="B3812" t="inlineStr">
        <is>
          <t>C00513549</t>
        </is>
      </c>
      <c r="C3812" t="inlineStr">
        <is>
          <t>Phillips 66 PAC</t>
        </is>
      </c>
      <c r="D3812" t="inlineStr">
        <is>
          <t>WEBER FOR CONGRESS</t>
        </is>
      </c>
      <c r="E3812" t="inlineStr">
        <is>
          <t>H2TX14149</t>
        </is>
      </c>
      <c r="F3812" t="inlineStr">
        <is>
          <t>REP</t>
        </is>
      </c>
      <c r="G3812" t="inlineStr">
        <is>
          <t>12112025</t>
        </is>
      </c>
      <c r="H3812" t="n">
        <v>1500</v>
      </c>
      <c r="I3812" t="inlineStr">
        <is>
          <t>202601279794246613</t>
        </is>
      </c>
      <c r="J3812" t="inlineStr">
        <is>
          <t>https://docquery.fec.gov/cgi-bin/fecimg/?202601279794246613</t>
        </is>
      </c>
    </row>
    <row r="3813">
      <c r="A3813" t="inlineStr">
        <is>
          <t>2026</t>
        </is>
      </c>
      <c r="B3813" t="inlineStr">
        <is>
          <t>C00513549</t>
        </is>
      </c>
      <c r="C3813" t="inlineStr">
        <is>
          <t>Phillips 66 PAC</t>
        </is>
      </c>
      <c r="D3813" t="inlineStr">
        <is>
          <t>GARY PALMER FOR CONGRESS</t>
        </is>
      </c>
      <c r="E3813" t="inlineStr">
        <is>
          <t>H4AL06098</t>
        </is>
      </c>
      <c r="F3813" t="inlineStr">
        <is>
          <t>REP</t>
        </is>
      </c>
      <c r="G3813" t="inlineStr">
        <is>
          <t>12222025</t>
        </is>
      </c>
      <c r="H3813" t="n">
        <v>-1000</v>
      </c>
      <c r="I3813" t="inlineStr">
        <is>
          <t>202601279794246610</t>
        </is>
      </c>
      <c r="J3813" t="inlineStr">
        <is>
          <t>https://docquery.fec.gov/cgi-bin/fecimg/?202601279794246610</t>
        </is>
      </c>
    </row>
    <row r="3814">
      <c r="A3814" t="inlineStr">
        <is>
          <t>2026</t>
        </is>
      </c>
      <c r="B3814" t="inlineStr">
        <is>
          <t>C00513549</t>
        </is>
      </c>
      <c r="C3814" t="inlineStr">
        <is>
          <t>Phillips 66 PAC</t>
        </is>
      </c>
      <c r="D3814" t="inlineStr">
        <is>
          <t>GARY PALMER FOR CONGRESS</t>
        </is>
      </c>
      <c r="E3814" t="inlineStr">
        <is>
          <t>H4AL06098</t>
        </is>
      </c>
      <c r="F3814" t="inlineStr">
        <is>
          <t>REP</t>
        </is>
      </c>
      <c r="G3814" t="inlineStr">
        <is>
          <t>12222025</t>
        </is>
      </c>
      <c r="H3814" t="n">
        <v>1000</v>
      </c>
      <c r="I3814" t="inlineStr">
        <is>
          <t>202601279794246610</t>
        </is>
      </c>
      <c r="J3814" t="inlineStr">
        <is>
          <t>https://docquery.fec.gov/cgi-bin/fecimg/?202601279794246610</t>
        </is>
      </c>
    </row>
    <row r="3815">
      <c r="A3815" t="inlineStr">
        <is>
          <t>2026</t>
        </is>
      </c>
      <c r="B3815" t="inlineStr">
        <is>
          <t>C00513549</t>
        </is>
      </c>
      <c r="C3815" t="inlineStr">
        <is>
          <t>Phillips 66 PAC</t>
        </is>
      </c>
      <c r="D3815" t="inlineStr">
        <is>
          <t>LUMMIS FOR WYOMING INC.</t>
        </is>
      </c>
      <c r="E3815" t="inlineStr">
        <is>
          <t>S0WY00137</t>
        </is>
      </c>
      <c r="F3815" t="inlineStr">
        <is>
          <t>REP</t>
        </is>
      </c>
      <c r="G3815" t="inlineStr">
        <is>
          <t>12312025</t>
        </is>
      </c>
      <c r="H3815" t="n">
        <v>-2500</v>
      </c>
      <c r="I3815" t="inlineStr">
        <is>
          <t>202601279794246611</t>
        </is>
      </c>
      <c r="J3815" t="inlineStr">
        <is>
          <t>https://docquery.fec.gov/cgi-bin/fecimg/?202601279794246611</t>
        </is>
      </c>
    </row>
    <row r="3816">
      <c r="A3816" t="inlineStr">
        <is>
          <t>2026</t>
        </is>
      </c>
      <c r="B3816" t="inlineStr">
        <is>
          <t>C00109546</t>
        </is>
      </c>
      <c r="C3816" t="inlineStr">
        <is>
          <t>Valero Energy Corp PAC</t>
        </is>
      </c>
      <c r="D3816" t="inlineStr">
        <is>
          <t>TEXANS FOR JODEY ARRINGTON</t>
        </is>
      </c>
      <c r="E3816" t="inlineStr">
        <is>
          <t>H6TX19099</t>
        </is>
      </c>
      <c r="F3816" t="inlineStr">
        <is>
          <t>REP</t>
        </is>
      </c>
      <c r="G3816" t="inlineStr">
        <is>
          <t>01162026</t>
        </is>
      </c>
      <c r="H3816" t="n">
        <v>-5000</v>
      </c>
      <c r="I3816" t="inlineStr">
        <is>
          <t>202602209837801280</t>
        </is>
      </c>
      <c r="J3816" t="inlineStr">
        <is>
          <t>https://docquery.fec.gov/cgi-bin/fecimg/?202602209837801280</t>
        </is>
      </c>
    </row>
    <row r="3817">
      <c r="A3817" t="inlineStr">
        <is>
          <t>2026</t>
        </is>
      </c>
      <c r="B3817" t="inlineStr">
        <is>
          <t>C00109546</t>
        </is>
      </c>
      <c r="C3817" t="inlineStr">
        <is>
          <t>Valero Energy Corp PAC</t>
        </is>
      </c>
      <c r="D3817" t="inlineStr">
        <is>
          <t>MIKE JOHNSON FOR LOUISIANA</t>
        </is>
      </c>
      <c r="E3817" t="inlineStr">
        <is>
          <t>H6LA04138</t>
        </is>
      </c>
      <c r="F3817" t="inlineStr">
        <is>
          <t>REP</t>
        </is>
      </c>
      <c r="G3817" t="inlineStr">
        <is>
          <t>01292025</t>
        </is>
      </c>
      <c r="H3817" t="n">
        <v>10000</v>
      </c>
      <c r="I3817" t="inlineStr">
        <is>
          <t>202502209753505103</t>
        </is>
      </c>
      <c r="J3817" t="inlineStr">
        <is>
          <t>https://docquery.fec.gov/cgi-bin/fecimg/?202502209753505103</t>
        </is>
      </c>
    </row>
    <row r="3818">
      <c r="A3818" t="inlineStr">
        <is>
          <t>2026</t>
        </is>
      </c>
      <c r="B3818" t="inlineStr">
        <is>
          <t>C00109546</t>
        </is>
      </c>
      <c r="C3818" t="inlineStr">
        <is>
          <t>Valero Energy Corp PAC</t>
        </is>
      </c>
      <c r="D3818" t="inlineStr">
        <is>
          <t>AUGUST PFLUGER FOR CONGRESS</t>
        </is>
      </c>
      <c r="E3818" t="inlineStr">
        <is>
          <t>H0TX11230</t>
        </is>
      </c>
      <c r="F3818" t="inlineStr">
        <is>
          <t>REP</t>
        </is>
      </c>
      <c r="G3818" t="inlineStr">
        <is>
          <t>01292025</t>
        </is>
      </c>
      <c r="H3818" t="n">
        <v>10000</v>
      </c>
      <c r="I3818" t="inlineStr">
        <is>
          <t>202502209753505104</t>
        </is>
      </c>
      <c r="J3818" t="inlineStr">
        <is>
          <t>https://docquery.fec.gov/cgi-bin/fecimg/?202502209753505104</t>
        </is>
      </c>
    </row>
    <row r="3819">
      <c r="A3819" t="inlineStr">
        <is>
          <t>2026</t>
        </is>
      </c>
      <c r="B3819" t="inlineStr">
        <is>
          <t>C00109546</t>
        </is>
      </c>
      <c r="C3819" t="inlineStr">
        <is>
          <t>Valero Energy Corp PAC</t>
        </is>
      </c>
      <c r="D3819" t="inlineStr">
        <is>
          <t>THOM TILLIS COMMITTEE</t>
        </is>
      </c>
      <c r="E3819" t="inlineStr">
        <is>
          <t>S4NC00162</t>
        </is>
      </c>
      <c r="F3819" t="inlineStr">
        <is>
          <t>REP</t>
        </is>
      </c>
      <c r="G3819" t="inlineStr">
        <is>
          <t>01292025</t>
        </is>
      </c>
      <c r="H3819" t="n">
        <v>2500</v>
      </c>
      <c r="I3819" t="inlineStr">
        <is>
          <t>202502209753505105</t>
        </is>
      </c>
      <c r="J3819" t="inlineStr">
        <is>
          <t>https://docquery.fec.gov/cgi-bin/fecimg/?202502209753505105</t>
        </is>
      </c>
    </row>
    <row r="3820">
      <c r="A3820" t="inlineStr">
        <is>
          <t>2026</t>
        </is>
      </c>
      <c r="B3820" t="inlineStr">
        <is>
          <t>C00109546</t>
        </is>
      </c>
      <c r="C3820" t="inlineStr">
        <is>
          <t>Valero Energy Corp PAC</t>
        </is>
      </c>
      <c r="D3820" t="inlineStr">
        <is>
          <t>CRAIG GOLDMAN FOR CONGRESS</t>
        </is>
      </c>
      <c r="E3820" t="inlineStr">
        <is>
          <t>H4TX12065</t>
        </is>
      </c>
      <c r="F3820" t="inlineStr">
        <is>
          <t>REP</t>
        </is>
      </c>
      <c r="G3820" t="inlineStr">
        <is>
          <t>01292026</t>
        </is>
      </c>
      <c r="H3820" t="n">
        <v>5000</v>
      </c>
      <c r="I3820" t="inlineStr">
        <is>
          <t>202602209837801281</t>
        </is>
      </c>
      <c r="J3820" t="inlineStr">
        <is>
          <t>https://docquery.fec.gov/cgi-bin/fecimg/?202602209837801281</t>
        </is>
      </c>
    </row>
    <row r="3821">
      <c r="A3821" t="inlineStr">
        <is>
          <t>2026</t>
        </is>
      </c>
      <c r="B3821" t="inlineStr">
        <is>
          <t>C00109546</t>
        </is>
      </c>
      <c r="C3821" t="inlineStr">
        <is>
          <t>Valero Energy Corp PAC</t>
        </is>
      </c>
      <c r="D3821" t="inlineStr">
        <is>
          <t>STEVE DAINES FOR MONTANA</t>
        </is>
      </c>
      <c r="E3821" t="inlineStr">
        <is>
          <t>S2MT00096</t>
        </is>
      </c>
      <c r="F3821" t="inlineStr">
        <is>
          <t>REP</t>
        </is>
      </c>
      <c r="G3821" t="inlineStr">
        <is>
          <t>01292026</t>
        </is>
      </c>
      <c r="H3821" t="n">
        <v>5000</v>
      </c>
      <c r="I3821" t="inlineStr">
        <is>
          <t>202602209837801285</t>
        </is>
      </c>
      <c r="J3821" t="inlineStr">
        <is>
          <t>https://docquery.fec.gov/cgi-bin/fecimg/?202602209837801285</t>
        </is>
      </c>
    </row>
    <row r="3822">
      <c r="A3822" t="inlineStr">
        <is>
          <t>2026</t>
        </is>
      </c>
      <c r="B3822" t="inlineStr">
        <is>
          <t>C00109546</t>
        </is>
      </c>
      <c r="C3822" t="inlineStr">
        <is>
          <t>Valero Energy Corp PAC</t>
        </is>
      </c>
      <c r="D3822" t="inlineStr">
        <is>
          <t>HUNT FOR SENATE</t>
        </is>
      </c>
      <c r="E3822" t="inlineStr">
        <is>
          <t>S6TX00511</t>
        </is>
      </c>
      <c r="F3822" t="inlineStr">
        <is>
          <t>REP</t>
        </is>
      </c>
      <c r="G3822" t="inlineStr">
        <is>
          <t>02022026</t>
        </is>
      </c>
      <c r="H3822" t="n">
        <v>-5000</v>
      </c>
      <c r="I3822" t="inlineStr">
        <is>
          <t>202603209853650375</t>
        </is>
      </c>
      <c r="J3822" t="inlineStr">
        <is>
          <t>https://docquery.fec.gov/cgi-bin/fecimg/?202603209853650375</t>
        </is>
      </c>
    </row>
    <row r="3823">
      <c r="A3823" t="inlineStr">
        <is>
          <t>2026</t>
        </is>
      </c>
      <c r="B3823" t="inlineStr">
        <is>
          <t>C00109546</t>
        </is>
      </c>
      <c r="C3823" t="inlineStr">
        <is>
          <t>Valero Energy Corp PAC</t>
        </is>
      </c>
      <c r="D3823" t="inlineStr">
        <is>
          <t>DR. BRIAN BABIN FOR CONGRESS</t>
        </is>
      </c>
      <c r="E3823" t="inlineStr">
        <is>
          <t>H6TX02079</t>
        </is>
      </c>
      <c r="F3823" t="inlineStr">
        <is>
          <t>REP</t>
        </is>
      </c>
      <c r="G3823" t="inlineStr">
        <is>
          <t>02272026</t>
        </is>
      </c>
      <c r="H3823" t="n">
        <v>5000</v>
      </c>
      <c r="I3823" t="inlineStr">
        <is>
          <t>202603209853650376</t>
        </is>
      </c>
      <c r="J3823" t="inlineStr">
        <is>
          <t>https://docquery.fec.gov/cgi-bin/fecimg/?202603209853650376</t>
        </is>
      </c>
    </row>
    <row r="3824">
      <c r="A3824" t="inlineStr">
        <is>
          <t>2026</t>
        </is>
      </c>
      <c r="B3824" t="inlineStr">
        <is>
          <t>C00109546</t>
        </is>
      </c>
      <c r="C3824" t="inlineStr">
        <is>
          <t>Valero Energy Corp PAC</t>
        </is>
      </c>
      <c r="D3824" t="inlineStr">
        <is>
          <t>GUTHRIE FOR CONGRESS</t>
        </is>
      </c>
      <c r="E3824" t="inlineStr">
        <is>
          <t>H8KY02031</t>
        </is>
      </c>
      <c r="F3824" t="inlineStr">
        <is>
          <t>REP</t>
        </is>
      </c>
      <c r="G3824" t="inlineStr">
        <is>
          <t>02272026</t>
        </is>
      </c>
      <c r="H3824" t="n">
        <v>2500</v>
      </c>
      <c r="I3824" t="inlineStr">
        <is>
          <t>202603209853650377</t>
        </is>
      </c>
      <c r="J3824" t="inlineStr">
        <is>
          <t>https://docquery.fec.gov/cgi-bin/fecimg/?202603209853650377</t>
        </is>
      </c>
    </row>
    <row r="3825">
      <c r="A3825" t="inlineStr">
        <is>
          <t>2026</t>
        </is>
      </c>
      <c r="B3825" t="inlineStr">
        <is>
          <t>C00109546</t>
        </is>
      </c>
      <c r="C3825" t="inlineStr">
        <is>
          <t>Valero Energy Corp PAC</t>
        </is>
      </c>
      <c r="D3825" t="inlineStr">
        <is>
          <t>HUDSON FOR CONGRESS</t>
        </is>
      </c>
      <c r="E3825" t="inlineStr">
        <is>
          <t>H2NC08185</t>
        </is>
      </c>
      <c r="F3825" t="inlineStr">
        <is>
          <t>REP</t>
        </is>
      </c>
      <c r="G3825" t="inlineStr">
        <is>
          <t>02272026</t>
        </is>
      </c>
      <c r="H3825" t="n">
        <v>5000</v>
      </c>
      <c r="I3825" t="inlineStr">
        <is>
          <t>202603209853650377</t>
        </is>
      </c>
      <c r="J3825" t="inlineStr">
        <is>
          <t>https://docquery.fec.gov/cgi-bin/fecimg/?202603209853650377</t>
        </is>
      </c>
    </row>
    <row r="3826">
      <c r="A3826" t="inlineStr">
        <is>
          <t>2026</t>
        </is>
      </c>
      <c r="B3826" t="inlineStr">
        <is>
          <t>C00109546</t>
        </is>
      </c>
      <c r="C3826" t="inlineStr">
        <is>
          <t>Valero Energy Corp PAC</t>
        </is>
      </c>
      <c r="D3826" t="inlineStr">
        <is>
          <t>JIM JORDAN FOR CONGRESS</t>
        </is>
      </c>
      <c r="E3826" t="inlineStr">
        <is>
          <t>H6OH04082</t>
        </is>
      </c>
      <c r="F3826" t="inlineStr">
        <is>
          <t>REP</t>
        </is>
      </c>
      <c r="G3826" t="inlineStr">
        <is>
          <t>02272026</t>
        </is>
      </c>
      <c r="H3826" t="n">
        <v>2500</v>
      </c>
      <c r="I3826" t="inlineStr">
        <is>
          <t>202603209853650377</t>
        </is>
      </c>
      <c r="J3826" t="inlineStr">
        <is>
          <t>https://docquery.fec.gov/cgi-bin/fecimg/?202603209853650377</t>
        </is>
      </c>
    </row>
    <row r="3827">
      <c r="A3827" t="inlineStr">
        <is>
          <t>2026</t>
        </is>
      </c>
      <c r="B3827" t="inlineStr">
        <is>
          <t>C00109546</t>
        </is>
      </c>
      <c r="C3827" t="inlineStr">
        <is>
          <t>Valero Energy Corp PAC</t>
        </is>
      </c>
      <c r="D3827" t="inlineStr">
        <is>
          <t>MULLIN FOR AMERICA</t>
        </is>
      </c>
      <c r="E3827" t="inlineStr">
        <is>
          <t>S2OK00186</t>
        </is>
      </c>
      <c r="F3827" t="inlineStr">
        <is>
          <t>REP</t>
        </is>
      </c>
      <c r="G3827" t="inlineStr">
        <is>
          <t>02272026</t>
        </is>
      </c>
      <c r="H3827" t="n">
        <v>2500</v>
      </c>
      <c r="I3827" t="inlineStr">
        <is>
          <t>202603209853650378</t>
        </is>
      </c>
      <c r="J3827" t="inlineStr">
        <is>
          <t>https://docquery.fec.gov/cgi-bin/fecimg/?202603209853650378</t>
        </is>
      </c>
    </row>
    <row r="3828">
      <c r="A3828" t="inlineStr">
        <is>
          <t>2026</t>
        </is>
      </c>
      <c r="B3828" t="inlineStr">
        <is>
          <t>C00109546</t>
        </is>
      </c>
      <c r="C3828" t="inlineStr">
        <is>
          <t>Valero Energy Corp PAC</t>
        </is>
      </c>
      <c r="D3828" t="inlineStr">
        <is>
          <t>VICENTE GONZALEZ FOR CONGRESS</t>
        </is>
      </c>
      <c r="E3828" t="inlineStr">
        <is>
          <t>H6TX15162</t>
        </is>
      </c>
      <c r="F3828" t="inlineStr">
        <is>
          <t>DEM</t>
        </is>
      </c>
      <c r="G3828" t="inlineStr">
        <is>
          <t>02272026</t>
        </is>
      </c>
      <c r="H3828" t="n">
        <v>5000</v>
      </c>
      <c r="I3828" t="inlineStr">
        <is>
          <t>202603209853650379</t>
        </is>
      </c>
      <c r="J3828" t="inlineStr">
        <is>
          <t>https://docquery.fec.gov/cgi-bin/fecimg/?202603209853650379</t>
        </is>
      </c>
    </row>
    <row r="3829">
      <c r="A3829" t="inlineStr">
        <is>
          <t>2026</t>
        </is>
      </c>
      <c r="B3829" t="inlineStr">
        <is>
          <t>C00109546</t>
        </is>
      </c>
      <c r="C3829" t="inlineStr">
        <is>
          <t>Valero Energy Corp PAC</t>
        </is>
      </c>
      <c r="D3829" t="inlineStr">
        <is>
          <t>TEXANS FOR JODEY ARRINGTON</t>
        </is>
      </c>
      <c r="E3829" t="inlineStr">
        <is>
          <t>H6TX19099</t>
        </is>
      </c>
      <c r="F3829" t="inlineStr">
        <is>
          <t>REP</t>
        </is>
      </c>
      <c r="G3829" t="inlineStr">
        <is>
          <t>02282025</t>
        </is>
      </c>
      <c r="H3829" t="n">
        <v>5000</v>
      </c>
      <c r="I3829" t="inlineStr">
        <is>
          <t>202503179754216667</t>
        </is>
      </c>
      <c r="J3829" t="inlineStr">
        <is>
          <t>https://docquery.fec.gov/cgi-bin/fecimg/?202503179754216667</t>
        </is>
      </c>
    </row>
    <row r="3830">
      <c r="A3830" t="inlineStr">
        <is>
          <t>2026</t>
        </is>
      </c>
      <c r="B3830" t="inlineStr">
        <is>
          <t>C00109546</t>
        </is>
      </c>
      <c r="C3830" t="inlineStr">
        <is>
          <t>Valero Energy Corp PAC</t>
        </is>
      </c>
      <c r="D3830" t="inlineStr">
        <is>
          <t>COLE FOR CONGRESS</t>
        </is>
      </c>
      <c r="E3830" t="inlineStr">
        <is>
          <t>H2OK04055</t>
        </is>
      </c>
      <c r="F3830" t="inlineStr">
        <is>
          <t>REP</t>
        </is>
      </c>
      <c r="G3830" t="inlineStr">
        <is>
          <t>02282025</t>
        </is>
      </c>
      <c r="H3830" t="n">
        <v>5000</v>
      </c>
      <c r="I3830" t="inlineStr">
        <is>
          <t>202503179754216662</t>
        </is>
      </c>
      <c r="J3830" t="inlineStr">
        <is>
          <t>https://docquery.fec.gov/cgi-bin/fecimg/?202503179754216662</t>
        </is>
      </c>
    </row>
    <row r="3831">
      <c r="A3831" t="inlineStr">
        <is>
          <t>2026</t>
        </is>
      </c>
      <c r="B3831" t="inlineStr">
        <is>
          <t>C00109546</t>
        </is>
      </c>
      <c r="C3831" t="inlineStr">
        <is>
          <t>Valero Energy Corp PAC</t>
        </is>
      </c>
      <c r="D3831" t="inlineStr">
        <is>
          <t>CRAIG GOLDMAN FOR CONGRESS</t>
        </is>
      </c>
      <c r="E3831" t="inlineStr">
        <is>
          <t>H4TX12065</t>
        </is>
      </c>
      <c r="F3831" t="inlineStr">
        <is>
          <t>REP</t>
        </is>
      </c>
      <c r="G3831" t="inlineStr">
        <is>
          <t>02282025</t>
        </is>
      </c>
      <c r="H3831" t="n">
        <v>5000</v>
      </c>
      <c r="I3831" t="inlineStr">
        <is>
          <t>202503179754216662</t>
        </is>
      </c>
      <c r="J3831" t="inlineStr">
        <is>
          <t>https://docquery.fec.gov/cgi-bin/fecimg/?202503179754216662</t>
        </is>
      </c>
    </row>
    <row r="3832">
      <c r="A3832" t="inlineStr">
        <is>
          <t>2026</t>
        </is>
      </c>
      <c r="B3832" t="inlineStr">
        <is>
          <t>C00109546</t>
        </is>
      </c>
      <c r="C3832" t="inlineStr">
        <is>
          <t>Valero Energy Corp PAC</t>
        </is>
      </c>
      <c r="D3832" t="inlineStr">
        <is>
          <t>EMMER FOR CONGRESS</t>
        </is>
      </c>
      <c r="E3832" t="inlineStr">
        <is>
          <t>H4MN06087</t>
        </is>
      </c>
      <c r="F3832" t="inlineStr">
        <is>
          <t>REP</t>
        </is>
      </c>
      <c r="G3832" t="inlineStr">
        <is>
          <t>02282025</t>
        </is>
      </c>
      <c r="H3832" t="n">
        <v>5000</v>
      </c>
      <c r="I3832" t="inlineStr">
        <is>
          <t>202503179754216663</t>
        </is>
      </c>
      <c r="J3832" t="inlineStr">
        <is>
          <t>https://docquery.fec.gov/cgi-bin/fecimg/?202503179754216663</t>
        </is>
      </c>
    </row>
    <row r="3833">
      <c r="A3833" t="inlineStr">
        <is>
          <t>2026</t>
        </is>
      </c>
      <c r="B3833" t="inlineStr">
        <is>
          <t>C00109546</t>
        </is>
      </c>
      <c r="C3833" t="inlineStr">
        <is>
          <t>Valero Energy Corp PAC</t>
        </is>
      </c>
      <c r="D3833" t="inlineStr">
        <is>
          <t>EMMER FOR CONGRESS</t>
        </is>
      </c>
      <c r="E3833" t="inlineStr">
        <is>
          <t>H4MN06087</t>
        </is>
      </c>
      <c r="F3833" t="inlineStr">
        <is>
          <t>REP</t>
        </is>
      </c>
      <c r="G3833" t="inlineStr">
        <is>
          <t>02282025</t>
        </is>
      </c>
      <c r="H3833" t="n">
        <v>5000</v>
      </c>
      <c r="I3833" t="inlineStr">
        <is>
          <t>202503179754216664</t>
        </is>
      </c>
      <c r="J3833" t="inlineStr">
        <is>
          <t>https://docquery.fec.gov/cgi-bin/fecimg/?202503179754216664</t>
        </is>
      </c>
    </row>
    <row r="3834">
      <c r="A3834" t="inlineStr">
        <is>
          <t>2026</t>
        </is>
      </c>
      <c r="B3834" t="inlineStr">
        <is>
          <t>C00109546</t>
        </is>
      </c>
      <c r="C3834" t="inlineStr">
        <is>
          <t>Valero Energy Corp PAC</t>
        </is>
      </c>
      <c r="D3834" t="inlineStr">
        <is>
          <t>FEENSTRA FOR CONGRESS</t>
        </is>
      </c>
      <c r="E3834" t="inlineStr">
        <is>
          <t>H0IA04145</t>
        </is>
      </c>
      <c r="F3834" t="inlineStr">
        <is>
          <t>REP</t>
        </is>
      </c>
      <c r="G3834" t="inlineStr">
        <is>
          <t>02282025</t>
        </is>
      </c>
      <c r="H3834" t="n">
        <v>5000</v>
      </c>
      <c r="I3834" t="inlineStr">
        <is>
          <t>202503179754216665</t>
        </is>
      </c>
      <c r="J3834" t="inlineStr">
        <is>
          <t>https://docquery.fec.gov/cgi-bin/fecimg/?202503179754216665</t>
        </is>
      </c>
    </row>
    <row r="3835">
      <c r="A3835" t="inlineStr">
        <is>
          <t>2026</t>
        </is>
      </c>
      <c r="B3835" t="inlineStr">
        <is>
          <t>C00109546</t>
        </is>
      </c>
      <c r="C3835" t="inlineStr">
        <is>
          <t>Valero Energy Corp PAC</t>
        </is>
      </c>
      <c r="D3835" t="inlineStr">
        <is>
          <t>GUY FOR CONGRESS</t>
        </is>
      </c>
      <c r="E3835" t="inlineStr">
        <is>
          <t>H8PA18199</t>
        </is>
      </c>
      <c r="F3835" t="inlineStr">
        <is>
          <t>REP</t>
        </is>
      </c>
      <c r="G3835" t="inlineStr">
        <is>
          <t>02282025</t>
        </is>
      </c>
      <c r="H3835" t="n">
        <v>5000</v>
      </c>
      <c r="I3835" t="inlineStr">
        <is>
          <t>202503179754216665</t>
        </is>
      </c>
      <c r="J3835" t="inlineStr">
        <is>
          <t>https://docquery.fec.gov/cgi-bin/fecimg/?202503179754216665</t>
        </is>
      </c>
    </row>
    <row r="3836">
      <c r="A3836" t="inlineStr">
        <is>
          <t>2026</t>
        </is>
      </c>
      <c r="B3836" t="inlineStr">
        <is>
          <t>C00109546</t>
        </is>
      </c>
      <c r="C3836" t="inlineStr">
        <is>
          <t>Valero Energy Corp PAC</t>
        </is>
      </c>
      <c r="D3836" t="inlineStr">
        <is>
          <t>SCALISE FOR CONGRESS</t>
        </is>
      </c>
      <c r="E3836" t="inlineStr">
        <is>
          <t>H0LA01087</t>
        </is>
      </c>
      <c r="F3836" t="inlineStr">
        <is>
          <t>REP</t>
        </is>
      </c>
      <c r="G3836" t="inlineStr">
        <is>
          <t>02282025</t>
        </is>
      </c>
      <c r="H3836" t="n">
        <v>5000</v>
      </c>
      <c r="I3836" t="inlineStr">
        <is>
          <t>202503179754216666</t>
        </is>
      </c>
      <c r="J3836" t="inlineStr">
        <is>
          <t>https://docquery.fec.gov/cgi-bin/fecimg/?202503179754216666</t>
        </is>
      </c>
    </row>
    <row r="3837">
      <c r="A3837" t="inlineStr">
        <is>
          <t>2026</t>
        </is>
      </c>
      <c r="B3837" t="inlineStr">
        <is>
          <t>C00109546</t>
        </is>
      </c>
      <c r="C3837" t="inlineStr">
        <is>
          <t>Valero Energy Corp PAC</t>
        </is>
      </c>
      <c r="D3837" t="inlineStr">
        <is>
          <t>SCALISE FOR CONGRESS</t>
        </is>
      </c>
      <c r="E3837" t="inlineStr">
        <is>
          <t>H0LA01087</t>
        </is>
      </c>
      <c r="F3837" t="inlineStr">
        <is>
          <t>REP</t>
        </is>
      </c>
      <c r="G3837" t="inlineStr">
        <is>
          <t>02282025</t>
        </is>
      </c>
      <c r="H3837" t="n">
        <v>5000</v>
      </c>
      <c r="I3837" t="inlineStr">
        <is>
          <t>202503179754216666</t>
        </is>
      </c>
      <c r="J3837" t="inlineStr">
        <is>
          <t>https://docquery.fec.gov/cgi-bin/fecimg/?202503179754216666</t>
        </is>
      </c>
    </row>
    <row r="3838">
      <c r="A3838" t="inlineStr">
        <is>
          <t>2026</t>
        </is>
      </c>
      <c r="B3838" t="inlineStr">
        <is>
          <t>C00109546</t>
        </is>
      </c>
      <c r="C3838" t="inlineStr">
        <is>
          <t>Valero Energy Corp PAC</t>
        </is>
      </c>
      <c r="D3838" t="inlineStr">
        <is>
          <t>BICE FOR CONGRESS</t>
        </is>
      </c>
      <c r="E3838" t="inlineStr">
        <is>
          <t>H0OK05205</t>
        </is>
      </c>
      <c r="F3838" t="inlineStr">
        <is>
          <t>REP</t>
        </is>
      </c>
      <c r="G3838" t="inlineStr">
        <is>
          <t>03262025</t>
        </is>
      </c>
      <c r="H3838" t="n">
        <v>5000</v>
      </c>
      <c r="I3838" t="inlineStr">
        <is>
          <t>202504189756135328</t>
        </is>
      </c>
      <c r="J3838" t="inlineStr">
        <is>
          <t>https://docquery.fec.gov/cgi-bin/fecimg/?202504189756135328</t>
        </is>
      </c>
    </row>
    <row r="3839">
      <c r="A3839" t="inlineStr">
        <is>
          <t>2026</t>
        </is>
      </c>
      <c r="B3839" t="inlineStr">
        <is>
          <t>C00109546</t>
        </is>
      </c>
      <c r="C3839" t="inlineStr">
        <is>
          <t>Valero Energy Corp PAC</t>
        </is>
      </c>
      <c r="D3839" t="inlineStr">
        <is>
          <t>CAPITO FOR WEST VIRGINIA</t>
        </is>
      </c>
      <c r="E3839" t="inlineStr">
        <is>
          <t>S4WV00159</t>
        </is>
      </c>
      <c r="F3839" t="inlineStr">
        <is>
          <t>REP</t>
        </is>
      </c>
      <c r="G3839" t="inlineStr">
        <is>
          <t>03262025</t>
        </is>
      </c>
      <c r="H3839" t="n">
        <v>5000</v>
      </c>
      <c r="I3839" t="inlineStr">
        <is>
          <t>202504189756135328</t>
        </is>
      </c>
      <c r="J3839" t="inlineStr">
        <is>
          <t>https://docquery.fec.gov/cgi-bin/fecimg/?202504189756135328</t>
        </is>
      </c>
    </row>
    <row r="3840">
      <c r="A3840" t="inlineStr">
        <is>
          <t>2026</t>
        </is>
      </c>
      <c r="B3840" t="inlineStr">
        <is>
          <t>C00109546</t>
        </is>
      </c>
      <c r="C3840" t="inlineStr">
        <is>
          <t>Valero Energy Corp PAC</t>
        </is>
      </c>
      <c r="D3840" t="inlineStr">
        <is>
          <t>CAREY FOR CONGRESS</t>
        </is>
      </c>
      <c r="E3840" t="inlineStr">
        <is>
          <t>H2OH15228</t>
        </is>
      </c>
      <c r="F3840" t="inlineStr">
        <is>
          <t>REP</t>
        </is>
      </c>
      <c r="G3840" t="inlineStr">
        <is>
          <t>03262025</t>
        </is>
      </c>
      <c r="H3840" t="n">
        <v>2500</v>
      </c>
      <c r="I3840" t="inlineStr">
        <is>
          <t>202504189756135328</t>
        </is>
      </c>
      <c r="J3840" t="inlineStr">
        <is>
          <t>https://docquery.fec.gov/cgi-bin/fecimg/?202504189756135328</t>
        </is>
      </c>
    </row>
    <row r="3841">
      <c r="A3841" t="inlineStr">
        <is>
          <t>2026</t>
        </is>
      </c>
      <c r="B3841" t="inlineStr">
        <is>
          <t>C00109546</t>
        </is>
      </c>
      <c r="C3841" t="inlineStr">
        <is>
          <t>Valero Energy Corp PAC</t>
        </is>
      </c>
      <c r="D3841" t="inlineStr">
        <is>
          <t>CHUCK FLEISCHMANN FOR CONGRESS COMMITTEE, INC.</t>
        </is>
      </c>
      <c r="E3841" t="inlineStr">
        <is>
          <t>H0TN03254</t>
        </is>
      </c>
      <c r="F3841" t="inlineStr">
        <is>
          <t>REP</t>
        </is>
      </c>
      <c r="G3841" t="inlineStr">
        <is>
          <t>03262025</t>
        </is>
      </c>
      <c r="H3841" t="n">
        <v>2500</v>
      </c>
      <c r="I3841" t="inlineStr">
        <is>
          <t>202504189756135329</t>
        </is>
      </c>
      <c r="J3841" t="inlineStr">
        <is>
          <t>https://docquery.fec.gov/cgi-bin/fecimg/?202504189756135329</t>
        </is>
      </c>
    </row>
    <row r="3842">
      <c r="A3842" t="inlineStr">
        <is>
          <t>2026</t>
        </is>
      </c>
      <c r="B3842" t="inlineStr">
        <is>
          <t>C00109546</t>
        </is>
      </c>
      <c r="C3842" t="inlineStr">
        <is>
          <t>Valero Energy Corp PAC</t>
        </is>
      </c>
      <c r="D3842" t="inlineStr">
        <is>
          <t>DR JOHN JOYCE FOR CONGRESS</t>
        </is>
      </c>
      <c r="E3842" t="inlineStr">
        <is>
          <t>H8PA13125</t>
        </is>
      </c>
      <c r="F3842" t="inlineStr">
        <is>
          <t>REP</t>
        </is>
      </c>
      <c r="G3842" t="inlineStr">
        <is>
          <t>03262025</t>
        </is>
      </c>
      <c r="H3842" t="n">
        <v>5000</v>
      </c>
      <c r="I3842" t="inlineStr">
        <is>
          <t>202504189756135329</t>
        </is>
      </c>
      <c r="J3842" t="inlineStr">
        <is>
          <t>https://docquery.fec.gov/cgi-bin/fecimg/?202504189756135329</t>
        </is>
      </c>
    </row>
    <row r="3843">
      <c r="A3843" t="inlineStr">
        <is>
          <t>2026</t>
        </is>
      </c>
      <c r="B3843" t="inlineStr">
        <is>
          <t>C00109546</t>
        </is>
      </c>
      <c r="C3843" t="inlineStr">
        <is>
          <t>Valero Energy Corp PAC</t>
        </is>
      </c>
      <c r="D3843" t="inlineStr">
        <is>
          <t>ELECTGABEEVANS.COM</t>
        </is>
      </c>
      <c r="E3843" t="inlineStr">
        <is>
          <t>H4CO08034</t>
        </is>
      </c>
      <c r="F3843" t="inlineStr">
        <is>
          <t>REP</t>
        </is>
      </c>
      <c r="G3843" t="inlineStr">
        <is>
          <t>03262025</t>
        </is>
      </c>
      <c r="H3843" t="n">
        <v>2500</v>
      </c>
      <c r="I3843" t="inlineStr">
        <is>
          <t>202504189756135329</t>
        </is>
      </c>
      <c r="J3843" t="inlineStr">
        <is>
          <t>https://docquery.fec.gov/cgi-bin/fecimg/?202504189756135329</t>
        </is>
      </c>
    </row>
    <row r="3844">
      <c r="A3844" t="inlineStr">
        <is>
          <t>2026</t>
        </is>
      </c>
      <c r="B3844" t="inlineStr">
        <is>
          <t>C00109546</t>
        </is>
      </c>
      <c r="C3844" t="inlineStr">
        <is>
          <t>Valero Energy Corp PAC</t>
        </is>
      </c>
      <c r="D3844" t="inlineStr">
        <is>
          <t>FEDORCHAK FOR ND</t>
        </is>
      </c>
      <c r="E3844" t="inlineStr">
        <is>
          <t>H4ND00061</t>
        </is>
      </c>
      <c r="F3844" t="inlineStr">
        <is>
          <t>REP</t>
        </is>
      </c>
      <c r="G3844" t="inlineStr">
        <is>
          <t>03262025</t>
        </is>
      </c>
      <c r="H3844" t="n">
        <v>2500</v>
      </c>
      <c r="I3844" t="inlineStr">
        <is>
          <t>202504189756135330</t>
        </is>
      </c>
      <c r="J3844" t="inlineStr">
        <is>
          <t>https://docquery.fec.gov/cgi-bin/fecimg/?202504189756135330</t>
        </is>
      </c>
    </row>
    <row r="3845">
      <c r="A3845" t="inlineStr">
        <is>
          <t>2026</t>
        </is>
      </c>
      <c r="B3845" t="inlineStr">
        <is>
          <t>C00109546</t>
        </is>
      </c>
      <c r="C3845" t="inlineStr">
        <is>
          <t>Valero Energy Corp PAC</t>
        </is>
      </c>
      <c r="D3845" t="inlineStr">
        <is>
          <t>GUTHRIE FOR CONGRESS</t>
        </is>
      </c>
      <c r="E3845" t="inlineStr">
        <is>
          <t>H8KY02031</t>
        </is>
      </c>
      <c r="F3845" t="inlineStr">
        <is>
          <t>REP</t>
        </is>
      </c>
      <c r="G3845" t="inlineStr">
        <is>
          <t>03262025</t>
        </is>
      </c>
      <c r="H3845" t="n">
        <v>5000</v>
      </c>
      <c r="I3845" t="inlineStr">
        <is>
          <t>202504189756135330</t>
        </is>
      </c>
      <c r="J3845" t="inlineStr">
        <is>
          <t>https://docquery.fec.gov/cgi-bin/fecimg/?202504189756135330</t>
        </is>
      </c>
    </row>
    <row r="3846">
      <c r="A3846" t="inlineStr">
        <is>
          <t>2026</t>
        </is>
      </c>
      <c r="B3846" t="inlineStr">
        <is>
          <t>C00109546</t>
        </is>
      </c>
      <c r="C3846" t="inlineStr">
        <is>
          <t>Valero Energy Corp PAC</t>
        </is>
      </c>
      <c r="D3846" t="inlineStr">
        <is>
          <t>HERN FOR CONGRESS</t>
        </is>
      </c>
      <c r="E3846" t="inlineStr">
        <is>
          <t>H8OK01157</t>
        </is>
      </c>
      <c r="F3846" t="inlineStr">
        <is>
          <t>REP</t>
        </is>
      </c>
      <c r="G3846" t="inlineStr">
        <is>
          <t>03262025</t>
        </is>
      </c>
      <c r="H3846" t="n">
        <v>5000</v>
      </c>
      <c r="I3846" t="inlineStr">
        <is>
          <t>202504189756135331</t>
        </is>
      </c>
      <c r="J3846" t="inlineStr">
        <is>
          <t>https://docquery.fec.gov/cgi-bin/fecimg/?202504189756135331</t>
        </is>
      </c>
    </row>
    <row r="3847">
      <c r="A3847" t="inlineStr">
        <is>
          <t>2026</t>
        </is>
      </c>
      <c r="B3847" t="inlineStr">
        <is>
          <t>C00109546</t>
        </is>
      </c>
      <c r="C3847" t="inlineStr">
        <is>
          <t>Valero Energy Corp PAC</t>
        </is>
      </c>
      <c r="D3847" t="inlineStr">
        <is>
          <t>HUDSON FOR CONGRESS</t>
        </is>
      </c>
      <c r="E3847" t="inlineStr">
        <is>
          <t>H2NC08185</t>
        </is>
      </c>
      <c r="F3847" t="inlineStr">
        <is>
          <t>REP</t>
        </is>
      </c>
      <c r="G3847" t="inlineStr">
        <is>
          <t>03262025</t>
        </is>
      </c>
      <c r="H3847" t="n">
        <v>5000</v>
      </c>
      <c r="I3847" t="inlineStr">
        <is>
          <t>202504189756135331</t>
        </is>
      </c>
      <c r="J3847" t="inlineStr">
        <is>
          <t>https://docquery.fec.gov/cgi-bin/fecimg/?202504189756135331</t>
        </is>
      </c>
    </row>
    <row r="3848">
      <c r="A3848" t="inlineStr">
        <is>
          <t>2026</t>
        </is>
      </c>
      <c r="B3848" t="inlineStr">
        <is>
          <t>C00109546</t>
        </is>
      </c>
      <c r="C3848" t="inlineStr">
        <is>
          <t>Valero Energy Corp PAC</t>
        </is>
      </c>
      <c r="D3848" t="inlineStr">
        <is>
          <t>JASON SMITH FOR CONGRESS</t>
        </is>
      </c>
      <c r="E3848" t="inlineStr">
        <is>
          <t>H4MO08162</t>
        </is>
      </c>
      <c r="F3848" t="inlineStr">
        <is>
          <t>REP</t>
        </is>
      </c>
      <c r="G3848" t="inlineStr">
        <is>
          <t>03262025</t>
        </is>
      </c>
      <c r="H3848" t="n">
        <v>5000</v>
      </c>
      <c r="I3848" t="inlineStr">
        <is>
          <t>202504189756135331</t>
        </is>
      </c>
      <c r="J3848" t="inlineStr">
        <is>
          <t>https://docquery.fec.gov/cgi-bin/fecimg/?202504189756135331</t>
        </is>
      </c>
    </row>
    <row r="3849">
      <c r="A3849" t="inlineStr">
        <is>
          <t>2026</t>
        </is>
      </c>
      <c r="B3849" t="inlineStr">
        <is>
          <t>C00109546</t>
        </is>
      </c>
      <c r="C3849" t="inlineStr">
        <is>
          <t>Valero Energy Corp PAC</t>
        </is>
      </c>
      <c r="D3849" t="inlineStr">
        <is>
          <t>JASON SMITH FOR CONGRESS</t>
        </is>
      </c>
      <c r="E3849" t="inlineStr">
        <is>
          <t>H4MO08162</t>
        </is>
      </c>
      <c r="F3849" t="inlineStr">
        <is>
          <t>REP</t>
        </is>
      </c>
      <c r="G3849" t="inlineStr">
        <is>
          <t>03262025</t>
        </is>
      </c>
      <c r="H3849" t="n">
        <v>5000</v>
      </c>
      <c r="I3849" t="inlineStr">
        <is>
          <t>202504189756135332</t>
        </is>
      </c>
      <c r="J3849" t="inlineStr">
        <is>
          <t>https://docquery.fec.gov/cgi-bin/fecimg/?202504189756135332</t>
        </is>
      </c>
    </row>
    <row r="3850">
      <c r="A3850" t="inlineStr">
        <is>
          <t>2026</t>
        </is>
      </c>
      <c r="B3850" t="inlineStr">
        <is>
          <t>C00109546</t>
        </is>
      </c>
      <c r="C3850" t="inlineStr">
        <is>
          <t>Valero Energy Corp PAC</t>
        </is>
      </c>
      <c r="D3850" t="inlineStr">
        <is>
          <t>MIKE CRAPO FOR US SENATE</t>
        </is>
      </c>
      <c r="E3850" t="inlineStr">
        <is>
          <t>S8ID00027</t>
        </is>
      </c>
      <c r="F3850" t="inlineStr">
        <is>
          <t>REP</t>
        </is>
      </c>
      <c r="G3850" t="inlineStr">
        <is>
          <t>03262025</t>
        </is>
      </c>
      <c r="H3850" t="n">
        <v>5000</v>
      </c>
      <c r="I3850" t="inlineStr">
        <is>
          <t>202504189756135332</t>
        </is>
      </c>
      <c r="J3850" t="inlineStr">
        <is>
          <t>https://docquery.fec.gov/cgi-bin/fecimg/?202504189756135332</t>
        </is>
      </c>
    </row>
    <row r="3851">
      <c r="A3851" t="inlineStr">
        <is>
          <t>2026</t>
        </is>
      </c>
      <c r="B3851" t="inlineStr">
        <is>
          <t>C00109546</t>
        </is>
      </c>
      <c r="C3851" t="inlineStr">
        <is>
          <t>Valero Energy Corp PAC</t>
        </is>
      </c>
      <c r="D3851" t="inlineStr">
        <is>
          <t>MIKE CRAPO FOR US SENATE</t>
        </is>
      </c>
      <c r="E3851" t="inlineStr">
        <is>
          <t>S8ID00027</t>
        </is>
      </c>
      <c r="F3851" t="inlineStr">
        <is>
          <t>REP</t>
        </is>
      </c>
      <c r="G3851" t="inlineStr">
        <is>
          <t>03262025</t>
        </is>
      </c>
      <c r="H3851" t="n">
        <v>5000</v>
      </c>
      <c r="I3851" t="inlineStr">
        <is>
          <t>202504189756135332</t>
        </is>
      </c>
      <c r="J3851" t="inlineStr">
        <is>
          <t>https://docquery.fec.gov/cgi-bin/fecimg/?202504189756135332</t>
        </is>
      </c>
    </row>
    <row r="3852">
      <c r="A3852" t="inlineStr">
        <is>
          <t>2026</t>
        </is>
      </c>
      <c r="B3852" t="inlineStr">
        <is>
          <t>C00109546</t>
        </is>
      </c>
      <c r="C3852" t="inlineStr">
        <is>
          <t>Valero Energy Corp PAC</t>
        </is>
      </c>
      <c r="D3852" t="inlineStr">
        <is>
          <t>ANDY BARR FOR CONGRESS, INC.</t>
        </is>
      </c>
      <c r="E3852" t="inlineStr">
        <is>
          <t>H0KY06104</t>
        </is>
      </c>
      <c r="F3852" t="inlineStr">
        <is>
          <t>REP</t>
        </is>
      </c>
      <c r="G3852" t="inlineStr">
        <is>
          <t>03262025</t>
        </is>
      </c>
      <c r="H3852" t="n">
        <v>5000</v>
      </c>
      <c r="I3852" t="inlineStr">
        <is>
          <t>202504189756135327</t>
        </is>
      </c>
      <c r="J3852" t="inlineStr">
        <is>
          <t>https://docquery.fec.gov/cgi-bin/fecimg/?202504189756135327</t>
        </is>
      </c>
    </row>
    <row r="3853">
      <c r="A3853" t="inlineStr">
        <is>
          <t>2026</t>
        </is>
      </c>
      <c r="B3853" t="inlineStr">
        <is>
          <t>C00109546</t>
        </is>
      </c>
      <c r="C3853" t="inlineStr">
        <is>
          <t>Valero Energy Corp PAC</t>
        </is>
      </c>
      <c r="D3853" t="inlineStr">
        <is>
          <t>FRIENDS OF JOHN BARRASSO</t>
        </is>
      </c>
      <c r="E3853" t="inlineStr">
        <is>
          <t>S6WY00068</t>
        </is>
      </c>
      <c r="F3853" t="inlineStr">
        <is>
          <t>REP</t>
        </is>
      </c>
      <c r="G3853" t="inlineStr">
        <is>
          <t>03262025</t>
        </is>
      </c>
      <c r="H3853" t="n">
        <v>5000</v>
      </c>
      <c r="I3853" t="inlineStr">
        <is>
          <t>202504189756135327</t>
        </is>
      </c>
      <c r="J3853" t="inlineStr">
        <is>
          <t>https://docquery.fec.gov/cgi-bin/fecimg/?202504189756135327</t>
        </is>
      </c>
    </row>
    <row r="3854">
      <c r="A3854" t="inlineStr">
        <is>
          <t>2026</t>
        </is>
      </c>
      <c r="B3854" t="inlineStr">
        <is>
          <t>C00109546</t>
        </is>
      </c>
      <c r="C3854" t="inlineStr">
        <is>
          <t>Valero Energy Corp PAC</t>
        </is>
      </c>
      <c r="D3854" t="inlineStr">
        <is>
          <t>MOORE FOR WEST VIRGINIA, INC.</t>
        </is>
      </c>
      <c r="E3854" t="inlineStr">
        <is>
          <t>H4WV02205</t>
        </is>
      </c>
      <c r="F3854" t="inlineStr">
        <is>
          <t>REP</t>
        </is>
      </c>
      <c r="G3854" t="inlineStr">
        <is>
          <t>03262025</t>
        </is>
      </c>
      <c r="H3854" t="n">
        <v>5000</v>
      </c>
      <c r="I3854" t="inlineStr">
        <is>
          <t>202504189756135333</t>
        </is>
      </c>
      <c r="J3854" t="inlineStr">
        <is>
          <t>https://docquery.fec.gov/cgi-bin/fecimg/?202504189756135333</t>
        </is>
      </c>
    </row>
    <row r="3855">
      <c r="A3855" t="inlineStr">
        <is>
          <t>2026</t>
        </is>
      </c>
      <c r="B3855" t="inlineStr">
        <is>
          <t>C00109546</t>
        </is>
      </c>
      <c r="C3855" t="inlineStr">
        <is>
          <t>Valero Energy Corp PAC</t>
        </is>
      </c>
      <c r="D3855" t="inlineStr">
        <is>
          <t>PETE STAUBER FOR CONGRESS</t>
        </is>
      </c>
      <c r="E3855" t="inlineStr">
        <is>
          <t>H8MN08043</t>
        </is>
      </c>
      <c r="F3855" t="inlineStr">
        <is>
          <t>REP</t>
        </is>
      </c>
      <c r="G3855" t="inlineStr">
        <is>
          <t>03262025</t>
        </is>
      </c>
      <c r="H3855" t="n">
        <v>2500</v>
      </c>
      <c r="I3855" t="inlineStr">
        <is>
          <t>202504189756135333</t>
        </is>
      </c>
      <c r="J3855" t="inlineStr">
        <is>
          <t>https://docquery.fec.gov/cgi-bin/fecimg/?202504189756135333</t>
        </is>
      </c>
    </row>
    <row r="3856">
      <c r="A3856" t="inlineStr">
        <is>
          <t>2026</t>
        </is>
      </c>
      <c r="B3856" t="inlineStr">
        <is>
          <t>C00109546</t>
        </is>
      </c>
      <c r="C3856" t="inlineStr">
        <is>
          <t>Valero Energy Corp PAC</t>
        </is>
      </c>
      <c r="D3856" t="inlineStr">
        <is>
          <t>CAREY FOR CONGRESS</t>
        </is>
      </c>
      <c r="E3856" t="inlineStr">
        <is>
          <t>H2OH15228</t>
        </is>
      </c>
      <c r="F3856" t="inlineStr">
        <is>
          <t>REP</t>
        </is>
      </c>
      <c r="G3856" t="inlineStr">
        <is>
          <t>03272026</t>
        </is>
      </c>
      <c r="H3856" t="n">
        <v>2500</v>
      </c>
      <c r="I3856" t="inlineStr">
        <is>
          <t>202604209863221573</t>
        </is>
      </c>
      <c r="J3856" t="inlineStr">
        <is>
          <t>https://docquery.fec.gov/cgi-bin/fecimg/?202604209863221573</t>
        </is>
      </c>
    </row>
    <row r="3857">
      <c r="A3857" t="inlineStr">
        <is>
          <t>2026</t>
        </is>
      </c>
      <c r="B3857" t="inlineStr">
        <is>
          <t>C00109546</t>
        </is>
      </c>
      <c r="C3857" t="inlineStr">
        <is>
          <t>Valero Energy Corp PAC</t>
        </is>
      </c>
      <c r="D3857" t="inlineStr">
        <is>
          <t>CAREY FOR CONGRESS</t>
        </is>
      </c>
      <c r="E3857" t="inlineStr">
        <is>
          <t>H2OH15228</t>
        </is>
      </c>
      <c r="F3857" t="inlineStr">
        <is>
          <t>REP</t>
        </is>
      </c>
      <c r="G3857" t="inlineStr">
        <is>
          <t>03272026</t>
        </is>
      </c>
      <c r="H3857" t="n">
        <v>2500</v>
      </c>
      <c r="I3857" t="inlineStr">
        <is>
          <t>202604209863221573</t>
        </is>
      </c>
      <c r="J3857" t="inlineStr">
        <is>
          <t>https://docquery.fec.gov/cgi-bin/fecimg/?202604209863221573</t>
        </is>
      </c>
    </row>
    <row r="3858">
      <c r="A3858" t="inlineStr">
        <is>
          <t>2026</t>
        </is>
      </c>
      <c r="B3858" t="inlineStr">
        <is>
          <t>C00109546</t>
        </is>
      </c>
      <c r="C3858" t="inlineStr">
        <is>
          <t>Valero Energy Corp PAC</t>
        </is>
      </c>
      <c r="D3858" t="inlineStr">
        <is>
          <t>FEDORCHAK FOR ND</t>
        </is>
      </c>
      <c r="E3858" t="inlineStr">
        <is>
          <t>H4ND00061</t>
        </is>
      </c>
      <c r="F3858" t="inlineStr">
        <is>
          <t>REP</t>
        </is>
      </c>
      <c r="G3858" t="inlineStr">
        <is>
          <t>03272026</t>
        </is>
      </c>
      <c r="H3858" t="n">
        <v>2500</v>
      </c>
      <c r="I3858" t="inlineStr">
        <is>
          <t>202604209863221574</t>
        </is>
      </c>
      <c r="J3858" t="inlineStr">
        <is>
          <t>https://docquery.fec.gov/cgi-bin/fecimg/?202604209863221574</t>
        </is>
      </c>
    </row>
    <row r="3859">
      <c r="A3859" t="inlineStr">
        <is>
          <t>2026</t>
        </is>
      </c>
      <c r="B3859" t="inlineStr">
        <is>
          <t>C00109546</t>
        </is>
      </c>
      <c r="C3859" t="inlineStr">
        <is>
          <t>Valero Energy Corp PAC</t>
        </is>
      </c>
      <c r="D3859" t="inlineStr">
        <is>
          <t>FEDORCHAK FOR ND</t>
        </is>
      </c>
      <c r="E3859" t="inlineStr">
        <is>
          <t>H4ND00061</t>
        </is>
      </c>
      <c r="F3859" t="inlineStr">
        <is>
          <t>REP</t>
        </is>
      </c>
      <c r="G3859" t="inlineStr">
        <is>
          <t>03272026</t>
        </is>
      </c>
      <c r="H3859" t="n">
        <v>2500</v>
      </c>
      <c r="I3859" t="inlineStr">
        <is>
          <t>202604209863221574</t>
        </is>
      </c>
      <c r="J3859" t="inlineStr">
        <is>
          <t>https://docquery.fec.gov/cgi-bin/fecimg/?202604209863221574</t>
        </is>
      </c>
    </row>
    <row r="3860">
      <c r="A3860" t="inlineStr">
        <is>
          <t>2026</t>
        </is>
      </c>
      <c r="B3860" t="inlineStr">
        <is>
          <t>C00109546</t>
        </is>
      </c>
      <c r="C3860" t="inlineStr">
        <is>
          <t>Valero Energy Corp PAC</t>
        </is>
      </c>
      <c r="D3860" t="inlineStr">
        <is>
          <t>JEFF CRANK FOR CONGRESS</t>
        </is>
      </c>
      <c r="E3860" t="inlineStr">
        <is>
          <t>H6CO05142</t>
        </is>
      </c>
      <c r="F3860" t="inlineStr">
        <is>
          <t>REP</t>
        </is>
      </c>
      <c r="G3860" t="inlineStr">
        <is>
          <t>03272026</t>
        </is>
      </c>
      <c r="H3860" t="n">
        <v>2500</v>
      </c>
      <c r="I3860" t="inlineStr">
        <is>
          <t>202604209863221574</t>
        </is>
      </c>
      <c r="J3860" t="inlineStr">
        <is>
          <t>https://docquery.fec.gov/cgi-bin/fecimg/?202604209863221574</t>
        </is>
      </c>
    </row>
    <row r="3861">
      <c r="A3861" t="inlineStr">
        <is>
          <t>2026</t>
        </is>
      </c>
      <c r="B3861" t="inlineStr">
        <is>
          <t>C00109546</t>
        </is>
      </c>
      <c r="C3861" t="inlineStr">
        <is>
          <t>Valero Energy Corp PAC</t>
        </is>
      </c>
      <c r="D3861" t="inlineStr">
        <is>
          <t>LISA MCCLAIN FOR CONGRESS</t>
        </is>
      </c>
      <c r="E3861" t="inlineStr">
        <is>
          <t>H0MI10287</t>
        </is>
      </c>
      <c r="F3861" t="inlineStr">
        <is>
          <t>REP</t>
        </is>
      </c>
      <c r="G3861" t="inlineStr">
        <is>
          <t>03272026</t>
        </is>
      </c>
      <c r="H3861" t="n">
        <v>2500</v>
      </c>
      <c r="I3861" t="inlineStr">
        <is>
          <t>202604209863221575</t>
        </is>
      </c>
      <c r="J3861" t="inlineStr">
        <is>
          <t>https://docquery.fec.gov/cgi-bin/fecimg/?202604209863221575</t>
        </is>
      </c>
    </row>
    <row r="3862">
      <c r="A3862" t="inlineStr">
        <is>
          <t>2026</t>
        </is>
      </c>
      <c r="B3862" t="inlineStr">
        <is>
          <t>C00109546</t>
        </is>
      </c>
      <c r="C3862" t="inlineStr">
        <is>
          <t>Valero Energy Corp PAC</t>
        </is>
      </c>
      <c r="D3862" t="inlineStr">
        <is>
          <t>MARTY JACKLEY FOR CONGRESS</t>
        </is>
      </c>
      <c r="E3862" t="inlineStr">
        <is>
          <t>H6SD01109</t>
        </is>
      </c>
      <c r="F3862" t="inlineStr">
        <is>
          <t>REP</t>
        </is>
      </c>
      <c r="G3862" t="inlineStr">
        <is>
          <t>03272026</t>
        </is>
      </c>
      <c r="H3862" t="n">
        <v>5000</v>
      </c>
      <c r="I3862" t="inlineStr">
        <is>
          <t>202604209863221575</t>
        </is>
      </c>
      <c r="J3862" t="inlineStr">
        <is>
          <t>https://docquery.fec.gov/cgi-bin/fecimg/?202604209863221575</t>
        </is>
      </c>
    </row>
    <row r="3863">
      <c r="A3863" t="inlineStr">
        <is>
          <t>2026</t>
        </is>
      </c>
      <c r="B3863" t="inlineStr">
        <is>
          <t>C00109546</t>
        </is>
      </c>
      <c r="C3863" t="inlineStr">
        <is>
          <t>Valero Energy Corp PAC</t>
        </is>
      </c>
      <c r="D3863" t="inlineStr">
        <is>
          <t>MOORE FOR WEST VIRGINIA, INC.</t>
        </is>
      </c>
      <c r="E3863" t="inlineStr">
        <is>
          <t>H4WV02205</t>
        </is>
      </c>
      <c r="F3863" t="inlineStr">
        <is>
          <t>REP</t>
        </is>
      </c>
      <c r="G3863" t="inlineStr">
        <is>
          <t>03272026</t>
        </is>
      </c>
      <c r="H3863" t="n">
        <v>5000</v>
      </c>
      <c r="I3863" t="inlineStr">
        <is>
          <t>202604209863221576</t>
        </is>
      </c>
      <c r="J3863" t="inlineStr">
        <is>
          <t>https://docquery.fec.gov/cgi-bin/fecimg/?202604209863221576</t>
        </is>
      </c>
    </row>
    <row r="3864">
      <c r="A3864" t="inlineStr">
        <is>
          <t>2026</t>
        </is>
      </c>
      <c r="B3864" t="inlineStr">
        <is>
          <t>C00109546</t>
        </is>
      </c>
      <c r="C3864" t="inlineStr">
        <is>
          <t>Valero Energy Corp PAC</t>
        </is>
      </c>
      <c r="D3864" t="inlineStr">
        <is>
          <t>WALBERG FOR CONGRESS</t>
        </is>
      </c>
      <c r="E3864" t="inlineStr">
        <is>
          <t>H4MI07103</t>
        </is>
      </c>
      <c r="F3864" t="inlineStr">
        <is>
          <t>REP</t>
        </is>
      </c>
      <c r="G3864" t="inlineStr">
        <is>
          <t>03272026</t>
        </is>
      </c>
      <c r="H3864" t="n">
        <v>5000</v>
      </c>
      <c r="I3864" t="inlineStr">
        <is>
          <t>202604209863221577</t>
        </is>
      </c>
      <c r="J3864" t="inlineStr">
        <is>
          <t>https://docquery.fec.gov/cgi-bin/fecimg/?202604209863221577</t>
        </is>
      </c>
    </row>
    <row r="3865">
      <c r="A3865" t="inlineStr">
        <is>
          <t>2026</t>
        </is>
      </c>
      <c r="B3865" t="inlineStr">
        <is>
          <t>C00109546</t>
        </is>
      </c>
      <c r="C3865" t="inlineStr">
        <is>
          <t>Valero Energy Corp PAC</t>
        </is>
      </c>
      <c r="D3865" t="inlineStr">
        <is>
          <t>CONSERVATIVE TOM SELL FOR CONGRESS</t>
        </is>
      </c>
      <c r="E3865" t="inlineStr">
        <is>
          <t>H6TX19206</t>
        </is>
      </c>
      <c r="F3865" t="inlineStr">
        <is>
          <t>REP</t>
        </is>
      </c>
      <c r="G3865" t="inlineStr">
        <is>
          <t>03302026</t>
        </is>
      </c>
      <c r="H3865" t="n">
        <v>5000</v>
      </c>
      <c r="I3865" t="inlineStr">
        <is>
          <t>202604209863221573</t>
        </is>
      </c>
      <c r="J3865" t="inlineStr">
        <is>
          <t>https://docquery.fec.gov/cgi-bin/fecimg/?202604209863221573</t>
        </is>
      </c>
    </row>
    <row r="3866">
      <c r="A3866" t="inlineStr">
        <is>
          <t>2026</t>
        </is>
      </c>
      <c r="B3866" t="inlineStr">
        <is>
          <t>C00109546</t>
        </is>
      </c>
      <c r="C3866" t="inlineStr">
        <is>
          <t>Valero Energy Corp PAC</t>
        </is>
      </c>
      <c r="D3866" t="inlineStr">
        <is>
          <t>JESSICA STEINMANN FOR CONGRESS</t>
        </is>
      </c>
      <c r="E3866" t="inlineStr">
        <is>
          <t>H6TX08209</t>
        </is>
      </c>
      <c r="F3866" t="inlineStr">
        <is>
          <t>REP</t>
        </is>
      </c>
      <c r="G3866" t="inlineStr">
        <is>
          <t>03302026</t>
        </is>
      </c>
      <c r="H3866" t="n">
        <v>5000</v>
      </c>
      <c r="I3866" t="inlineStr">
        <is>
          <t>202604209863221575</t>
        </is>
      </c>
      <c r="J3866" t="inlineStr">
        <is>
          <t>https://docquery.fec.gov/cgi-bin/fecimg/?202604209863221575</t>
        </is>
      </c>
    </row>
    <row r="3867">
      <c r="A3867" t="inlineStr">
        <is>
          <t>2026</t>
        </is>
      </c>
      <c r="B3867" t="inlineStr">
        <is>
          <t>C00109546</t>
        </is>
      </c>
      <c r="C3867" t="inlineStr">
        <is>
          <t>Valero Energy Corp PAC</t>
        </is>
      </c>
      <c r="D3867" t="inlineStr">
        <is>
          <t>COLE FOR CONGRESS</t>
        </is>
      </c>
      <c r="E3867" t="inlineStr">
        <is>
          <t>H2OK04055</t>
        </is>
      </c>
      <c r="F3867" t="inlineStr">
        <is>
          <t>REP</t>
        </is>
      </c>
      <c r="G3867" t="inlineStr">
        <is>
          <t>04292026</t>
        </is>
      </c>
      <c r="H3867" t="n">
        <v>5000</v>
      </c>
      <c r="I3867" t="inlineStr">
        <is>
          <t>202605209867460594</t>
        </is>
      </c>
      <c r="J3867" t="inlineStr">
        <is>
          <t>https://docquery.fec.gov/cgi-bin/fecimg/?202605209867460594</t>
        </is>
      </c>
    </row>
    <row r="3868">
      <c r="A3868" t="inlineStr">
        <is>
          <t>2026</t>
        </is>
      </c>
      <c r="B3868" t="inlineStr">
        <is>
          <t>C00109546</t>
        </is>
      </c>
      <c r="C3868" t="inlineStr">
        <is>
          <t>Valero Energy Corp PAC</t>
        </is>
      </c>
      <c r="D3868" t="inlineStr">
        <is>
          <t>GUY FOR CONGRESS</t>
        </is>
      </c>
      <c r="E3868" t="inlineStr">
        <is>
          <t>H8PA18199</t>
        </is>
      </c>
      <c r="F3868" t="inlineStr">
        <is>
          <t>REP</t>
        </is>
      </c>
      <c r="G3868" t="inlineStr">
        <is>
          <t>04292026</t>
        </is>
      </c>
      <c r="H3868" t="n">
        <v>5000</v>
      </c>
      <c r="I3868" t="inlineStr">
        <is>
          <t>202605209867460594</t>
        </is>
      </c>
      <c r="J3868" t="inlineStr">
        <is>
          <t>https://docquery.fec.gov/cgi-bin/fecimg/?202605209867460594</t>
        </is>
      </c>
    </row>
    <row r="3869">
      <c r="A3869" t="inlineStr">
        <is>
          <t>2026</t>
        </is>
      </c>
      <c r="B3869" t="inlineStr">
        <is>
          <t>C00109546</t>
        </is>
      </c>
      <c r="C3869" t="inlineStr">
        <is>
          <t>Valero Energy Corp PAC</t>
        </is>
      </c>
      <c r="D3869" t="inlineStr">
        <is>
          <t>MARK TEIXEIRA FOR CONGRESS</t>
        </is>
      </c>
      <c r="E3869" t="inlineStr">
        <is>
          <t>H6TX21301</t>
        </is>
      </c>
      <c r="F3869" t="inlineStr">
        <is>
          <t>REP</t>
        </is>
      </c>
      <c r="G3869" t="inlineStr">
        <is>
          <t>04292026</t>
        </is>
      </c>
      <c r="H3869" t="n">
        <v>5000</v>
      </c>
      <c r="I3869" t="inlineStr">
        <is>
          <t>202605209867460595</t>
        </is>
      </c>
      <c r="J3869" t="inlineStr">
        <is>
          <t>https://docquery.fec.gov/cgi-bin/fecimg/?202605209867460595</t>
        </is>
      </c>
    </row>
    <row r="3870">
      <c r="A3870" t="inlineStr">
        <is>
          <t>2026</t>
        </is>
      </c>
      <c r="B3870" t="inlineStr">
        <is>
          <t>C00109546</t>
        </is>
      </c>
      <c r="C3870" t="inlineStr">
        <is>
          <t>Valero Energy Corp PAC</t>
        </is>
      </c>
      <c r="D3870" t="inlineStr">
        <is>
          <t>RUDY FOR INDIANA</t>
        </is>
      </c>
      <c r="E3870" t="inlineStr">
        <is>
          <t>H2IN02295</t>
        </is>
      </c>
      <c r="F3870" t="inlineStr">
        <is>
          <t>REP</t>
        </is>
      </c>
      <c r="G3870" t="inlineStr">
        <is>
          <t>04292026</t>
        </is>
      </c>
      <c r="H3870" t="n">
        <v>5000</v>
      </c>
      <c r="I3870" t="inlineStr">
        <is>
          <t>202605209867460596</t>
        </is>
      </c>
      <c r="J3870" t="inlineStr">
        <is>
          <t>https://docquery.fec.gov/cgi-bin/fecimg/?202605209867460596</t>
        </is>
      </c>
    </row>
    <row r="3871">
      <c r="A3871" t="inlineStr">
        <is>
          <t>2026</t>
        </is>
      </c>
      <c r="B3871" t="inlineStr">
        <is>
          <t>C00109546</t>
        </is>
      </c>
      <c r="C3871" t="inlineStr">
        <is>
          <t>Valero Energy Corp PAC</t>
        </is>
      </c>
      <c r="D3871" t="inlineStr">
        <is>
          <t>TOM BARRETT FOR CONGRESS</t>
        </is>
      </c>
      <c r="E3871" t="inlineStr">
        <is>
          <t>H2MI07123</t>
        </is>
      </c>
      <c r="F3871" t="inlineStr">
        <is>
          <t>REP</t>
        </is>
      </c>
      <c r="G3871" t="inlineStr">
        <is>
          <t>04292026</t>
        </is>
      </c>
      <c r="H3871" t="n">
        <v>5000</v>
      </c>
      <c r="I3871" t="inlineStr">
        <is>
          <t>202605209867460596</t>
        </is>
      </c>
      <c r="J3871" t="inlineStr">
        <is>
          <t>https://docquery.fec.gov/cgi-bin/fecimg/?202605209867460596</t>
        </is>
      </c>
    </row>
    <row r="3872">
      <c r="A3872" t="inlineStr">
        <is>
          <t>2026</t>
        </is>
      </c>
      <c r="B3872" t="inlineStr">
        <is>
          <t>C00109546</t>
        </is>
      </c>
      <c r="C3872" t="inlineStr">
        <is>
          <t>Valero Energy Corp PAC</t>
        </is>
      </c>
      <c r="D3872" t="inlineStr">
        <is>
          <t>WEBER FOR CONGRESS</t>
        </is>
      </c>
      <c r="E3872" t="inlineStr">
        <is>
          <t>H2TX14149</t>
        </is>
      </c>
      <c r="F3872" t="inlineStr">
        <is>
          <t>REP</t>
        </is>
      </c>
      <c r="G3872" t="inlineStr">
        <is>
          <t>04292026</t>
        </is>
      </c>
      <c r="H3872" t="n">
        <v>5000</v>
      </c>
      <c r="I3872" t="inlineStr">
        <is>
          <t>202605209867460596</t>
        </is>
      </c>
      <c r="J3872" t="inlineStr">
        <is>
          <t>https://docquery.fec.gov/cgi-bin/fecimg/?202605209867460596</t>
        </is>
      </c>
    </row>
    <row r="3873">
      <c r="A3873" t="inlineStr">
        <is>
          <t>2026</t>
        </is>
      </c>
      <c r="B3873" t="inlineStr">
        <is>
          <t>C00109546</t>
        </is>
      </c>
      <c r="C3873" t="inlineStr">
        <is>
          <t>Valero Energy Corp PAC</t>
        </is>
      </c>
      <c r="D3873" t="inlineStr">
        <is>
          <t>WESTERMAN FOR CONGRESS</t>
        </is>
      </c>
      <c r="E3873" t="inlineStr">
        <is>
          <t>H4AR04048</t>
        </is>
      </c>
      <c r="F3873" t="inlineStr">
        <is>
          <t>REP</t>
        </is>
      </c>
      <c r="G3873" t="inlineStr">
        <is>
          <t>04292026</t>
        </is>
      </c>
      <c r="H3873" t="n">
        <v>5000</v>
      </c>
      <c r="I3873" t="inlineStr">
        <is>
          <t>202605209867460597</t>
        </is>
      </c>
      <c r="J3873" t="inlineStr">
        <is>
          <t>https://docquery.fec.gov/cgi-bin/fecimg/?202605209867460597</t>
        </is>
      </c>
    </row>
    <row r="3874">
      <c r="A3874" t="inlineStr">
        <is>
          <t>2026</t>
        </is>
      </c>
      <c r="B3874" t="inlineStr">
        <is>
          <t>C00109546</t>
        </is>
      </c>
      <c r="C3874" t="inlineStr">
        <is>
          <t>Valero Energy Corp PAC</t>
        </is>
      </c>
      <c r="D3874" t="inlineStr">
        <is>
          <t>JULIA LETLOW FOR CONGRESS</t>
        </is>
      </c>
      <c r="E3874" t="inlineStr">
        <is>
          <t>H2LA05126</t>
        </is>
      </c>
      <c r="F3874" t="inlineStr">
        <is>
          <t>REP</t>
        </is>
      </c>
      <c r="G3874" t="inlineStr">
        <is>
          <t>04302025</t>
        </is>
      </c>
      <c r="H3874" t="n">
        <v>2500</v>
      </c>
      <c r="I3874" t="inlineStr">
        <is>
          <t>202505209761437948</t>
        </is>
      </c>
      <c r="J3874" t="inlineStr">
        <is>
          <t>https://docquery.fec.gov/cgi-bin/fecimg/?202505209761437948</t>
        </is>
      </c>
    </row>
    <row r="3875">
      <c r="A3875" t="inlineStr">
        <is>
          <t>2026</t>
        </is>
      </c>
      <c r="B3875" t="inlineStr">
        <is>
          <t>C00109546</t>
        </is>
      </c>
      <c r="C3875" t="inlineStr">
        <is>
          <t>Valero Energy Corp PAC</t>
        </is>
      </c>
      <c r="D3875" t="inlineStr">
        <is>
          <t>TED CRUZ FOR SENATE</t>
        </is>
      </c>
      <c r="E3875" t="inlineStr">
        <is>
          <t>S2TX00312</t>
        </is>
      </c>
      <c r="F3875" t="inlineStr">
        <is>
          <t>REP</t>
        </is>
      </c>
      <c r="G3875" t="inlineStr">
        <is>
          <t>04302025</t>
        </is>
      </c>
      <c r="H3875" t="n">
        <v>5000</v>
      </c>
      <c r="I3875" t="inlineStr">
        <is>
          <t>202505209761437949</t>
        </is>
      </c>
      <c r="J3875" t="inlineStr">
        <is>
          <t>https://docquery.fec.gov/cgi-bin/fecimg/?202505209761437949</t>
        </is>
      </c>
    </row>
    <row r="3876">
      <c r="A3876" t="inlineStr">
        <is>
          <t>2026</t>
        </is>
      </c>
      <c r="B3876" t="inlineStr">
        <is>
          <t>C00109546</t>
        </is>
      </c>
      <c r="C3876" t="inlineStr">
        <is>
          <t>Valero Energy Corp PAC</t>
        </is>
      </c>
      <c r="D3876" t="inlineStr">
        <is>
          <t>ASHLEY HINSON FOR CONGRESS</t>
        </is>
      </c>
      <c r="E3876" t="inlineStr">
        <is>
          <t>H0IA01174</t>
        </is>
      </c>
      <c r="F3876" t="inlineStr">
        <is>
          <t>REP</t>
        </is>
      </c>
      <c r="G3876" t="inlineStr">
        <is>
          <t>04302025</t>
        </is>
      </c>
      <c r="H3876" t="n">
        <v>5000</v>
      </c>
      <c r="I3876" t="inlineStr">
        <is>
          <t>202505209761437946</t>
        </is>
      </c>
      <c r="J3876" t="inlineStr">
        <is>
          <t>https://docquery.fec.gov/cgi-bin/fecimg/?202505209761437946</t>
        </is>
      </c>
    </row>
    <row r="3877">
      <c r="A3877" t="inlineStr">
        <is>
          <t>2026</t>
        </is>
      </c>
      <c r="B3877" t="inlineStr">
        <is>
          <t>C00109546</t>
        </is>
      </c>
      <c r="C3877" t="inlineStr">
        <is>
          <t>Valero Energy Corp PAC</t>
        </is>
      </c>
      <c r="D3877" t="inlineStr">
        <is>
          <t>BALDERSON FOR CONGRESS</t>
        </is>
      </c>
      <c r="E3877" t="inlineStr">
        <is>
          <t>H8OH12180</t>
        </is>
      </c>
      <c r="F3877" t="inlineStr">
        <is>
          <t>REP</t>
        </is>
      </c>
      <c r="G3877" t="inlineStr">
        <is>
          <t>04302025</t>
        </is>
      </c>
      <c r="H3877" t="n">
        <v>5000</v>
      </c>
      <c r="I3877" t="inlineStr">
        <is>
          <t>202505209761437946</t>
        </is>
      </c>
      <c r="J3877" t="inlineStr">
        <is>
          <t>https://docquery.fec.gov/cgi-bin/fecimg/?202505209761437946</t>
        </is>
      </c>
    </row>
    <row r="3878">
      <c r="A3878" t="inlineStr">
        <is>
          <t>2026</t>
        </is>
      </c>
      <c r="B3878" t="inlineStr">
        <is>
          <t>C00109546</t>
        </is>
      </c>
      <c r="C3878" t="inlineStr">
        <is>
          <t>Valero Energy Corp PAC</t>
        </is>
      </c>
      <c r="D3878" t="inlineStr">
        <is>
          <t>GUTHRIE FOR CONGRESS</t>
        </is>
      </c>
      <c r="E3878" t="inlineStr">
        <is>
          <t>H8KY02031</t>
        </is>
      </c>
      <c r="F3878" t="inlineStr">
        <is>
          <t>REP</t>
        </is>
      </c>
      <c r="G3878" t="inlineStr">
        <is>
          <t>04302025</t>
        </is>
      </c>
      <c r="H3878" t="n">
        <v>2500</v>
      </c>
      <c r="I3878" t="inlineStr">
        <is>
          <t>202505209761437947</t>
        </is>
      </c>
      <c r="J3878" t="inlineStr">
        <is>
          <t>https://docquery.fec.gov/cgi-bin/fecimg/?202505209761437947</t>
        </is>
      </c>
    </row>
    <row r="3879">
      <c r="A3879" t="inlineStr">
        <is>
          <t>2026</t>
        </is>
      </c>
      <c r="B3879" t="inlineStr">
        <is>
          <t>C00109546</t>
        </is>
      </c>
      <c r="C3879" t="inlineStr">
        <is>
          <t>Valero Energy Corp PAC</t>
        </is>
      </c>
      <c r="D3879" t="inlineStr">
        <is>
          <t>HUNT FOR CONGRESS</t>
        </is>
      </c>
      <c r="E3879" t="inlineStr">
        <is>
          <t>H0TX07170</t>
        </is>
      </c>
      <c r="F3879" t="inlineStr">
        <is>
          <t>REP</t>
        </is>
      </c>
      <c r="G3879" t="inlineStr">
        <is>
          <t>04302025</t>
        </is>
      </c>
      <c r="H3879" t="n">
        <v>5000</v>
      </c>
      <c r="I3879" t="inlineStr">
        <is>
          <t>202505209761437948</t>
        </is>
      </c>
      <c r="J3879" t="inlineStr">
        <is>
          <t>https://docquery.fec.gov/cgi-bin/fecimg/?202505209761437948</t>
        </is>
      </c>
    </row>
    <row r="3880">
      <c r="A3880" t="inlineStr">
        <is>
          <t>2026</t>
        </is>
      </c>
      <c r="B3880" t="inlineStr">
        <is>
          <t>C00109546</t>
        </is>
      </c>
      <c r="C3880" t="inlineStr">
        <is>
          <t>Valero Energy Corp PAC</t>
        </is>
      </c>
      <c r="D3880" t="inlineStr">
        <is>
          <t>HUNT FOR CONGRESS</t>
        </is>
      </c>
      <c r="E3880" t="inlineStr">
        <is>
          <t>H0TX07170</t>
        </is>
      </c>
      <c r="F3880" t="inlineStr">
        <is>
          <t>REP</t>
        </is>
      </c>
      <c r="G3880" t="inlineStr">
        <is>
          <t>04302025</t>
        </is>
      </c>
      <c r="H3880" t="n">
        <v>5000</v>
      </c>
      <c r="I3880" t="inlineStr">
        <is>
          <t>202505209761437947</t>
        </is>
      </c>
      <c r="J3880" t="inlineStr">
        <is>
          <t>https://docquery.fec.gov/cgi-bin/fecimg/?202505209761437947</t>
        </is>
      </c>
    </row>
    <row r="3881">
      <c r="A3881" t="inlineStr">
        <is>
          <t>2026</t>
        </is>
      </c>
      <c r="B3881" t="inlineStr">
        <is>
          <t>C00109546</t>
        </is>
      </c>
      <c r="C3881" t="inlineStr">
        <is>
          <t>Valero Energy Corp PAC</t>
        </is>
      </c>
      <c r="D3881" t="inlineStr">
        <is>
          <t>LAUREL LEE FOR CONGRESS, INC.</t>
        </is>
      </c>
      <c r="E3881" t="inlineStr">
        <is>
          <t>H2FL15241</t>
        </is>
      </c>
      <c r="F3881" t="inlineStr">
        <is>
          <t>REP</t>
        </is>
      </c>
      <c r="G3881" t="inlineStr">
        <is>
          <t>05292025</t>
        </is>
      </c>
      <c r="H3881" t="n">
        <v>5000</v>
      </c>
      <c r="I3881" t="inlineStr">
        <is>
          <t>202506189762337042</t>
        </is>
      </c>
      <c r="J3881" t="inlineStr">
        <is>
          <t>https://docquery.fec.gov/cgi-bin/fecimg/?202506189762337042</t>
        </is>
      </c>
    </row>
    <row r="3882">
      <c r="A3882" t="inlineStr">
        <is>
          <t>2026</t>
        </is>
      </c>
      <c r="B3882" t="inlineStr">
        <is>
          <t>C00109546</t>
        </is>
      </c>
      <c r="C3882" t="inlineStr">
        <is>
          <t>Valero Energy Corp PAC</t>
        </is>
      </c>
      <c r="D3882" t="inlineStr">
        <is>
          <t>KAT FOR CONGRESS</t>
        </is>
      </c>
      <c r="E3882" t="inlineStr">
        <is>
          <t>H0FL03175</t>
        </is>
      </c>
      <c r="F3882" t="inlineStr">
        <is>
          <t>REP</t>
        </is>
      </c>
      <c r="G3882" t="inlineStr">
        <is>
          <t>05292025</t>
        </is>
      </c>
      <c r="H3882" t="n">
        <v>2500</v>
      </c>
      <c r="I3882" t="inlineStr">
        <is>
          <t>202506189762337041</t>
        </is>
      </c>
      <c r="J3882" t="inlineStr">
        <is>
          <t>https://docquery.fec.gov/cgi-bin/fecimg/?202506189762337041</t>
        </is>
      </c>
    </row>
    <row r="3883">
      <c r="A3883" t="inlineStr">
        <is>
          <t>2026</t>
        </is>
      </c>
      <c r="B3883" t="inlineStr">
        <is>
          <t>C00109546</t>
        </is>
      </c>
      <c r="C3883" t="inlineStr">
        <is>
          <t>Valero Energy Corp PAC</t>
        </is>
      </c>
      <c r="D3883" t="inlineStr">
        <is>
          <t>KEAN FOR CONGRESS INC</t>
        </is>
      </c>
      <c r="E3883" t="inlineStr">
        <is>
          <t>H0NJ07261</t>
        </is>
      </c>
      <c r="F3883" t="inlineStr">
        <is>
          <t>REP</t>
        </is>
      </c>
      <c r="G3883" t="inlineStr">
        <is>
          <t>05292025</t>
        </is>
      </c>
      <c r="H3883" t="n">
        <v>2500</v>
      </c>
      <c r="I3883" t="inlineStr">
        <is>
          <t>202506189762337041</t>
        </is>
      </c>
      <c r="J3883" t="inlineStr">
        <is>
          <t>https://docquery.fec.gov/cgi-bin/fecimg/?202506189762337041</t>
        </is>
      </c>
    </row>
    <row r="3884">
      <c r="A3884" t="inlineStr">
        <is>
          <t>2026</t>
        </is>
      </c>
      <c r="B3884" t="inlineStr">
        <is>
          <t>C00109546</t>
        </is>
      </c>
      <c r="C3884" t="inlineStr">
        <is>
          <t>Valero Energy Corp PAC</t>
        </is>
      </c>
      <c r="D3884" t="inlineStr">
        <is>
          <t>LANGWORTHY FOR CONGRESS</t>
        </is>
      </c>
      <c r="E3884" t="inlineStr">
        <is>
          <t>H2NY23228</t>
        </is>
      </c>
      <c r="F3884" t="inlineStr">
        <is>
          <t>REP</t>
        </is>
      </c>
      <c r="G3884" t="inlineStr">
        <is>
          <t>05292025</t>
        </is>
      </c>
      <c r="H3884" t="n">
        <v>2500</v>
      </c>
      <c r="I3884" t="inlineStr">
        <is>
          <t>202506189762337041</t>
        </is>
      </c>
      <c r="J3884" t="inlineStr">
        <is>
          <t>https://docquery.fec.gov/cgi-bin/fecimg/?202506189762337041</t>
        </is>
      </c>
    </row>
    <row r="3885">
      <c r="A3885" t="inlineStr">
        <is>
          <t>2026</t>
        </is>
      </c>
      <c r="B3885" t="inlineStr">
        <is>
          <t>C00109546</t>
        </is>
      </c>
      <c r="C3885" t="inlineStr">
        <is>
          <t>Valero Energy Corp PAC</t>
        </is>
      </c>
      <c r="D3885" t="inlineStr">
        <is>
          <t>LATTA FOR CONGRESS</t>
        </is>
      </c>
      <c r="E3885" t="inlineStr">
        <is>
          <t>H8OH05036</t>
        </is>
      </c>
      <c r="F3885" t="inlineStr">
        <is>
          <t>REP</t>
        </is>
      </c>
      <c r="G3885" t="inlineStr">
        <is>
          <t>05292025</t>
        </is>
      </c>
      <c r="H3885" t="n">
        <v>5000</v>
      </c>
      <c r="I3885" t="inlineStr">
        <is>
          <t>202506189762337042</t>
        </is>
      </c>
      <c r="J3885" t="inlineStr">
        <is>
          <t>https://docquery.fec.gov/cgi-bin/fecimg/?202506189762337042</t>
        </is>
      </c>
    </row>
    <row r="3886">
      <c r="A3886" t="inlineStr">
        <is>
          <t>2026</t>
        </is>
      </c>
      <c r="B3886" t="inlineStr">
        <is>
          <t>C00109546</t>
        </is>
      </c>
      <c r="C3886" t="inlineStr">
        <is>
          <t>Valero Energy Corp PAC</t>
        </is>
      </c>
      <c r="D3886" t="inlineStr">
        <is>
          <t>LISA MCCLAIN FOR CONGRESS</t>
        </is>
      </c>
      <c r="E3886" t="inlineStr">
        <is>
          <t>H0MI10287</t>
        </is>
      </c>
      <c r="F3886" t="inlineStr">
        <is>
          <t>REP</t>
        </is>
      </c>
      <c r="G3886" t="inlineStr">
        <is>
          <t>05292025</t>
        </is>
      </c>
      <c r="H3886" t="n">
        <v>5000</v>
      </c>
      <c r="I3886" t="inlineStr">
        <is>
          <t>202506189762337043</t>
        </is>
      </c>
      <c r="J3886" t="inlineStr">
        <is>
          <t>https://docquery.fec.gov/cgi-bin/fecimg/?202506189762337043</t>
        </is>
      </c>
    </row>
    <row r="3887">
      <c r="A3887" t="inlineStr">
        <is>
          <t>2026</t>
        </is>
      </c>
      <c r="B3887" t="inlineStr">
        <is>
          <t>C00109546</t>
        </is>
      </c>
      <c r="C3887" t="inlineStr">
        <is>
          <t>Valero Energy Corp PAC</t>
        </is>
      </c>
      <c r="D3887" t="inlineStr">
        <is>
          <t>MULLIN FOR AMERICA</t>
        </is>
      </c>
      <c r="E3887" t="inlineStr">
        <is>
          <t>S2OK00186</t>
        </is>
      </c>
      <c r="F3887" t="inlineStr">
        <is>
          <t>REP</t>
        </is>
      </c>
      <c r="G3887" t="inlineStr">
        <is>
          <t>05292025</t>
        </is>
      </c>
      <c r="H3887" t="n">
        <v>5000</v>
      </c>
      <c r="I3887" t="inlineStr">
        <is>
          <t>202506189762337043</t>
        </is>
      </c>
      <c r="J3887" t="inlineStr">
        <is>
          <t>https://docquery.fec.gov/cgi-bin/fecimg/?202506189762337043</t>
        </is>
      </c>
    </row>
    <row r="3888">
      <c r="A3888" t="inlineStr">
        <is>
          <t>2026</t>
        </is>
      </c>
      <c r="B3888" t="inlineStr">
        <is>
          <t>C00109546</t>
        </is>
      </c>
      <c r="C3888" t="inlineStr">
        <is>
          <t>Valero Energy Corp PAC</t>
        </is>
      </c>
      <c r="D3888" t="inlineStr">
        <is>
          <t>PETE RICKETTS FOR SENATE</t>
        </is>
      </c>
      <c r="E3888" t="inlineStr">
        <is>
          <t>S6NE00129</t>
        </is>
      </c>
      <c r="F3888" t="inlineStr">
        <is>
          <t>REP</t>
        </is>
      </c>
      <c r="G3888" t="inlineStr">
        <is>
          <t>05292025</t>
        </is>
      </c>
      <c r="H3888" t="n">
        <v>2500</v>
      </c>
      <c r="I3888" t="inlineStr">
        <is>
          <t>202506189762337043</t>
        </is>
      </c>
      <c r="J3888" t="inlineStr">
        <is>
          <t>https://docquery.fec.gov/cgi-bin/fecimg/?202506189762337043</t>
        </is>
      </c>
    </row>
    <row r="3889">
      <c r="A3889" t="inlineStr">
        <is>
          <t>2026</t>
        </is>
      </c>
      <c r="B3889" t="inlineStr">
        <is>
          <t>C00109546</t>
        </is>
      </c>
      <c r="C3889" t="inlineStr">
        <is>
          <t>Valero Energy Corp PAC</t>
        </is>
      </c>
      <c r="D3889" t="inlineStr">
        <is>
          <t>TEXANS FOR MORGAN LUTTRELL</t>
        </is>
      </c>
      <c r="E3889" t="inlineStr">
        <is>
          <t>H2TX08182</t>
        </is>
      </c>
      <c r="F3889" t="inlineStr">
        <is>
          <t>REP</t>
        </is>
      </c>
      <c r="G3889" t="inlineStr">
        <is>
          <t>05292025</t>
        </is>
      </c>
      <c r="H3889" t="n">
        <v>5000</v>
      </c>
      <c r="I3889" t="inlineStr">
        <is>
          <t>202506189762337044</t>
        </is>
      </c>
      <c r="J3889" t="inlineStr">
        <is>
          <t>https://docquery.fec.gov/cgi-bin/fecimg/?202506189762337044</t>
        </is>
      </c>
    </row>
    <row r="3890">
      <c r="A3890" t="inlineStr">
        <is>
          <t>2026</t>
        </is>
      </c>
      <c r="B3890" t="inlineStr">
        <is>
          <t>C00109546</t>
        </is>
      </c>
      <c r="C3890" t="inlineStr">
        <is>
          <t>Valero Energy Corp PAC</t>
        </is>
      </c>
      <c r="D3890" t="inlineStr">
        <is>
          <t>ASHLEY FOR IOWA</t>
        </is>
      </c>
      <c r="E3890" t="inlineStr">
        <is>
          <t>S6IA00314</t>
        </is>
      </c>
      <c r="F3890" t="inlineStr">
        <is>
          <t>REP</t>
        </is>
      </c>
      <c r="G3890" t="inlineStr">
        <is>
          <t>06012026</t>
        </is>
      </c>
      <c r="H3890" t="n">
        <v>5000</v>
      </c>
      <c r="I3890" t="inlineStr">
        <is>
          <t>202607179890876756</t>
        </is>
      </c>
      <c r="J3890" t="inlineStr">
        <is>
          <t>https://docquery.fec.gov/cgi-bin/fecimg/?202607179890876756</t>
        </is>
      </c>
    </row>
    <row r="3891">
      <c r="A3891" t="inlineStr">
        <is>
          <t>2026</t>
        </is>
      </c>
      <c r="B3891" t="inlineStr">
        <is>
          <t>C00109546</t>
        </is>
      </c>
      <c r="C3891" t="inlineStr">
        <is>
          <t>Valero Energy Corp PAC</t>
        </is>
      </c>
      <c r="D3891" t="inlineStr">
        <is>
          <t>HERN FOR SENATE</t>
        </is>
      </c>
      <c r="E3891" t="inlineStr">
        <is>
          <t>S6OK04247</t>
        </is>
      </c>
      <c r="F3891" t="inlineStr">
        <is>
          <t>REP</t>
        </is>
      </c>
      <c r="G3891" t="inlineStr">
        <is>
          <t>06012026</t>
        </is>
      </c>
      <c r="H3891" t="n">
        <v>5000</v>
      </c>
      <c r="I3891" t="inlineStr">
        <is>
          <t>202607179890876758</t>
        </is>
      </c>
      <c r="J3891" t="inlineStr">
        <is>
          <t>https://docquery.fec.gov/cgi-bin/fecimg/?202607179890876758</t>
        </is>
      </c>
    </row>
    <row r="3892">
      <c r="A3892" t="inlineStr">
        <is>
          <t>2026</t>
        </is>
      </c>
      <c r="B3892" t="inlineStr">
        <is>
          <t>C00109546</t>
        </is>
      </c>
      <c r="C3892" t="inlineStr">
        <is>
          <t>Valero Energy Corp PAC</t>
        </is>
      </c>
      <c r="D3892" t="inlineStr">
        <is>
          <t>JAY OBERNOLTE FOR CONGRESS</t>
        </is>
      </c>
      <c r="E3892" t="inlineStr">
        <is>
          <t>H0CA08135</t>
        </is>
      </c>
      <c r="F3892" t="inlineStr">
        <is>
          <t>REP</t>
        </is>
      </c>
      <c r="G3892" t="inlineStr">
        <is>
          <t>06012026</t>
        </is>
      </c>
      <c r="H3892" t="n">
        <v>5000</v>
      </c>
      <c r="I3892" t="inlineStr">
        <is>
          <t>202607179890876758</t>
        </is>
      </c>
      <c r="J3892" t="inlineStr">
        <is>
          <t>https://docquery.fec.gov/cgi-bin/fecimg/?202607179890876758</t>
        </is>
      </c>
    </row>
    <row r="3893">
      <c r="A3893" t="inlineStr">
        <is>
          <t>2026</t>
        </is>
      </c>
      <c r="B3893" t="inlineStr">
        <is>
          <t>C00109546</t>
        </is>
      </c>
      <c r="C3893" t="inlineStr">
        <is>
          <t>Valero Energy Corp PAC</t>
        </is>
      </c>
      <c r="D3893" t="inlineStr">
        <is>
          <t>VINCE FONG FOR CONGRESS</t>
        </is>
      </c>
      <c r="E3893" t="inlineStr">
        <is>
          <t>H4CA20181</t>
        </is>
      </c>
      <c r="F3893" t="inlineStr">
        <is>
          <t>REP</t>
        </is>
      </c>
      <c r="G3893" t="inlineStr">
        <is>
          <t>06012026</t>
        </is>
      </c>
      <c r="H3893" t="n">
        <v>2500</v>
      </c>
      <c r="I3893" t="inlineStr">
        <is>
          <t>202607179890876761</t>
        </is>
      </c>
      <c r="J3893" t="inlineStr">
        <is>
          <t>https://docquery.fec.gov/cgi-bin/fecimg/?202607179890876761</t>
        </is>
      </c>
    </row>
    <row r="3894">
      <c r="A3894" t="inlineStr">
        <is>
          <t>2026</t>
        </is>
      </c>
      <c r="B3894" t="inlineStr">
        <is>
          <t>C00109546</t>
        </is>
      </c>
      <c r="C3894" t="inlineStr">
        <is>
          <t>Valero Energy Corp PAC</t>
        </is>
      </c>
      <c r="D3894" t="inlineStr">
        <is>
          <t>STEVE DAINES FOR MONTANA</t>
        </is>
      </c>
      <c r="E3894" t="inlineStr">
        <is>
          <t>S2MT00096</t>
        </is>
      </c>
      <c r="F3894" t="inlineStr">
        <is>
          <t>REP</t>
        </is>
      </c>
      <c r="G3894" t="inlineStr">
        <is>
          <t>06232026</t>
        </is>
      </c>
      <c r="H3894" t="n">
        <v>-5000</v>
      </c>
      <c r="I3894" t="inlineStr">
        <is>
          <t>202607179890876754</t>
        </is>
      </c>
      <c r="J3894" t="inlineStr">
        <is>
          <t>https://docquery.fec.gov/cgi-bin/fecimg/?202607179890876754</t>
        </is>
      </c>
    </row>
    <row r="3895">
      <c r="A3895" t="inlineStr">
        <is>
          <t>2026</t>
        </is>
      </c>
      <c r="B3895" t="inlineStr">
        <is>
          <t>C00109546</t>
        </is>
      </c>
      <c r="C3895" t="inlineStr">
        <is>
          <t>Valero Energy Corp PAC</t>
        </is>
      </c>
      <c r="D3895" t="inlineStr">
        <is>
          <t>JAY OBERNOLTE FOR CONGRESS</t>
        </is>
      </c>
      <c r="E3895" t="inlineStr">
        <is>
          <t>H0CA08135</t>
        </is>
      </c>
      <c r="F3895" t="inlineStr">
        <is>
          <t>REP</t>
        </is>
      </c>
      <c r="G3895" t="inlineStr">
        <is>
          <t>06242025</t>
        </is>
      </c>
      <c r="H3895" t="n">
        <v>5000</v>
      </c>
      <c r="I3895" t="inlineStr">
        <is>
          <t>202507189763638769</t>
        </is>
      </c>
      <c r="J3895" t="inlineStr">
        <is>
          <t>https://docquery.fec.gov/cgi-bin/fecimg/?202507189763638769</t>
        </is>
      </c>
    </row>
    <row r="3896">
      <c r="A3896" t="inlineStr">
        <is>
          <t>2026</t>
        </is>
      </c>
      <c r="B3896" t="inlineStr">
        <is>
          <t>C00109546</t>
        </is>
      </c>
      <c r="C3896" t="inlineStr">
        <is>
          <t>Valero Energy Corp PAC</t>
        </is>
      </c>
      <c r="D3896" t="inlineStr">
        <is>
          <t>MONICA FOR CONGRESS</t>
        </is>
      </c>
      <c r="E3896" t="inlineStr">
        <is>
          <t>H0TX15124</t>
        </is>
      </c>
      <c r="F3896" t="inlineStr">
        <is>
          <t>REP</t>
        </is>
      </c>
      <c r="G3896" t="inlineStr">
        <is>
          <t>06242025</t>
        </is>
      </c>
      <c r="H3896" t="n">
        <v>5000</v>
      </c>
      <c r="I3896" t="inlineStr">
        <is>
          <t>202507189763638769</t>
        </is>
      </c>
      <c r="J3896" t="inlineStr">
        <is>
          <t>https://docquery.fec.gov/cgi-bin/fecimg/?202507189763638769</t>
        </is>
      </c>
    </row>
    <row r="3897">
      <c r="A3897" t="inlineStr">
        <is>
          <t>2026</t>
        </is>
      </c>
      <c r="B3897" t="inlineStr">
        <is>
          <t>C00109546</t>
        </is>
      </c>
      <c r="C3897" t="inlineStr">
        <is>
          <t>Valero Energy Corp PAC</t>
        </is>
      </c>
      <c r="D3897" t="inlineStr">
        <is>
          <t>MORGAN GRIFFITH FOR CONGRESS</t>
        </is>
      </c>
      <c r="E3897" t="inlineStr">
        <is>
          <t>H0VA09055</t>
        </is>
      </c>
      <c r="F3897" t="inlineStr">
        <is>
          <t>REP</t>
        </is>
      </c>
      <c r="G3897" t="inlineStr">
        <is>
          <t>06242025</t>
        </is>
      </c>
      <c r="H3897" t="n">
        <v>5000</v>
      </c>
      <c r="I3897" t="inlineStr">
        <is>
          <t>202507189763638769</t>
        </is>
      </c>
      <c r="J3897" t="inlineStr">
        <is>
          <t>https://docquery.fec.gov/cgi-bin/fecimg/?202507189763638769</t>
        </is>
      </c>
    </row>
    <row r="3898">
      <c r="A3898" t="inlineStr">
        <is>
          <t>2026</t>
        </is>
      </c>
      <c r="B3898" t="inlineStr">
        <is>
          <t>C00109546</t>
        </is>
      </c>
      <c r="C3898" t="inlineStr">
        <is>
          <t>Valero Energy Corp PAC</t>
        </is>
      </c>
      <c r="D3898" t="inlineStr">
        <is>
          <t>TEXANS FOR RONNY JACKSON</t>
        </is>
      </c>
      <c r="E3898" t="inlineStr">
        <is>
          <t>H0TX13228</t>
        </is>
      </c>
      <c r="F3898" t="inlineStr">
        <is>
          <t>REP</t>
        </is>
      </c>
      <c r="G3898" t="inlineStr">
        <is>
          <t>06242025</t>
        </is>
      </c>
      <c r="H3898" t="n">
        <v>5000</v>
      </c>
      <c r="I3898" t="inlineStr">
        <is>
          <t>202507189763638770</t>
        </is>
      </c>
      <c r="J3898" t="inlineStr">
        <is>
          <t>https://docquery.fec.gov/cgi-bin/fecimg/?202507189763638770</t>
        </is>
      </c>
    </row>
    <row r="3899">
      <c r="A3899" t="inlineStr">
        <is>
          <t>2026</t>
        </is>
      </c>
      <c r="B3899" t="inlineStr">
        <is>
          <t>C00109546</t>
        </is>
      </c>
      <c r="C3899" t="inlineStr">
        <is>
          <t>Valero Energy Corp PAC</t>
        </is>
      </c>
      <c r="D3899" t="inlineStr">
        <is>
          <t>VALADAO FOR CONGRESS</t>
        </is>
      </c>
      <c r="E3899" t="inlineStr">
        <is>
          <t>H2CA20094</t>
        </is>
      </c>
      <c r="F3899" t="inlineStr">
        <is>
          <t>REP</t>
        </is>
      </c>
      <c r="G3899" t="inlineStr">
        <is>
          <t>06242025</t>
        </is>
      </c>
      <c r="H3899" t="n">
        <v>2500</v>
      </c>
      <c r="I3899" t="inlineStr">
        <is>
          <t>202507189763638770</t>
        </is>
      </c>
      <c r="J3899" t="inlineStr">
        <is>
          <t>https://docquery.fec.gov/cgi-bin/fecimg/?202507189763638770</t>
        </is>
      </c>
    </row>
    <row r="3900">
      <c r="A3900" t="inlineStr">
        <is>
          <t>2026</t>
        </is>
      </c>
      <c r="B3900" t="inlineStr">
        <is>
          <t>C00109546</t>
        </is>
      </c>
      <c r="C3900" t="inlineStr">
        <is>
          <t>Valero Energy Corp PAC</t>
        </is>
      </c>
      <c r="D3900" t="inlineStr">
        <is>
          <t>VALADAO FOR CONGRESS</t>
        </is>
      </c>
      <c r="E3900" t="inlineStr">
        <is>
          <t>H2CA20094</t>
        </is>
      </c>
      <c r="F3900" t="inlineStr">
        <is>
          <t>REP</t>
        </is>
      </c>
      <c r="G3900" t="inlineStr">
        <is>
          <t>06242025</t>
        </is>
      </c>
      <c r="H3900" t="n">
        <v>5000</v>
      </c>
      <c r="I3900" t="inlineStr">
        <is>
          <t>202507189763638771</t>
        </is>
      </c>
      <c r="J3900" t="inlineStr">
        <is>
          <t>https://docquery.fec.gov/cgi-bin/fecimg/?202507189763638771</t>
        </is>
      </c>
    </row>
    <row r="3901">
      <c r="A3901" t="inlineStr">
        <is>
          <t>2026</t>
        </is>
      </c>
      <c r="B3901" t="inlineStr">
        <is>
          <t>C00109546</t>
        </is>
      </c>
      <c r="C3901" t="inlineStr">
        <is>
          <t>Valero Energy Corp PAC</t>
        </is>
      </c>
      <c r="D3901" t="inlineStr">
        <is>
          <t>VINCE FONG FOR CONGRESS</t>
        </is>
      </c>
      <c r="E3901" t="inlineStr">
        <is>
          <t>H4CA20181</t>
        </is>
      </c>
      <c r="F3901" t="inlineStr">
        <is>
          <t>REP</t>
        </is>
      </c>
      <c r="G3901" t="inlineStr">
        <is>
          <t>06242025</t>
        </is>
      </c>
      <c r="H3901" t="n">
        <v>5000</v>
      </c>
      <c r="I3901" t="inlineStr">
        <is>
          <t>202507189763638771</t>
        </is>
      </c>
      <c r="J3901" t="inlineStr">
        <is>
          <t>https://docquery.fec.gov/cgi-bin/fecimg/?202507189763638771</t>
        </is>
      </c>
    </row>
    <row r="3902">
      <c r="A3902" t="inlineStr">
        <is>
          <t>2026</t>
        </is>
      </c>
      <c r="B3902" t="inlineStr">
        <is>
          <t>C00109546</t>
        </is>
      </c>
      <c r="C3902" t="inlineStr">
        <is>
          <t>Valero Energy Corp PAC</t>
        </is>
      </c>
      <c r="D3902" t="inlineStr">
        <is>
          <t>WEBER FOR CONGRESS</t>
        </is>
      </c>
      <c r="E3902" t="inlineStr">
        <is>
          <t>H2TX14149</t>
        </is>
      </c>
      <c r="F3902" t="inlineStr">
        <is>
          <t>REP</t>
        </is>
      </c>
      <c r="G3902" t="inlineStr">
        <is>
          <t>06242025</t>
        </is>
      </c>
      <c r="H3902" t="n">
        <v>5000</v>
      </c>
      <c r="I3902" t="inlineStr">
        <is>
          <t>202507189763638771</t>
        </is>
      </c>
      <c r="J3902" t="inlineStr">
        <is>
          <t>https://docquery.fec.gov/cgi-bin/fecimg/?202507189763638771</t>
        </is>
      </c>
    </row>
    <row r="3903">
      <c r="A3903" t="inlineStr">
        <is>
          <t>2026</t>
        </is>
      </c>
      <c r="B3903" t="inlineStr">
        <is>
          <t>C00109546</t>
        </is>
      </c>
      <c r="C3903" t="inlineStr">
        <is>
          <t>Valero Energy Corp PAC</t>
        </is>
      </c>
      <c r="D3903" t="inlineStr">
        <is>
          <t>JAKE ELLZEY FOR CONGRESS</t>
        </is>
      </c>
      <c r="E3903" t="inlineStr">
        <is>
          <t>H8TX06266</t>
        </is>
      </c>
      <c r="F3903" t="inlineStr">
        <is>
          <t>REP</t>
        </is>
      </c>
      <c r="G3903" t="inlineStr">
        <is>
          <t>06242025</t>
        </is>
      </c>
      <c r="H3903" t="n">
        <v>5000</v>
      </c>
      <c r="I3903" t="inlineStr">
        <is>
          <t>202507189763638768</t>
        </is>
      </c>
      <c r="J3903" t="inlineStr">
        <is>
          <t>https://docquery.fec.gov/cgi-bin/fecimg/?202507189763638768</t>
        </is>
      </c>
    </row>
    <row r="3904">
      <c r="A3904" t="inlineStr">
        <is>
          <t>2026</t>
        </is>
      </c>
      <c r="B3904" t="inlineStr">
        <is>
          <t>C00109546</t>
        </is>
      </c>
      <c r="C3904" t="inlineStr">
        <is>
          <t>Valero Energy Corp PAC</t>
        </is>
      </c>
      <c r="D3904" t="inlineStr">
        <is>
          <t>COMER FOR CONGRESS</t>
        </is>
      </c>
      <c r="E3904" t="inlineStr">
        <is>
          <t>H6KY01110</t>
        </is>
      </c>
      <c r="F3904" t="inlineStr">
        <is>
          <t>REP</t>
        </is>
      </c>
      <c r="G3904" t="inlineStr">
        <is>
          <t>06242025</t>
        </is>
      </c>
      <c r="H3904" t="n">
        <v>5000</v>
      </c>
      <c r="I3904" t="inlineStr">
        <is>
          <t>202507189763638767</t>
        </is>
      </c>
      <c r="J3904" t="inlineStr">
        <is>
          <t>https://docquery.fec.gov/cgi-bin/fecimg/?202507189763638767</t>
        </is>
      </c>
    </row>
    <row r="3905">
      <c r="A3905" t="inlineStr">
        <is>
          <t>2026</t>
        </is>
      </c>
      <c r="B3905" t="inlineStr">
        <is>
          <t>C00109546</t>
        </is>
      </c>
      <c r="C3905" t="inlineStr">
        <is>
          <t>Valero Energy Corp PAC</t>
        </is>
      </c>
      <c r="D3905" t="inlineStr">
        <is>
          <t>GRAVES FOR CONGRESS</t>
        </is>
      </c>
      <c r="E3905" t="inlineStr">
        <is>
          <t>H0MO06073</t>
        </is>
      </c>
      <c r="F3905" t="inlineStr">
        <is>
          <t>REP</t>
        </is>
      </c>
      <c r="G3905" t="inlineStr">
        <is>
          <t>06242025</t>
        </is>
      </c>
      <c r="H3905" t="n">
        <v>5000</v>
      </c>
      <c r="I3905" t="inlineStr">
        <is>
          <t>202507189763638768</t>
        </is>
      </c>
      <c r="J3905" t="inlineStr">
        <is>
          <t>https://docquery.fec.gov/cgi-bin/fecimg/?202507189763638768</t>
        </is>
      </c>
    </row>
    <row r="3906">
      <c r="A3906" t="inlineStr">
        <is>
          <t>2026</t>
        </is>
      </c>
      <c r="B3906" t="inlineStr">
        <is>
          <t>C00109546</t>
        </is>
      </c>
      <c r="C3906" t="inlineStr">
        <is>
          <t>Valero Energy Corp PAC</t>
        </is>
      </c>
      <c r="D3906" t="inlineStr">
        <is>
          <t>HAGEMAN FOR WYOMING</t>
        </is>
      </c>
      <c r="E3906" t="inlineStr">
        <is>
          <t>H2WY00166</t>
        </is>
      </c>
      <c r="F3906" t="inlineStr">
        <is>
          <t>REP</t>
        </is>
      </c>
      <c r="G3906" t="inlineStr">
        <is>
          <t>06242025</t>
        </is>
      </c>
      <c r="H3906" t="n">
        <v>2500</v>
      </c>
      <c r="I3906" t="inlineStr">
        <is>
          <t>202507189763638768</t>
        </is>
      </c>
      <c r="J3906" t="inlineStr">
        <is>
          <t>https://docquery.fec.gov/cgi-bin/fecimg/?202507189763638768</t>
        </is>
      </c>
    </row>
    <row r="3907">
      <c r="A3907" t="inlineStr">
        <is>
          <t>2026</t>
        </is>
      </c>
      <c r="B3907" t="inlineStr">
        <is>
          <t>C00109546</t>
        </is>
      </c>
      <c r="C3907" t="inlineStr">
        <is>
          <t>Valero Energy Corp PAC</t>
        </is>
      </c>
      <c r="D3907" t="inlineStr">
        <is>
          <t>ADRIAN SMITH FOR CONGRESS</t>
        </is>
      </c>
      <c r="E3907" t="inlineStr">
        <is>
          <t>H6NE03115</t>
        </is>
      </c>
      <c r="F3907" t="inlineStr">
        <is>
          <t>REP</t>
        </is>
      </c>
      <c r="G3907" t="inlineStr">
        <is>
          <t>06252026</t>
        </is>
      </c>
      <c r="H3907" t="n">
        <v>5000</v>
      </c>
      <c r="I3907" t="inlineStr">
        <is>
          <t>202607179890876756</t>
        </is>
      </c>
      <c r="J3907" t="inlineStr">
        <is>
          <t>https://docquery.fec.gov/cgi-bin/fecimg/?202607179890876756</t>
        </is>
      </c>
    </row>
    <row r="3908">
      <c r="A3908" t="inlineStr">
        <is>
          <t>2026</t>
        </is>
      </c>
      <c r="B3908" t="inlineStr">
        <is>
          <t>C00109546</t>
        </is>
      </c>
      <c r="C3908" t="inlineStr">
        <is>
          <t>Valero Energy Corp PAC</t>
        </is>
      </c>
      <c r="D3908" t="inlineStr">
        <is>
          <t>CAPITO FOR WEST VIRGINIA</t>
        </is>
      </c>
      <c r="E3908" t="inlineStr">
        <is>
          <t>S4WV00159</t>
        </is>
      </c>
      <c r="F3908" t="inlineStr">
        <is>
          <t>REP</t>
        </is>
      </c>
      <c r="G3908" t="inlineStr">
        <is>
          <t>06252026</t>
        </is>
      </c>
      <c r="H3908" t="n">
        <v>5000</v>
      </c>
      <c r="I3908" t="inlineStr">
        <is>
          <t>202607179890876757</t>
        </is>
      </c>
      <c r="J3908" t="inlineStr">
        <is>
          <t>https://docquery.fec.gov/cgi-bin/fecimg/?202607179890876757</t>
        </is>
      </c>
    </row>
    <row r="3909">
      <c r="A3909" t="inlineStr">
        <is>
          <t>2026</t>
        </is>
      </c>
      <c r="B3909" t="inlineStr">
        <is>
          <t>C00109546</t>
        </is>
      </c>
      <c r="C3909" t="inlineStr">
        <is>
          <t>Valero Energy Corp PAC</t>
        </is>
      </c>
      <c r="D3909" t="inlineStr">
        <is>
          <t>JULIA LETLOW FOR LOUISIANA</t>
        </is>
      </c>
      <c r="E3909" t="inlineStr">
        <is>
          <t>S6LA00664</t>
        </is>
      </c>
      <c r="F3909" t="inlineStr">
        <is>
          <t>REP</t>
        </is>
      </c>
      <c r="G3909" t="inlineStr">
        <is>
          <t>06252026</t>
        </is>
      </c>
      <c r="H3909" t="n">
        <v>5000</v>
      </c>
      <c r="I3909" t="inlineStr">
        <is>
          <t>202607179890876759</t>
        </is>
      </c>
      <c r="J3909" t="inlineStr">
        <is>
          <t>https://docquery.fec.gov/cgi-bin/fecimg/?202607179890876759</t>
        </is>
      </c>
    </row>
    <row r="3910">
      <c r="A3910" t="inlineStr">
        <is>
          <t>2026</t>
        </is>
      </c>
      <c r="B3910" t="inlineStr">
        <is>
          <t>C00109546</t>
        </is>
      </c>
      <c r="C3910" t="inlineStr">
        <is>
          <t>Valero Energy Corp PAC</t>
        </is>
      </c>
      <c r="D3910" t="inlineStr">
        <is>
          <t>KEN PAXTON FOR SENATE</t>
        </is>
      </c>
      <c r="E3910" t="inlineStr">
        <is>
          <t>S6TX00388</t>
        </is>
      </c>
      <c r="F3910" t="inlineStr">
        <is>
          <t>REP</t>
        </is>
      </c>
      <c r="G3910" t="inlineStr">
        <is>
          <t>06252026</t>
        </is>
      </c>
      <c r="H3910" t="n">
        <v>5000</v>
      </c>
      <c r="I3910" t="inlineStr">
        <is>
          <t>202607179890876759</t>
        </is>
      </c>
      <c r="J3910" t="inlineStr">
        <is>
          <t>https://docquery.fec.gov/cgi-bin/fecimg/?202607179890876759</t>
        </is>
      </c>
    </row>
    <row r="3911">
      <c r="A3911" t="inlineStr">
        <is>
          <t>2026</t>
        </is>
      </c>
      <c r="B3911" t="inlineStr">
        <is>
          <t>C00109546</t>
        </is>
      </c>
      <c r="C3911" t="inlineStr">
        <is>
          <t>Valero Energy Corp PAC</t>
        </is>
      </c>
      <c r="D3911" t="inlineStr">
        <is>
          <t>LANGWORTHY FOR CONGRESS</t>
        </is>
      </c>
      <c r="E3911" t="inlineStr">
        <is>
          <t>H2NY23228</t>
        </is>
      </c>
      <c r="F3911" t="inlineStr">
        <is>
          <t>REP</t>
        </is>
      </c>
      <c r="G3911" t="inlineStr">
        <is>
          <t>06252026</t>
        </is>
      </c>
      <c r="H3911" t="n">
        <v>2500</v>
      </c>
      <c r="I3911" t="inlineStr">
        <is>
          <t>202607179890876759</t>
        </is>
      </c>
      <c r="J3911" t="inlineStr">
        <is>
          <t>https://docquery.fec.gov/cgi-bin/fecimg/?202607179890876759</t>
        </is>
      </c>
    </row>
    <row r="3912">
      <c r="A3912" t="inlineStr">
        <is>
          <t>2026</t>
        </is>
      </c>
      <c r="B3912" t="inlineStr">
        <is>
          <t>C00109546</t>
        </is>
      </c>
      <c r="C3912" t="inlineStr">
        <is>
          <t>Valero Energy Corp PAC</t>
        </is>
      </c>
      <c r="D3912" t="inlineStr">
        <is>
          <t>LISA MCCLAIN FOR CONGRESS</t>
        </is>
      </c>
      <c r="E3912" t="inlineStr">
        <is>
          <t>H0MI10287</t>
        </is>
      </c>
      <c r="F3912" t="inlineStr">
        <is>
          <t>REP</t>
        </is>
      </c>
      <c r="G3912" t="inlineStr">
        <is>
          <t>06252026</t>
        </is>
      </c>
      <c r="H3912" t="n">
        <v>2500</v>
      </c>
      <c r="I3912" t="inlineStr">
        <is>
          <t>202607179890876760</t>
        </is>
      </c>
      <c r="J3912" t="inlineStr">
        <is>
          <t>https://docquery.fec.gov/cgi-bin/fecimg/?202607179890876760</t>
        </is>
      </c>
    </row>
    <row r="3913">
      <c r="A3913" t="inlineStr">
        <is>
          <t>2026</t>
        </is>
      </c>
      <c r="B3913" t="inlineStr">
        <is>
          <t>C00109546</t>
        </is>
      </c>
      <c r="C3913" t="inlineStr">
        <is>
          <t>Valero Energy Corp PAC</t>
        </is>
      </c>
      <c r="D3913" t="inlineStr">
        <is>
          <t>PETE RICKETTS FOR SENATE</t>
        </is>
      </c>
      <c r="E3913" t="inlineStr">
        <is>
          <t>S6NE00129</t>
        </is>
      </c>
      <c r="F3913" t="inlineStr">
        <is>
          <t>REP</t>
        </is>
      </c>
      <c r="G3913" t="inlineStr">
        <is>
          <t>06252026</t>
        </is>
      </c>
      <c r="H3913" t="n">
        <v>5000</v>
      </c>
      <c r="I3913" t="inlineStr">
        <is>
          <t>202607179890876760</t>
        </is>
      </c>
      <c r="J3913" t="inlineStr">
        <is>
          <t>https://docquery.fec.gov/cgi-bin/fecimg/?202607179890876760</t>
        </is>
      </c>
    </row>
    <row r="3914">
      <c r="A3914" t="inlineStr">
        <is>
          <t>2026</t>
        </is>
      </c>
      <c r="B3914" t="inlineStr">
        <is>
          <t>C00109546</t>
        </is>
      </c>
      <c r="C3914" t="inlineStr">
        <is>
          <t>Valero Energy Corp PAC</t>
        </is>
      </c>
      <c r="D3914" t="inlineStr">
        <is>
          <t>ROB FOR PA</t>
        </is>
      </c>
      <c r="E3914" t="inlineStr">
        <is>
          <t>H4PA08124</t>
        </is>
      </c>
      <c r="F3914" t="inlineStr">
        <is>
          <t>REP</t>
        </is>
      </c>
      <c r="G3914" t="inlineStr">
        <is>
          <t>07292025</t>
        </is>
      </c>
      <c r="H3914" t="n">
        <v>2500</v>
      </c>
      <c r="I3914" t="inlineStr">
        <is>
          <t>202508189789501893</t>
        </is>
      </c>
      <c r="J3914" t="inlineStr">
        <is>
          <t>https://docquery.fec.gov/cgi-bin/fecimg/?202508189789501893</t>
        </is>
      </c>
    </row>
    <row r="3915">
      <c r="A3915" t="inlineStr">
        <is>
          <t>2026</t>
        </is>
      </c>
      <c r="B3915" t="inlineStr">
        <is>
          <t>C00109546</t>
        </is>
      </c>
      <c r="C3915" t="inlineStr">
        <is>
          <t>Valero Energy Corp PAC</t>
        </is>
      </c>
      <c r="D3915" t="inlineStr">
        <is>
          <t>TEXANS FOR JODEY ARRINGTON</t>
        </is>
      </c>
      <c r="E3915" t="inlineStr">
        <is>
          <t>H6TX19099</t>
        </is>
      </c>
      <c r="F3915" t="inlineStr">
        <is>
          <t>REP</t>
        </is>
      </c>
      <c r="G3915" t="inlineStr">
        <is>
          <t>07292025</t>
        </is>
      </c>
      <c r="H3915" t="n">
        <v>5000</v>
      </c>
      <c r="I3915" t="inlineStr">
        <is>
          <t>202508189789501893</t>
        </is>
      </c>
      <c r="J3915" t="inlineStr">
        <is>
          <t>https://docquery.fec.gov/cgi-bin/fecimg/?202508189789501893</t>
        </is>
      </c>
    </row>
    <row r="3916">
      <c r="A3916" t="inlineStr">
        <is>
          <t>2026</t>
        </is>
      </c>
      <c r="B3916" t="inlineStr">
        <is>
          <t>C00109546</t>
        </is>
      </c>
      <c r="C3916" t="inlineStr">
        <is>
          <t>Valero Energy Corp PAC</t>
        </is>
      </c>
      <c r="D3916" t="inlineStr">
        <is>
          <t>JULIA LETLOW FOR CONGRESS</t>
        </is>
      </c>
      <c r="E3916" t="inlineStr">
        <is>
          <t>H2LA05126</t>
        </is>
      </c>
      <c r="F3916" t="inlineStr">
        <is>
          <t>REP</t>
        </is>
      </c>
      <c r="G3916" t="inlineStr">
        <is>
          <t>08272025</t>
        </is>
      </c>
      <c r="H3916" t="n">
        <v>2500</v>
      </c>
      <c r="I3916" t="inlineStr">
        <is>
          <t>202509219790374594</t>
        </is>
      </c>
      <c r="J3916" t="inlineStr">
        <is>
          <t>https://docquery.fec.gov/cgi-bin/fecimg/?202509219790374594</t>
        </is>
      </c>
    </row>
    <row r="3917">
      <c r="A3917" t="inlineStr">
        <is>
          <t>2026</t>
        </is>
      </c>
      <c r="B3917" t="inlineStr">
        <is>
          <t>C00109546</t>
        </is>
      </c>
      <c r="C3917" t="inlineStr">
        <is>
          <t>Valero Energy Corp PAC</t>
        </is>
      </c>
      <c r="D3917" t="inlineStr">
        <is>
          <t>JULIA LETLOW FOR CONGRESS</t>
        </is>
      </c>
      <c r="E3917" t="inlineStr">
        <is>
          <t>H2LA05126</t>
        </is>
      </c>
      <c r="F3917" t="inlineStr">
        <is>
          <t>REP</t>
        </is>
      </c>
      <c r="G3917" t="inlineStr">
        <is>
          <t>08272025</t>
        </is>
      </c>
      <c r="H3917" t="n">
        <v>2500</v>
      </c>
      <c r="I3917" t="inlineStr">
        <is>
          <t>202509219790374594</t>
        </is>
      </c>
      <c r="J3917" t="inlineStr">
        <is>
          <t>https://docquery.fec.gov/cgi-bin/fecimg/?202509219790374594</t>
        </is>
      </c>
    </row>
    <row r="3918">
      <c r="A3918" t="inlineStr">
        <is>
          <t>2026</t>
        </is>
      </c>
      <c r="B3918" t="inlineStr">
        <is>
          <t>C00109546</t>
        </is>
      </c>
      <c r="C3918" t="inlineStr">
        <is>
          <t>Valero Energy Corp PAC</t>
        </is>
      </c>
      <c r="D3918" t="inlineStr">
        <is>
          <t>BICE FOR CONGRESS</t>
        </is>
      </c>
      <c r="E3918" t="inlineStr">
        <is>
          <t>H0OK05205</t>
        </is>
      </c>
      <c r="F3918" t="inlineStr">
        <is>
          <t>REP</t>
        </is>
      </c>
      <c r="G3918" t="inlineStr">
        <is>
          <t>09232025</t>
        </is>
      </c>
      <c r="H3918" t="n">
        <v>5000</v>
      </c>
      <c r="I3918" t="inlineStr">
        <is>
          <t>202510209791688608</t>
        </is>
      </c>
      <c r="J3918" t="inlineStr">
        <is>
          <t>https://docquery.fec.gov/cgi-bin/fecimg/?202510209791688608</t>
        </is>
      </c>
    </row>
    <row r="3919">
      <c r="A3919" t="inlineStr">
        <is>
          <t>2026</t>
        </is>
      </c>
      <c r="B3919" t="inlineStr">
        <is>
          <t>C00109546</t>
        </is>
      </c>
      <c r="C3919" t="inlineStr">
        <is>
          <t>Valero Energy Corp PAC</t>
        </is>
      </c>
      <c r="D3919" t="inlineStr">
        <is>
          <t>DR JOHN JOYCE FOR CONGRESS</t>
        </is>
      </c>
      <c r="E3919" t="inlineStr">
        <is>
          <t>H8PA13125</t>
        </is>
      </c>
      <c r="F3919" t="inlineStr">
        <is>
          <t>REP</t>
        </is>
      </c>
      <c r="G3919" t="inlineStr">
        <is>
          <t>09232025</t>
        </is>
      </c>
      <c r="H3919" t="n">
        <v>5000</v>
      </c>
      <c r="I3919" t="inlineStr">
        <is>
          <t>202510209791688609</t>
        </is>
      </c>
      <c r="J3919" t="inlineStr">
        <is>
          <t>https://docquery.fec.gov/cgi-bin/fecimg/?202510209791688609</t>
        </is>
      </c>
    </row>
    <row r="3920">
      <c r="A3920" t="inlineStr">
        <is>
          <t>2026</t>
        </is>
      </c>
      <c r="B3920" t="inlineStr">
        <is>
          <t>C00109546</t>
        </is>
      </c>
      <c r="C3920" t="inlineStr">
        <is>
          <t>Valero Energy Corp PAC</t>
        </is>
      </c>
      <c r="D3920" t="inlineStr">
        <is>
          <t>FALLON FOR CONGRESS</t>
        </is>
      </c>
      <c r="E3920" t="inlineStr">
        <is>
          <t>H0TX04219</t>
        </is>
      </c>
      <c r="F3920" t="inlineStr">
        <is>
          <t>REP</t>
        </is>
      </c>
      <c r="G3920" t="inlineStr">
        <is>
          <t>09232025</t>
        </is>
      </c>
      <c r="H3920" t="n">
        <v>5000</v>
      </c>
      <c r="I3920" t="inlineStr">
        <is>
          <t>202510209791688609</t>
        </is>
      </c>
      <c r="J3920" t="inlineStr">
        <is>
          <t>https://docquery.fec.gov/cgi-bin/fecimg/?202510209791688609</t>
        </is>
      </c>
    </row>
    <row r="3921">
      <c r="A3921" t="inlineStr">
        <is>
          <t>2026</t>
        </is>
      </c>
      <c r="B3921" t="inlineStr">
        <is>
          <t>C00109546</t>
        </is>
      </c>
      <c r="C3921" t="inlineStr">
        <is>
          <t>Valero Energy Corp PAC</t>
        </is>
      </c>
      <c r="D3921" t="inlineStr">
        <is>
          <t>JESSICA STEINMANN FOR CONGRESS</t>
        </is>
      </c>
      <c r="E3921" t="inlineStr">
        <is>
          <t>H6TX08209</t>
        </is>
      </c>
      <c r="F3921" t="inlineStr">
        <is>
          <t>REP</t>
        </is>
      </c>
      <c r="G3921" t="inlineStr">
        <is>
          <t>09232025</t>
        </is>
      </c>
      <c r="H3921" t="n">
        <v>5000</v>
      </c>
      <c r="I3921" t="inlineStr">
        <is>
          <t>202510209791688610</t>
        </is>
      </c>
      <c r="J3921" t="inlineStr">
        <is>
          <t>https://docquery.fec.gov/cgi-bin/fecimg/?202510209791688610</t>
        </is>
      </c>
    </row>
    <row r="3922">
      <c r="A3922" t="inlineStr">
        <is>
          <t>2026</t>
        </is>
      </c>
      <c r="B3922" t="inlineStr">
        <is>
          <t>C00109546</t>
        </is>
      </c>
      <c r="C3922" t="inlineStr">
        <is>
          <t>Valero Energy Corp PAC</t>
        </is>
      </c>
      <c r="D3922" t="inlineStr">
        <is>
          <t>MIKE KELLY FOR CONGRESS</t>
        </is>
      </c>
      <c r="E3922" t="inlineStr">
        <is>
          <t>H0PA03271</t>
        </is>
      </c>
      <c r="F3922" t="inlineStr">
        <is>
          <t>REP</t>
        </is>
      </c>
      <c r="G3922" t="inlineStr">
        <is>
          <t>09232025</t>
        </is>
      </c>
      <c r="H3922" t="n">
        <v>5000</v>
      </c>
      <c r="I3922" t="inlineStr">
        <is>
          <t>202510209791688610</t>
        </is>
      </c>
      <c r="J3922" t="inlineStr">
        <is>
          <t>https://docquery.fec.gov/cgi-bin/fecimg/?202510209791688610</t>
        </is>
      </c>
    </row>
    <row r="3923">
      <c r="A3923" t="inlineStr">
        <is>
          <t>2026</t>
        </is>
      </c>
      <c r="B3923" t="inlineStr">
        <is>
          <t>C00109546</t>
        </is>
      </c>
      <c r="C3923" t="inlineStr">
        <is>
          <t>Valero Energy Corp PAC</t>
        </is>
      </c>
      <c r="D3923" t="inlineStr">
        <is>
          <t>NATHANIEL MORAN FOR CONGRESS</t>
        </is>
      </c>
      <c r="E3923" t="inlineStr">
        <is>
          <t>H2TX01112</t>
        </is>
      </c>
      <c r="F3923" t="inlineStr">
        <is>
          <t>REP</t>
        </is>
      </c>
      <c r="G3923" t="inlineStr">
        <is>
          <t>09232025</t>
        </is>
      </c>
      <c r="H3923" t="n">
        <v>5000</v>
      </c>
      <c r="I3923" t="inlineStr">
        <is>
          <t>202510209791688611</t>
        </is>
      </c>
      <c r="J3923" t="inlineStr">
        <is>
          <t>https://docquery.fec.gov/cgi-bin/fecimg/?202510209791688611</t>
        </is>
      </c>
    </row>
    <row r="3924">
      <c r="A3924" t="inlineStr">
        <is>
          <t>2026</t>
        </is>
      </c>
      <c r="B3924" t="inlineStr">
        <is>
          <t>C00109546</t>
        </is>
      </c>
      <c r="C3924" t="inlineStr">
        <is>
          <t>Valero Energy Corp PAC</t>
        </is>
      </c>
      <c r="D3924" t="inlineStr">
        <is>
          <t>RULLI FOR OHIO</t>
        </is>
      </c>
      <c r="E3924" t="inlineStr">
        <is>
          <t>H4OH06165</t>
        </is>
      </c>
      <c r="F3924" t="inlineStr">
        <is>
          <t>REP</t>
        </is>
      </c>
      <c r="G3924" t="inlineStr">
        <is>
          <t>09232025</t>
        </is>
      </c>
      <c r="H3924" t="n">
        <v>2500</v>
      </c>
      <c r="I3924" t="inlineStr">
        <is>
          <t>202510209791688611</t>
        </is>
      </c>
      <c r="J3924" t="inlineStr">
        <is>
          <t>https://docquery.fec.gov/cgi-bin/fecimg/?202510209791688611</t>
        </is>
      </c>
    </row>
    <row r="3925">
      <c r="A3925" t="inlineStr">
        <is>
          <t>2026</t>
        </is>
      </c>
      <c r="B3925" t="inlineStr">
        <is>
          <t>C00109546</t>
        </is>
      </c>
      <c r="C3925" t="inlineStr">
        <is>
          <t>Valero Energy Corp PAC</t>
        </is>
      </c>
      <c r="D3925" t="inlineStr">
        <is>
          <t>RUSS FULCHER FOR IDAHO</t>
        </is>
      </c>
      <c r="E3925" t="inlineStr">
        <is>
          <t>H8ID01124</t>
        </is>
      </c>
      <c r="F3925" t="inlineStr">
        <is>
          <t>REP</t>
        </is>
      </c>
      <c r="G3925" t="inlineStr">
        <is>
          <t>09232025</t>
        </is>
      </c>
      <c r="H3925" t="n">
        <v>2500</v>
      </c>
      <c r="I3925" t="inlineStr">
        <is>
          <t>202510209791688612</t>
        </is>
      </c>
      <c r="J3925" t="inlineStr">
        <is>
          <t>https://docquery.fec.gov/cgi-bin/fecimg/?202510209791688612</t>
        </is>
      </c>
    </row>
    <row r="3926">
      <c r="A3926" t="inlineStr">
        <is>
          <t>2026</t>
        </is>
      </c>
      <c r="B3926" t="inlineStr">
        <is>
          <t>C00109546</t>
        </is>
      </c>
      <c r="C3926" t="inlineStr">
        <is>
          <t>Valero Energy Corp PAC</t>
        </is>
      </c>
      <c r="D3926" t="inlineStr">
        <is>
          <t>STEVE DAINES FOR MONTANA</t>
        </is>
      </c>
      <c r="E3926" t="inlineStr">
        <is>
          <t>S2MT00096</t>
        </is>
      </c>
      <c r="F3926" t="inlineStr">
        <is>
          <t>REP</t>
        </is>
      </c>
      <c r="G3926" t="inlineStr">
        <is>
          <t>09232025</t>
        </is>
      </c>
      <c r="H3926" t="n">
        <v>2500</v>
      </c>
      <c r="I3926" t="inlineStr">
        <is>
          <t>202510209791688612</t>
        </is>
      </c>
      <c r="J3926" t="inlineStr">
        <is>
          <t>https://docquery.fec.gov/cgi-bin/fecimg/?202510209791688612</t>
        </is>
      </c>
    </row>
    <row r="3927">
      <c r="A3927" t="inlineStr">
        <is>
          <t>2026</t>
        </is>
      </c>
      <c r="B3927" t="inlineStr">
        <is>
          <t>C00109546</t>
        </is>
      </c>
      <c r="C3927" t="inlineStr">
        <is>
          <t>Valero Energy Corp PAC</t>
        </is>
      </c>
      <c r="D3927" t="inlineStr">
        <is>
          <t>TONY GONZALES FOR CONGRESS</t>
        </is>
      </c>
      <c r="E3927" t="inlineStr">
        <is>
          <t>H0TX35015</t>
        </is>
      </c>
      <c r="F3927" t="inlineStr">
        <is>
          <t>REP</t>
        </is>
      </c>
      <c r="G3927" t="inlineStr">
        <is>
          <t>09232025</t>
        </is>
      </c>
      <c r="H3927" t="n">
        <v>2500</v>
      </c>
      <c r="I3927" t="inlineStr">
        <is>
          <t>202510209791688612</t>
        </is>
      </c>
      <c r="J3927" t="inlineStr">
        <is>
          <t>https://docquery.fec.gov/cgi-bin/fecimg/?202510209791688612</t>
        </is>
      </c>
    </row>
    <row r="3928">
      <c r="A3928" t="inlineStr">
        <is>
          <t>2026</t>
        </is>
      </c>
      <c r="B3928" t="inlineStr">
        <is>
          <t>C00109546</t>
        </is>
      </c>
      <c r="C3928" t="inlineStr">
        <is>
          <t>Valero Energy Corp PAC</t>
        </is>
      </c>
      <c r="D3928" t="inlineStr">
        <is>
          <t>BETH VAN DUYNE FOR CONGRESS</t>
        </is>
      </c>
      <c r="E3928" t="inlineStr">
        <is>
          <t>H0TX24209</t>
        </is>
      </c>
      <c r="F3928" t="inlineStr">
        <is>
          <t>REP</t>
        </is>
      </c>
      <c r="G3928" t="inlineStr">
        <is>
          <t>09232025</t>
        </is>
      </c>
      <c r="H3928" t="n">
        <v>5000</v>
      </c>
      <c r="I3928" t="inlineStr">
        <is>
          <t>202510209791688608</t>
        </is>
      </c>
      <c r="J3928" t="inlineStr">
        <is>
          <t>https://docquery.fec.gov/cgi-bin/fecimg/?202510209791688608</t>
        </is>
      </c>
    </row>
    <row r="3929">
      <c r="A3929" t="inlineStr">
        <is>
          <t>2026</t>
        </is>
      </c>
      <c r="B3929" t="inlineStr">
        <is>
          <t>C00109546</t>
        </is>
      </c>
      <c r="C3929" t="inlineStr">
        <is>
          <t>Valero Energy Corp PAC</t>
        </is>
      </c>
      <c r="D3929" t="inlineStr">
        <is>
          <t>PETE STAUBER FOR CONGRESS</t>
        </is>
      </c>
      <c r="E3929" t="inlineStr">
        <is>
          <t>H8MN08043</t>
        </is>
      </c>
      <c r="F3929" t="inlineStr">
        <is>
          <t>REP</t>
        </is>
      </c>
      <c r="G3929" t="inlineStr">
        <is>
          <t>10282025</t>
        </is>
      </c>
      <c r="H3929" t="n">
        <v>2500</v>
      </c>
      <c r="I3929" t="inlineStr">
        <is>
          <t>202511209792744612</t>
        </is>
      </c>
      <c r="J3929" t="inlineStr">
        <is>
          <t>https://docquery.fec.gov/cgi-bin/fecimg/?202511209792744612</t>
        </is>
      </c>
    </row>
    <row r="3930">
      <c r="A3930" t="inlineStr">
        <is>
          <t>2026</t>
        </is>
      </c>
      <c r="B3930" t="inlineStr">
        <is>
          <t>C00109546</t>
        </is>
      </c>
      <c r="C3930" t="inlineStr">
        <is>
          <t>Valero Energy Corp PAC</t>
        </is>
      </c>
      <c r="D3930" t="inlineStr">
        <is>
          <t>PETE STAUBER FOR CONGRESS</t>
        </is>
      </c>
      <c r="E3930" t="inlineStr">
        <is>
          <t>H8MN08043</t>
        </is>
      </c>
      <c r="F3930" t="inlineStr">
        <is>
          <t>REP</t>
        </is>
      </c>
      <c r="G3930" t="inlineStr">
        <is>
          <t>10282025</t>
        </is>
      </c>
      <c r="H3930" t="n">
        <v>5000</v>
      </c>
      <c r="I3930" t="inlineStr">
        <is>
          <t>202511209792744612</t>
        </is>
      </c>
      <c r="J3930" t="inlineStr">
        <is>
          <t>https://docquery.fec.gov/cgi-bin/fecimg/?202511209792744612</t>
        </is>
      </c>
    </row>
    <row r="3931">
      <c r="A3931" t="inlineStr">
        <is>
          <t>2026</t>
        </is>
      </c>
      <c r="B3931" t="inlineStr">
        <is>
          <t>C00109546</t>
        </is>
      </c>
      <c r="C3931" t="inlineStr">
        <is>
          <t>Valero Energy Corp PAC</t>
        </is>
      </c>
      <c r="D3931" t="inlineStr">
        <is>
          <t>ROGER WILLIAMS FOR U S CONGRESS COMMITTEE</t>
        </is>
      </c>
      <c r="E3931" t="inlineStr">
        <is>
          <t>H2TX33040</t>
        </is>
      </c>
      <c r="F3931" t="inlineStr">
        <is>
          <t>REP</t>
        </is>
      </c>
      <c r="G3931" t="inlineStr">
        <is>
          <t>10282025</t>
        </is>
      </c>
      <c r="H3931" t="n">
        <v>2500</v>
      </c>
      <c r="I3931" t="inlineStr">
        <is>
          <t>202511209792744612</t>
        </is>
      </c>
      <c r="J3931" t="inlineStr">
        <is>
          <t>https://docquery.fec.gov/cgi-bin/fecimg/?202511209792744612</t>
        </is>
      </c>
    </row>
    <row r="3932">
      <c r="A3932" t="inlineStr">
        <is>
          <t>2026</t>
        </is>
      </c>
      <c r="B3932" t="inlineStr">
        <is>
          <t>C00109546</t>
        </is>
      </c>
      <c r="C3932" t="inlineStr">
        <is>
          <t>Valero Energy Corp PAC</t>
        </is>
      </c>
      <c r="D3932" t="inlineStr">
        <is>
          <t>WHATLEY FOR SENATE</t>
        </is>
      </c>
      <c r="E3932" t="inlineStr">
        <is>
          <t>S6NC00415</t>
        </is>
      </c>
      <c r="F3932" t="inlineStr">
        <is>
          <t>REP</t>
        </is>
      </c>
      <c r="G3932" t="inlineStr">
        <is>
          <t>10282025</t>
        </is>
      </c>
      <c r="H3932" t="n">
        <v>5000</v>
      </c>
      <c r="I3932" t="inlineStr">
        <is>
          <t>202511209792744613</t>
        </is>
      </c>
      <c r="J3932" t="inlineStr">
        <is>
          <t>https://docquery.fec.gov/cgi-bin/fecimg/?202511209792744613</t>
        </is>
      </c>
    </row>
    <row r="3933">
      <c r="A3933" t="inlineStr">
        <is>
          <t>2026</t>
        </is>
      </c>
      <c r="B3933" t="inlineStr">
        <is>
          <t>C00109546</t>
        </is>
      </c>
      <c r="C3933" t="inlineStr">
        <is>
          <t>Valero Energy Corp PAC</t>
        </is>
      </c>
      <c r="D3933" t="inlineStr">
        <is>
          <t>DAN CRENSHAW FOR CONGRESS</t>
        </is>
      </c>
      <c r="E3933" t="inlineStr">
        <is>
          <t>H8TX02166</t>
        </is>
      </c>
      <c r="F3933" t="inlineStr">
        <is>
          <t>REP</t>
        </is>
      </c>
      <c r="G3933" t="inlineStr">
        <is>
          <t>10282025</t>
        </is>
      </c>
      <c r="H3933" t="n">
        <v>5000</v>
      </c>
      <c r="I3933" t="inlineStr">
        <is>
          <t>202511209792744611</t>
        </is>
      </c>
      <c r="J3933" t="inlineStr">
        <is>
          <t>https://docquery.fec.gov/cgi-bin/fecimg/?202511209792744611</t>
        </is>
      </c>
    </row>
    <row r="3934">
      <c r="A3934" t="inlineStr">
        <is>
          <t>2026</t>
        </is>
      </c>
      <c r="B3934" t="inlineStr">
        <is>
          <t>C00109546</t>
        </is>
      </c>
      <c r="C3934" t="inlineStr">
        <is>
          <t>Valero Energy Corp PAC</t>
        </is>
      </c>
      <c r="D3934" t="inlineStr">
        <is>
          <t>STEIL FOR WISCONSIN, INC.</t>
        </is>
      </c>
      <c r="E3934" t="inlineStr">
        <is>
          <t>H8WI01156</t>
        </is>
      </c>
      <c r="F3934" t="inlineStr">
        <is>
          <t>REP</t>
        </is>
      </c>
      <c r="G3934" t="inlineStr">
        <is>
          <t>12012025</t>
        </is>
      </c>
      <c r="H3934" t="n">
        <v>5000</v>
      </c>
      <c r="I3934" t="inlineStr">
        <is>
          <t>202601309794749128</t>
        </is>
      </c>
      <c r="J3934" t="inlineStr">
        <is>
          <t>https://docquery.fec.gov/cgi-bin/fecimg/?202601309794749128</t>
        </is>
      </c>
    </row>
    <row r="3935">
      <c r="A3935" t="inlineStr">
        <is>
          <t>2026</t>
        </is>
      </c>
      <c r="B3935" t="inlineStr">
        <is>
          <t>C00109546</t>
        </is>
      </c>
      <c r="C3935" t="inlineStr">
        <is>
          <t>Valero Energy Corp PAC</t>
        </is>
      </c>
      <c r="D3935" t="inlineStr">
        <is>
          <t>ADRIAN SMITH FOR CONGRESS</t>
        </is>
      </c>
      <c r="E3935" t="inlineStr">
        <is>
          <t>H6NE03115</t>
        </is>
      </c>
      <c r="F3935" t="inlineStr">
        <is>
          <t>REP</t>
        </is>
      </c>
      <c r="G3935" t="inlineStr">
        <is>
          <t>12012025</t>
        </is>
      </c>
      <c r="H3935" t="n">
        <v>5000</v>
      </c>
      <c r="I3935" t="inlineStr">
        <is>
          <t>202601309794749125</t>
        </is>
      </c>
      <c r="J3935" t="inlineStr">
        <is>
          <t>https://docquery.fec.gov/cgi-bin/fecimg/?202601309794749125</t>
        </is>
      </c>
    </row>
    <row r="3936">
      <c r="A3936" t="inlineStr">
        <is>
          <t>2026</t>
        </is>
      </c>
      <c r="B3936" t="inlineStr">
        <is>
          <t>C00109546</t>
        </is>
      </c>
      <c r="C3936" t="inlineStr">
        <is>
          <t>Valero Energy Corp PAC</t>
        </is>
      </c>
      <c r="D3936" t="inlineStr">
        <is>
          <t>LANCE GOODEN FOR CONGRESS COMMITTEE</t>
        </is>
      </c>
      <c r="E3936" t="inlineStr">
        <is>
          <t>H8TX05144</t>
        </is>
      </c>
      <c r="F3936" t="inlineStr">
        <is>
          <t>REP</t>
        </is>
      </c>
      <c r="G3936" t="inlineStr">
        <is>
          <t>12172025</t>
        </is>
      </c>
      <c r="H3936" t="n">
        <v>5000</v>
      </c>
      <c r="I3936" t="inlineStr">
        <is>
          <t>202601309794749127</t>
        </is>
      </c>
      <c r="J3936" t="inlineStr">
        <is>
          <t>https://docquery.fec.gov/cgi-bin/fecimg/?202601309794749127</t>
        </is>
      </c>
    </row>
    <row r="3937">
      <c r="A3937" t="inlineStr">
        <is>
          <t>2026</t>
        </is>
      </c>
      <c r="B3937" t="inlineStr">
        <is>
          <t>C00109546</t>
        </is>
      </c>
      <c r="C3937" t="inlineStr">
        <is>
          <t>Valero Energy Corp PAC</t>
        </is>
      </c>
      <c r="D3937" t="inlineStr">
        <is>
          <t>LUMMIS FOR WYOMING INC.</t>
        </is>
      </c>
      <c r="E3937" t="inlineStr">
        <is>
          <t>S0WY00137</t>
        </is>
      </c>
      <c r="F3937" t="inlineStr">
        <is>
          <t>REP</t>
        </is>
      </c>
      <c r="G3937" t="inlineStr">
        <is>
          <t>12172025</t>
        </is>
      </c>
      <c r="H3937" t="n">
        <v>5000</v>
      </c>
      <c r="I3937" t="inlineStr">
        <is>
          <t>202601309794749127</t>
        </is>
      </c>
      <c r="J3937" t="inlineStr">
        <is>
          <t>https://docquery.fec.gov/cgi-bin/fecimg/?202601309794749127</t>
        </is>
      </c>
    </row>
    <row r="3938">
      <c r="A3938" t="inlineStr">
        <is>
          <t>2026</t>
        </is>
      </c>
      <c r="B3938" t="inlineStr">
        <is>
          <t>C00109546</t>
        </is>
      </c>
      <c r="C3938" t="inlineStr">
        <is>
          <t>Valero Energy Corp PAC</t>
        </is>
      </c>
      <c r="D3938" t="inlineStr">
        <is>
          <t>TIM SHEEHY FOR MONTANA</t>
        </is>
      </c>
      <c r="E3938" t="inlineStr">
        <is>
          <t>S4MT00183</t>
        </is>
      </c>
      <c r="F3938" t="inlineStr">
        <is>
          <t>REP</t>
        </is>
      </c>
      <c r="G3938" t="inlineStr">
        <is>
          <t>12172025</t>
        </is>
      </c>
      <c r="H3938" t="n">
        <v>5000</v>
      </c>
      <c r="I3938" t="inlineStr">
        <is>
          <t>202601309794749128</t>
        </is>
      </c>
      <c r="J3938" t="inlineStr">
        <is>
          <t>https://docquery.fec.gov/cgi-bin/fecimg/?202601309794749128</t>
        </is>
      </c>
    </row>
    <row r="3939">
      <c r="A3939" t="inlineStr">
        <is>
          <t>2026</t>
        </is>
      </c>
      <c r="B3939" t="inlineStr">
        <is>
          <t>C00109546</t>
        </is>
      </c>
      <c r="C3939" t="inlineStr">
        <is>
          <t>Valero Energy Corp PAC</t>
        </is>
      </c>
      <c r="D3939" t="inlineStr">
        <is>
          <t>MARK TEIXEIRA FOR CONGRESS</t>
        </is>
      </c>
      <c r="E3939" t="inlineStr">
        <is>
          <t>H6TX21301</t>
        </is>
      </c>
      <c r="F3939" t="inlineStr">
        <is>
          <t>REP</t>
        </is>
      </c>
      <c r="G3939" t="inlineStr">
        <is>
          <t>12172025</t>
        </is>
      </c>
      <c r="H3939" t="n">
        <v>5000</v>
      </c>
      <c r="I3939" t="inlineStr">
        <is>
          <t>202601309794749127</t>
        </is>
      </c>
      <c r="J3939" t="inlineStr">
        <is>
          <t>https://docquery.fec.gov/cgi-bin/fecimg/?202601309794749127</t>
        </is>
      </c>
    </row>
    <row r="3940">
      <c r="A3940" t="inlineStr">
        <is>
          <t>2026</t>
        </is>
      </c>
      <c r="B3940" t="inlineStr">
        <is>
          <t>C00109546</t>
        </is>
      </c>
      <c r="C3940" t="inlineStr">
        <is>
          <t>Valero Energy Corp PAC</t>
        </is>
      </c>
      <c r="D3940" t="inlineStr">
        <is>
          <t>MIKE KENNEDY FOR UTAH</t>
        </is>
      </c>
      <c r="E3940" t="inlineStr">
        <is>
          <t>H4UT03260</t>
        </is>
      </c>
      <c r="F3940" t="inlineStr">
        <is>
          <t>REP</t>
        </is>
      </c>
      <c r="G3940" t="inlineStr">
        <is>
          <t>12172025</t>
        </is>
      </c>
      <c r="H3940" t="n">
        <v>2500</v>
      </c>
      <c r="I3940" t="inlineStr">
        <is>
          <t>202601309794749128</t>
        </is>
      </c>
      <c r="J3940" t="inlineStr">
        <is>
          <t>https://docquery.fec.gov/cgi-bin/fecimg/?202601309794749128</t>
        </is>
      </c>
    </row>
    <row r="3941">
      <c r="A3941" t="inlineStr">
        <is>
          <t>2026</t>
        </is>
      </c>
      <c r="B3941" t="inlineStr">
        <is>
          <t>C00109546</t>
        </is>
      </c>
      <c r="C3941" t="inlineStr">
        <is>
          <t>Valero Energy Corp PAC</t>
        </is>
      </c>
      <c r="D3941" t="inlineStr">
        <is>
          <t>WESTERMAN FOR CONGRESS</t>
        </is>
      </c>
      <c r="E3941" t="inlineStr">
        <is>
          <t>H4AR04048</t>
        </is>
      </c>
      <c r="F3941" t="inlineStr">
        <is>
          <t>REP</t>
        </is>
      </c>
      <c r="G3941" t="inlineStr">
        <is>
          <t>12172025</t>
        </is>
      </c>
      <c r="H3941" t="n">
        <v>5000</v>
      </c>
      <c r="I3941" t="inlineStr">
        <is>
          <t>202601309794749129</t>
        </is>
      </c>
      <c r="J3941" t="inlineStr">
        <is>
          <t>https://docquery.fec.gov/cgi-bin/fecimg/?202601309794749129</t>
        </is>
      </c>
    </row>
    <row r="3942">
      <c r="A3942" t="inlineStr">
        <is>
          <t>2026</t>
        </is>
      </c>
      <c r="B3942" t="inlineStr">
        <is>
          <t>C00109546</t>
        </is>
      </c>
      <c r="C3942" t="inlineStr">
        <is>
          <t>Valero Energy Corp PAC</t>
        </is>
      </c>
      <c r="D3942" t="inlineStr">
        <is>
          <t>CAPTAIN HIGGINS FOR CONGRESS</t>
        </is>
      </c>
      <c r="E3942" t="inlineStr">
        <is>
          <t>H6LA03148</t>
        </is>
      </c>
      <c r="F3942" t="inlineStr">
        <is>
          <t>REP</t>
        </is>
      </c>
      <c r="G3942" t="inlineStr">
        <is>
          <t>12172025</t>
        </is>
      </c>
      <c r="H3942" t="n">
        <v>5000</v>
      </c>
      <c r="I3942" t="inlineStr">
        <is>
          <t>202601309794749125</t>
        </is>
      </c>
      <c r="J3942" t="inlineStr">
        <is>
          <t>https://docquery.fec.gov/cgi-bin/fecimg/?202601309794749125</t>
        </is>
      </c>
    </row>
    <row r="3943">
      <c r="A3943" t="inlineStr">
        <is>
          <t>2026</t>
        </is>
      </c>
      <c r="B3943" t="inlineStr">
        <is>
          <t>C00109546</t>
        </is>
      </c>
      <c r="C3943" t="inlineStr">
        <is>
          <t>Valero Energy Corp PAC</t>
        </is>
      </c>
      <c r="D3943" t="inlineStr">
        <is>
          <t>CAROL FOR CONGRESS</t>
        </is>
      </c>
      <c r="E3943" t="inlineStr">
        <is>
          <t>H8WV03097</t>
        </is>
      </c>
      <c r="F3943" t="inlineStr">
        <is>
          <t>REP</t>
        </is>
      </c>
      <c r="G3943" t="inlineStr">
        <is>
          <t>12172025</t>
        </is>
      </c>
      <c r="H3943" t="n">
        <v>2500</v>
      </c>
      <c r="I3943" t="inlineStr">
        <is>
          <t>202601309794749125</t>
        </is>
      </c>
      <c r="J3943" t="inlineStr">
        <is>
          <t>https://docquery.fec.gov/cgi-bin/fecimg/?202601309794749125</t>
        </is>
      </c>
    </row>
    <row r="3944">
      <c r="A3944" t="inlineStr">
        <is>
          <t>2026</t>
        </is>
      </c>
      <c r="B3944" t="inlineStr">
        <is>
          <t>C00109546</t>
        </is>
      </c>
      <c r="C3944" t="inlineStr">
        <is>
          <t>Valero Energy Corp PAC</t>
        </is>
      </c>
      <c r="D3944" t="inlineStr">
        <is>
          <t>COTTON FOR SENATE, INC.</t>
        </is>
      </c>
      <c r="E3944" t="inlineStr">
        <is>
          <t>S4AR00103</t>
        </is>
      </c>
      <c r="F3944" t="inlineStr">
        <is>
          <t>REP</t>
        </is>
      </c>
      <c r="G3944" t="inlineStr">
        <is>
          <t>12172025</t>
        </is>
      </c>
      <c r="H3944" t="n">
        <v>5000</v>
      </c>
      <c r="I3944" t="inlineStr">
        <is>
          <t>202601309794749126</t>
        </is>
      </c>
      <c r="J3944" t="inlineStr">
        <is>
          <t>https://docquery.fec.gov/cgi-bin/fecimg/?202601309794749126</t>
        </is>
      </c>
    </row>
    <row r="3945">
      <c r="A3945" t="inlineStr">
        <is>
          <t>2026</t>
        </is>
      </c>
      <c r="B3945" t="inlineStr">
        <is>
          <t>C00109546</t>
        </is>
      </c>
      <c r="C3945" t="inlineStr">
        <is>
          <t>Valero Energy Corp PAC</t>
        </is>
      </c>
      <c r="D3945" t="inlineStr">
        <is>
          <t>COTTON FOR SENATE, INC.</t>
        </is>
      </c>
      <c r="E3945" t="inlineStr">
        <is>
          <t>S4AR00103</t>
        </is>
      </c>
      <c r="F3945" t="inlineStr">
        <is>
          <t>REP</t>
        </is>
      </c>
      <c r="G3945" t="inlineStr">
        <is>
          <t>12172025</t>
        </is>
      </c>
      <c r="H3945" t="n">
        <v>5000</v>
      </c>
      <c r="I3945" t="inlineStr">
        <is>
          <t>202601309794749126</t>
        </is>
      </c>
      <c r="J3945" t="inlineStr">
        <is>
          <t>https://docquery.fec.gov/cgi-bin/fecimg/?202601309794749126</t>
        </is>
      </c>
    </row>
    <row r="3946">
      <c r="A3946" t="inlineStr">
        <is>
          <t>2026</t>
        </is>
      </c>
      <c r="B3946" t="inlineStr">
        <is>
          <t>C00109546</t>
        </is>
      </c>
      <c r="C3946" t="inlineStr">
        <is>
          <t>Valero Energy Corp PAC</t>
        </is>
      </c>
      <c r="D3946" t="inlineStr">
        <is>
          <t>GARY PALMER FOR CONGRESS</t>
        </is>
      </c>
      <c r="E3946" t="inlineStr">
        <is>
          <t>H4AL06098</t>
        </is>
      </c>
      <c r="F3946" t="inlineStr">
        <is>
          <t>REP</t>
        </is>
      </c>
      <c r="G3946" t="inlineStr">
        <is>
          <t>12172025</t>
        </is>
      </c>
      <c r="H3946" t="n">
        <v>5000</v>
      </c>
      <c r="I3946" t="inlineStr">
        <is>
          <t>202601309794749126</t>
        </is>
      </c>
      <c r="J3946" t="inlineStr">
        <is>
          <t>https://docquery.fec.gov/cgi-bin/fecimg/?202601309794749126</t>
        </is>
      </c>
    </row>
    <row r="3948">
      <c r="A3948" s="6" t="inlineStr">
        <is>
          <t>Summary (formulas over rows above)</t>
        </is>
      </c>
    </row>
    <row r="3949">
      <c r="A3949" s="6" t="inlineStr">
        <is>
          <t>Cycle</t>
        </is>
      </c>
      <c r="B3949" s="6" t="inlineStr">
        <is>
          <t>To DEM, $ [formula]</t>
        </is>
      </c>
      <c r="C3949" s="6" t="inlineStr">
        <is>
          <t>To REP, $ [formula]</t>
        </is>
      </c>
      <c r="D3949" s="6" t="inlineStr">
        <is>
          <t>Other/none, $ [formula]</t>
        </is>
      </c>
      <c r="E3949" s="6" t="inlineStr">
        <is>
          <t>DEM share [formula]</t>
        </is>
      </c>
      <c r="F3949" s="6" t="inlineStr">
        <is>
          <t>REP share [formula]</t>
        </is>
      </c>
    </row>
    <row r="3950">
      <c r="A3950" t="inlineStr">
        <is>
          <t>2020</t>
        </is>
      </c>
      <c r="B3950">
        <f>SUMIFS($H$3:$H$3946,$A$3:$A$3946,"2020",$F$3:$F$3946,"DEM")</f>
        <v/>
      </c>
      <c r="C3950">
        <f>SUMIFS($H$3:$H$3946,$A$3:$A$3946,"2020",$F$3:$F$3946,"REP")</f>
        <v/>
      </c>
      <c r="D3950">
        <f>SUMIFS($H$3:$H$3946,$A$3:$A$3946,"2020")-B3950-C3950</f>
        <v/>
      </c>
      <c r="E3950">
        <f>B3950/(B3950+C3950+D3950)</f>
        <v/>
      </c>
      <c r="F3950">
        <f>C3950/(B3950+C3950+D3950)</f>
        <v/>
      </c>
    </row>
    <row r="3951">
      <c r="A3951" t="inlineStr">
        <is>
          <t>2022</t>
        </is>
      </c>
      <c r="B3951">
        <f>SUMIFS($H$3:$H$3946,$A$3:$A$3946,"2022",$F$3:$F$3946,"DEM")</f>
        <v/>
      </c>
      <c r="C3951">
        <f>SUMIFS($H$3:$H$3946,$A$3:$A$3946,"2022",$F$3:$F$3946,"REP")</f>
        <v/>
      </c>
      <c r="D3951">
        <f>SUMIFS($H$3:$H$3946,$A$3:$A$3946,"2022")-B3951-C3951</f>
        <v/>
      </c>
      <c r="E3951">
        <f>B3951/(B3951+C3951+D3951)</f>
        <v/>
      </c>
      <c r="F3951">
        <f>C3951/(B3951+C3951+D3951)</f>
        <v/>
      </c>
    </row>
    <row r="3952">
      <c r="A3952" t="inlineStr">
        <is>
          <t>2024</t>
        </is>
      </c>
      <c r="B3952">
        <f>SUMIFS($H$3:$H$3946,$A$3:$A$3946,"2024",$F$3:$F$3946,"DEM")</f>
        <v/>
      </c>
      <c r="C3952">
        <f>SUMIFS($H$3:$H$3946,$A$3:$A$3946,"2024",$F$3:$F$3946,"REP")</f>
        <v/>
      </c>
      <c r="D3952">
        <f>SUMIFS($H$3:$H$3946,$A$3:$A$3946,"2024")-B3952-C3952</f>
        <v/>
      </c>
      <c r="E3952">
        <f>B3952/(B3952+C3952+D3952)</f>
        <v/>
      </c>
      <c r="F3952">
        <f>C3952/(B3952+C3952+D3952)</f>
        <v/>
      </c>
    </row>
    <row r="3953">
      <c r="A3953" t="inlineStr">
        <is>
          <t>2026</t>
        </is>
      </c>
      <c r="B3953">
        <f>SUMIFS($H$3:$H$3946,$A$3:$A$3946,"2026",$F$3:$F$3946,"DEM")</f>
        <v/>
      </c>
      <c r="C3953">
        <f>SUMIFS($H$3:$H$3946,$A$3:$A$3946,"2026",$F$3:$F$3946,"REP")</f>
        <v/>
      </c>
      <c r="D3953">
        <f>SUMIFS($H$3:$H$3946,$A$3:$A$3946,"2026")-B3953-C3953</f>
        <v/>
      </c>
      <c r="E3953">
        <f>B3953/(B3953+C3953+D3953)</f>
        <v/>
      </c>
      <c r="F3953">
        <f>C3953/(B3953+C3953+D3953)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60" customWidth="1" min="4" max="4"/>
    <col width="34" customWidth="1" min="5" max="5"/>
    <col width="70" customWidth="1" min="6" max="6"/>
  </cols>
  <sheetData>
    <row r="1" ht="60" customHeight="1">
      <c r="A1" s="1" t="inlineStr">
        <is>
          <t>#</t>
        </is>
      </c>
      <c r="B1" s="1" t="inlineStr">
        <is>
          <t>Data point (fixed values)</t>
        </is>
      </c>
      <c r="C1" s="1" t="inlineStr">
        <is>
          <t>Value(s)</t>
        </is>
      </c>
      <c r="D1" s="1" t="inlineStr">
        <is>
          <t>Documented explanation, if any</t>
        </is>
      </c>
      <c r="E1" s="1" t="inlineStr">
        <is>
          <t>Status</t>
        </is>
      </c>
      <c r="F1" s="1" t="inlineStr">
        <is>
          <t>Primary source URL(s)</t>
        </is>
      </c>
    </row>
    <row r="2">
      <c r="A2" t="n">
        <v>1</v>
      </c>
      <c r="B2" t="inlineStr">
        <is>
          <t>Record wholesale gasoline margin over U.S. crude</t>
        </is>
      </c>
      <c r="C2" t="inlineStr">
        <is>
          <t>Gulf Coast gasoline spot minus WTI/42 = $1.549/gal (spot week ending Aug 28, 2026), the highest weekly value 2005-2026. Previous high $1.386 (Jun 2022). Jul 2008: -$0.022. Latest (week ending Sep 18, 2026): $1.423</t>
        </is>
      </c>
      <c r="D2" t="inlineStr">
        <is>
          <t>Global refined-product shortage from the 2026 Iran war (IEA Sep 2026: record Atlantic Basin margins; Gulf product exports down ~60%); U.S. utilization ~97-98%; gasoline stocks low</t>
        </is>
      </c>
      <c r="E2" t="inlineStr">
        <is>
          <t>Cause documented; size of each cause not measured by any agency</t>
        </is>
      </c>
      <c r="F2" t="inlineStr">
        <is>
          <t>https://www.eia.gov/dnav/pet/hist/LeafHandler.ashx?n=PET&amp;s=EER_EPMRU_PF4_RGC_DPG&amp;f=W ; https://www.eia.gov/dnav/pet/hist/LeafHandler.ashx?n=PET&amp;s=RWTC&amp;f=W ; https://www.iea.org/reports/oil-market-report-september-2026</t>
        </is>
      </c>
    </row>
    <row r="3">
      <c r="A3" t="n">
        <v>2</v>
      </c>
      <c r="B3" t="inlineStr">
        <is>
          <t>Brent-WTI spread far above normal</t>
        </is>
      </c>
      <c r="C3" t="inlineStr">
        <is>
          <t>Brent $124.15 vs WTI $103.54 (week ending Sep 18, 2026): $20.61/bbl = 49.1 c/gal. 2025 average: $3.60/bbl (8.6 c/gal). U.S. gasoline is priced like world (Brent-linked) product while U.S. inland crude is much cheaper</t>
        </is>
      </c>
      <c r="D3" t="inlineStr">
        <is>
          <t>No primary record located that explains the 2026 widening. Coastal refiners buying imported or Brent-linked crude pay the higher price; refiners running WTI-linked crude keep the difference as margin (our reading)</t>
        </is>
      </c>
      <c r="E3" t="inlineStr">
        <is>
          <t>Not explained by a primary record located: about 40.5 c/gal of today's price</t>
        </is>
      </c>
      <c r="F3" t="inlineStr">
        <is>
          <t>https://www.eia.gov/dnav/pet/hist/LeafHandler.ashx?n=PET&amp;s=RBRTE&amp;f=W ; https://www.eia.gov/dnav/pet/hist/LeafHandler.ashx?n=PET&amp;s=RWTC&amp;f=W</t>
        </is>
      </c>
    </row>
    <row r="4">
      <c r="A4" t="n">
        <v>3</v>
      </c>
      <c r="B4" t="inlineStr">
        <is>
          <t>Wholesale gasoline barely fell when crude fell (Jun-Jul 2026)</t>
        </is>
      </c>
      <c r="C4" t="inlineStr">
        <is>
          <t>Retail weeks Jun 1 -&gt; Jul 6, 2026: WTI -54.7 c/gal, Brent -65.1 c/gal, Gulf Coast wholesale gasoline -11.0 c/gal, U.S. retail -52.8 c/gal. Retail minus wholesale fell from $1.157 to $0.739</t>
        </is>
      </c>
      <c r="D4" t="inlineStr">
        <is>
          <t>Product shortage kept gasoline tight while crude eased (CEC calls it a 'temporary crude-market disconnect'). DOJ/FTC letter (Jul 3, 2026) said too much of the crude decline was being 'withheld'; the EIA data show the hold-up at the wholesale/refining stage, not at stations</t>
        </is>
      </c>
      <c r="E4" t="inlineStr">
        <is>
          <t>Statement of concern only; no finding</t>
        </is>
      </c>
      <c r="F4" t="inlineStr">
        <is>
          <t>https://www.eia.gov/dnav/pet/hist/LeafHandler.ashx?n=PET&amp;s=EER_EPMRU_PF4_RGC_DPG&amp;f=W ; https://www.justice.gov/atr/media/1450951/dl?inline=</t>
        </is>
      </c>
    </row>
    <row r="5">
      <c r="A5" t="n">
        <v>4</v>
      </c>
      <c r="B5" t="inlineStr">
        <is>
          <t>Refining slice of the pump price near record</t>
        </is>
      </c>
      <c r="C5" t="inlineStr">
        <is>
          <t>EIA refining component May 2026 = 97.2 c/gal (21.7% of $4.479): 3rd-highest month since Jan 2000 (Jun 2022 134.6; May 2022 113.3; Aug 2023 97.2)</t>
        </is>
      </c>
      <c r="D5" t="inlineStr">
        <is>
          <t>Same pattern as the 2022 Russia shock; within that precedent</t>
        </is>
      </c>
      <c r="E5" t="inlineStr">
        <is>
          <t>Explained in direction; not unprecedented</t>
        </is>
      </c>
      <c r="F5" t="inlineStr">
        <is>
          <t>https://www.eia.gov/petroleum/gasdiesel/gaspump_hist.php</t>
        </is>
      </c>
    </row>
    <row r="6">
      <c r="A6" t="n">
        <v>5</v>
      </c>
      <c r="B6" t="inlineStr">
        <is>
          <t>Refiners returned nearly all profit to shareholders while capacity shrank</t>
        </is>
      </c>
      <c r="C6" t="inlineStr">
        <is>
          <t>Valero + Marathon Petroleum + Phillips 66, 2022-2025: buybacks $61.5B + common dividends $18.1B = $79.6B vs net income $81.7B (97%). U.S. operable capacity: 18,976 kb/cd (Jan 2020) -&gt; 18,027 kb/cd (Jun 2026), -5%</t>
        </is>
      </c>
      <c r="D6" t="inlineStr">
        <is>
          <t>Legal corporate choices; MPC and PSX include non-refining businesses. No regulator has found capacity was withheld to raise prices</t>
        </is>
      </c>
      <c r="E6" t="inlineStr">
        <is>
          <t>Context; not evidence of wrongdoing</t>
        </is>
      </c>
      <c r="F6" t="inlineStr">
        <is>
          <t>https://www.sec.gov/Archives/edgar/data/1510295/000151029526000009/ ; https://www.sec.gov/Archives/edgar/data/1035002/000162828026011499/ ; https://www.sec.gov/Archives/edgar/data/1534701/000153470126000006/ ; https://www.eia.gov/dnav/pet/hist/LeafHandler.ashx?n=PET&amp;s=MOCLEUS2&amp;f=M</t>
        </is>
      </c>
    </row>
    <row r="7">
      <c r="A7" t="n">
        <v>6</v>
      </c>
      <c r="B7" t="inlineStr">
        <is>
          <t>Speculators heavily long gasoline futures, not crude</t>
        </is>
      </c>
      <c r="C7" t="inlineStr">
        <is>
          <t>CFTC managed-money net long, NYMEX RBOB: 92,848 contracts on Sep 8, 2026 (25.4% of open interest) - highest since Apr 2012; 2008 peak 62,535 (23.3%); 2022 peak 81,212 (24.8%). WTI crude: 111,731 (5.8% of OI) vs 2022 peak 279,511 (15.2%)</t>
        </is>
      </c>
      <c r="D7" t="inlineStr">
        <is>
          <t>Positioning follows the product shortage; large positions are legal. No 2026 CFTC manipulation action located</t>
        </is>
      </c>
      <c r="E7" t="inlineStr">
        <is>
          <t>Unusual positioning; no finding</t>
        </is>
      </c>
      <c r="F7" t="inlineStr">
        <is>
          <t>https://www.cftc.gov/MarketReports/CommitmentsofTraders/HistoricalCompressed/index.htm</t>
        </is>
      </c>
    </row>
    <row r="8">
      <c r="A8" t="n">
        <v>7</v>
      </c>
      <c r="B8" t="inlineStr">
        <is>
          <t>California premium not covered by taxes and climate programs</t>
        </is>
      </c>
      <c r="C8" t="inlineStr">
        <is>
          <t>CA $6.003 vs U.S. $4.478 (Sep 21, 2026) = $1.525. Higher state tax +39.9 c (73.64 vs 33.76 avg state), LCFS ~18 c and Cap-and-Invest ~23 c (CEC estimates) = ~80.9 c. LA wholesale over Gulf wholesale: +23.5 c (week ending Sep 18). Remaining ~48 c is not explained by these records</t>
        </is>
      </c>
      <c r="D8" t="inlineStr">
        <is>
          <t>CEC 2019 report described an unexplained 'mystery surcharge'; DPMO Jun 2026: branded-unbranded spread $0.31 in CA vs $0.06 elsewhere; DPMO inquiry open</t>
        </is>
      </c>
      <c r="E8" t="inlineStr">
        <is>
          <t>Unexplained remainder; inquiry open, no finding</t>
        </is>
      </c>
      <c r="F8" t="inlineStr">
        <is>
          <t>https://www.energy.ca.gov/programs-and-topics/topics/petroleum-fuels-transition/faq-california-gas-prices-and-impacts-iran ; https://www.energy.ca.gov/sites/default/files/2026-06/DPMO_California_Gasoline_Diesel_Market_Update_June_2026_ada.pdf ; https://www.eia.gov/petroleum/marketing/monthly/xls/fueltaxes.xlsx</t>
        </is>
      </c>
    </row>
    <row r="9">
      <c r="A9" t="n">
        <v>9</v>
      </c>
      <c r="B9" t="inlineStr">
        <is>
          <t>Exports do not explain the 2026 jump</t>
        </is>
      </c>
      <c r="C9" t="inlineStr">
        <is>
          <t>U.S. gasoline exports since Mar 2026 averaged 899 kb/d vs 940 kb/d Dec 2025-Feb 2026 and 904 kb/d in 2025. Gasoline stocks 206.0M bbl (Sep 18, 2026): lowest for mid-September since 2012</t>
        </is>
      </c>
      <c r="D9" t="inlineStr">
        <is>
          <t>Exports are structurally high (172 kb/d finished gasoline in 2008 vs 778 in 2025) so U.S. prices track world prices, but 2026 exports did not rise</t>
        </is>
      </c>
      <c r="E9" t="inlineStr">
        <is>
          <t>Contradicts claims that 2026 export surge drove prices</t>
        </is>
      </c>
      <c r="F9" t="inlineStr">
        <is>
          <t>https://www.eia.gov/dnav/pet/hist/LeafHandler.ashx?n=PET&amp;s=W_EPM0F_EEX_NUS-Z00_MBBLD&amp;f=W ; https://www.eia.gov/dnav/pet/hist/LeafHandler.ashx?n=PET&amp;s=WGTSTUS1&amp;f=W</t>
        </is>
      </c>
    </row>
    <row r="10">
      <c r="A10" t="n">
        <v>10</v>
      </c>
      <c r="B10" t="inlineStr">
        <is>
          <t>EIA data inconsistency (caveat)</t>
        </is>
      </c>
      <c r="C10" t="inlineStr">
        <is>
          <t>EIA May 2026 pump-components crude slice implies ~$97.6/bbl; EIA's revised May 2026 refiner acquisition cost is $104.62. Using the revised cost would move ~17 c from 'refining' to 'crude'</t>
        </is>
      </c>
      <c r="D10" t="inlineStr">
        <is>
          <t>Likely a later revision of crude cost data</t>
        </is>
      </c>
      <c r="E10" t="inlineStr">
        <is>
          <t>Data caveat</t>
        </is>
      </c>
      <c r="F10" t="inlineStr">
        <is>
          <t>https://www.eia.gov/petroleum/gasdiesel/gaspump_hist.php ; https://www.eia.gov/dnav/pet/hist/LeafHandler.ashx?n=PET&amp;s=R0000____3&amp;f=M</t>
        </is>
      </c>
    </row>
    <row r="11">
      <c r="A11" t="n">
        <v>11</v>
      </c>
      <c r="B11" t="inlineStr">
        <is>
          <t>Viral X post (@TrumpNews, 'Jonathan Gregory', Sep 23, 2026): 'EXPOSED: Democrats' Big Oil Payoff Scheme... FBI Subpoenas Incoming'</t>
        </is>
      </c>
      <c r="C11" t="inlineStr">
        <is>
          <t>Price figures roughly match EIA. Claim that prices are 'not the Iran war' contradicts EIA/IEA data. No DOJ/FBI record of subpoenas located. Same byline appeared on an unsupported 'seven FBI agents vs Pelosi' story</t>
        </is>
      </c>
      <c r="D11" t="inlineStr">
        <is>
          <t>FEC data show oil-industry PAC money goes mostly to Republicans (see Political money tabs)</t>
        </is>
      </c>
      <c r="E11" t="inlineStr">
        <is>
          <t>Unsupported</t>
        </is>
      </c>
      <c r="F11" t="inlineStr">
        <is>
          <t>https://www.justice.gov/news ; https://www.iea.org/reports/oil-market-report-september-2026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  <col width="100" customWidth="1" min="3" max="3"/>
  </cols>
  <sheetData>
    <row r="1" ht="60" customHeight="1">
      <c r="A1" s="1" t="inlineStr">
        <is>
          <t>Tab</t>
        </is>
      </c>
      <c r="B1" s="1" t="inlineStr">
        <is>
          <t>Series / number</t>
        </is>
      </c>
      <c r="C1" s="1" t="inlineStr">
        <is>
          <t>URL</t>
        </is>
      </c>
    </row>
    <row r="2">
      <c r="A2" t="inlineStr">
        <is>
          <t>Weekly 2005-present</t>
        </is>
      </c>
      <c r="B2" t="inlineStr">
        <is>
          <t>WTI Cushing spot, $/bbl (EIA RWTC weekly, week ending Fri)</t>
        </is>
      </c>
      <c r="C2" t="inlineStr">
        <is>
          <t>https://www.eia.gov/dnav/pet/hist/LeafHandler.ashx?n=PET&amp;s=RWTC&amp;f=W</t>
        </is>
      </c>
    </row>
    <row r="3">
      <c r="A3" t="inlineStr">
        <is>
          <t>Weekly 2005-present</t>
        </is>
      </c>
      <c r="B3" t="inlineStr">
        <is>
          <t>Brent spot, $/bbl (EIA RBRTE weekly)</t>
        </is>
      </c>
      <c r="C3" t="inlineStr">
        <is>
          <t>https://www.eia.gov/dnav/pet/hist/LeafHandler.ashx?n=PET&amp;s=RBRTE&amp;f=W</t>
        </is>
      </c>
    </row>
    <row r="4">
      <c r="A4" t="inlineStr">
        <is>
          <t>Weekly 2005-present</t>
        </is>
      </c>
      <c r="B4" t="inlineStr">
        <is>
          <t>Gulf Coast conv. regular gasoline spot, $/gal (EIA)</t>
        </is>
      </c>
      <c r="C4" t="inlineStr">
        <is>
          <t>https://www.eia.gov/dnav/pet/hist/LeafHandler.ashx?n=PET&amp;s=EER_EPMRU_PF4_RGC_DPG&amp;f=W</t>
        </is>
      </c>
    </row>
    <row r="5">
      <c r="A5" t="inlineStr">
        <is>
          <t>Weekly 2005-present</t>
        </is>
      </c>
      <c r="B5" t="inlineStr">
        <is>
          <t>NY Harbor conv. regular gasoline spot, $/gal (EIA)</t>
        </is>
      </c>
      <c r="C5" t="inlineStr">
        <is>
          <t>https://www.eia.gov/dnav/pet/hist/LeafHandler.ashx?n=PET&amp;s=EER_EPMRU_PF4_Y35NY_DPG&amp;f=W</t>
        </is>
      </c>
    </row>
    <row r="6">
      <c r="A6" t="inlineStr">
        <is>
          <t>Weekly 2005-present</t>
        </is>
      </c>
      <c r="B6" t="inlineStr">
        <is>
          <t>Los Angeles RBOB regular spot, $/gal (EIA)</t>
        </is>
      </c>
      <c r="C6" t="inlineStr">
        <is>
          <t>https://www.eia.gov/dnav/pet/hist/LeafHandler.ashx?n=PET&amp;s=EER_EPMRR_PF4_Y05LA_DPG&amp;f=W</t>
        </is>
      </c>
    </row>
    <row r="7">
      <c r="A7" t="inlineStr">
        <is>
          <t>Weekly 2005-present</t>
        </is>
      </c>
      <c r="B7" t="inlineStr">
        <is>
          <t>U.S. retail regular, $/gal (EIA, Monday)</t>
        </is>
      </c>
      <c r="C7" t="inlineStr">
        <is>
          <t>https://www.eia.gov/dnav/pet/hist/LeafHandler.ashx?n=PET&amp;s=EMM_EPMR_PTE_NUS_DPG&amp;f=W</t>
        </is>
      </c>
    </row>
    <row r="8">
      <c r="A8" t="inlineStr">
        <is>
          <t>Weekly 2005-present</t>
        </is>
      </c>
      <c r="B8" t="inlineStr">
        <is>
          <t>Rocky Mountain PADD 4 retail regular, $/gal (EIA)</t>
        </is>
      </c>
      <c r="C8" t="inlineStr">
        <is>
          <t>https://www.eia.gov/dnav/pet/hist/LeafHandler.ashx?n=PET&amp;s=EMM_EPMR_PTE_R40_DPG&amp;f=W</t>
        </is>
      </c>
    </row>
    <row r="9">
      <c r="A9" t="inlineStr">
        <is>
          <t>Weekly 2005-present</t>
        </is>
      </c>
      <c r="B9" t="inlineStr">
        <is>
          <t>California retail regular, $/gal (EIA)</t>
        </is>
      </c>
      <c r="C9" t="inlineStr">
        <is>
          <t>https://www.eia.gov/dnav/pet/hist/LeafHandler.ashx?n=PET&amp;s=EMM_EPMR_PTE_SCA_DPG&amp;f=W</t>
        </is>
      </c>
    </row>
    <row r="10">
      <c r="A10" t="inlineStr">
        <is>
          <t>Weekly 2005-present</t>
        </is>
      </c>
      <c r="B10" t="inlineStr">
        <is>
          <t>EIA pump-components tax share</t>
        </is>
      </c>
      <c r="C10" t="inlineStr">
        <is>
          <t>https://www.eia.gov/petroleum/gasdiesel/gaspump_hist.php</t>
        </is>
      </c>
    </row>
    <row r="11">
      <c r="A11" t="inlineStr">
        <is>
          <t>Weekly 2005-present</t>
        </is>
      </c>
      <c r="B11" t="inlineStr">
        <is>
          <t>EIA avg federal+state gasoline tax, Jul 2026 (52.16 c/gal)</t>
        </is>
      </c>
      <c r="C11" t="inlineStr">
        <is>
          <t>https://www.eia.gov/petroleum/marketing/monthly/xls/fueltaxes.xlsx</t>
        </is>
      </c>
    </row>
    <row r="12">
      <c r="A12" t="inlineStr">
        <is>
          <t>Monthly pump components</t>
        </is>
      </c>
      <c r="B12" t="inlineStr">
        <is>
          <t>EIA Gasoline Pump Components History (all columns)</t>
        </is>
      </c>
      <c r="C12" t="inlineStr">
        <is>
          <t>https://www.eia.gov/petroleum/gasdiesel/gaspump_hist.php</t>
        </is>
      </c>
    </row>
    <row r="13">
      <c r="A13" t="inlineStr">
        <is>
          <t>Monthly pump components</t>
        </is>
      </c>
      <c r="B13" t="inlineStr">
        <is>
          <t>EIA methodology</t>
        </is>
      </c>
      <c r="C13" t="inlineStr">
        <is>
          <t>https://www.eia.gov/petroleum/gasdiesel/pump_methodology.php</t>
        </is>
      </c>
    </row>
    <row r="14">
      <c r="A14" t="inlineStr">
        <is>
          <t>Refiners (SEC)</t>
        </is>
      </c>
      <c r="B14" t="inlineStr">
        <is>
          <t>Each row: SEC filing index URL in column I; company facts API</t>
        </is>
      </c>
      <c r="C14" t="inlineStr">
        <is>
          <t>https://data.sec.gov/api/xbrl/companyfacts/CIK0001035002.json</t>
        </is>
      </c>
    </row>
    <row r="15">
      <c r="A15" t="inlineStr">
        <is>
          <t>Ownership concentration</t>
        </is>
      </c>
      <c r="B15" t="inlineStr">
        <is>
          <t>EIA Refinery Capacity Report 2026, Table 5 (capacity by corporation/plant)</t>
        </is>
      </c>
      <c r="C15" t="inlineStr">
        <is>
          <t>https://www.eia.gov/petroleum/refinerycapacity/table5.pdf</t>
        </is>
      </c>
    </row>
    <row r="16">
      <c r="A16" t="inlineStr">
        <is>
          <t>Ownership concentration</t>
        </is>
      </c>
      <c r="B16" t="inlineStr">
        <is>
          <t>EIA Refinery Capacity Report 2026, Table 3 (by state)</t>
        </is>
      </c>
      <c r="C16" t="inlineStr">
        <is>
          <t>https://www.eia.gov/petroleum/refinerycapacity/table3.pdf</t>
        </is>
      </c>
    </row>
    <row r="17">
      <c r="A17" t="inlineStr">
        <is>
          <t>Ownership concentration</t>
        </is>
      </c>
      <c r="B17" t="inlineStr">
        <is>
          <t>EIA PADD definitions</t>
        </is>
      </c>
      <c r="C17" t="inlineStr">
        <is>
          <t>https://www.eia.gov/petroleum/marketing/prime/pdf/padddef.pdf</t>
        </is>
      </c>
    </row>
    <row r="18">
      <c r="A18" t="inlineStr">
        <is>
          <t>Exports vs inventories</t>
        </is>
      </c>
      <c r="B18" t="inlineStr">
        <is>
          <t>EIA weekly gasoline stocks WGTSTUS1</t>
        </is>
      </c>
      <c r="C18" t="inlineStr">
        <is>
          <t>https://www.eia.gov/dnav/pet/hist/LeafHandler.ashx?n=PET&amp;s=WGTSTUS1&amp;f=W</t>
        </is>
      </c>
    </row>
    <row r="19">
      <c r="A19" t="inlineStr">
        <is>
          <t>Exports vs inventories</t>
        </is>
      </c>
      <c r="B19" t="inlineStr">
        <is>
          <t>EIA weekly total motor gasoline exports</t>
        </is>
      </c>
      <c r="C19" t="inlineStr">
        <is>
          <t>https://www.eia.gov/dnav/pet/hist/LeafHandler.ashx?n=PET&amp;s=W_EPM0F_EEX_NUS-Z00_MBBLD&amp;f=W</t>
        </is>
      </c>
    </row>
    <row r="20">
      <c r="A20" t="inlineStr">
        <is>
          <t>Exports vs inventories</t>
        </is>
      </c>
      <c r="B20" t="inlineStr">
        <is>
          <t>EIA weekly product exports WRPEXUS2</t>
        </is>
      </c>
      <c r="C20" t="inlineStr">
        <is>
          <t>https://www.eia.gov/dnav/pet/hist/LeafHandler.ashx?n=PET&amp;s=WRPEXUS2&amp;f=W</t>
        </is>
      </c>
    </row>
    <row r="21">
      <c r="A21" t="inlineStr">
        <is>
          <t>Exports vs inventories</t>
        </is>
      </c>
      <c r="B21" t="inlineStr">
        <is>
          <t>EIA weekly crude exports WCREXUS2</t>
        </is>
      </c>
      <c r="C21" t="inlineStr">
        <is>
          <t>https://www.eia.gov/dnav/pet/hist/LeafHandler.ashx?n=PET&amp;s=WCREXUS2&amp;f=W</t>
        </is>
      </c>
    </row>
    <row r="22">
      <c r="A22" t="inlineStr">
        <is>
          <t>Exports vs inventories</t>
        </is>
      </c>
      <c r="B22" t="inlineStr">
        <is>
          <t>EIA annual MGFEXUS2 / MTPEXUS2</t>
        </is>
      </c>
      <c r="C22" t="inlineStr">
        <is>
          <t>https://www.eia.gov/dnav/pet/hist/LeafHandler.ashx?n=PET&amp;s=MGFEXUS2&amp;f=A</t>
        </is>
      </c>
    </row>
    <row r="23">
      <c r="A23" t="inlineStr">
        <is>
          <t>Futures positioning (CFTC)</t>
        </is>
      </c>
      <c r="B23" t="inlineStr">
        <is>
          <t>CFTC COT disaggregated futures-only history files (2006-2016, 2022, 2026)</t>
        </is>
      </c>
      <c r="C23" t="inlineStr">
        <is>
          <t>https://www.cftc.gov/MarketReports/CommitmentsofTraders/HistoricalCompressed/index.htm</t>
        </is>
      </c>
    </row>
    <row r="24">
      <c r="A24" t="inlineStr">
        <is>
          <t>Investigations</t>
        </is>
      </c>
      <c r="B24" t="inlineStr">
        <is>
          <t>Row-level URLs in column F</t>
        </is>
      </c>
    </row>
    <row r="25">
      <c r="A25" t="inlineStr">
        <is>
          <t>Political money</t>
        </is>
      </c>
      <c r="B25" t="inlineStr">
        <is>
          <t>OpenSecrets Oil &amp; Gas industry totals - compiled from FEC filings by OpenSecrets</t>
        </is>
      </c>
      <c r="C25" t="inlineStr">
        <is>
          <t>https://www.opensecrets.org/industries/totals?cycle=2024&amp;ind=E01</t>
        </is>
      </c>
    </row>
    <row r="26">
      <c r="A26" t="inlineStr">
        <is>
          <t>FEC refiner PACs</t>
        </is>
      </c>
      <c r="B26" t="inlineStr">
        <is>
          <t>FEC bulk data: pas2 + cn files 2020-2026</t>
        </is>
      </c>
      <c r="C26" t="inlineStr">
        <is>
          <t>https://www.fec.gov/data/browse-data/?tab=bulk-data</t>
        </is>
      </c>
    </row>
    <row r="27">
      <c r="A27" t="inlineStr">
        <is>
          <t>Context</t>
        </is>
      </c>
      <c r="B27" t="inlineStr">
        <is>
          <t>IEA Oil Market Report Sep 2026 (record Atlantic Basin margins; Gulf product exports down ~60%)</t>
        </is>
      </c>
      <c r="C27" t="inlineStr">
        <is>
          <t>https://www.iea.org/reports/oil-market-report-september-2026</t>
        </is>
      </c>
    </row>
    <row r="28">
      <c r="A28" t="inlineStr">
        <is>
          <t>Context</t>
        </is>
      </c>
      <c r="B28" t="inlineStr">
        <is>
          <t>EIA STEO Sep 2026</t>
        </is>
      </c>
      <c r="C28" t="inlineStr">
        <is>
          <t>https://www.eia.gov/outlooks/steo/</t>
        </is>
      </c>
    </row>
    <row r="29">
      <c r="A29" t="inlineStr">
        <is>
          <t>Context</t>
        </is>
      </c>
      <c r="B29" t="inlineStr">
        <is>
          <t>EIA operable refinery capacity MOCLEUS2</t>
        </is>
      </c>
      <c r="C29" t="inlineStr">
        <is>
          <t>https://www.eia.gov/dnav/pet/hist/LeafHandler.ashx?n=PET&amp;s=MOCLEUS2&amp;f=M</t>
        </is>
      </c>
    </row>
    <row r="30">
      <c r="A30" t="inlineStr">
        <is>
          <t>Context</t>
        </is>
      </c>
      <c r="B30" t="inlineStr">
        <is>
          <t>CEC FAQ on California prices and Iran</t>
        </is>
      </c>
      <c r="C30" t="inlineStr">
        <is>
          <t>https://www.energy.ca.gov/programs-and-topics/topics/petroleum-fuels-transition/faq-california-gas-prices-and-impacts-iran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2026-09-25T02:04:00Z</dcterms:created>
  <dcterms:modified xmlns:dcterms="http://purl.org/dc/terms/" xmlns:xsi="http://www.w3.org/2001/XMLSchema-instance" xsi:type="dcterms:W3CDTF">2026-09-27T03:34:53Z</dcterms:modified>
</cp:coreProperties>
</file>