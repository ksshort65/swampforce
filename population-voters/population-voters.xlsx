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fficial-data limits" sheetId="1" state="visible" r:id="rId2"/>
    <sheet name="Main annual" sheetId="2" state="visible" r:id="rId3"/>
    <sheet name="Notes-Definitions" sheetId="3" state="visible" r:id="rId4"/>
    <sheet name="Sources" sheetId="4" state="visible" r:id="rId5"/>
    <sheet name="Registration by method" sheetId="5" state="visible" r:id="rId6"/>
    <sheet name="Noncitizens on benefits" sheetId="6" state="visible" r:id="rId7"/>
    <sheet name="Noncitizens on rolls" sheetId="7" state="visible" r:id="rId8"/>
    <sheet name="Colorado" sheetId="8" state="visible" r:id="rId9"/>
    <sheet name="Discrepancies" sheetId="9" state="visible" r:id="rId10"/>
    <sheet name="Humanitarian &amp; work permits"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<sst xmlns="http://schemas.openxmlformats.org/spreadsheetml/2006/main" count="2379" uniqueCount="1020">
  <si>
    <t xml:space="preserve">What official published sources do and do not show</t>
  </si>
  <si>
    <t xml:space="preserve">Rule kept: no existing number in this workbook was changed. Empty / "Not reported" cells stay that way when no official published figure exists. Filling them with estimates would invent data.</t>
  </si>
  <si>
    <t xml:space="preserve">Question the sheet was asked to answer</t>
  </si>
  <si>
    <t xml:space="preserve">Official published result</t>
  </si>
  <si>
    <t xml:space="preserve">Why a national cell cannot be a single number</t>
  </si>
  <si>
    <t xml:space="preserve">How many illegal aliens are registered to vote?</t>
  </si>
  <si>
    <t xml:space="preserve">No official national count exists. Closest published figures: DHS SAVE flagged 28,635 potential non-U.S. citizens among 65 million+ records checked (SCOTUS 26A308); Reuters compilation of state processing errors since 2000: more than 30,000 self-declared noncitizens added; DOJ/AP Jan 2025–Sep 2026: 70 charged / ~160 arrests for unlawful voting and related offenses.</t>
  </si>
  <si>
    <t xml:space="preserve">Voter files do not record how citizenship was acquired. SAVE flags are not confirmed noncitizens (Texas: 578 of 2,724 later shown to be citizens). Charged cases are not a roll count.</t>
  </si>
  <si>
    <t xml:space="preserve">How many of those registrants were issued Social Security numbers?</t>
  </si>
  <si>
    <t xml:space="preserve">Not reported. SSA annual statistical tables publish total original SSNs issued and age shares only. They do not split SSNs by citizenship or publish Enumeration-at-Birth / Enumeration-Beyond-Entry annual counts in those tables. Only official split found remains GAO-04-12 for FY2002.</t>
  </si>
  <si>
    <t xml:space="preserve">An SSN is not proof of voter registration. EBE issues SSNs after USCIS approval of I-765, I-485, or N-400 — work-authorized or adjusting status — not a published illegal-alien voter list.</t>
  </si>
  <si>
    <t xml:space="preserve">Were they given amnesty under the prior administration?</t>
  </si>
  <si>
    <t xml:space="preserve">No general amnesty statute has been enacted since IRCA 1986 (Pub. L. 99-603). Parole (INA 212(d)(5)), TPS (INA 244), and DACA are temporary discretionary statuses. They do not confer citizenship or a right to vote in federal elections.</t>
  </si>
  <si>
    <t xml:space="preserve">Parole/TPS/DACA totals cannot be written into the voter-registration columns. CHNV parole granted ~532,000 (DHS FR 90 FR 13611). GAO: ~774,000 supporter-based parole grants May 2022–Sep 2024 (CHNV + U4U + family reunification). Those people are not counted as registered voters in EAVS.</t>
  </si>
  <si>
    <t xml:space="preserve">Why do EAVS registered totals exceed CPS registered citizens?</t>
  </si>
  <si>
    <t xml:space="preserve">2024 EAVS total registered 234,504,358 vs CPS self-reported registered citizens 173,854,000 (thousands). Different concepts: EAVS counts administrative records including inactive names not yet removed; CPS is a household survey of citizens 18+ who say they are registered.</t>
  </si>
  <si>
    <t xml:space="preserve">The gap is not an official count of noncitizen registrants. See Discrepancies sheet. Do not treat EAVS minus CPS or EAVS minus CVAP as illegal-alien voters.</t>
  </si>
  <si>
    <t xml:space="preserve">Why are so many cells still "Not reported"?</t>
  </si>
  <si>
    <t xml:space="preserve">EAVS and CPS are biennial (federal general-election years only). 2025 ACS 1-year not released as of Sep 24, 2026. DHS Yearbook FY2025 not published. SSA 2025 SSN table not published. Early EAVS cycles published rounded narratives, not exact removal/new-valid cells.</t>
  </si>
  <si>
    <t xml:space="preserve">Odd-year EAVS/CPS cells cannot be filled. 2020 ACS is experimental and not comparable. Workbook rule forbids interpolation.</t>
  </si>
  <si>
    <t xml:space="preserve">What numbers in this book can be used without inventing?</t>
  </si>
  <si>
    <t xml:space="preserve">ACS citizens / noncitizens / CVAP; PEP population; EAVS registered / new valid / removals where published; CPS citizen 18+ and registered (self-report); DHS persons naturalized and N-400 filed; CDC births/deaths; SSA total SSNs issued; SSI qualified-noncitizen recipients; SNAP eligible noncitizen participants FY2023; state-by-state flagged/removed/referred counts on Noncitizens on rolls.</t>
  </si>
  <si>
    <t xml:space="preserve">Those series still do not identify illegal aliens on the rolls who hold SSNs. Naturalization makes a person a citizen eligible to register.</t>
  </si>
  <si>
    <t xml:space="preserve">Biden-period humanitarian sums already in Humanitarian &amp; work permits (formulas; FY2021–FY2024 only)</t>
  </si>
  <si>
    <t xml:space="preserve">Refugees FY2021–24 = SUM of published Yearbook arrivals. Asylum grants FY2021–24 = SUM of published Yearbook totals. FY2021 includes ~3.7 months under Trump. FY2025 excluded (not published). These sums are not voter-registration counts and are not SSN counts.</t>
  </si>
  <si>
    <t xml:space="preserve">Existing published numbers on Main annual / Colorado / other sheets were not edited.</t>
  </si>
  <si>
    <t xml:space="preserve">Year</t>
  </si>
  <si>
    <t xml:space="preserve">PEP total resident population (July 1)</t>
  </si>
  <si>
    <t xml:space="preserve">ACS total population</t>
  </si>
  <si>
    <t xml:space="preserve">ACS US citizens (B05001)</t>
  </si>
  <si>
    <t xml:space="preserve">ACS noncitizens (B05001)</t>
  </si>
  <si>
    <t xml:space="preserve">ACS CVAP (citizens 18+, B29001/B05003)</t>
  </si>
  <si>
    <t xml:space="preserve">YoY CHANGE: ACS citizens (number) [formula]</t>
  </si>
  <si>
    <t xml:space="preserve">YoY CHANGE: ACS citizens (%) [formula]</t>
  </si>
  <si>
    <t xml:space="preserve">ACS comparability note</t>
  </si>
  <si>
    <t xml:space="preserve">EAVS registered voters, total (as published)</t>
  </si>
  <si>
    <t xml:space="preserve">EAVS active</t>
  </si>
  <si>
    <t xml:space="preserve">EAVS inactive</t>
  </si>
  <si>
    <t xml:space="preserve">EAVS note</t>
  </si>
  <si>
    <t xml:space="preserve">CPS citizens 18+ (thousands, even yrs)</t>
  </si>
  <si>
    <t xml:space="preserve">CPS registered citizens (thousands)</t>
  </si>
  <si>
    <t xml:space="preserve">CHANGE vs prior EAVS cycle: total registered [formula]</t>
  </si>
  <si>
    <t xml:space="preserve">Registration change: documented reason</t>
  </si>
  <si>
    <t xml:space="preserve">DHS persons naturalized (FY)</t>
  </si>
  <si>
    <t xml:space="preserve">DHS naturalization applications filed (FY)</t>
  </si>
  <si>
    <t xml:space="preserve">YoY CHANGE: persons naturalized [formula]</t>
  </si>
  <si>
    <t xml:space="preserve">Naturalization change: reason</t>
  </si>
  <si>
    <t xml:space="preserve">EAVS new valid registrations (exact)</t>
  </si>
  <si>
    <t xml:space="preserve">CHANGE vs prior EAVS cycle: new valid [formula]</t>
  </si>
  <si>
    <t xml:space="preserve">EAVS new valid (rounded narrative, where no exact figure)</t>
  </si>
  <si>
    <t xml:space="preserve">EAVS removals total</t>
  </si>
  <si>
    <t xml:space="preserve">Removed: moved</t>
  </si>
  <si>
    <t xml:space="preserve">Removed: died</t>
  </si>
  <si>
    <t xml:space="preserve">Removed: failure to respond to confirmation notice + 2 federal elections</t>
  </si>
  <si>
    <t xml:space="preserve">Removed: felony</t>
  </si>
  <si>
    <t xml:space="preserve">Removed: voter request</t>
  </si>
  <si>
    <t xml:space="preserve">Removed: mental incompetence</t>
  </si>
  <si>
    <t xml:space="preserve">Removed: duplicate</t>
  </si>
  <si>
    <t xml:space="preserve">Removed: other</t>
  </si>
  <si>
    <t xml:space="preserve">Removed: not categorized</t>
  </si>
  <si>
    <t xml:space="preserve">EAVS removals note</t>
  </si>
  <si>
    <t xml:space="preserve">CDC births</t>
  </si>
  <si>
    <t xml:space="preserve">Births status</t>
  </si>
  <si>
    <t xml:space="preserve">CDC deaths</t>
  </si>
  <si>
    <t xml:space="preserve">Deaths status</t>
  </si>
  <si>
    <t xml:space="preserve">SSA SSNs issued (thousands)</t>
  </si>
  <si>
    <t xml:space="preserve">YoY CHANGE: SSNs issued (thousands) [formula]</t>
  </si>
  <si>
    <t xml:space="preserve">SSNs issued: % under age 15</t>
  </si>
  <si>
    <t xml:space="preserve">SSN citizen/noncitizen split &amp; Enumeration at Birth</t>
  </si>
  <si>
    <t xml:space="preserve">Notes / missing-data reasons</t>
  </si>
  <si>
    <t xml:space="preserve">2005 ACS covered household population only (no group quarters); 2005-&gt;2006 change not comparable.</t>
  </si>
  <si>
    <t xml:space="preserve">Not reported</t>
  </si>
  <si>
    <t xml:space="preserve">Final</t>
  </si>
  <si>
    <t xml:space="preserve">Not reported: SSA statistical tables do not split SSNs by citizenship or show EAB counts; only official split found is GAO-04-12 for FY2002 (4.23M citizens / 1.34M noncitizens; ~89% of citizen SSNs via EAB).</t>
  </si>
  <si>
    <t xml:space="preserve">EAVS/CPS: Not reported (odd year; surveys are biennial for federal general elections).</t>
  </si>
  <si>
    <t xml:space="preserve">Not computed: not comparable</t>
  </si>
  <si>
    <t xml:space="preserve">EAVS 2006 report TOTAL row. NVRA 2005-06 report gives &gt;=172.8M total, ~160.3M active, 21.2M inactive (rounded). Active/inactive exact figures not reported in the tables pulled.</t>
  </si>
  <si>
    <t xml:space="preserve">Documented (EAC 2005-06 NVRA report): decline from 2004 attributed to HAVA statewide voter-registration databases removing duplicates plus post-presidential-year list maintenance.</t>
  </si>
  <si>
    <t xml:space="preserve">~17.3 million (rounded, NVRA 2005-06 report)</t>
  </si>
  <si>
    <t xml:space="preserve">~13 million (42 states; rounded): failure 3.5M, moved 3.0M, death 2.0M, other 3.7M, felony 0.3M, request 0.4M</t>
  </si>
  <si>
    <t xml:space="preserve">Applications filed jumped to 1,382,990 ahead of the July 30, 2007 USCIS fee increase and the 2008 election (per DHS naturalization flow reporting; reason text not re-verified from box).</t>
  </si>
  <si>
    <t xml:space="preserve">EAC NVRA 2007-08 report. EAVS summary text says 'more than 190 million' (see Discrepancies). Active/inactive not extracted.</t>
  </si>
  <si>
    <t xml:space="preserve">No cause documented in source pulled. Presidential-election year.</t>
  </si>
  <si>
    <t xml:space="preserve">Surge in persons naturalized (1,046,540) as the FY2007 application spike was processed (DHS flow reporting; not re-verified from box).</t>
  </si>
  <si>
    <t xml:space="preserve">24.6 million (rounded, NVRA 2007-08 report)</t>
  </si>
  <si>
    <t xml:space="preserve">~12.7 million (rounded): moved 2.7M, died 2.4M, failure 3.9M, felony 262,366</t>
  </si>
  <si>
    <t xml:space="preserve">EAC NVRA 2009-10 report. 2012 NVRA summary table shows 186,282,492 for 2010 (see Discrepancies).</t>
  </si>
  <si>
    <t xml:space="preserve">No cause documented in source pulled.</t>
  </si>
  <si>
    <t xml:space="preserve">~14.4 million (rounded, NVRA 2009-10)</t>
  </si>
  <si>
    <t xml:space="preserve">&gt;15 million (rounded): moved ~3.8M, died ~3.0M, failure 6.1M, felony 371,414</t>
  </si>
  <si>
    <t xml:space="preserve">EAC NVRA 2011-12 report text. Same report's summary table shows 193,585,443 (see Discrepancies).</t>
  </si>
  <si>
    <t xml:space="preserve">23.8 million (rounded, NVRA 2011-12)</t>
  </si>
  <si>
    <t xml:space="preserve">~13.7 million (rounded): moved &gt;3.7M, died ~3.0M, failure 4.1M, felony 308,797</t>
  </si>
  <si>
    <t xml:space="preserve">As shown in the 2018 EAVS report's prior-year table: 'reported' total 190,669,639; active+inactive 196,570,199. Some states reported active-only in 2014.</t>
  </si>
  <si>
    <t xml:space="preserve">Not comparable: some states reported active registrants only in 2014 (2018 EAVS prior-year table shows reported 190.7M vs active+inactive 196.6M).</t>
  </si>
  <si>
    <t xml:space="preserve">16.6 million (rounded, 2014 EAVS narrative)</t>
  </si>
  <si>
    <t xml:space="preserve">&gt;14.8 million (rounded): moved &gt;4.6M, died &gt;2.7M, failure 5.2M, felony 313,416</t>
  </si>
  <si>
    <t xml:space="preserve">2016 EAVS Comprehensive Report (Table 3 shows 214,109,367; see Discrepancies).</t>
  </si>
  <si>
    <t xml:space="preserve">2018 EAVS report (active+inactive 211,826,879). 2020 report shows 211,601,918 for 2018 (see Discrepancies).</t>
  </si>
  <si>
    <t xml:space="preserve">2020 = ACS experimental 1-year table XK200501; Census says it should not be compared with other years. No 2020 1-year CVAP table (B05003/B29001) was released.</t>
  </si>
  <si>
    <t xml:space="preserve">2020 EAVS report.</t>
  </si>
  <si>
    <t xml:space="preserve">No cause documented in source pulled. Presidential-election year; EAVS shows 33.4M new valid registrations.</t>
  </si>
  <si>
    <t xml:space="preserve">Drop to 628,250: USCIS suspended in-person services/oath ceremonies Mar-Jun 2020 due to COVID-19 (DHS flow reporting; not re-verified from box).</t>
  </si>
  <si>
    <t xml:space="preserve">ACS CVAP 2020: Not reported (no experimental CVAP table).</t>
  </si>
  <si>
    <t xml:space="preserve">Rebound as oath ceremonies resumed.</t>
  </si>
  <si>
    <t xml:space="preserve">2022 EAVS report.</t>
  </si>
  <si>
    <t xml:space="preserve">969,380, highest since FY2008; USCIS backlog-reduction efforts (DHS/USCIS statements; not re-verified from box).</t>
  </si>
  <si>
    <t xml:space="preserve">2024 EAVS report (Errata v2 Feb 2026 did not revise these totals).</t>
  </si>
  <si>
    <t xml:space="preserve">2024 Errata v2 revises: moved 6,504,140; deceased 4,576,275; felony 296,581; mental incompetence 13,354; not categorized 894,413 (total not restated). Duplicate category (1,175,148) new in 2024.</t>
  </si>
  <si>
    <t xml:space="preserve">Not reported: 2025 ACS 1-year not yet released (www2.census.gov 2025 summary-file directory empty as of Sep 24, 2026).</t>
  </si>
  <si>
    <t xml:space="preserve">Not reported: FY2025 not yet in the DHS Yearbook (latest table FY2024).</t>
  </si>
  <si>
    <t xml:space="preserve">PROVISIONAL (VSRR No. 43)</t>
  </si>
  <si>
    <t xml:space="preserve">PROVISIONAL (VSRR provisional 2025)</t>
  </si>
  <si>
    <t xml:space="preserve">ACS: Not reported: 2025 ACS 1-year not yet released (www2.census.gov 2025 summary-file directory empty as of Sep 24, 2026). EAVS/CPS: Not reported (odd year; surveys are biennial for federal general elections). EAVS 2026 and CPS 2026 not yet collected; DHS FY2025 naturalizations and SSA 2025 SSNs not yet published.</t>
  </si>
  <si>
    <t xml:space="preserve">Term</t>
  </si>
  <si>
    <t xml:space="preserve">Definition / rule</t>
  </si>
  <si>
    <t xml:space="preserve">Rule</t>
  </si>
  <si>
    <t xml:space="preserve">Raw published numbers only. The only arithmetic in this workbook is year-over-year / cycle-over-cycle differences (green columns, Excel formulas) and the one sum-only Biden-period row on the Humanitarian sheet that was specifically requested. Nothing is interpolated, imputed, adjusted, averaged or reconciled.</t>
  </si>
  <si>
    <t xml:space="preserve">ACS citizens</t>
  </si>
  <si>
    <t xml:space="preserve">ACS B05001 'U.S. citizen' = native-born + born in PR/Island Areas + born abroad to US parents + naturalized. Survey estimate with margin of error (not shown). 2005 excludes group quarters. 2020 figures are experimental and not comparable.</t>
  </si>
  <si>
    <t xml:space="preserve">CVAP</t>
  </si>
  <si>
    <t xml:space="preserve">Citizen voting-age population (citizens 18+), ACS B29001 (2009+) / B05003 (earlier). EAVS reports quote CVAP from ACS, sometimes a different vintage (see Discrepancies).</t>
  </si>
  <si>
    <t xml:space="preserve">PEP</t>
  </si>
  <si>
    <t xml:space="preserve">Census Population Estimates Program July 1 resident population. Intercensal series for 2005-2019; Vintage 2025 for 2020-2025. PEP and ACS totals differ by design.</t>
  </si>
  <si>
    <t xml:space="preserve">EAVS registered</t>
  </si>
  <si>
    <t xml:space="preserve">Election Administration and Voting Survey (EAC), biennial; total = active + inactive as reported by states at close of registration for the November federal election. Some states report differently (e.g., North Dakota has no registration; 2014 some states active-only).</t>
  </si>
  <si>
    <t xml:space="preserve">Active/inactive</t>
  </si>
  <si>
    <t xml:space="preserve">Inactive = registrants sent an NVRA 8(d)(2) confirmation notice who have not responded; they remain eligible to vote and cannot be removed until they fail to respond AND do not vote in two consecutive federal general elections (52 U.S.C. 20507(d)).</t>
  </si>
  <si>
    <t xml:space="preserve">CPS registered</t>
  </si>
  <si>
    <t xml:space="preserve">Census Current Population Survey November supplement: self-reported registration of citizens 18+, in thousands. Self-reports run higher than administrative data would imply; CPS and EAVS are not directly comparable.</t>
  </si>
  <si>
    <t xml:space="preserve">Registration by citizenship type</t>
  </si>
  <si>
    <t xml:space="preserve">No administrative count of registered voters by native-born vs naturalized status exists; voter files do not record how citizenship was acquired. The only breakdown is the CPS self-report (Registration by method sheet, CPS section).</t>
  </si>
  <si>
    <t xml:space="preserve">New valid registrations</t>
  </si>
  <si>
    <t xml:space="preserve">EAVS count of applications that added a new registrant (excludes duplicates, updates, invalid/rejected). Category names changed across cycles; see Registration by method sheet for exact labels.</t>
  </si>
  <si>
    <t xml:space="preserve">Removals</t>
  </si>
  <si>
    <t xml:space="preserve">EAVS 'removed from voter lists' by reason. 'Failure to return confirmation notice' = NVRA 8(d)(1)(B) removal after notice and two federal general elections.</t>
  </si>
  <si>
    <t xml:space="preserve">NVRA 90-day rule</t>
  </si>
  <si>
    <t xml:space="preserve">52 U.S.C. 20507(c)(2)(A): states must complete any program to SYSTEMATICALLY remove ineligible voters no later than 90 days before a federal primary or general election (does not bar removals at the registrant's request, for death, criminal conviction or mental incapacity per state law, or individualized removals). Courts are split on whether systematic noncitizen removals fall under the 90-day rule (e.g., Arcia v. Florida SOS, 11th Cir. 2014; Beals v. VCIR, SCOTUS stay Oct 30, 2024; RNC v. Mi Familia Vota cert petition No. 25-1017 noted by DOJ in No. 26A308).</t>
  </si>
  <si>
    <t xml:space="preserve">NVRA notice-and-wait</t>
  </si>
  <si>
    <t xml:space="preserve">52 U.S.C. 20507(d): a registrant may not be removed on grounds of change of residence unless they confirm in writing or fail to respond to a forwardable notice and do not vote/appear in the period through the second federal general election after the notice.</t>
  </si>
  <si>
    <t xml:space="preserve">List-maintenance cost</t>
  </si>
  <si>
    <t xml:space="preserve">Not reported: no official national figure for the cost of voter-list maintenance was found in EAC or GAO sources reviewed.</t>
  </si>
  <si>
    <t xml:space="preserve">CDC births/deaths</t>
  </si>
  <si>
    <t xml:space="preserve">NCHS final counts of registered births/deaths occurring in the US (residents and nonresidents per NCHS convention for the national total). 2025 values are PROVISIONAL and will change.</t>
  </si>
  <si>
    <t xml:space="preserve">SSNs issued</t>
  </si>
  <si>
    <t xml:space="preserve">SSA original SSNs issued (thousands), calendar year per SSA tables. SSA does not publish a citizen/noncitizen split or Enumeration-at-Birth counts in its annual statistical tables.</t>
  </si>
  <si>
    <t xml:space="preserve">Naturalizations</t>
  </si>
  <si>
    <t xml:space="preserve">DHS OHSS Yearbook Table 21, fiscal year (Oct 1-Sep 30). Persons naturalized, and N-400 applications filed.</t>
  </si>
  <si>
    <t xml:space="preserve">Fiscal vs calendar</t>
  </si>
  <si>
    <t xml:space="preserve">DHS, SSI (December counts), SNAP (FY) and humanitarian data are fiscal-year or point-in-time; ACS/PEP/CDC/SSA SSN are calendar-year. Columns are labeled.</t>
  </si>
  <si>
    <t xml:space="preserve">Times</t>
  </si>
  <si>
    <t xml:space="preserve">All times in America/Denver (MT) unless a source date is quoted as-is.</t>
  </si>
  <si>
    <t xml:space="preserve">Labels</t>
  </si>
  <si>
    <t xml:space="preserve">Fact-check labels follow SwampForce rules only: Proven false / Rated misleading / Unsupported / Accurate.</t>
  </si>
  <si>
    <t xml:space="preserve">ID</t>
  </si>
  <si>
    <t xml:space="preserve">Source / table</t>
  </si>
  <si>
    <t xml:space="preserve">Exact URL</t>
  </si>
  <si>
    <t xml:space="preserve">Used for</t>
  </si>
  <si>
    <t xml:space="preserve">URL check (Sep 24, 2026)</t>
  </si>
  <si>
    <t xml:space="preserve">ACS-2021-24</t>
  </si>
  <si>
    <t xml:space="preserve">ACS 1-year table-based summary files B05001/B05003/B29001, 2021-2024 (US GEO_ID 0100000US; Colorado 0400000US08). Replace {Y} with year and table.</t>
  </si>
  <si>
    <t xml:space="preserve">https://www2.census.gov/programs-surveys/acs/summary_file/2024/table-based-SF/data/1YRData/acsdt1y2024-b05001.dat</t>
  </si>
  <si>
    <t xml:space="preserve">Main/Colorado: citizens, noncitizens, CVAP 2021-24</t>
  </si>
  <si>
    <t xml:space="preserve">Loads (curl HTTP 206, Sep 24, 2026)</t>
  </si>
  <si>
    <t xml:space="preserve">ACS-2021-24b</t>
  </si>
  <si>
    <t xml:space="preserve">ACS 2024 B05003 (sex by age by nativity/citizenship; CVAP)</t>
  </si>
  <si>
    <t xml:space="preserve">https://www2.census.gov/programs-surveys/acs/summary_file/2024/table-based-SF/data/1YRData/acsdt1y2024-b05003.dat</t>
  </si>
  <si>
    <t xml:space="preserve">ACS-2021-24c</t>
  </si>
  <si>
    <t xml:space="preserve">ACS 2024 B29001 (CVAP)</t>
  </si>
  <si>
    <t xml:space="preserve">https://www2.census.gov/programs-surveys/acs/summary_file/2024/table-based-SF/data/1YRData/acsdt1y2024-b29001.dat</t>
  </si>
  <si>
    <t xml:space="preserve">ACS-2019</t>
  </si>
  <si>
    <t xml:space="preserve">ACS 2019 1-year sequence-file (example: seq 0009 = B05001/B05003; seq 0178 = B29001). 2009-2019 use .../{Y}/data/1_year_seq_by_state/UnitedStates/{Y}1us{seq}000.zip</t>
  </si>
  <si>
    <t xml:space="preserve">https://www2.census.gov/programs-surveys/acs/summary_file/2019/data/1_year_seq_by_state/UnitedStates/20191us0009000.zip</t>
  </si>
  <si>
    <t xml:space="preserve">Main/Colorado 2009-2019</t>
  </si>
  <si>
    <t xml:space="preserve">ACS-2008</t>
  </si>
  <si>
    <t xml:space="preserve">ACS 2008 1-year sequence file (2007-2008 pattern .../{Y}/data/1_year/UnitedStates/)</t>
  </si>
  <si>
    <t xml:space="preserve">https://www2.census.gov/programs-surveys/acs/summary_file/2008/data/1_year/UnitedStates/20081us0009000.zip</t>
  </si>
  <si>
    <t xml:space="preserve">Main/Colorado 2007-2008</t>
  </si>
  <si>
    <t xml:space="preserve">ACS-2006</t>
  </si>
  <si>
    <t xml:space="preserve">ACS 2006 summary file</t>
  </si>
  <si>
    <t xml:space="preserve">https://www2.census.gov/programs-surveys/acs/summary_file/2006/data/UnitedStates/20061us0009000.zip</t>
  </si>
  <si>
    <t xml:space="preserve">Main/Colorado 2006</t>
  </si>
  <si>
    <t xml:space="preserve">ACS-2005</t>
  </si>
  <si>
    <t xml:space="preserve">ACS 2005 summary file (household population only)</t>
  </si>
  <si>
    <t xml:space="preserve">https://www2.census.gov/programs-surveys/acs/summary_file/2005/data/0UnitedStates/us0000011.2005-1yr.zip</t>
  </si>
  <si>
    <t xml:space="preserve">Main 2005</t>
  </si>
  <si>
    <t xml:space="preserve">ACS-2020X</t>
  </si>
  <si>
    <t xml:space="preserve">ACS 2020 experimental 1-year table XK200501 (citizenship), US and states</t>
  </si>
  <si>
    <t xml:space="preserve">https://www2.census.gov/programs-surveys/acs/experimental/2020/data/XK200501.xlsx</t>
  </si>
  <si>
    <t xml:space="preserve">Main/Colorado 2020</t>
  </si>
  <si>
    <t xml:space="preserve">PEP-2000s</t>
  </si>
  <si>
    <t xml:space="preserve">Census intercensal national totals 2000-2010</t>
  </si>
  <si>
    <t xml:space="preserve">https://www2.census.gov/programs-surveys/popest/datasets/2000-2010/intercensal/national/us-est00int-tot.csv</t>
  </si>
  <si>
    <t xml:space="preserve">PEP 2005-2009</t>
  </si>
  <si>
    <t xml:space="preserve">PEP-2010s</t>
  </si>
  <si>
    <t xml:space="preserve">Census intercensal national age/sex 2010-2020 (SEX=0, AGE=999 rows)</t>
  </si>
  <si>
    <t xml:space="preserve">https://www2.census.gov/programs-surveys/popest/datasets/2010-2020/intercensal/national/asrh/nc-est2020int-agesex-res.csv</t>
  </si>
  <si>
    <t xml:space="preserve">PEP 2010-2019</t>
  </si>
  <si>
    <t xml:space="preserve">PEP-2020s</t>
  </si>
  <si>
    <t xml:space="preserve">Census Vintage 2025 state/national totals (NST-EST2025-ALLDATA)</t>
  </si>
  <si>
    <t xml:space="preserve">https://www2.census.gov/programs-surveys/popest/datasets/2020-2025/state/totals/NST-EST2025-ALLDATA.csv</t>
  </si>
  <si>
    <t xml:space="preserve">PEP 2020-2025 US &amp; Colorado</t>
  </si>
  <si>
    <t xml:space="preserve">PEP-CO-2000s</t>
  </si>
  <si>
    <t xml:space="preserve">Census intercensal state age/sex 2000-2010</t>
  </si>
  <si>
    <t xml:space="preserve">https://www2.census.gov/programs-surveys/popest/datasets/2000-2010/intercensal/state/st-est00int-agesex.csv</t>
  </si>
  <si>
    <t xml:space="preserve">Colorado PEP 2005-2009</t>
  </si>
  <si>
    <t xml:space="preserve">PEP-CO-2010s</t>
  </si>
  <si>
    <t xml:space="preserve">Census intercensal Colorado age/sex 2010-2020 (Total row)</t>
  </si>
  <si>
    <t xml:space="preserve">https://www2.census.gov/programs-surveys/popest/datasets/2010-2020/intercensal/state/asrh/sc-est2020int-agesex-08.xlsx</t>
  </si>
  <si>
    <t xml:space="preserve">Colorado PEP 2010-2019</t>
  </si>
  <si>
    <t xml:space="preserve">CPS-2024</t>
  </si>
  <si>
    <t xml:space="preserve">CPS Voting &amp; Registration Supplement 2024, Table 4a (state) and Table 11 (nativity)</t>
  </si>
  <si>
    <t xml:space="preserve">https://www2.census.gov/programs-surveys/cps/tables/p20/587/vote04a_2024.xlsx</t>
  </si>
  <si>
    <t xml:space="preserve">CPS registration 2024</t>
  </si>
  <si>
    <t xml:space="preserve">CPS-2024-11</t>
  </si>
  <si>
    <t xml:space="preserve">CPS 2024 Table 11 (native vs naturalized)</t>
  </si>
  <si>
    <t xml:space="preserve">https://www2.census.gov/programs-surveys/cps/tables/p20/587/vote11_2024.xlsx</t>
  </si>
  <si>
    <t xml:space="preserve">CPS nativity 2024</t>
  </si>
  <si>
    <t xml:space="preserve">CPS-2022</t>
  </si>
  <si>
    <t xml:space="preserve">CPS 2022 Table 4a</t>
  </si>
  <si>
    <t xml:space="preserve">https://www2.census.gov/programs-surveys/cps/tables/p20/586/vote04a_2022.xlsx</t>
  </si>
  <si>
    <t xml:space="preserve">CPS 2022</t>
  </si>
  <si>
    <t xml:space="preserve">CPS-2022-11</t>
  </si>
  <si>
    <t xml:space="preserve">CPS 2022 Table 11</t>
  </si>
  <si>
    <t xml:space="preserve">https://www2.census.gov/programs-surveys/cps/tables/p20/586/vote11_2022.xlsx</t>
  </si>
  <si>
    <t xml:space="preserve">CPS-2012</t>
  </si>
  <si>
    <t xml:space="preserve">CPS 2012 Table 4a</t>
  </si>
  <si>
    <t xml:space="preserve">https://www2.census.gov/programs-surveys/cps/tables/p20/568/table04a.xls</t>
  </si>
  <si>
    <t xml:space="preserve">CPS 2012</t>
  </si>
  <si>
    <t xml:space="preserve">CPS-2010</t>
  </si>
  <si>
    <t xml:space="preserve">CPS 2010 Table 4a</t>
  </si>
  <si>
    <t xml:space="preserve">https://www2.census.gov/programs-surveys/cps/tables/p20/voting-registration-2010-election/table4a_2010.xls</t>
  </si>
  <si>
    <t xml:space="preserve">CPS 2010</t>
  </si>
  <si>
    <t xml:space="preserve">CPS-2008</t>
  </si>
  <si>
    <t xml:space="preserve">CPS 2008 Table 4a</t>
  </si>
  <si>
    <t xml:space="preserve">https://www2.census.gov/programs-surveys/cps/tables/p20/562-rv/table-04a.xls</t>
  </si>
  <si>
    <t xml:space="preserve">CPS 2008</t>
  </si>
  <si>
    <t xml:space="preserve">CPS-2006</t>
  </si>
  <si>
    <t xml:space="preserve">CPS 2006 Table 4a</t>
  </si>
  <si>
    <t xml:space="preserve">https://www2.census.gov/programs-surveys/cps/tables/p20/557/tab04a.xls</t>
  </si>
  <si>
    <t xml:space="preserve">CPS 2006</t>
  </si>
  <si>
    <t xml:space="preserve">CPS-dir</t>
  </si>
  <si>
    <t xml:space="preserve">CPS P20 table directories for 2014 (577/), 2016 (580/), 2018 (583/), 2020 (585/)</t>
  </si>
  <si>
    <t xml:space="preserve">https://www2.census.gov/programs-surveys/cps/tables/p20/585/</t>
  </si>
  <si>
    <t xml:space="preserve">CPS 2014-2020</t>
  </si>
  <si>
    <t xml:space="preserve">Loads (curl HTTP 200, Sep 24, 2026)</t>
  </si>
  <si>
    <t xml:space="preserve">EAVS-2024</t>
  </si>
  <si>
    <t xml:space="preserve">EAC 2024 EAVS Comprehensive Report</t>
  </si>
  <si>
    <t xml:space="preserve">https://www.eac.gov/sites/default/files/2025-07/2024_EAVS_Report_508.pdf</t>
  </si>
  <si>
    <t xml:space="preserve">EAVS 2024 US &amp; Colorado</t>
  </si>
  <si>
    <t xml:space="preserve">EAVS-2024E</t>
  </si>
  <si>
    <t xml:space="preserve">EAC Errata Note 2024 EAVS v2 (Feb 2026)</t>
  </si>
  <si>
    <t xml:space="preserve">https://www.eac.gov/sites/default/files/2026-02/Errata_Note_2024_EAVS_v2.pdf</t>
  </si>
  <si>
    <t xml:space="preserve">2024 revisions</t>
  </si>
  <si>
    <t xml:space="preserve">EAVS-2022</t>
  </si>
  <si>
    <t xml:space="preserve">EAC 2022 EAVS Comprehensive Report</t>
  </si>
  <si>
    <t xml:space="preserve">https://www.eac.gov/sites/default/files/2024-11/2022_EAVS_Report_508c.pdf</t>
  </si>
  <si>
    <t xml:space="preserve">EAVS 2022</t>
  </si>
  <si>
    <t xml:space="preserve">EAVS-2020</t>
  </si>
  <si>
    <t xml:space="preserve">EAC 2020 EAVS Comprehensive Report</t>
  </si>
  <si>
    <t xml:space="preserve">https://www.eac.gov/sites/default/files/document_library/files/2020_EAVS_Report_Final_508c.pdf</t>
  </si>
  <si>
    <t xml:space="preserve">EAVS 2020</t>
  </si>
  <si>
    <t xml:space="preserve">EAVS-2018</t>
  </si>
  <si>
    <t xml:space="preserve">EAC 2018 EAVS Comprehensive Report</t>
  </si>
  <si>
    <t xml:space="preserve">https://www.eac.gov/sites/default/files/eac_assets/1/6/2018_EAVS_Report.pdf</t>
  </si>
  <si>
    <t xml:space="preserve">EAVS 2018</t>
  </si>
  <si>
    <t xml:space="preserve">EAVS-2018A</t>
  </si>
  <si>
    <t xml:space="preserve">EAC 2018 EAVS descriptive tables appendix (xlsx)</t>
  </si>
  <si>
    <t xml:space="preserve">https://www.eac.gov/sites/default/files/eac_assets/1/6/2018_EAVS_and_Policy_Survey_Online_Appendices_-_Descriptive_Tables.xlsx</t>
  </si>
  <si>
    <t xml:space="preserve">EAVS 2018 detail</t>
  </si>
  <si>
    <t xml:space="preserve">EAVS-2016</t>
  </si>
  <si>
    <t xml:space="preserve">EAC 2016 EAVS Comprehensive Report</t>
  </si>
  <si>
    <t xml:space="preserve">https://www.eac.gov/sites/default/files/eac_assets/1/6/2016_EAVS_Comprehensive_Report.pdf</t>
  </si>
  <si>
    <t xml:space="preserve">EAVS 2016</t>
  </si>
  <si>
    <t xml:space="preserve">EAVS-2014</t>
  </si>
  <si>
    <t xml:space="preserve">EAC 2014 EAVS Comprehensive Report</t>
  </si>
  <si>
    <t xml:space="preserve">https://www.eac.gov/sites/default/files/eac_assets/1/1/2014_EAC_EAVS_Comprehensive_Report_508_Compliant.pdf</t>
  </si>
  <si>
    <t xml:space="preserve">EAVS 2014</t>
  </si>
  <si>
    <t xml:space="preserve">NVRA-2012</t>
  </si>
  <si>
    <t xml:space="preserve">EAC NVRA Report 2011-2012</t>
  </si>
  <si>
    <t xml:space="preserve">https://www.eac.gov/sites/default/files/eac_assets/1/28/EAC_NVRA%20Report_lowres.pdf</t>
  </si>
  <si>
    <t xml:space="preserve">Registration 2012</t>
  </si>
  <si>
    <t xml:space="preserve">NVRA-2010</t>
  </si>
  <si>
    <t xml:space="preserve">EAC NVRA Report 2009-2010</t>
  </si>
  <si>
    <t xml:space="preserve">https://www.eac.gov/sites/default/files/eac_assets/1/28/2010%20NVRA%20FINAL%20REPORT.pdf</t>
  </si>
  <si>
    <t xml:space="preserve">Registration 2010</t>
  </si>
  <si>
    <t xml:space="preserve">NVRA-2008</t>
  </si>
  <si>
    <t xml:space="preserve">EAC NVRA Report 2007-2008</t>
  </si>
  <si>
    <t xml:space="preserve">https://www.eac.gov/sites/default/files/eac_assets/1/6/The%20Impact%20of%20the%20National%20Voter%20Registration%20Act%20on%20Federal%20Elections%202007-2008.pdf</t>
  </si>
  <si>
    <t xml:space="preserve">Registration 2008</t>
  </si>
  <si>
    <t xml:space="preserve">NVRA-2006</t>
  </si>
  <si>
    <t xml:space="preserve">EAC NVRA Reports and Data Sets 2005-2006</t>
  </si>
  <si>
    <t xml:space="preserve">https://www.eac.gov/sites/default/files/eac_assets/1/1/NVRA%20Reports%20and%20Data%20Sets%202006-2005.pdf</t>
  </si>
  <si>
    <t xml:space="preserve">Registration 2006</t>
  </si>
  <si>
    <t xml:space="preserve">EAVS-2006</t>
  </si>
  <si>
    <t xml:space="preserve">EAC 2006 EAVS Report (all chapters)</t>
  </si>
  <si>
    <t xml:space="preserve">https://www.eac.gov/sites/default/files/eac_assets/1/6/2006_EAVS_Report_(All_Chapters).pdf</t>
  </si>
  <si>
    <t xml:space="preserve">2006 totals, Colorado 2006</t>
  </si>
  <si>
    <t xml:space="preserve">DHS-NAT</t>
  </si>
  <si>
    <t xml:space="preserve">DHS OHSS Yearbook FY2024 naturalization tables (Table 21)</t>
  </si>
  <si>
    <t xml:space="preserve">https://ohss.dhs.gov/system/files/2026-06/2026_0604_ohss_yearbook_naturalizations_fy2024.xlsx</t>
  </si>
  <si>
    <t xml:space="preserve">Naturalizations FY2005-2024</t>
  </si>
  <si>
    <t xml:space="preserve">DHS-REF</t>
  </si>
  <si>
    <t xml:space="preserve">DHS OHSS Yearbook FY2024 refugee tables (Table 13)</t>
  </si>
  <si>
    <t xml:space="preserve">https://ohss.dhs.gov/system/files/2025-08/2025_0812_ohss_yearbook_refugees_fy2024.xlsx</t>
  </si>
  <si>
    <t xml:space="preserve">Refugee arrivals</t>
  </si>
  <si>
    <t xml:space="preserve">DHS-ASY</t>
  </si>
  <si>
    <t xml:space="preserve">DHS OHSS Yearbook FY2024 asylee tables (Table 16)</t>
  </si>
  <si>
    <t xml:space="preserve">https://ohss.dhs.gov/system/files/2026-08/2026_0805_ohss_yearbook_asylees_fy2024.xlsx</t>
  </si>
  <si>
    <t xml:space="preserve">Asylum grants</t>
  </si>
  <si>
    <t xml:space="preserve">CDC-BIRTHS-API</t>
  </si>
  <si>
    <t xml:space="preserve">NCHS births dataset (data.cdc.gov e6fc-ccez)</t>
  </si>
  <si>
    <t xml:space="preserve">https://data.cdc.gov/resource/e6fc-ccez.json</t>
  </si>
  <si>
    <t xml:space="preserve">Births 2005-2018</t>
  </si>
  <si>
    <t xml:space="preserve">CDC-NVSR75-2</t>
  </si>
  <si>
    <t xml:space="preserve">NVSR Vol 75 No 2, Births: Final Data for 2024 (Jun 9, 2026) - CDC Stacks record</t>
  </si>
  <si>
    <t xml:space="preserve">https://stacks.cdc.gov/view/cdc/252440</t>
  </si>
  <si>
    <t xml:space="preserve">Births 2019-2024</t>
  </si>
  <si>
    <t xml:space="preserve">NOT verified from box: HTTP 403 (site blocks the box); figure taken from search-index/text copy - re-check manually</t>
  </si>
  <si>
    <t xml:space="preserve">CDC-VSRR43</t>
  </si>
  <si>
    <t xml:space="preserve">VSRR No. 43, Births: Provisional Data for 2025 (Apr 2026)</t>
  </si>
  <si>
    <t xml:space="preserve">https://www.cdc.gov/nchs/data/vsrr/vsrr043.pdf</t>
  </si>
  <si>
    <t xml:space="preserve">Births 2025 provisional (cdc.gov returns 403 to the box; figure confirmed via search index only)</t>
  </si>
  <si>
    <t xml:space="preserve">CDC-DEATHS-API</t>
  </si>
  <si>
    <t xml:space="preserve">NCHS leading causes of death dataset (data.cdc.gov bi63-dtpu), All causes, United States</t>
  </si>
  <si>
    <t xml:space="preserve">https://data.cdc.gov/resource/bi63-dtpu.json</t>
  </si>
  <si>
    <t xml:space="preserve">Deaths 2005-2017</t>
  </si>
  <si>
    <t xml:space="preserve">CDC-DB548</t>
  </si>
  <si>
    <t xml:space="preserve">NCHS Data Brief 548, Mortality in the United States 2024 (govinfo mirror)</t>
  </si>
  <si>
    <t xml:space="preserve">https://www.govinfo.gov/content/pkg/GOVPUB-HE20_6200-PURL-gpo252909/pdf/GOVPUB-HE20_6200-PURL-gpo252909.pdf</t>
  </si>
  <si>
    <t xml:space="preserve">Deaths 2024</t>
  </si>
  <si>
    <t xml:space="preserve">CDC-DB492</t>
  </si>
  <si>
    <t xml:space="preserve">NCHS Data Brief 492, Mortality 2022 (govinfo mirror)</t>
  </si>
  <si>
    <t xml:space="preserve">https://www.govinfo.gov/content/pkg/GOVPUB-HE20_6200-PURL-gpo224125/pdf/GOVPUB-HE20_6200-PURL-gpo224125.pdf</t>
  </si>
  <si>
    <t xml:space="preserve">Deaths 2022</t>
  </si>
  <si>
    <t xml:space="preserve">CDC-DB521</t>
  </si>
  <si>
    <t xml:space="preserve">NCHS Data Brief 521, Mortality 2023 (CDC Stacks)</t>
  </si>
  <si>
    <t xml:space="preserve">https://stacks.cdc.gov/view/cdc/170564/cdc_170564_DS1.pdf</t>
  </si>
  <si>
    <t xml:space="preserve">Deaths 2023</t>
  </si>
  <si>
    <t xml:space="preserve">CDC-DBS</t>
  </si>
  <si>
    <t xml:space="preserve">NCHS Data Briefs 355 (2018), 395 (2019), 427 (2020), 456 (2021): https://www.cdc.gov/nchs/products/databriefs/db{N}.htm</t>
  </si>
  <si>
    <t xml:space="preserve">https://www.cdc.gov/nchs/products/databriefs/db456.htm</t>
  </si>
  <si>
    <t xml:space="preserve">Deaths 2018-2021 (cdc.gov 403 from box; unverifiable from box)</t>
  </si>
  <si>
    <t xml:space="preserve">CDC-PROV25</t>
  </si>
  <si>
    <t xml:space="preserve">Mortality in the United States: Provisional Data, 2025 (VSRR, ~Jul 2026; NCBI NBK623755)</t>
  </si>
  <si>
    <t xml:space="preserve">https://www.ncbi.nlm.nih.gov/books/NBK623755/</t>
  </si>
  <si>
    <t xml:space="preserve">Deaths 2025 provisional (403 from box; from search index)</t>
  </si>
  <si>
    <t xml:space="preserve">SSA-4B1</t>
  </si>
  <si>
    <t xml:space="preserve">SSA Annual Statistical Supplement 2020, Table 4.B1 (SSNs issued)</t>
  </si>
  <si>
    <t xml:space="preserve">https://www.ssa.gov/policy/docs/statcomps/supplement/2020/4b.html</t>
  </si>
  <si>
    <t xml:space="preserve">SSNs 2005-2019</t>
  </si>
  <si>
    <t xml:space="preserve">Loads via WebFetch; curl from box returns HTTP 403 (bot block)</t>
  </si>
  <si>
    <t xml:space="preserve">SSA-2F</t>
  </si>
  <si>
    <t xml:space="preserve">SSA Annual Statistical Supplement 2025, Table 2.F12 (SSNs issued, by age)</t>
  </si>
  <si>
    <t xml:space="preserve">https://www.ssa.gov/policy/docs/statcomps/supplement/2025/2f.html</t>
  </si>
  <si>
    <t xml:space="preserve">SSNs 2020-2024</t>
  </si>
  <si>
    <t xml:space="preserve">GAO-04-12</t>
  </si>
  <si>
    <t xml:space="preserve">GAO-04-12 SSA enumeration (FY2002 citizen/noncitizen split)</t>
  </si>
  <si>
    <t xml:space="preserve">https://www.gao.gov/assets/gao-04-12.pdf</t>
  </si>
  <si>
    <t xml:space="preserve">Only official citizen/noncitizen SSN split found</t>
  </si>
  <si>
    <t xml:space="preserve">SSA-SSI-NC</t>
  </si>
  <si>
    <t xml:space="preserve">SSA SSI Annual Statistical Report 2024, Noncitizens (Tables 29-33)</t>
  </si>
  <si>
    <t xml:space="preserve">https://www.ssa.gov/policy/docs/statcomps/ssi_asr/2024/sect05.html</t>
  </si>
  <si>
    <t xml:space="preserve">SSI noncitizen recipients 2005-2024</t>
  </si>
  <si>
    <t xml:space="preserve">FNS-SNAP23</t>
  </si>
  <si>
    <t xml:space="preserve">USDA FNS Characteristics of SNAP Households FY2023 (Table A.23 / B.16)</t>
  </si>
  <si>
    <t xml:space="preserve">https://fns-prod.azureedge.us/sites/default/files/resource-files/snap-FY23-Characteristics-Report.pdf</t>
  </si>
  <si>
    <t xml:space="preserve">SNAP participants by citizenship FY2023</t>
  </si>
  <si>
    <t xml:space="preserve">CBO-EMED</t>
  </si>
  <si>
    <t xml:space="preserve">CBO letter to Rep. Arrington on Emergency Medicaid spending (Oct 2, 2024)</t>
  </si>
  <si>
    <t xml:space="preserve">https://www.cbo.gov/system/files/2024-10/Arrington_Letter_EmergencyMedicaid_Immigration_final.pdf</t>
  </si>
  <si>
    <t xml:space="preserve">Emergency Medicaid FY2017-2023 (cbo.gov returned 403/500 to the box)</t>
  </si>
  <si>
    <t xml:space="preserve">KFF-EMED</t>
  </si>
  <si>
    <t xml:space="preserve">KFF Quick Take on CBO Emergency Medicaid figures (Oct 4, 2024)</t>
  </si>
  <si>
    <t xml:space="preserve">https://www.kff.org/quick-insights/less-than-1-of-total-medicaid-spending-goes-to-emergency-care-for-noncitizen-immigrants/</t>
  </si>
  <si>
    <t xml:space="preserve">Corroborates $3.8B FY2023</t>
  </si>
  <si>
    <t xml:space="preserve">EO14248</t>
  </si>
  <si>
    <t xml:space="preserve">Executive Order 14248, 90 FR 14005 (Mar 28, 2025)</t>
  </si>
  <si>
    <t xml:space="preserve">https://www.govinfo.gov/content/pkg/FR-2025-03-28/pdf/2025-05523.pdf</t>
  </si>
  <si>
    <t xml:space="preserve">Harris claim / federal actions</t>
  </si>
  <si>
    <t xml:space="preserve">LULAC-217</t>
  </si>
  <si>
    <t xml:space="preserve">LULAC v. EOP, D.D.C. 25-cv-946, Oct 31, 2025 order (ECF 217)</t>
  </si>
  <si>
    <t xml:space="preserve">https://assets.aclu.org/live/uploads/2025/10/217-Order-Granting-MSJ.pdf</t>
  </si>
  <si>
    <t xml:space="preserve">EO 14248 ruling</t>
  </si>
  <si>
    <t xml:space="preserve">LULAC-235</t>
  </si>
  <si>
    <t xml:space="preserve">LULAC v. EOP, Jan 30, 2026 order (ECF 235)</t>
  </si>
  <si>
    <t xml:space="preserve">https://storage.courtlistener.com/recap/gov.uscourts.dcd.279032/gov.uscourts.dcd.279032.235.0_1.pdf</t>
  </si>
  <si>
    <t xml:space="preserve">SCOTUS-26A124</t>
  </si>
  <si>
    <t xml:space="preserve">Trump v. California, No. 26A124 (Aug 24, 2026)</t>
  </si>
  <si>
    <t xml:space="preserve">https://www.supremecourt.gov/opinions/25pdf/26a124_hgci.pdf</t>
  </si>
  <si>
    <t xml:space="preserve">EO 14399 stay</t>
  </si>
  <si>
    <t xml:space="preserve">LWV-ORDER</t>
  </si>
  <si>
    <t xml:space="preserve">League of Women Voters v. DHS, D.D.C. 25-cv-3501, Jun 22, 2026 order</t>
  </si>
  <si>
    <t xml:space="preserve">https://epic.org/wp-content/uploads/2026/06/LWV-ordr.pdf</t>
  </si>
  <si>
    <t xml:space="preserve">SAVE vacatur</t>
  </si>
  <si>
    <t xml:space="preserve">LWV-OP</t>
  </si>
  <si>
    <t xml:space="preserve">LWV v. DHS memorandum opinion (Jun 2026)</t>
  </si>
  <si>
    <t xml:space="preserve">https://www.lwv.org/sites/default/files/2026-06/LWV%20v.%20DHS%20Mem%20Op.pdf</t>
  </si>
  <si>
    <t xml:space="preserve">SCOTUS-26A308</t>
  </si>
  <si>
    <t xml:space="preserve">DHS v. League of Women Voters, No. 26A308 stay application (Sep 8, 2026)</t>
  </si>
  <si>
    <t xml:space="preserve">https://www.supremecourt.gov/DocketPDF/26/26A308/423264/20260908101245314_DHS%20v%20League%20of%20Women%20Voters%20Stay%20Application.pdf</t>
  </si>
  <si>
    <t xml:space="preserve">SAVE figures (65M verified; 28,635 flagged)</t>
  </si>
  <si>
    <t xml:space="preserve">NCSL-LISTS</t>
  </si>
  <si>
    <t xml:space="preserve">NCSL, Federal requests for statewide voter lists (updated Sep 15, 2026)</t>
  </si>
  <si>
    <t xml:space="preserve">https://www.ncsl.org/elections-and-campaigns/federal-requests-for-statewide-voter-lists</t>
  </si>
  <si>
    <t xml:space="preserve">DOJ voter-list suits</t>
  </si>
  <si>
    <t xml:space="preserve">UW-TRACKER</t>
  </si>
  <si>
    <t xml:space="preserve">UW State Democracy Research Initiative tracker of DOJ voter-data suits</t>
  </si>
  <si>
    <t xml:space="preserve">https://statedemocracy.law.wisc.edu/our-work/tracker-doj-lawsuits-seeking-states-sensitive-voter-data</t>
  </si>
  <si>
    <t xml:space="preserve">DOJ suits</t>
  </si>
  <si>
    <t xml:space="preserve">TX-SOS-2026</t>
  </si>
  <si>
    <t xml:space="preserve">Texas SOS news release Sep 15, 2026 (SAVE results)</t>
  </si>
  <si>
    <t xml:space="preserve">https://www.sos.texas.gov/about/newsreleases/2026/091526.shtml</t>
  </si>
  <si>
    <t xml:space="preserve">Texas SAVE referrals</t>
  </si>
  <si>
    <t xml:space="preserve">PADILLA-WB</t>
  </si>
  <si>
    <t xml:space="preserve">Sens. Padilla/Schumer release on DHS whistleblower (Sep 14, 2026)</t>
  </si>
  <si>
    <t xml:space="preserve">https://www.padilla.senate.gov/newsroom/press-releases/padilla-schumer-announce-dhs-whistleblower-report-revealing-trump-administration-directed-officers-to-break-state-laws-in-voter-fraud-hunt/</t>
  </si>
  <si>
    <t xml:space="preserve">USCIS voter initiative allegations</t>
  </si>
  <si>
    <t xml:space="preserve">DOJ-16</t>
  </si>
  <si>
    <t xml:space="preserve">DOJ OPA release 26-1082, 16 charged (Sep 18, 2026)</t>
  </si>
  <si>
    <t xml:space="preserve">https://www.justice.gov/opa/pr/department-justice-charges-16-individuals-illegal-voting-and-related-election-crimes</t>
  </si>
  <si>
    <t xml:space="preserve">Prosecutions</t>
  </si>
  <si>
    <t xml:space="preserve">Loads via WebFetch; curl from box returns HTTP 401 (bot block)</t>
  </si>
  <si>
    <t xml:space="preserve">PBS-AP-160</t>
  </si>
  <si>
    <t xml:space="preserve">AP via PBS, 160 arrests / 70 charged (Sep 23, 2026)</t>
  </si>
  <si>
    <t xml:space="preserve">https://www.pbs.org/newshour/politics/trumps-focus-on-noncitizen-voting-has-led-to-160-arrests-that-shows-its-rare-experts-say</t>
  </si>
  <si>
    <t xml:space="preserve">Prosecution totals</t>
  </si>
  <si>
    <t xml:space="preserve">CBS-HARRIS</t>
  </si>
  <si>
    <t xml:space="preserve">AP via CBS Detroit, Harris campaigns with El-Sayed (Sep 23, 2026)</t>
  </si>
  <si>
    <t xml:space="preserve">https://www.cbsnews.com/detroit/news/harris-el-sayed-michigan-senate-campaign/</t>
  </si>
  <si>
    <t xml:space="preserve">Harris event</t>
  </si>
  <si>
    <t xml:space="preserve">Loads via WebFetch; curl from box returns HTTP 406 (bot block)</t>
  </si>
  <si>
    <t xml:space="preserve">TOWNHALL-HARRIS</t>
  </si>
  <si>
    <t xml:space="preserve">Townhall transcription of Harris clip (Sep 23, 2026)</t>
  </si>
  <si>
    <t xml:space="preserve">https://townhall.com/news/amy-curtis/2026/09/23/kamala-harris-removing-ineligible-voters-is-cheating-n2683440</t>
  </si>
  <si>
    <t xml:space="preserve">Harris quote (secondary)</t>
  </si>
  <si>
    <t xml:space="preserve">BELTWAY-HARRIS</t>
  </si>
  <si>
    <t xml:space="preserve">Beltway Report transcription of Harris clip</t>
  </si>
  <si>
    <t xml:space="preserve">https://thebeltwayreport.com/2026/09/kamala-harris-campaigns-in-detroit-calls-voter-roll-purges-cheating/</t>
  </si>
  <si>
    <t xml:space="preserve">FOXBIZ-HARRIS</t>
  </si>
  <si>
    <t xml:space="preserve">Fox Business video page, Harris fireside chat in Detroit (full event)</t>
  </si>
  <si>
    <t xml:space="preserve">https://www.foxbusiness.com/video/6405446700112</t>
  </si>
  <si>
    <t xml:space="preserve">Harris video (could not be played/transcribed from box)</t>
  </si>
  <si>
    <t xml:space="preserve">HR22-STATUS</t>
  </si>
  <si>
    <t xml:space="preserve">H.R. 22 (SAVE Act) bill status XML (govinfo)</t>
  </si>
  <si>
    <t xml:space="preserve">https://www.govinfo.gov/bulkdata/BILLSTATUS/119/hr/BILLSTATUS-119hr22.xml</t>
  </si>
  <si>
    <t xml:space="preserve">SAVE Act status</t>
  </si>
  <si>
    <t xml:space="preserve">HR22-TEXT</t>
  </si>
  <si>
    <t xml:space="preserve">H.R. 22 engrossed in House (text)</t>
  </si>
  <si>
    <t xml:space="preserve">https://www.govinfo.gov/content/pkg/BILLS-119hr22eh/html/BILLS-119hr22eh.htm</t>
  </si>
  <si>
    <t xml:space="preserve">SAVE Act text</t>
  </si>
  <si>
    <t xml:space="preserve">S1383-STATUS</t>
  </si>
  <si>
    <t xml:space="preserve">S. 1383 bill status XML (vehicle for SAVE America Act House amendment)</t>
  </si>
  <si>
    <t xml:space="preserve">https://www.govinfo.gov/bulkdata/BILLSTATUS/119/s/BILLSTATUS-119s1383.xml</t>
  </si>
  <si>
    <t xml:space="preserve">SAVE America Act status</t>
  </si>
  <si>
    <t xml:space="preserve">S1383-TEXT</t>
  </si>
  <si>
    <t xml:space="preserve">S. 1383 engrossed House amendment (SAVE America Act text)</t>
  </si>
  <si>
    <t xml:space="preserve">https://www.govinfo.gov/content/pkg/BILLS-119s1383eah/html/BILLS-119s1383eah.htm</t>
  </si>
  <si>
    <t xml:space="preserve">SAVE America Act text</t>
  </si>
  <si>
    <t xml:space="preserve">HR7296-STATUS</t>
  </si>
  <si>
    <t xml:space="preserve">H.R. 7296 SAVE America Act bill status (introduced version; referred only)</t>
  </si>
  <si>
    <t xml:space="preserve">https://www.govinfo.gov/bulkdata/BILLSTATUS/119/hr/BILLSTATUS-119hr7296.xml</t>
  </si>
  <si>
    <t xml:space="preserve">HOUSE-ROLL69</t>
  </si>
  <si>
    <t xml:space="preserve">House Clerk roll call 69 (Feb 11, 2026), S. 1383 passage 218-213</t>
  </si>
  <si>
    <t xml:space="preserve">https://clerk.house.gov/evs/2026/roll069.xml</t>
  </si>
  <si>
    <t xml:space="preserve">SAVE America Act vote</t>
  </si>
  <si>
    <t xml:space="preserve">ROLLCALL-SAVE</t>
  </si>
  <si>
    <t xml:space="preserve">Roll Call, House passes revamped citizenship and voter ID bill (Feb 11, 2026)</t>
  </si>
  <si>
    <t xml:space="preserve">https://rollcall.com/2026/02/11/house-passes-revamped-citizenship-voter-id-bill/</t>
  </si>
  <si>
    <t xml:space="preserve">SAVE America Act context</t>
  </si>
  <si>
    <t xml:space="preserve">CO-SOS-2013</t>
  </si>
  <si>
    <t xml:space="preserve">Colorado SOS release Jul 1, 2013: 155 noncitizen voters referred</t>
  </si>
  <si>
    <t xml:space="preserve">https://www.sos.state.co.us/pubs/newsRoom/pressReleases/2013/PR20130701NoncitizenVoters.html</t>
  </si>
  <si>
    <t xml:space="preserve">Colorado referrals</t>
  </si>
  <si>
    <t xml:space="preserve">CBS-CO-2022</t>
  </si>
  <si>
    <t xml:space="preserve">AP via CBS Colorado, 30,000 noncitizens got registration mailer (Oct 2022)</t>
  </si>
  <si>
    <t xml:space="preserve">https://www.cbsnews.com/colorado/news/colorado-30000-noncitizens-vote-registration-mailer/</t>
  </si>
  <si>
    <t xml:space="preserve">Griswold postcard</t>
  </si>
  <si>
    <t xml:space="preserve">AFP-CO-2022</t>
  </si>
  <si>
    <t xml:space="preserve">AFP Fact Check on Colorado mailer (Oct 13, 2022)</t>
  </si>
  <si>
    <t xml:space="preserve">https://factcheck.afp.com/doc.afp.com.32LA24U</t>
  </si>
  <si>
    <t xml:space="preserve">KUNC-CO-2024</t>
  </si>
  <si>
    <t xml:space="preserve">KUNC, How does Colorado keep noncitizens and dead people from voting? (Oct 31, 2024)</t>
  </si>
  <si>
    <t xml:space="preserve">https://www.kunc.org/news/2024-10-31/how-does-colorado-keep-noncitizens-and-dead-people-from-voting</t>
  </si>
  <si>
    <t xml:space="preserve">Colorado safeguards</t>
  </si>
  <si>
    <t xml:space="preserve">JW-CO-113</t>
  </si>
  <si>
    <t xml:space="preserve">Judicial Watch v. Griswold, D. Colo. 20-cv-02992, ECF 113 order (Feb 27, 2024)</t>
  </si>
  <si>
    <t xml:space="preserve">https://storage.courtlistener.com/recap/gov.uscourts.cod.201356/gov.uscourts.cod.201356.113.0.pdf</t>
  </si>
  <si>
    <t xml:space="preserve">JW Colorado figures</t>
  </si>
  <si>
    <t xml:space="preserve">JW-CO-105</t>
  </si>
  <si>
    <t xml:space="preserve">Judicial Watch v. Griswold notice of dismissal &amp; settlement (Mar 30, 2023)</t>
  </si>
  <si>
    <t xml:space="preserve">https://www.democracydocket.com/wp-content/uploads/2020/11/105-2-notice-of-dismissal-and-settlement-agreementpdf.pdf</t>
  </si>
  <si>
    <t xml:space="preserve">JW Colorado settlement</t>
  </si>
  <si>
    <t xml:space="preserve">JW-LA</t>
  </si>
  <si>
    <t xml:space="preserve">Judicial Watch v. Logan, C.D. Cal. 2:17-cv-08948, settlement agreement (Jan 2019)</t>
  </si>
  <si>
    <t xml:space="preserve">https://www.judicialwatch.org/wp-content/uploads/2019/01/JW-v-Logan-California-NVRA-settlement-08948.pdf</t>
  </si>
  <si>
    <t xml:space="preserve">JW LA County</t>
  </si>
  <si>
    <t xml:space="preserve">JW-LA-PR</t>
  </si>
  <si>
    <t xml:space="preserve">Judicial Watch press release on LA settlement</t>
  </si>
  <si>
    <t xml:space="preserve">https://www.judicialwatch.org/california-and-los-angeles-county-to-remove-1-5-million-inactive-voters-from-voter-rolls-settle-judicial-watch-federal-lawsuit/</t>
  </si>
  <si>
    <t xml:space="preserve">JW claim</t>
  </si>
  <si>
    <t xml:space="preserve">JW-KY</t>
  </si>
  <si>
    <t xml:space="preserve">Judicial Watch v. Grimes, E.D. Ky. 3:17-cv-94 (Clearinghouse record)</t>
  </si>
  <si>
    <t xml:space="preserve">https://clearinghouse.net/case/43775/</t>
  </si>
  <si>
    <t xml:space="preserve">JW Kentucky consent judgment</t>
  </si>
  <si>
    <t xml:space="preserve">JW-NC</t>
  </si>
  <si>
    <t xml:space="preserve">Judicial Watch press release, NC settlement (430,000 inactive removed)</t>
  </si>
  <si>
    <t xml:space="preserve">https://www.judicialwatch.org/north-carolina-voter-rolls-lawsuit/</t>
  </si>
  <si>
    <t xml:space="preserve">JW North Carolina</t>
  </si>
  <si>
    <t xml:space="preserve">JW-CO-372</t>
  </si>
  <si>
    <t xml:space="preserve">Judicial Watch press release, Colorado removes 372,000 inactive voters</t>
  </si>
  <si>
    <t xml:space="preserve">https://www.judicialwatch.org/colorado-removes-372000-inactive-voters-from-its-rolls-after-lawsuit/</t>
  </si>
  <si>
    <t xml:space="preserve">JW claim Colorado</t>
  </si>
  <si>
    <t xml:space="preserve">NJ-GOV-0721</t>
  </si>
  <si>
    <t xml:space="preserve">NJ Governor statement Jul 21, 2026 (MVC software error, ~6,600)</t>
  </si>
  <si>
    <t xml:space="preserve">https://www.nj.gov/governor/news/2026/20260721a.shtml</t>
  </si>
  <si>
    <t xml:space="preserve">New Jersey</t>
  </si>
  <si>
    <t xml:space="preserve">NJ-GOV-0819</t>
  </si>
  <si>
    <t xml:space="preserve">NJ Governor update Aug 19, 2026 (5,100 deleted; 1,450 rejected; ~340 voted; ~220 review)</t>
  </si>
  <si>
    <t xml:space="preserve">https://www.nj.gov/governor/news/2026/20260819a.shtml</t>
  </si>
  <si>
    <t xml:space="preserve">REUTERS-30K</t>
  </si>
  <si>
    <t xml:space="preserve">Reuters via USA Today, states may have added 30,000+ self-declared noncitizens since 2000 (Sep 23, 2026)</t>
  </si>
  <si>
    <t xml:space="preserve">https://www.usatoday.com/story/news/politics/elections/2026/09/23/30000-noncitizens-may-have-been-added-to-voter-rolls/91907784007/</t>
  </si>
  <si>
    <t xml:space="preserve">Item I</t>
  </si>
  <si>
    <t xml:space="preserve">GA-2024</t>
  </si>
  <si>
    <t xml:space="preserve">Georgia SOS citizenship audit statement copy (Oct 23, 2024)</t>
  </si>
  <si>
    <t xml:space="preserve">https://justthenews.com/sites/default/files/2024-10/FILE_7419.pdf</t>
  </si>
  <si>
    <t xml:space="preserve">Georgia audit</t>
  </si>
  <si>
    <t xml:space="preserve">TX-GOV-2024</t>
  </si>
  <si>
    <t xml:space="preserve">Texas Governor release Aug 26, 2024 (6,500 potential noncitizens removed)</t>
  </si>
  <si>
    <t xml:space="preserve">https://gov.texas.gov/news/post/governor-abbott-announces-over-1-million-ineligible-voters-removed-from-voter-rolls</t>
  </si>
  <si>
    <t xml:space="preserve">Texas 2024</t>
  </si>
  <si>
    <t xml:space="preserve">TXTRIB-2024</t>
  </si>
  <si>
    <t xml:space="preserve">Texas Tribune/Votebeat Oct 15, 2024 (581 identified as noncitizens)</t>
  </si>
  <si>
    <t xml:space="preserve">https://www.texastribune.org/2024/10/15/texas-noncitizen-voter-roll-removal-included-americans/</t>
  </si>
  <si>
    <t xml:space="preserve">Texas discrepancy</t>
  </si>
  <si>
    <t xml:space="preserve">VA-ELECT-2024</t>
  </si>
  <si>
    <t xml:space="preserve">Virginia ELECT 2024 Annual List Maintenance Report</t>
  </si>
  <si>
    <t xml:space="preserve">https://www.elections.virginia.gov/media/formswarehouse/maintenance-reports/2024-Annual-List-Maintenance-Report.pdf</t>
  </si>
  <si>
    <t xml:space="preserve">Virginia</t>
  </si>
  <si>
    <t xml:space="preserve">OH-SOS-2025</t>
  </si>
  <si>
    <t xml:space="preserve">Ohio SOS release Jun 3, 2025 (30 referred)</t>
  </si>
  <si>
    <t xml:space="preserve">https://www.ohiosos.gov/media-center/press-releases/2025/2025-06-03/</t>
  </si>
  <si>
    <t xml:space="preserve">Ohio</t>
  </si>
  <si>
    <t xml:space="preserve">LA-ILLUM-2025</t>
  </si>
  <si>
    <t xml:space="preserve">Louisiana Illuminator Sep 4, 2025 (390 noncitizens; 79 voted)</t>
  </si>
  <si>
    <t xml:space="preserve">https://lailluminator.com/2025/09/04/louisiana-election-investigation-finds-79-noncitizens-have-voted-since-1980s/</t>
  </si>
  <si>
    <t xml:space="preserve">Louisiana</t>
  </si>
  <si>
    <t xml:space="preserve">CHNV-FR</t>
  </si>
  <si>
    <t xml:space="preserve">DHS, Termination of CHNV parole processes, 90 FR 13611 (Mar 25, 2025)</t>
  </si>
  <si>
    <t xml:space="preserve">https://www.govinfo.gov/content/pkg/FR-2025-03-25/html/2025-05128.htm</t>
  </si>
  <si>
    <t xml:space="preserve">CHNV ~532,000</t>
  </si>
  <si>
    <t xml:space="preserve">CBP-DEC24</t>
  </si>
  <si>
    <t xml:space="preserve">CBP December 2024 monthly update (CBP One 936,500; CHNV arrivals by nationality)</t>
  </si>
  <si>
    <t xml:space="preserve">https://www.cbp.gov/newsroom/national-media-release/cbp-releases-december-2024-monthly-update</t>
  </si>
  <si>
    <t xml:space="preserve">Parole</t>
  </si>
  <si>
    <t xml:space="preserve">CBP-JAN25</t>
  </si>
  <si>
    <t xml:space="preserve">CBP January 2025 monthly update (CBP One scheduling ended Jan 20, 2025)</t>
  </si>
  <si>
    <t xml:space="preserve">https://www.cbp.gov/newsroom/national-media-release/cbp-releases-january-2025-monthly-update</t>
  </si>
  <si>
    <t xml:space="preserve">USCIS-DACA</t>
  </si>
  <si>
    <t xml:space="preserve">USCIS Active DACA recipients as of Jun 30, 2026</t>
  </si>
  <si>
    <t xml:space="preserve">https://www.uscis.gov/sites/default/files/document/data/active_daca_recipients_fy2026_q3_v1.xlsx</t>
  </si>
  <si>
    <t xml:space="preserve">DACA</t>
  </si>
  <si>
    <t xml:space="preserve">USCIS-I765</t>
  </si>
  <si>
    <t xml:space="preserve">USCIS I-765 receipts/approvals by eligibility category, FY2026 Q3 (quarterly only)</t>
  </si>
  <si>
    <t xml:space="preserve">https://www.uscis.gov/sites/default/files/document/data/i765_application_for_employment_fy2026_q3_v1.xlsx</t>
  </si>
  <si>
    <t xml:space="preserve">EAD (quarterly)</t>
  </si>
  <si>
    <t xml:space="preserve">NVRA-8</t>
  </si>
  <si>
    <t xml:space="preserve">52 U.S.C. 20507 (NVRA section 8)</t>
  </si>
  <si>
    <t xml:space="preserve">https://www.law.cornell.edu/uscode/text/52/20507</t>
  </si>
  <si>
    <t xml:space="preserve">List maintenance rules</t>
  </si>
  <si>
    <t xml:space="preserve">USC-611</t>
  </si>
  <si>
    <t xml:space="preserve">18 U.S.C. 611</t>
  </si>
  <si>
    <t xml:space="preserve">https://www.law.cornell.edu/uscode/text/18/611</t>
  </si>
  <si>
    <t xml:space="preserve">Noncitizen voting ban</t>
  </si>
  <si>
    <t xml:space="preserve">USC-1015</t>
  </si>
  <si>
    <t xml:space="preserve">18 U.S.C. 1015</t>
  </si>
  <si>
    <t xml:space="preserve">https://www.law.cornell.edu/uscode/text/18/1015</t>
  </si>
  <si>
    <t xml:space="preserve">False citizenship claim</t>
  </si>
  <si>
    <t xml:space="preserve">USC-20511</t>
  </si>
  <si>
    <t xml:space="preserve">52 U.S.C. 20511</t>
  </si>
  <si>
    <t xml:space="preserve">https://www.law.cornell.edu/uscode/text/52/20511</t>
  </si>
  <si>
    <t xml:space="preserve">NVRA criminal penalties</t>
  </si>
  <si>
    <t xml:space="preserve">USC-21083</t>
  </si>
  <si>
    <t xml:space="preserve">52 U.S.C. 21083 (HAVA computerized list; DL/SSN4 verification)</t>
  </si>
  <si>
    <t xml:space="preserve">https://www.law.cornell.edu/uscode/text/52/21083</t>
  </si>
  <si>
    <t xml:space="preserve">HAVA verification</t>
  </si>
  <si>
    <t xml:space="preserve">USC-1611</t>
  </si>
  <si>
    <t xml:space="preserve">8 U.S.C. 1611 (PRWORA)</t>
  </si>
  <si>
    <t xml:space="preserve">https://www.law.cornell.edu/uscode/text/8/1611</t>
  </si>
  <si>
    <t xml:space="preserve">Benefit eligibility</t>
  </si>
  <si>
    <t xml:space="preserve">Geography</t>
  </si>
  <si>
    <t xml:space="preserve">Election year</t>
  </si>
  <si>
    <t xml:space="preserve">EAVS category (label as published that cycle)</t>
  </si>
  <si>
    <t xml:space="preserve">Count (as published)</t>
  </si>
  <si>
    <t xml:space="preserve">Source ID</t>
  </si>
  <si>
    <t xml:space="preserve">US</t>
  </si>
  <si>
    <t xml:space="preserve">Transactions received (total)</t>
  </si>
  <si>
    <t xml:space="preserve">Mail/email/fax</t>
  </si>
  <si>
    <t xml:space="preserve">In person at election office</t>
  </si>
  <si>
    <t xml:space="preserve">Online</t>
  </si>
  <si>
    <t xml:space="preserve">Automatic voter registration (AVR)</t>
  </si>
  <si>
    <t xml:space="preserve">Motor vehicle offices (non-AVR)</t>
  </si>
  <si>
    <t xml:space="preserve">Public assistance offices</t>
  </si>
  <si>
    <t xml:space="preserve">Disability services offices</t>
  </si>
  <si>
    <t xml:space="preserve">Armed forces recruitment offices</t>
  </si>
  <si>
    <t xml:space="preserve">Other state agencies</t>
  </si>
  <si>
    <t xml:space="preserve">Registration drives</t>
  </si>
  <si>
    <t xml:space="preserve">Polling places / same-day</t>
  </si>
  <si>
    <t xml:space="preserve">Other</t>
  </si>
  <si>
    <t xml:space="preserve">Not categorized</t>
  </si>
  <si>
    <t xml:space="preserve">Applications received (total)</t>
  </si>
  <si>
    <t xml:space="preserve">In person</t>
  </si>
  <si>
    <t xml:space="preserve">Motor vehicle offices</t>
  </si>
  <si>
    <t xml:space="preserve">Public assistance</t>
  </si>
  <si>
    <t xml:space="preserve">Disability services</t>
  </si>
  <si>
    <t xml:space="preserve">Armed forces</t>
  </si>
  <si>
    <t xml:space="preserve">By mail</t>
  </si>
  <si>
    <t xml:space="preserve">Internet</t>
  </si>
  <si>
    <t xml:space="preserve">Motor vehicle offices (DMV)</t>
  </si>
  <si>
    <t xml:space="preserve">Applications (rounded narrative)</t>
  </si>
  <si>
    <t xml:space="preserve">~49.4 million</t>
  </si>
  <si>
    <t xml:space="preserve">Motor vehicle (rounded)</t>
  </si>
  <si>
    <t xml:space="preserve">~17.5 million</t>
  </si>
  <si>
    <t xml:space="preserve">Mail (rounded)</t>
  </si>
  <si>
    <t xml:space="preserve">~7.8 million</t>
  </si>
  <si>
    <t xml:space="preserve">In person (rounded)</t>
  </si>
  <si>
    <t xml:space="preserve">~5.5 million</t>
  </si>
  <si>
    <t xml:space="preserve">Forms (rounded narrative)</t>
  </si>
  <si>
    <t xml:space="preserve">&gt;62.5 million</t>
  </si>
  <si>
    <t xml:space="preserve">~20.3 million</t>
  </si>
  <si>
    <t xml:space="preserve">~14.6 million</t>
  </si>
  <si>
    <t xml:space="preserve">~10.3 million</t>
  </si>
  <si>
    <t xml:space="preserve">Forms (rounded)</t>
  </si>
  <si>
    <t xml:space="preserve">~45.5 million</t>
  </si>
  <si>
    <t xml:space="preserve">~16.9 million</t>
  </si>
  <si>
    <t xml:space="preserve">9.5 million</t>
  </si>
  <si>
    <t xml:space="preserve">6.6 million</t>
  </si>
  <si>
    <t xml:space="preserve">&gt;60.3 million</t>
  </si>
  <si>
    <t xml:space="preserve">&gt;18.1 million</t>
  </si>
  <si>
    <t xml:space="preserve">17.4 million</t>
  </si>
  <si>
    <t xml:space="preserve">9 million</t>
  </si>
  <si>
    <t xml:space="preserve">Internet (rounded)</t>
  </si>
  <si>
    <t xml:space="preserve">~700,000</t>
  </si>
  <si>
    <t xml:space="preserve">Applications (rounded)</t>
  </si>
  <si>
    <t xml:space="preserve">36.3 million</t>
  </si>
  <si>
    <t xml:space="preserve">8.2 million</t>
  </si>
  <si>
    <t xml:space="preserve">7.1 million</t>
  </si>
  <si>
    <t xml:space="preserve">~16.6 million</t>
  </si>
  <si>
    <t xml:space="preserve">Colorado</t>
  </si>
  <si>
    <t xml:space="preserve">-- (not reported by state)</t>
  </si>
  <si>
    <t xml:space="preserve">Applications (total)</t>
  </si>
  <si>
    <t xml:space="preserve">Mail</t>
  </si>
  <si>
    <t xml:space="preserve">Motor vehicle</t>
  </si>
  <si>
    <t xml:space="preserve">Disability</t>
  </si>
  <si>
    <t xml:space="preserve">CPS: native-born vs naturalized citizens (thousands; self-reported)</t>
  </si>
  <si>
    <t xml:space="preserve">Native-born citizens 18+</t>
  </si>
  <si>
    <t xml:space="preserve">Native-born registered</t>
  </si>
  <si>
    <t xml:space="preserve">Naturalized citizens 18+</t>
  </si>
  <si>
    <t xml:space="preserve">Naturalized registered</t>
  </si>
  <si>
    <t xml:space="preserve">Note</t>
  </si>
  <si>
    <t xml:space="preserve">CPS Table 11 (Table 13 in 2006/2008). No administrative count of registrants by citizenship type exists.</t>
  </si>
  <si>
    <t xml:space="preserve">Program</t>
  </si>
  <si>
    <t xml:space="preserve">Population (eligible vs ineligible kept separate)</t>
  </si>
  <si>
    <t xml:space="preserve">Period</t>
  </si>
  <si>
    <t xml:space="preserve">Number / amount (as published)</t>
  </si>
  <si>
    <t xml:space="preserve">% of all recipients</t>
  </si>
  <si>
    <t xml:space="preserve">Aged (SSI)</t>
  </si>
  <si>
    <t xml:space="preserve">Blind &amp; disabled (SSI)</t>
  </si>
  <si>
    <t xml:space="preserve">Notes</t>
  </si>
  <si>
    <t xml:space="preserve">SSI</t>
  </si>
  <si>
    <t xml:space="preserve">Lawfully present/qualified noncitizens meeting PRWORA exceptions (eligible)</t>
  </si>
  <si>
    <t xml:space="preserve">Dec 2005</t>
  </si>
  <si>
    <t xml:space="preserve">Table 29. Noncitizen recipients total / % of all SSI / aged / blind &amp; disabled.</t>
  </si>
  <si>
    <t xml:space="preserve">Dec 2006</t>
  </si>
  <si>
    <t xml:space="preserve">Dec 2007</t>
  </si>
  <si>
    <t xml:space="preserve">Dec 2008</t>
  </si>
  <si>
    <t xml:space="preserve">Dec 2009</t>
  </si>
  <si>
    <t xml:space="preserve">Dec 2010</t>
  </si>
  <si>
    <t xml:space="preserve">Dec 2011</t>
  </si>
  <si>
    <t xml:space="preserve">Dec 2012</t>
  </si>
  <si>
    <t xml:space="preserve">Dec 2013</t>
  </si>
  <si>
    <t xml:space="preserve">Dec 2014</t>
  </si>
  <si>
    <t xml:space="preserve">Dec 2015</t>
  </si>
  <si>
    <t xml:space="preserve">Dec 2016</t>
  </si>
  <si>
    <t xml:space="preserve">Dec 2017</t>
  </si>
  <si>
    <t xml:space="preserve">Dec 2018</t>
  </si>
  <si>
    <t xml:space="preserve">Dec 2019</t>
  </si>
  <si>
    <t xml:space="preserve">Dec 2020</t>
  </si>
  <si>
    <t xml:space="preserve">Dec 2021</t>
  </si>
  <si>
    <t xml:space="preserve">Dec 2022</t>
  </si>
  <si>
    <t xml:space="preserve">Dec 2023</t>
  </si>
  <si>
    <t xml:space="preserve">Dec 2024</t>
  </si>
  <si>
    <t xml:space="preserve">Colorado noncitizen recipients (eligible)</t>
  </si>
  <si>
    <t xml:space="preserve">Table 31.</t>
  </si>
  <si>
    <t xml:space="preserve">SNAP</t>
  </si>
  <si>
    <t xml:space="preserve">Refugees (incl. asylees, stay of deportation) - eligible</t>
  </si>
  <si>
    <t xml:space="preserve">FY2023 avg month</t>
  </si>
  <si>
    <t xml:space="preserve">Table A.23: 434 thousand participants (1.1% of participants). Weighted QC sample estimate.</t>
  </si>
  <si>
    <t xml:space="preserve">Other noncitizens (LPRs and other eligible noncitizens) - eligible</t>
  </si>
  <si>
    <t xml:space="preserve">Table A.23: 1,330 thousand (3.3%).</t>
  </si>
  <si>
    <t xml:space="preserve">Naturalized citizens (citizens, shown for context)</t>
  </si>
  <si>
    <t xml:space="preserve">Table A.23.</t>
  </si>
  <si>
    <t xml:space="preserve">Citizen children living with noncitizen adults</t>
  </si>
  <si>
    <t xml:space="preserve">Table A.23; noncitizen adults may be outside the SNAP household.</t>
  </si>
  <si>
    <t xml:space="preserve">Earlier fiscal years</t>
  </si>
  <si>
    <t xml:space="preserve">FY2005-FY2022</t>
  </si>
  <si>
    <t xml:space="preserve">Not compiled</t>
  </si>
  <si>
    <t xml:space="preserve">FNS characteristics reports</t>
  </si>
  <si>
    <t xml:space="preserve">Not reported here: the same table exists in each annual FNS Characteristics report but was not extracted in this pass.</t>
  </si>
  <si>
    <t xml:space="preserve">Emergency Medicaid</t>
  </si>
  <si>
    <t xml:space="preserve">Emergency services for people otherwise Medicaid-eligible but lacking qualifying status (undocumented AND lawfully present within 5-year bar)</t>
  </si>
  <si>
    <t xml:space="preserve">FY2023</t>
  </si>
  <si>
    <t xml:space="preserve">$3.775 billion (federal $2.746B + state $1.029B)</t>
  </si>
  <si>
    <t xml:space="preserve">CBO-EMED; KFF-EMED</t>
  </si>
  <si>
    <t xml:space="preserve">CBO (Form CMS-64). CBO PDF returned 403 to the box; figures from search index, corroborated by KFF ($3.8B, 0.4% of Medicaid). FY2017-2023 total $26.554B (CBO).</t>
  </si>
  <si>
    <t xml:space="preserve">Medicaid/CHIP</t>
  </si>
  <si>
    <t xml:space="preserve">Noncitizen enrollees by status (national)</t>
  </si>
  <si>
    <t xml:space="preserve">any</t>
  </si>
  <si>
    <t xml:space="preserve">—</t>
  </si>
  <si>
    <t xml:space="preserve">CMS does not publish a routine national count of Medicaid/CHIP enrollees by immigration status in the sources checked.</t>
  </si>
  <si>
    <t xml:space="preserve">Improper payments</t>
  </si>
  <si>
    <t xml:space="preserve">Payments to ineligible noncitizens specifically</t>
  </si>
  <si>
    <t xml:space="preserve">GAO/PaymentAccuracy</t>
  </si>
  <si>
    <t xml:space="preserve">No GAO, CBO or HHS-OIG estimate isolating improper payments to ineligible noncitizens was found; government-wide improper-payment estimates are not broken out by citizenship.</t>
  </si>
  <si>
    <t xml:space="preserve">Law</t>
  </si>
  <si>
    <t xml:space="preserve">PRWORA 8 U.S.C. 1611-1613</t>
  </si>
  <si>
    <t xml:space="preserve">1611: noncitizens who are not 'qualified aliens' are ineligible for federal public benefits (exceptions incl. emergency Medicaid). 1612: limits SSI/SNAP for qualified aliens (exceptions: refugees/asylees for set periods, LPRs with 40 quarters, veterans/military). 1613: 5-year bar on federal means-tested benefits for qualified aliens entering on/after Aug 22, 1996.</t>
  </si>
  <si>
    <t xml:space="preserve">Jurisdiction / office</t>
  </si>
  <si>
    <t xml:space="preserve">Date</t>
  </si>
  <si>
    <t xml:space="preserve">What was counted</t>
  </si>
  <si>
    <t xml:space="preserve">Number found / flagged</t>
  </si>
  <si>
    <t xml:space="preserve">Number removed</t>
  </si>
  <si>
    <t xml:space="preserve">Number referred for prosecution</t>
  </si>
  <si>
    <t xml:space="preserve">Roll size</t>
  </si>
  <si>
    <t xml:space="preserve">Details</t>
  </si>
  <si>
    <t xml:space="preserve">Colorado (SOS Gessler)</t>
  </si>
  <si>
    <t xml:space="preserve">Jul 1, 2013</t>
  </si>
  <si>
    <t xml:space="preserve">Registrants who showed green-card-equivalent at DMV and were flagged by DHS SAVE</t>
  </si>
  <si>
    <t xml:space="preserve">~3.5M (2012 EAVS: 3,651,091)</t>
  </si>
  <si>
    <t xml:space="preserve">155 referred to 15 district attorneys. Arapahoe County DA later charged 4 (Denver Post, Nov 22, 2013); outcomes mixed.</t>
  </si>
  <si>
    <t xml:space="preserve">Georgia (SOS citizenship audit)</t>
  </si>
  <si>
    <t xml:space="preserve">Oct 23, 2024</t>
  </si>
  <si>
    <t xml:space="preserve">Noncitizens found on rolls</t>
  </si>
  <si>
    <t xml:space="preserve">~8.2 million</t>
  </si>
  <si>
    <t xml:space="preserve">All 20 canceled and referred; 9 had voted; 156 need further review.</t>
  </si>
  <si>
    <t xml:space="preserve">Texas (Governor)</t>
  </si>
  <si>
    <t xml:space="preserve">Aug 26, 2024</t>
  </si>
  <si>
    <t xml:space="preserve">'Potential noncitizens' removed</t>
  </si>
  <si>
    <t xml:space="preserve">~18 million</t>
  </si>
  <si>
    <t xml:space="preserve">Governor: over 6,500 removed; ~1,930 with voting history referred. Texas Tribune: only 581 identified as noncitizens; ~5,900 removed for not responding to notices (see Discrepancies).</t>
  </si>
  <si>
    <t xml:space="preserve">TX-GOV-2024; TXTRIB-2024</t>
  </si>
  <si>
    <t xml:space="preserve">Texas (SOS, federal SAVE run)</t>
  </si>
  <si>
    <t xml:space="preserve">Sep 15, 2026</t>
  </si>
  <si>
    <t xml:space="preserve">Potential noncitizens flagged by SAVE out of 18M registrants</t>
  </si>
  <si>
    <t xml:space="preserve">Not reported (county-level)</t>
  </si>
  <si>
    <t xml:space="preserve">2,724 referred to county registrars; 578 later demonstrated citizenship (506 because passport data was added to SAVE after the run) - counties told to reinstate if removed; 117 referred to AG. 7 charged federally mid-Sep 2026 (AP).</t>
  </si>
  <si>
    <t xml:space="preserve">TX-SOS-2026; PBS-AP-160</t>
  </si>
  <si>
    <t xml:space="preserve">Virginia (ELECT / EO 35)</t>
  </si>
  <si>
    <t xml:space="preserve">Aug 7, 2024</t>
  </si>
  <si>
    <t xml:space="preserve">Registrations canceled as noncitizens via DMV data, Jan 2022-Jul 2024</t>
  </si>
  <si>
    <t xml:space="preserve">~6 million</t>
  </si>
  <si>
    <t xml:space="preserve">Governor's figure. Reuters (Sep 2026): &gt;4,500 self-identified noncitizens on rolls in 2025 per annual ELECT reports (includes some later citizens and people removed).</t>
  </si>
  <si>
    <t xml:space="preserve">VA-ELECT-2024; REUTERS-30K</t>
  </si>
  <si>
    <t xml:space="preserve">Ohio (SOS)</t>
  </si>
  <si>
    <t xml:space="preserve">Aug 2024</t>
  </si>
  <si>
    <t xml:space="preserve">Noncitizen registrations referred</t>
  </si>
  <si>
    <t xml:space="preserve">~8 million</t>
  </si>
  <si>
    <t xml:space="preserve">459 registered only, 138 voted. Earlier referrals: 148 (2022), 117 (2021), 354 (2019).</t>
  </si>
  <si>
    <t xml:space="preserve">OH-SOS-2025 (and prior SOS releases)</t>
  </si>
  <si>
    <t xml:space="preserve">Jun 3, 2025</t>
  </si>
  <si>
    <t xml:space="preserve">Oct 2025</t>
  </si>
  <si>
    <t xml:space="preserve">Referred to US DOJ</t>
  </si>
  <si>
    <t xml:space="preserve">Includes 167 alleged federal voters (secondary source; not verified from primary).</t>
  </si>
  <si>
    <t xml:space="preserve">secondary</t>
  </si>
  <si>
    <t xml:space="preserve">Louisiana (SOS)</t>
  </si>
  <si>
    <t xml:space="preserve">Sep 4, 2025</t>
  </si>
  <si>
    <t xml:space="preserve">Suspected noncitizens via SAVE</t>
  </si>
  <si>
    <t xml:space="preserve">~2.9 million</t>
  </si>
  <si>
    <t xml:space="preserve">79 had voted at some point since the 1980s.</t>
  </si>
  <si>
    <t xml:space="preserve">Iowa (SOS)</t>
  </si>
  <si>
    <t xml:space="preserve">Oct 2024 -&gt; 2025</t>
  </si>
  <si>
    <t xml:space="preserve">Self-reported noncitizens (DOT) on rolls</t>
  </si>
  <si>
    <t xml:space="preserve">1.6M voted in 2024</t>
  </si>
  <si>
    <t xml:space="preserve">Initial announcement &gt;2,000; revised to 277; 35 cast counted ballots in 2024 (Reuters).</t>
  </si>
  <si>
    <t xml:space="preserve">New Jersey (Governor)</t>
  </si>
  <si>
    <t xml:space="preserve">Jul 21 &amp; Aug 19, 2026</t>
  </si>
  <si>
    <t xml:space="preserve">People who answered 'not a citizen' at MVC but were registered by a software error, Jun 2023-Jun 2024</t>
  </si>
  <si>
    <t xml:space="preserve">~1,450 to counties; ~220 voters referred for review</t>
  </si>
  <si>
    <t xml:space="preserve">Not reported in release</t>
  </si>
  <si>
    <t xml:space="preserve">~5,100 deleted; ~1,450 set to 'rejected' pending county review; ~340 newly registered via error voted; ~220 affected who voted had separate registrations/attestations and are under review.</t>
  </si>
  <si>
    <t xml:space="preserve">NJ-GOV-0721; NJ-GOV-0819</t>
  </si>
  <si>
    <t xml:space="preserve">California (DMV)</t>
  </si>
  <si>
    <t xml:space="preserve">2018</t>
  </si>
  <si>
    <t xml:space="preserve">Noncitizens registered by DMV processing error</t>
  </si>
  <si>
    <t xml:space="preserve">~19 million</t>
  </si>
  <si>
    <t xml:space="preserve">'As many as 1,500' per media reports; state did not confirm to Reuters.</t>
  </si>
  <si>
    <t xml:space="preserve">National: SAVE bulk checks (DHS)</t>
  </si>
  <si>
    <t xml:space="preserve">May 2025-2026</t>
  </si>
  <si>
    <t xml:space="preserve">Potential non-US citizens flagged on state lists (not confirmed)</t>
  </si>
  <si>
    <t xml:space="preserve">65M+ verified, 26 states</t>
  </si>
  <si>
    <t xml:space="preserve">Government figure in SCOTUS No. 26A308. DHS: a SAVE response changes no voter's status; only states cancel. SAVE modified system vacated Jun 22, 2026 (LWV v. DHS); stay denied (D.D.C. Jul 8; D.C. Cir. Sep 4); SCOTUS application pending.</t>
  </si>
  <si>
    <t xml:space="preserve">SCOTUS-26A308; LWV-ORDER</t>
  </si>
  <si>
    <t xml:space="preserve">National: DOJ prosecutions</t>
  </si>
  <si>
    <t xml:space="preserve">Jan 2025-Sep 2026</t>
  </si>
  <si>
    <t xml:space="preserve">Defendants charged with unlawful voting/registration offenses</t>
  </si>
  <si>
    <t xml:space="preserve">211M+ active</t>
  </si>
  <si>
    <t xml:space="preserve">DOJ: 70 charged. HSI: ~1,600 voter-fraud cases, 160 arrests (many for related offenses).</t>
  </si>
  <si>
    <t xml:space="preserve">PBS-AP-160; DOJ-16</t>
  </si>
  <si>
    <t xml:space="preserve">National: Reuters compilation</t>
  </si>
  <si>
    <t xml:space="preserve">2000-2026</t>
  </si>
  <si>
    <t xml:space="preserve">Self-declared noncitizens added to rolls by state processing errors (12 states)</t>
  </si>
  <si>
    <t xml:space="preserve">170M+ registered</t>
  </si>
  <si>
    <t xml:space="preserve">'May have added more than 30,000'; number who voted not determined.</t>
  </si>
  <si>
    <t xml:space="preserve">NVRA 52 U.S.C. 20507</t>
  </si>
  <si>
    <t xml:space="preserve">Systematic removal programs must end 90 days before federal elections (20507(c)(2)(A)); change-of-address removals require notice and a two-federal-election wait (20507(d)). Removal for noncitizenship is not a listed NVRA ground; states rely on state law and 'never eligible' reasoning; courts split on whether the 90-day rule applies. List-maintenance cost: Not reported (no official national figure found).</t>
  </si>
  <si>
    <t xml:space="preserve">PEP population (July 1)</t>
  </si>
  <si>
    <t xml:space="preserve">ACS total</t>
  </si>
  <si>
    <t xml:space="preserve">ACS noncitizens</t>
  </si>
  <si>
    <t xml:space="preserve">ACS CVAP</t>
  </si>
  <si>
    <t xml:space="preserve">YoY CHANGE: ACS citizens [formula]</t>
  </si>
  <si>
    <t xml:space="preserve">CPS citizens 18+ (thous.)</t>
  </si>
  <si>
    <t xml:space="preserve">CPS registered (thous.)</t>
  </si>
  <si>
    <t xml:space="preserve">EAVS registered total</t>
  </si>
  <si>
    <t xml:space="preserve">EAVS reg. source</t>
  </si>
  <si>
    <t xml:space="preserve">CHANGE vs prior cycle: registered [formula]</t>
  </si>
  <si>
    <t xml:space="preserve">EAVS new valid registrations</t>
  </si>
  <si>
    <t xml:space="preserve">Removed: failure to respond to confirmation</t>
  </si>
  <si>
    <t xml:space="preserve">Confirmation notices sent</t>
  </si>
  <si>
    <t xml:space="preserve">Ballots/turnout total (EAVS)</t>
  </si>
  <si>
    <t xml:space="preserve">In-person Election Day</t>
  </si>
  <si>
    <t xml:space="preserve">In-person early</t>
  </si>
  <si>
    <t xml:space="preserve">Mail ballots counted</t>
  </si>
  <si>
    <t xml:space="preserve">Provisional</t>
  </si>
  <si>
    <t xml:space="preserve">UOCAVA</t>
  </si>
  <si>
    <t xml:space="preserve">Mail ballots transmitted</t>
  </si>
  <si>
    <t xml:space="preserve">Mail ballots returned</t>
  </si>
  <si>
    <t xml:space="preserve">Ballots note</t>
  </si>
  <si>
    <t xml:space="preserve">ACS Colorado 2005: Not reported (not extracted; 2005 ACS household population only).</t>
  </si>
  <si>
    <t xml:space="preserve">2006 EAVS report state table</t>
  </si>
  <si>
    <t xml:space="preserve">2006 EAVS: at polls / early / absentee (domestic) / provisional</t>
  </si>
  <si>
    <t xml:space="preserve">2008 EAVS report state table</t>
  </si>
  <si>
    <t xml:space="preserve">2008 EAVS Table 28-type</t>
  </si>
  <si>
    <t xml:space="preserve">2010 EAVS report state table</t>
  </si>
  <si>
    <t xml:space="preserve">2010 EAVS Table 28A</t>
  </si>
  <si>
    <t xml:space="preserve">2012 EAVS report state table</t>
  </si>
  <si>
    <t xml:space="preserve">2012 EAVS Table 28</t>
  </si>
  <si>
    <t xml:space="preserve">HB13-1303 (May 2013) made Colorado an all-mail-ballot state with voter service &amp; polling centers and same-day registration; first statewide general under it: Nov 2013 (odd-year), first federal general: 2014.</t>
  </si>
  <si>
    <t xml:space="preserve">2014 EAVS report</t>
  </si>
  <si>
    <t xml:space="preserve">2014 EAVS Table 28; mail = 'vote by mail jurisdiction' column; first general election under HB13-1303</t>
  </si>
  <si>
    <t xml:space="preserve">2016 EAVS report</t>
  </si>
  <si>
    <t xml:space="preserve">2016 EAVS; in-person breakdown not extracted</t>
  </si>
  <si>
    <t xml:space="preserve">2016 Colorado removals not captured in this pass.</t>
  </si>
  <si>
    <t xml:space="preserve">2020 EAVS report prior-year table</t>
  </si>
  <si>
    <t xml:space="preserve">2018 EAVS Overview Table 2; ED in-person not extracted</t>
  </si>
  <si>
    <t xml:space="preserve">2020 EAVS report</t>
  </si>
  <si>
    <t xml:space="preserve">2020 EAVS</t>
  </si>
  <si>
    <t xml:space="preserve">ACS 2020 experimental XK200501; not comparable; no CVAP.</t>
  </si>
  <si>
    <t xml:space="preserve">2022 EAVS report</t>
  </si>
  <si>
    <t xml:space="preserve">2022 EAVS</t>
  </si>
  <si>
    <t xml:space="preserve">2024 EAVS report</t>
  </si>
  <si>
    <t xml:space="preserve">2024 EAVS Overview Tables 1-2</t>
  </si>
  <si>
    <t xml:space="preserve">ACS 2025 not released; 2025 was a coordinated (odd-year) election - EAVS does not cover it.</t>
  </si>
  <si>
    <t xml:space="preserve">Item</t>
  </si>
  <si>
    <t xml:space="preserve">Source A</t>
  </si>
  <si>
    <t xml:space="preserve">Value A</t>
  </si>
  <si>
    <t xml:space="preserve">Source B</t>
  </si>
  <si>
    <t xml:space="preserve">Value B</t>
  </si>
  <si>
    <t xml:space="preserve">Explanation (no reconciliation performed)</t>
  </si>
  <si>
    <t xml:space="preserve">US registered voters 2024</t>
  </si>
  <si>
    <t xml:space="preserve">EAVS 2024 total registered</t>
  </si>
  <si>
    <t xml:space="preserve">CPS Nov 2024 self-reported registered citizens</t>
  </si>
  <si>
    <t xml:space="preserve">Different concepts: EAVS counts records incl. inactive and people who moved/died but not yet removed; CPS is a household survey of self-reported registration (thousands).</t>
  </si>
  <si>
    <t xml:space="preserve">US registered voters 2022</t>
  </si>
  <si>
    <t xml:space="preserve">Same as above.</t>
  </si>
  <si>
    <t xml:space="preserve">US registered voters 2020</t>
  </si>
  <si>
    <t xml:space="preserve">CPS 2020</t>
  </si>
  <si>
    <t xml:space="preserve">2018 registered total</t>
  </si>
  <si>
    <t xml:space="preserve">2018 EAVS report</t>
  </si>
  <si>
    <t xml:space="preserve">2020 EAVS report prior-year value</t>
  </si>
  <si>
    <t xml:space="preserve">Revised/reporting difference between reports.</t>
  </si>
  <si>
    <t xml:space="preserve">2016 registered total</t>
  </si>
  <si>
    <t xml:space="preserve">2016 EAVS narrative</t>
  </si>
  <si>
    <t xml:space="preserve">2016 EAVS Table 3 / 2020 report</t>
  </si>
  <si>
    <t xml:space="preserve">Difference of 7.</t>
  </si>
  <si>
    <t xml:space="preserve">2022 CVAP used by EAC</t>
  </si>
  <si>
    <t xml:space="preserve">2022 EAVS report (ACS 2021)</t>
  </si>
  <si>
    <t xml:space="preserve">2024 EAVS report's 2022 value</t>
  </si>
  <si>
    <t xml:space="preserve">Different ACS vintage.</t>
  </si>
  <si>
    <t xml:space="preserve">2006 registered total</t>
  </si>
  <si>
    <t xml:space="preserve">2006 EAVS report TOTAL row</t>
  </si>
  <si>
    <t xml:space="preserve">2012 NVRA summary table (2006)</t>
  </si>
  <si>
    <t xml:space="preserve">NVRA 2005-06 narrative: '172.8 million'.</t>
  </si>
  <si>
    <t xml:space="preserve">2008 registered total</t>
  </si>
  <si>
    <t xml:space="preserve">EAC NVRA 2007-08 report</t>
  </si>
  <si>
    <t xml:space="preserve">EAVS 2008 summary text</t>
  </si>
  <si>
    <t xml:space="preserve">more than 190 million</t>
  </si>
  <si>
    <t xml:space="preserve">2010 registered total</t>
  </si>
  <si>
    <t xml:space="preserve">EAC NVRA 2009-10 report</t>
  </si>
  <si>
    <t xml:space="preserve">2012 NVRA summary table (2010)</t>
  </si>
  <si>
    <t xml:space="preserve">2012 registered total</t>
  </si>
  <si>
    <t xml:space="preserve">2012 NVRA report text</t>
  </si>
  <si>
    <t xml:space="preserve">Same report summary table</t>
  </si>
  <si>
    <t xml:space="preserve">2024 removals: deceased</t>
  </si>
  <si>
    <t xml:space="preserve">Errata v2 (Feb 2026)</t>
  </si>
  <si>
    <t xml:space="preserve">2024 removals: moved</t>
  </si>
  <si>
    <t xml:space="preserve">Errata v2</t>
  </si>
  <si>
    <t xml:space="preserve">2024 removals: felony</t>
  </si>
  <si>
    <t xml:space="preserve">2024 removals: mental incompetence</t>
  </si>
  <si>
    <t xml:space="preserve">2024 removals: not categorized</t>
  </si>
  <si>
    <t xml:space="preserve">2024 confirmation notices</t>
  </si>
  <si>
    <t xml:space="preserve">Texas 2024 noncitizen removals</t>
  </si>
  <si>
    <t xml:space="preserve">Gov. Abbott release (Aug 26, 2024)</t>
  </si>
  <si>
    <t xml:space="preserve">over 6,500 'potential noncitizens' removed</t>
  </si>
  <si>
    <t xml:space="preserve">Texas Tribune/Votebeat records (Oct 15, 2024)</t>
  </si>
  <si>
    <t xml:space="preserve">581 identified as noncitizens; ~5,900 removed for not responding</t>
  </si>
  <si>
    <t xml:space="preserve">Most removals were for non-response to notices, not confirmed noncitizenship.</t>
  </si>
  <si>
    <t xml:space="preserve">Texas 2025-26 SAVE</t>
  </si>
  <si>
    <t xml:space="preserve">SAVE flags</t>
  </si>
  <si>
    <t xml:space="preserve">Later shown to be citizens</t>
  </si>
  <si>
    <t xml:space="preserve">506 because passport data was added to SAVE after the run.</t>
  </si>
  <si>
    <t xml:space="preserve">SAVE national flags vs confirmed</t>
  </si>
  <si>
    <t xml:space="preserve">DHS: potential noncitizens flagged</t>
  </si>
  <si>
    <t xml:space="preserve">State-confirmed noncitizen removals nationally</t>
  </si>
  <si>
    <t xml:space="preserve">DHS says SAVE changes no voter's status; confirmation/removal is by states.</t>
  </si>
  <si>
    <t xml:space="preserve">Iowa 2024</t>
  </si>
  <si>
    <t xml:space="preserve">Initial state announcement</t>
  </si>
  <si>
    <t xml:space="preserve">&gt;2,000</t>
  </si>
  <si>
    <t xml:space="preserve">Revised count</t>
  </si>
  <si>
    <t xml:space="preserve">35 counted ballots in 2024 (Reuters).</t>
  </si>
  <si>
    <t xml:space="preserve">Colorado JW case: 8(d)(1)(B) removals Nov 2020-Nov 2022</t>
  </si>
  <si>
    <t xml:space="preserve">Discovery data (Secretary)</t>
  </si>
  <si>
    <t xml:space="preserve">Settlement data (per JW motion, ECF 113)</t>
  </si>
  <si>
    <t xml:space="preserve">Secretary said discovery figure erroneously included all removals. EAVS 2022 Colorado 'failure to respond to confirmation' removals = 161,607 (period: close of 2020 to close of 2022 registration).</t>
  </si>
  <si>
    <t xml:space="preserve">LA County JW settlement (2019)</t>
  </si>
  <si>
    <t xml:space="preserve">Judicial Watch headline</t>
  </si>
  <si>
    <t xml:space="preserve">'to remove 1.5 million inactive voters'</t>
  </si>
  <si>
    <t xml:space="preserve">Settlement text</t>
  </si>
  <si>
    <t xml:space="preserve">~1,565,000 registrations on inactive file; cancellation only for non-responders after NVRA notice and required elections</t>
  </si>
  <si>
    <t xml:space="preserve">Settlement did not order immediate removal of all inactive registrations.</t>
  </si>
  <si>
    <t xml:space="preserve">Colorado JW press claim</t>
  </si>
  <si>
    <t xml:space="preserve">Judicial Watch</t>
  </si>
  <si>
    <t xml:space="preserve">372,000 inactive voters removed since 2023 settlement</t>
  </si>
  <si>
    <t xml:space="preserve">Colorado SOS / EAVS</t>
  </si>
  <si>
    <t xml:space="preserve">EAVS 2024 Colorado removals total 389,334 (all reasons, 2022-24 cycle); 160,239 for failure to respond</t>
  </si>
  <si>
    <t xml:space="preserve">Not directly comparable periods/categories.</t>
  </si>
  <si>
    <t xml:space="preserve">North Carolina JW</t>
  </si>
  <si>
    <t xml:space="preserve">'over 430,000 inactive names removed'</t>
  </si>
  <si>
    <t xml:space="preserve">NC State Board figure</t>
  </si>
  <si>
    <t xml:space="preserve">Not verified from primary record in this pass</t>
  </si>
  <si>
    <t xml:space="preserve">Emergency Medicaid FY2023</t>
  </si>
  <si>
    <t xml:space="preserve">CBO (per search index)</t>
  </si>
  <si>
    <t xml:space="preserve">$3.775 billion</t>
  </si>
  <si>
    <t xml:space="preserve">KFF summary of CBO</t>
  </si>
  <si>
    <t xml:space="preserve">$3.8 billion</t>
  </si>
  <si>
    <t xml:space="preserve">Rounding.</t>
  </si>
  <si>
    <t xml:space="preserve">Refugee arrivals FY2024</t>
  </si>
  <si>
    <t xml:space="preserve">DHS Yearbook</t>
  </si>
  <si>
    <t xml:space="preserve">No conflicting official figure found.</t>
  </si>
  <si>
    <t xml:space="preserve">ACS vs PEP population 2024</t>
  </si>
  <si>
    <t xml:space="preserve">PEP July 1, 2024</t>
  </si>
  <si>
    <t xml:space="preserve">Different methods (survey vs demographic estimate).</t>
  </si>
  <si>
    <t xml:space="preserve">Fiscal year</t>
  </si>
  <si>
    <t xml:space="preserve">Asylum granted: total</t>
  </si>
  <si>
    <t xml:space="preserve">Affirmative (USCIS)</t>
  </si>
  <si>
    <t xml:space="preserve">Defensive (immigration court)</t>
  </si>
  <si>
    <t xml:space="preserve">YoY CHANGE: refugee arrivals [formula]</t>
  </si>
  <si>
    <t xml:space="preserve">YoY CHANGE: asylum total [formula]</t>
  </si>
  <si>
    <t xml:space="preserve">SSNs issued, all (thousands, calendar yr)</t>
  </si>
  <si>
    <t xml:space="preserve">Parole / TPS / DACA / EAD (annual)</t>
  </si>
  <si>
    <t xml:space="preserve">Biden period?</t>
  </si>
  <si>
    <t xml:space="preserve">Not reported as an annual official series in sources reachable from the box (see program rows below)</t>
  </si>
  <si>
    <t xml:space="preserve">Partial (Biden from Jan 20, 2021; Oct 1, 2020-Jan 19, 2021 under Trump)</t>
  </si>
  <si>
    <t xml:space="preserve">Yes</t>
  </si>
  <si>
    <t xml:space="preserve">Partial (Biden Oct 1, 2024-Jan 19, 2025)</t>
  </si>
  <si>
    <t xml:space="preserve">FY2025 DHS Yearbook tables not yet published.</t>
  </si>
  <si>
    <t xml:space="preserve">BIDEN-PERIOD SUM (FY2021-FY2024 only; sum-only row as requested)</t>
  </si>
  <si>
    <t xml:space="preserve">FY2021 includes ~3.7 months under Trump; FY2025 (Oct 1, 2024-Jan 19, 2025 under Biden) excluded because FY2025 data are not published.</t>
  </si>
  <si>
    <t xml:space="preserve">Program / item</t>
  </si>
  <si>
    <t xml:space="preserve">Figure (as published)</t>
  </si>
  <si>
    <t xml:space="preserve">Legal authority / court rulings / notes</t>
  </si>
  <si>
    <t xml:space="preserve">CHNV parole (Cuba, Haiti, Nicaragua, Venezuela)</t>
  </si>
  <si>
    <t xml:space="preserve">~532,000 granted parole</t>
  </si>
  <si>
    <t xml:space="preserve">Oct 2022-Jan 22, 2025</t>
  </si>
  <si>
    <t xml:space="preserve">INA 212(d)(5). DHS terminated CHNV Mar 25, 2025 (90 FR 13611). D. Mass. (Doe v. Noem) stayed termination Apr 14, 2025; SCOTUS stayed that order May 30, 2025 (No. 24A1079), allowing terminations. Earlier Texas v. DHS challenge to CHNV (S.D. Tex.) dismissed for lack of standing Mar 8, 2024 (not re-verified from box).</t>
  </si>
  <si>
    <t xml:space="preserve">CHNV arrivals granted parole, by nationality</t>
  </si>
  <si>
    <t xml:space="preserve">Cubans 110,240; Haitians 211,040; Nicaraguans 93,070; Venezuelans 117,330</t>
  </si>
  <si>
    <t xml:space="preserve">through Dec 2024</t>
  </si>
  <si>
    <t xml:space="preserve">CBP monthly update figures (not summed here).</t>
  </si>
  <si>
    <t xml:space="preserve">CBP One appointments</t>
  </si>
  <si>
    <t xml:space="preserve">more than 936,500 scheduled appointments at ports of entry</t>
  </si>
  <si>
    <t xml:space="preserve">Jan 2023-Dec 2024</t>
  </si>
  <si>
    <t xml:space="preserve">Scheduling function ended Jan 20, 2025 (CBP-JAN25). Processing at ports under INA 212(d)(5) parole or NTA; related 'Circumvention of Lawful Pathways' rule litigated (East Bay Sanctuary Covenant v. Biden) - not re-verified from box.</t>
  </si>
  <si>
    <t xml:space="preserve">Operation Allies Welcome (Afghans)</t>
  </si>
  <si>
    <t xml:space="preserve">2021-2022</t>
  </si>
  <si>
    <t xml:space="preserve">DHS OAW totals not retrieved from an official page reachable in this pass.</t>
  </si>
  <si>
    <t xml:space="preserve">Uniting for Ukraine (U4U)</t>
  </si>
  <si>
    <t xml:space="preserve">2022-2025</t>
  </si>
  <si>
    <t xml:space="preserve">Not retrieved.</t>
  </si>
  <si>
    <t xml:space="preserve">Border parole (e.g., Parole+ATD at southwest border)</t>
  </si>
  <si>
    <t xml:space="preserve">FY2021-2025</t>
  </si>
  <si>
    <t xml:space="preserve">Available in OHSS monthly enforcement/parole data; not extracted.</t>
  </si>
  <si>
    <t xml:space="preserve">TPS</t>
  </si>
  <si>
    <t xml:space="preserve">Not reported (annual)</t>
  </si>
  <si>
    <t xml:space="preserve">FY2005-2025</t>
  </si>
  <si>
    <t xml:space="preserve">INA 244. No single annual official population series retrieved; USCIS/CRS publish point-in-time estimates by country.</t>
  </si>
  <si>
    <t xml:space="preserve">DACA active recipients</t>
  </si>
  <si>
    <t xml:space="preserve">436,350 (rounded)</t>
  </si>
  <si>
    <t xml:space="preserve">as of Jun 30, 2026</t>
  </si>
  <si>
    <t xml:space="preserve">Annual historical series not compiled; USCIS publishes point-in-time quarterly counts.</t>
  </si>
  <si>
    <t xml:space="preserve">I-765 EAD approvals by category (c8 asylum applicant, c11 parole, a18/c19 TPS-related a12/c19, a3 refugee, c33 DACA)</t>
  </si>
  <si>
    <t xml:space="preserve">USCIS publishes quarterly (not annual) receipts/approvals by category; building annual totals would require summing quarters, which the rules prohibit. Current file covers Apr 1-Jun 30, 2026 only.</t>
  </si>
  <si>
    <t xml:space="preserve">SSNs to noncitizens / Enumeration Beyond Entry</t>
  </si>
  <si>
    <t xml:space="preserve">SSA publishes total SSNs issued and age shares only; no noncitizen or EBE counts. Age 20-49 share of SSNs issued: 30.5% (2023), 33.8% (2024) per Table 2.F12.</t>
  </si>
  <si>
    <t xml:space="preserve">Amnesty / legalization</t>
  </si>
  <si>
    <t xml:space="preserve">No general amnesty enacted since IRCA (1986)</t>
  </si>
  <si>
    <t xml:space="preserve">Immigration Reform and Control Act of 1986 (Pub. L. 99-603) was the last broad legalization law. Parole, TPS and DACA are temporary, discretionary statuses that do not confer permanent status or citizenship.</t>
  </si>
  <si>
    <t xml:space="preserve">Legal authorities</t>
  </si>
  <si>
    <t xml:space="preserve">INA 207 (refugees), 208 (asylum), 212(d)(5) (parole), 244 (TPS)</t>
  </si>
  <si>
    <t xml:space="preserve">DACA rests on a 2012 DHS memorandum/2022 rule; litigation (Texas v. United States) ongoing.</t>
  </si>
</sst>
</file>

<file path=xl/styles.xml><?xml version="1.0" encoding="utf-8"?>
<styleSheet xmlns="http://schemas.openxmlformats.org/spreadsheetml/2006/main">
  <numFmts count="5">
    <numFmt numFmtId="164" formatCode="General"/>
    <numFmt numFmtId="165" formatCode="#,##0"/>
    <numFmt numFmtId="166" formatCode="0.00%"/>
    <numFmt numFmtId="167" formatCode="General"/>
    <numFmt numFmtId="168" formatCode="0.0"/>
  </numFmts>
  <fonts count="12">
    <font>
      <sz val="11"/>
      <color rgb="FF000000"/>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name val="Arial"/>
      <family val="0"/>
      <charset val="1"/>
    </font>
    <font>
      <b val="true"/>
      <sz val="11"/>
      <color rgb="FFFFFFFF"/>
      <name val="Arial"/>
      <family val="0"/>
      <charset val="1"/>
    </font>
    <font>
      <b val="true"/>
      <sz val="10"/>
      <name val="Arial"/>
      <family val="0"/>
      <charset val="1"/>
    </font>
    <font>
      <b val="true"/>
      <sz val="11"/>
      <color rgb="FF1F4E79"/>
      <name val="Arial"/>
      <family val="0"/>
      <charset val="1"/>
    </font>
    <font>
      <i val="true"/>
      <sz val="10"/>
      <name val="Arial"/>
      <family val="0"/>
      <charset val="1"/>
    </font>
    <font>
      <b val="true"/>
      <sz val="11"/>
      <color rgb="FFFFFFFF"/>
      <name val="Cambria"/>
      <family val="0"/>
      <charset val="1"/>
    </font>
    <font>
      <b val="true"/>
      <sz val="11"/>
      <name val="Cambria"/>
      <family val="0"/>
      <charset val="1"/>
    </font>
  </fonts>
  <fills count="7">
    <fill>
      <patternFill patternType="none"/>
    </fill>
    <fill>
      <patternFill patternType="gray125"/>
    </fill>
    <fill>
      <patternFill patternType="solid">
        <fgColor rgb="FF1F4E79"/>
        <bgColor rgb="FF1F4E78"/>
      </patternFill>
    </fill>
    <fill>
      <patternFill patternType="solid">
        <fgColor rgb="FFFFF2CC"/>
        <bgColor rgb="FFE2EFDA"/>
      </patternFill>
    </fill>
    <fill>
      <patternFill patternType="solid">
        <fgColor rgb="FFFFFFFF"/>
        <bgColor rgb="FFFFF2CC"/>
      </patternFill>
    </fill>
    <fill>
      <patternFill patternType="solid">
        <fgColor rgb="FFE2EFDA"/>
        <bgColor rgb="FFFFF2CC"/>
      </patternFill>
    </fill>
    <fill>
      <patternFill patternType="solid">
        <fgColor rgb="FF1F4E78"/>
        <bgColor rgb="FF1F4E7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7" fontId="0" fillId="5" borderId="0" xfId="0" applyFont="false" applyBorder="false" applyAlignment="true" applyProtection="false">
      <alignment horizontal="general" vertical="top" textRotation="0" wrapText="true" indent="0" shrinkToFit="false"/>
      <protection locked="true" hidden="false"/>
    </xf>
    <xf numFmtId="166" fontId="0" fillId="5" borderId="0" xfId="0" applyFont="fals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78"/>
    <col collapsed="false" customWidth="true" hidden="false" outlineLevel="0" max="3" min="3" style="0" width="62"/>
  </cols>
  <sheetData>
    <row r="1" customFormat="false" ht="21.75" hidden="false" customHeight="true" outlineLevel="0" collapsed="false">
      <c r="A1" s="1" t="s">
        <v>0</v>
      </c>
      <c r="B1" s="1"/>
      <c r="C1" s="1"/>
    </row>
    <row r="2" customFormat="false" ht="48" hidden="false" customHeight="true" outlineLevel="0" collapsed="false">
      <c r="A2" s="2" t="s">
        <v>1</v>
      </c>
      <c r="B2" s="2"/>
      <c r="C2" s="2"/>
    </row>
    <row r="4" customFormat="false" ht="31.5" hidden="false" customHeight="true" outlineLevel="0" collapsed="false">
      <c r="A4" s="3" t="s">
        <v>2</v>
      </c>
      <c r="B4" s="3" t="s">
        <v>3</v>
      </c>
      <c r="C4" s="3" t="s">
        <v>4</v>
      </c>
    </row>
    <row r="5" customFormat="false" ht="91.5" hidden="false" customHeight="true" outlineLevel="0" collapsed="false">
      <c r="A5" s="4" t="s">
        <v>5</v>
      </c>
      <c r="B5" s="5" t="s">
        <v>6</v>
      </c>
      <c r="C5" s="5" t="s">
        <v>7</v>
      </c>
    </row>
    <row r="6" customFormat="false" ht="91.5" hidden="false" customHeight="true" outlineLevel="0" collapsed="false">
      <c r="A6" s="4" t="s">
        <v>8</v>
      </c>
      <c r="B6" s="5" t="s">
        <v>9</v>
      </c>
      <c r="C6" s="5" t="s">
        <v>10</v>
      </c>
    </row>
    <row r="7" customFormat="false" ht="91.5" hidden="false" customHeight="true" outlineLevel="0" collapsed="false">
      <c r="A7" s="4" t="s">
        <v>11</v>
      </c>
      <c r="B7" s="5" t="s">
        <v>12</v>
      </c>
      <c r="C7" s="5" t="s">
        <v>13</v>
      </c>
    </row>
    <row r="8" customFormat="false" ht="91.5" hidden="false" customHeight="true" outlineLevel="0" collapsed="false">
      <c r="A8" s="6" t="s">
        <v>14</v>
      </c>
      <c r="B8" s="7" t="s">
        <v>15</v>
      </c>
      <c r="C8" s="7" t="s">
        <v>16</v>
      </c>
    </row>
    <row r="9" customFormat="false" ht="91.5" hidden="false" customHeight="true" outlineLevel="0" collapsed="false">
      <c r="A9" s="6" t="s">
        <v>17</v>
      </c>
      <c r="B9" s="7" t="s">
        <v>18</v>
      </c>
      <c r="C9" s="7" t="s">
        <v>19</v>
      </c>
    </row>
    <row r="10" customFormat="false" ht="91.5" hidden="false" customHeight="true" outlineLevel="0" collapsed="false">
      <c r="A10" s="6" t="s">
        <v>20</v>
      </c>
      <c r="B10" s="7" t="s">
        <v>21</v>
      </c>
      <c r="C10" s="7" t="s">
        <v>22</v>
      </c>
    </row>
    <row r="11" customFormat="false" ht="15" hidden="false" customHeight="false" outlineLevel="0" collapsed="false">
      <c r="A11" s="8" t="s">
        <v>23</v>
      </c>
      <c r="B11" s="8"/>
      <c r="C11" s="8"/>
    </row>
    <row r="12" customFormat="false" ht="48" hidden="false" customHeight="true" outlineLevel="0" collapsed="false">
      <c r="A12" s="9" t="s">
        <v>24</v>
      </c>
      <c r="B12" s="9"/>
      <c r="C12" s="9"/>
    </row>
    <row r="14" customFormat="false" ht="15" hidden="false" customHeight="false" outlineLevel="0" collapsed="false">
      <c r="A14" s="10" t="s">
        <v>25</v>
      </c>
    </row>
  </sheetData>
  <mergeCells count="4">
    <mergeCell ref="A1:C1"/>
    <mergeCell ref="A2:C2"/>
    <mergeCell ref="A11:C11"/>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5" min="3" style="0" width="16"/>
    <col collapsed="false" customWidth="true" hidden="false" outlineLevel="0" max="8" min="6" style="0" width="22"/>
    <col collapsed="false" customWidth="true" hidden="false" outlineLevel="0" max="9" min="9" style="0" width="16"/>
    <col collapsed="false" customWidth="true" hidden="false" outlineLevel="0" max="10" min="10" style="0" width="22"/>
    <col collapsed="false" customWidth="true" hidden="false" outlineLevel="0" max="13" min="11" style="0" width="16"/>
    <col collapsed="false" customWidth="true" hidden="false" outlineLevel="0" max="17" min="14" style="0" width="22"/>
    <col collapsed="false" customWidth="true" hidden="false" outlineLevel="0" max="18" min="18" style="0" width="16"/>
    <col collapsed="false" customWidth="true" hidden="false" outlineLevel="0" max="20" min="19" style="0" width="22"/>
    <col collapsed="false" customWidth="true" hidden="false" outlineLevel="0" max="21" min="21" style="0" width="16"/>
    <col collapsed="false" customWidth="true" hidden="false" outlineLevel="0" max="24" min="22" style="0" width="22"/>
    <col collapsed="false" customWidth="true" hidden="false" outlineLevel="0" max="27" min="25" style="0" width="16"/>
    <col collapsed="false" customWidth="true" hidden="false" outlineLevel="0" max="28" min="28" style="0" width="22"/>
    <col collapsed="false" customWidth="true" hidden="false" outlineLevel="0" max="40" min="29" style="0" width="16"/>
    <col collapsed="false" customWidth="true" hidden="false" outlineLevel="0" max="41" min="41" style="0" width="22"/>
    <col collapsed="false" customWidth="true" hidden="false" outlineLevel="0" max="42" min="42" style="0" width="16"/>
    <col collapsed="false" customWidth="true" hidden="false" outlineLevel="0" max="43" min="43" style="0" width="22"/>
    <col collapsed="false" customWidth="true" hidden="false" outlineLevel="0" max="44" min="44" style="0" width="16"/>
  </cols>
  <sheetData>
    <row r="1" customFormat="false" ht="60" hidden="false" customHeight="true" outlineLevel="0" collapsed="false">
      <c r="A1" s="11" t="s">
        <v>26</v>
      </c>
      <c r="B1" s="11" t="s">
        <v>27</v>
      </c>
      <c r="C1" s="11" t="s">
        <v>28</v>
      </c>
      <c r="D1" s="11" t="s">
        <v>29</v>
      </c>
      <c r="E1" s="11" t="s">
        <v>30</v>
      </c>
      <c r="F1" s="11" t="s">
        <v>31</v>
      </c>
      <c r="G1" s="11" t="s">
        <v>32</v>
      </c>
      <c r="H1" s="11" t="s">
        <v>33</v>
      </c>
      <c r="I1" s="11" t="s">
        <v>34</v>
      </c>
      <c r="J1" s="11" t="s">
        <v>35</v>
      </c>
      <c r="K1" s="11" t="s">
        <v>36</v>
      </c>
      <c r="L1" s="11" t="s">
        <v>37</v>
      </c>
      <c r="M1" s="11" t="s">
        <v>38</v>
      </c>
      <c r="N1" s="11" t="s">
        <v>39</v>
      </c>
      <c r="O1" s="11" t="s">
        <v>40</v>
      </c>
      <c r="P1" s="11" t="s">
        <v>41</v>
      </c>
      <c r="Q1" s="11" t="s">
        <v>42</v>
      </c>
      <c r="R1" s="11" t="s">
        <v>43</v>
      </c>
      <c r="S1" s="11" t="s">
        <v>44</v>
      </c>
      <c r="T1" s="11" t="s">
        <v>45</v>
      </c>
      <c r="U1" s="11" t="s">
        <v>46</v>
      </c>
      <c r="V1" s="11" t="s">
        <v>47</v>
      </c>
      <c r="W1" s="11" t="s">
        <v>48</v>
      </c>
      <c r="X1" s="11" t="s">
        <v>49</v>
      </c>
      <c r="Y1" s="11" t="s">
        <v>50</v>
      </c>
      <c r="Z1" s="11" t="s">
        <v>51</v>
      </c>
      <c r="AA1" s="11" t="s">
        <v>52</v>
      </c>
      <c r="AB1" s="11" t="s">
        <v>53</v>
      </c>
      <c r="AC1" s="11" t="s">
        <v>54</v>
      </c>
      <c r="AD1" s="11" t="s">
        <v>55</v>
      </c>
      <c r="AE1" s="11" t="s">
        <v>56</v>
      </c>
      <c r="AF1" s="11" t="s">
        <v>57</v>
      </c>
      <c r="AG1" s="11" t="s">
        <v>58</v>
      </c>
      <c r="AH1" s="11" t="s">
        <v>59</v>
      </c>
      <c r="AI1" s="11" t="s">
        <v>60</v>
      </c>
      <c r="AJ1" s="11" t="s">
        <v>61</v>
      </c>
      <c r="AK1" s="11" t="s">
        <v>62</v>
      </c>
      <c r="AL1" s="11" t="s">
        <v>63</v>
      </c>
      <c r="AM1" s="11" t="s">
        <v>64</v>
      </c>
      <c r="AN1" s="11" t="s">
        <v>65</v>
      </c>
      <c r="AO1" s="11" t="s">
        <v>66</v>
      </c>
      <c r="AP1" s="11" t="s">
        <v>67</v>
      </c>
      <c r="AQ1" s="11" t="s">
        <v>68</v>
      </c>
      <c r="AR1" s="11" t="s">
        <v>69</v>
      </c>
    </row>
    <row r="2" customFormat="false" ht="15" hidden="false" customHeight="false" outlineLevel="0" collapsed="false">
      <c r="A2" s="0" t="n">
        <v>2005</v>
      </c>
      <c r="B2" s="12" t="n">
        <v>295516599</v>
      </c>
      <c r="C2" s="12" t="n">
        <v>288378137</v>
      </c>
      <c r="D2" s="12" t="n">
        <v>267656123</v>
      </c>
      <c r="E2" s="12" t="n">
        <v>20722014</v>
      </c>
      <c r="F2" s="12" t="n">
        <v>197004322</v>
      </c>
      <c r="G2" s="13"/>
      <c r="H2" s="14"/>
      <c r="I2" s="15" t="s">
        <v>70</v>
      </c>
      <c r="J2" s="0" t="s">
        <v>71</v>
      </c>
      <c r="K2" s="0" t="s">
        <v>71</v>
      </c>
      <c r="L2" s="0" t="s">
        <v>71</v>
      </c>
      <c r="N2" s="0" t="s">
        <v>71</v>
      </c>
      <c r="O2" s="0" t="s">
        <v>71</v>
      </c>
      <c r="P2" s="13"/>
      <c r="R2" s="12" t="n">
        <v>604280</v>
      </c>
      <c r="S2" s="12" t="n">
        <v>602970</v>
      </c>
      <c r="T2" s="13"/>
      <c r="V2" s="0" t="s">
        <v>71</v>
      </c>
      <c r="W2" s="13"/>
      <c r="Y2" s="0" t="s">
        <v>71</v>
      </c>
      <c r="Z2" s="0" t="s">
        <v>71</v>
      </c>
      <c r="AA2" s="0" t="s">
        <v>71</v>
      </c>
      <c r="AB2" s="0" t="s">
        <v>71</v>
      </c>
      <c r="AC2" s="0" t="s">
        <v>71</v>
      </c>
      <c r="AD2" s="0" t="s">
        <v>71</v>
      </c>
      <c r="AE2" s="0" t="s">
        <v>71</v>
      </c>
      <c r="AF2" s="0" t="s">
        <v>71</v>
      </c>
      <c r="AG2" s="0" t="s">
        <v>71</v>
      </c>
      <c r="AH2" s="0" t="s">
        <v>71</v>
      </c>
      <c r="AJ2" s="12" t="n">
        <v>4138349</v>
      </c>
      <c r="AK2" s="0" t="s">
        <v>72</v>
      </c>
      <c r="AL2" s="12" t="n">
        <v>2448017</v>
      </c>
      <c r="AM2" s="0" t="s">
        <v>72</v>
      </c>
      <c r="AN2" s="12" t="n">
        <v>5280</v>
      </c>
      <c r="AO2" s="13"/>
      <c r="AP2" s="0" t="s">
        <v>71</v>
      </c>
      <c r="AQ2" s="15" t="s">
        <v>73</v>
      </c>
      <c r="AR2" s="15" t="s">
        <v>74</v>
      </c>
    </row>
    <row r="3" customFormat="false" ht="15" hidden="false" customHeight="false" outlineLevel="0" collapsed="false">
      <c r="A3" s="0" t="n">
        <v>2006</v>
      </c>
      <c r="B3" s="12" t="n">
        <v>298379912</v>
      </c>
      <c r="C3" s="12" t="n">
        <v>299398485</v>
      </c>
      <c r="D3" s="12" t="n">
        <v>277618427</v>
      </c>
      <c r="E3" s="12" t="n">
        <v>21780058</v>
      </c>
      <c r="F3" s="12" t="n">
        <v>206287902</v>
      </c>
      <c r="G3" s="13" t="s">
        <v>75</v>
      </c>
      <c r="H3" s="14" t="s">
        <v>75</v>
      </c>
      <c r="J3" s="12" t="n">
        <v>172805006</v>
      </c>
      <c r="K3" s="0" t="s">
        <v>71</v>
      </c>
      <c r="L3" s="0" t="s">
        <v>71</v>
      </c>
      <c r="M3" s="15" t="s">
        <v>76</v>
      </c>
      <c r="N3" s="12" t="n">
        <v>201073</v>
      </c>
      <c r="O3" s="12" t="n">
        <v>135847</v>
      </c>
      <c r="P3" s="13"/>
      <c r="Q3" s="15" t="s">
        <v>77</v>
      </c>
      <c r="R3" s="12" t="n">
        <v>702590</v>
      </c>
      <c r="S3" s="12" t="n">
        <v>730640</v>
      </c>
      <c r="T3" s="16" t="n">
        <f aca="false">IF(AND(ISNUMBER(R3),ISNUMBER(R2)),R3-R2,"")</f>
        <v>98310</v>
      </c>
      <c r="V3" s="0" t="s">
        <v>71</v>
      </c>
      <c r="W3" s="13"/>
      <c r="X3" s="15" t="s">
        <v>78</v>
      </c>
      <c r="Y3" s="0" t="s">
        <v>71</v>
      </c>
      <c r="Z3" s="0" t="s">
        <v>71</v>
      </c>
      <c r="AA3" s="0" t="s">
        <v>71</v>
      </c>
      <c r="AB3" s="0" t="s">
        <v>71</v>
      </c>
      <c r="AC3" s="0" t="s">
        <v>71</v>
      </c>
      <c r="AD3" s="0" t="s">
        <v>71</v>
      </c>
      <c r="AE3" s="0" t="s">
        <v>71</v>
      </c>
      <c r="AF3" s="0" t="s">
        <v>71</v>
      </c>
      <c r="AG3" s="0" t="s">
        <v>71</v>
      </c>
      <c r="AH3" s="0" t="s">
        <v>71</v>
      </c>
      <c r="AI3" s="15" t="s">
        <v>79</v>
      </c>
      <c r="AJ3" s="12" t="n">
        <v>4265555</v>
      </c>
      <c r="AK3" s="0" t="s">
        <v>72</v>
      </c>
      <c r="AL3" s="12" t="n">
        <v>2426264</v>
      </c>
      <c r="AM3" s="0" t="s">
        <v>72</v>
      </c>
      <c r="AN3" s="12" t="n">
        <v>5662</v>
      </c>
      <c r="AO3" s="16" t="n">
        <f aca="false">IF(AND(ISNUMBER(AN3),ISNUMBER(AN2)),AN3-AN2,"")</f>
        <v>382</v>
      </c>
      <c r="AP3" s="0" t="s">
        <v>71</v>
      </c>
      <c r="AQ3" s="15" t="s">
        <v>73</v>
      </c>
    </row>
    <row r="4" customFormat="false" ht="15" hidden="false" customHeight="false" outlineLevel="0" collapsed="false">
      <c r="A4" s="0" t="n">
        <v>2007</v>
      </c>
      <c r="B4" s="12" t="n">
        <v>301231207</v>
      </c>
      <c r="C4" s="12" t="n">
        <v>301621159</v>
      </c>
      <c r="D4" s="12" t="n">
        <v>279743348</v>
      </c>
      <c r="E4" s="12" t="n">
        <v>21877811</v>
      </c>
      <c r="F4" s="12" t="n">
        <v>208186178</v>
      </c>
      <c r="G4" s="16" t="n">
        <f aca="false">IF(AND(ISNUMBER(D4),ISNUMBER(D3)),D4-D3,"")</f>
        <v>2124921</v>
      </c>
      <c r="H4" s="17" t="n">
        <f aca="false">IF(AND(ISNUMBER(D4),ISNUMBER(D3)),(D4-D3)/D3,"")</f>
        <v>0.00765410647615261</v>
      </c>
      <c r="J4" s="0" t="s">
        <v>71</v>
      </c>
      <c r="K4" s="0" t="s">
        <v>71</v>
      </c>
      <c r="L4" s="0" t="s">
        <v>71</v>
      </c>
      <c r="N4" s="0" t="s">
        <v>71</v>
      </c>
      <c r="O4" s="0" t="s">
        <v>71</v>
      </c>
      <c r="P4" s="13"/>
      <c r="R4" s="12" t="n">
        <v>660480</v>
      </c>
      <c r="S4" s="12" t="n">
        <v>1382990</v>
      </c>
      <c r="T4" s="16" t="n">
        <f aca="false">IF(AND(ISNUMBER(R4),ISNUMBER(R3)),R4-R3,"")</f>
        <v>-42110</v>
      </c>
      <c r="U4" s="15" t="s">
        <v>80</v>
      </c>
      <c r="V4" s="0" t="s">
        <v>71</v>
      </c>
      <c r="W4" s="13"/>
      <c r="Y4" s="0" t="s">
        <v>71</v>
      </c>
      <c r="Z4" s="0" t="s">
        <v>71</v>
      </c>
      <c r="AA4" s="0" t="s">
        <v>71</v>
      </c>
      <c r="AB4" s="0" t="s">
        <v>71</v>
      </c>
      <c r="AC4" s="0" t="s">
        <v>71</v>
      </c>
      <c r="AD4" s="0" t="s">
        <v>71</v>
      </c>
      <c r="AE4" s="0" t="s">
        <v>71</v>
      </c>
      <c r="AF4" s="0" t="s">
        <v>71</v>
      </c>
      <c r="AG4" s="0" t="s">
        <v>71</v>
      </c>
      <c r="AH4" s="0" t="s">
        <v>71</v>
      </c>
      <c r="AJ4" s="12" t="n">
        <v>4316233</v>
      </c>
      <c r="AK4" s="0" t="s">
        <v>72</v>
      </c>
      <c r="AL4" s="12" t="n">
        <v>2423712</v>
      </c>
      <c r="AM4" s="0" t="s">
        <v>72</v>
      </c>
      <c r="AN4" s="12" t="n">
        <v>5906</v>
      </c>
      <c r="AO4" s="16" t="n">
        <f aca="false">IF(AND(ISNUMBER(AN4),ISNUMBER(AN3)),AN4-AN3,"")</f>
        <v>244</v>
      </c>
      <c r="AP4" s="0" t="s">
        <v>71</v>
      </c>
      <c r="AQ4" s="15" t="s">
        <v>73</v>
      </c>
      <c r="AR4" s="15" t="s">
        <v>74</v>
      </c>
    </row>
    <row r="5" customFormat="false" ht="15" hidden="false" customHeight="false" outlineLevel="0" collapsed="false">
      <c r="A5" s="0" t="n">
        <v>2008</v>
      </c>
      <c r="B5" s="12" t="n">
        <v>304093966</v>
      </c>
      <c r="C5" s="12" t="n">
        <v>304059728</v>
      </c>
      <c r="D5" s="12" t="n">
        <v>282428702</v>
      </c>
      <c r="E5" s="12" t="n">
        <v>21631026</v>
      </c>
      <c r="F5" s="12" t="n">
        <v>210710906</v>
      </c>
      <c r="G5" s="16" t="n">
        <f aca="false">IF(AND(ISNUMBER(D5),ISNUMBER(D4)),D5-D4,"")</f>
        <v>2685354</v>
      </c>
      <c r="H5" s="17" t="n">
        <f aca="false">IF(AND(ISNUMBER(D5),ISNUMBER(D4)),(D5-D4)/D4,"")</f>
        <v>0.0095993489003356</v>
      </c>
      <c r="J5" s="12" t="n">
        <v>189844867</v>
      </c>
      <c r="K5" s="0" t="s">
        <v>71</v>
      </c>
      <c r="L5" s="0" t="s">
        <v>71</v>
      </c>
      <c r="M5" s="15" t="s">
        <v>81</v>
      </c>
      <c r="N5" s="12" t="n">
        <v>206072</v>
      </c>
      <c r="O5" s="12" t="n">
        <v>146311</v>
      </c>
      <c r="P5" s="16" t="n">
        <f aca="false">IF(AND(ISNUMBER(J5),ISNUMBER(J3)),J5-J3,"")</f>
        <v>17039861</v>
      </c>
      <c r="Q5" s="15" t="s">
        <v>82</v>
      </c>
      <c r="R5" s="12" t="n">
        <v>1046540</v>
      </c>
      <c r="S5" s="12" t="n">
        <v>525790</v>
      </c>
      <c r="T5" s="16" t="n">
        <f aca="false">IF(AND(ISNUMBER(R5),ISNUMBER(R4)),R5-R4,"")</f>
        <v>386060</v>
      </c>
      <c r="U5" s="15" t="s">
        <v>83</v>
      </c>
      <c r="V5" s="0" t="s">
        <v>71</v>
      </c>
      <c r="W5" s="16" t="str">
        <f aca="false">IF(AND(ISNUMBER(V5),ISNUMBER(V3)),V5-V3,"")</f>
        <v/>
      </c>
      <c r="X5" s="15" t="s">
        <v>84</v>
      </c>
      <c r="Y5" s="0" t="s">
        <v>71</v>
      </c>
      <c r="Z5" s="0" t="s">
        <v>71</v>
      </c>
      <c r="AA5" s="0" t="s">
        <v>71</v>
      </c>
      <c r="AB5" s="0" t="s">
        <v>71</v>
      </c>
      <c r="AC5" s="0" t="s">
        <v>71</v>
      </c>
      <c r="AD5" s="0" t="s">
        <v>71</v>
      </c>
      <c r="AE5" s="0" t="s">
        <v>71</v>
      </c>
      <c r="AF5" s="0" t="s">
        <v>71</v>
      </c>
      <c r="AG5" s="0" t="s">
        <v>71</v>
      </c>
      <c r="AH5" s="0" t="s">
        <v>71</v>
      </c>
      <c r="AI5" s="15" t="s">
        <v>85</v>
      </c>
      <c r="AJ5" s="12" t="n">
        <v>4247694</v>
      </c>
      <c r="AK5" s="0" t="s">
        <v>72</v>
      </c>
      <c r="AL5" s="12" t="n">
        <v>2471984</v>
      </c>
      <c r="AM5" s="0" t="s">
        <v>72</v>
      </c>
      <c r="AN5" s="12" t="n">
        <v>5785</v>
      </c>
      <c r="AO5" s="16" t="n">
        <f aca="false">IF(AND(ISNUMBER(AN5),ISNUMBER(AN4)),AN5-AN4,"")</f>
        <v>-121</v>
      </c>
      <c r="AP5" s="0" t="s">
        <v>71</v>
      </c>
      <c r="AQ5" s="15" t="s">
        <v>73</v>
      </c>
    </row>
    <row r="6" customFormat="false" ht="15" hidden="false" customHeight="false" outlineLevel="0" collapsed="false">
      <c r="A6" s="0" t="n">
        <v>2009</v>
      </c>
      <c r="B6" s="12" t="n">
        <v>306771529</v>
      </c>
      <c r="C6" s="12" t="n">
        <v>307006556</v>
      </c>
      <c r="D6" s="12" t="n">
        <v>285335719</v>
      </c>
      <c r="E6" s="12" t="n">
        <v>21670837</v>
      </c>
      <c r="F6" s="12" t="n">
        <v>213020665</v>
      </c>
      <c r="G6" s="16" t="n">
        <f aca="false">IF(AND(ISNUMBER(D6),ISNUMBER(D5)),D6-D5,"")</f>
        <v>2907017</v>
      </c>
      <c r="H6" s="17" t="n">
        <f aca="false">IF(AND(ISNUMBER(D6),ISNUMBER(D5)),(D6-D5)/D5,"")</f>
        <v>0.0102929234154112</v>
      </c>
      <c r="J6" s="0" t="s">
        <v>71</v>
      </c>
      <c r="K6" s="0" t="s">
        <v>71</v>
      </c>
      <c r="L6" s="0" t="s">
        <v>71</v>
      </c>
      <c r="N6" s="0" t="s">
        <v>71</v>
      </c>
      <c r="O6" s="0" t="s">
        <v>71</v>
      </c>
      <c r="P6" s="13"/>
      <c r="R6" s="12" t="n">
        <v>743720</v>
      </c>
      <c r="S6" s="12" t="n">
        <v>570440</v>
      </c>
      <c r="T6" s="16" t="n">
        <f aca="false">IF(AND(ISNUMBER(R6),ISNUMBER(R5)),R6-R5,"")</f>
        <v>-302820</v>
      </c>
      <c r="V6" s="0" t="s">
        <v>71</v>
      </c>
      <c r="W6" s="13"/>
      <c r="Y6" s="0" t="s">
        <v>71</v>
      </c>
      <c r="Z6" s="0" t="s">
        <v>71</v>
      </c>
      <c r="AA6" s="0" t="s">
        <v>71</v>
      </c>
      <c r="AB6" s="0" t="s">
        <v>71</v>
      </c>
      <c r="AC6" s="0" t="s">
        <v>71</v>
      </c>
      <c r="AD6" s="0" t="s">
        <v>71</v>
      </c>
      <c r="AE6" s="0" t="s">
        <v>71</v>
      </c>
      <c r="AF6" s="0" t="s">
        <v>71</v>
      </c>
      <c r="AG6" s="0" t="s">
        <v>71</v>
      </c>
      <c r="AH6" s="0" t="s">
        <v>71</v>
      </c>
      <c r="AJ6" s="12" t="n">
        <v>4130665</v>
      </c>
      <c r="AK6" s="0" t="s">
        <v>72</v>
      </c>
      <c r="AL6" s="12" t="n">
        <v>2437163</v>
      </c>
      <c r="AM6" s="0" t="s">
        <v>72</v>
      </c>
      <c r="AN6" s="12" t="n">
        <v>5548</v>
      </c>
      <c r="AO6" s="16" t="n">
        <f aca="false">IF(AND(ISNUMBER(AN6),ISNUMBER(AN5)),AN6-AN5,"")</f>
        <v>-237</v>
      </c>
      <c r="AP6" s="0" t="s">
        <v>71</v>
      </c>
      <c r="AQ6" s="15" t="s">
        <v>73</v>
      </c>
      <c r="AR6" s="15" t="s">
        <v>74</v>
      </c>
    </row>
    <row r="7" customFormat="false" ht="15" hidden="false" customHeight="false" outlineLevel="0" collapsed="false">
      <c r="A7" s="0" t="n">
        <v>2010</v>
      </c>
      <c r="B7" s="12" t="n">
        <v>309378227</v>
      </c>
      <c r="C7" s="12" t="n">
        <v>309349689</v>
      </c>
      <c r="D7" s="12" t="n">
        <v>286869917</v>
      </c>
      <c r="E7" s="12" t="n">
        <v>22479772</v>
      </c>
      <c r="F7" s="12" t="n">
        <v>214916459</v>
      </c>
      <c r="G7" s="16" t="n">
        <f aca="false">IF(AND(ISNUMBER(D7),ISNUMBER(D6)),D7-D6,"")</f>
        <v>1534198</v>
      </c>
      <c r="H7" s="17" t="n">
        <f aca="false">IF(AND(ISNUMBER(D7),ISNUMBER(D6)),(D7-D6)/D6,"")</f>
        <v>0.00537681719406465</v>
      </c>
      <c r="J7" s="12" t="n">
        <v>186874157</v>
      </c>
      <c r="K7" s="0" t="s">
        <v>71</v>
      </c>
      <c r="L7" s="0" t="s">
        <v>71</v>
      </c>
      <c r="M7" s="15" t="s">
        <v>86</v>
      </c>
      <c r="N7" s="12" t="n">
        <v>210800</v>
      </c>
      <c r="O7" s="12" t="n">
        <v>137263</v>
      </c>
      <c r="P7" s="16" t="n">
        <f aca="false">IF(AND(ISNUMBER(J7),ISNUMBER(J5)),J7-J5,"")</f>
        <v>-2970710</v>
      </c>
      <c r="Q7" s="0" t="s">
        <v>87</v>
      </c>
      <c r="R7" s="12" t="n">
        <v>619910</v>
      </c>
      <c r="S7" s="12" t="n">
        <v>710540</v>
      </c>
      <c r="T7" s="16" t="n">
        <f aca="false">IF(AND(ISNUMBER(R7),ISNUMBER(R6)),R7-R6,"")</f>
        <v>-123810</v>
      </c>
      <c r="V7" s="0" t="s">
        <v>71</v>
      </c>
      <c r="W7" s="16" t="str">
        <f aca="false">IF(AND(ISNUMBER(V7),ISNUMBER(V5)),V7-V5,"")</f>
        <v/>
      </c>
      <c r="X7" s="0" t="s">
        <v>88</v>
      </c>
      <c r="Y7" s="0" t="s">
        <v>71</v>
      </c>
      <c r="Z7" s="0" t="s">
        <v>71</v>
      </c>
      <c r="AA7" s="0" t="s">
        <v>71</v>
      </c>
      <c r="AB7" s="0" t="s">
        <v>71</v>
      </c>
      <c r="AC7" s="0" t="s">
        <v>71</v>
      </c>
      <c r="AD7" s="0" t="s">
        <v>71</v>
      </c>
      <c r="AE7" s="0" t="s">
        <v>71</v>
      </c>
      <c r="AF7" s="0" t="s">
        <v>71</v>
      </c>
      <c r="AG7" s="0" t="s">
        <v>71</v>
      </c>
      <c r="AH7" s="0" t="s">
        <v>71</v>
      </c>
      <c r="AI7" s="15" t="s">
        <v>89</v>
      </c>
      <c r="AJ7" s="12" t="n">
        <v>3999386</v>
      </c>
      <c r="AK7" s="0" t="s">
        <v>72</v>
      </c>
      <c r="AL7" s="12" t="n">
        <v>2468435</v>
      </c>
      <c r="AM7" s="0" t="s">
        <v>72</v>
      </c>
      <c r="AN7" s="12" t="n">
        <v>5442</v>
      </c>
      <c r="AO7" s="16" t="n">
        <f aca="false">IF(AND(ISNUMBER(AN7),ISNUMBER(AN6)),AN7-AN6,"")</f>
        <v>-106</v>
      </c>
      <c r="AP7" s="0" t="s">
        <v>71</v>
      </c>
      <c r="AQ7" s="15" t="s">
        <v>73</v>
      </c>
    </row>
    <row r="8" customFormat="false" ht="15" hidden="false" customHeight="false" outlineLevel="0" collapsed="false">
      <c r="A8" s="0" t="n">
        <v>2011</v>
      </c>
      <c r="B8" s="12" t="n">
        <v>311839461</v>
      </c>
      <c r="C8" s="12" t="n">
        <v>311591919</v>
      </c>
      <c r="D8" s="12" t="n">
        <v>289354251</v>
      </c>
      <c r="E8" s="12" t="n">
        <v>22237668</v>
      </c>
      <c r="F8" s="12" t="n">
        <v>217462618</v>
      </c>
      <c r="G8" s="16" t="n">
        <f aca="false">IF(AND(ISNUMBER(D8),ISNUMBER(D7)),D8-D7,"")</f>
        <v>2484334</v>
      </c>
      <c r="H8" s="17" t="n">
        <f aca="false">IF(AND(ISNUMBER(D8),ISNUMBER(D7)),(D8-D7)/D7,"")</f>
        <v>0.00866014124443728</v>
      </c>
      <c r="J8" s="0" t="s">
        <v>71</v>
      </c>
      <c r="K8" s="0" t="s">
        <v>71</v>
      </c>
      <c r="L8" s="0" t="s">
        <v>71</v>
      </c>
      <c r="N8" s="0" t="s">
        <v>71</v>
      </c>
      <c r="O8" s="0" t="s">
        <v>71</v>
      </c>
      <c r="P8" s="13"/>
      <c r="R8" s="12" t="n">
        <v>694190</v>
      </c>
      <c r="S8" s="12" t="n">
        <v>756010</v>
      </c>
      <c r="T8" s="16" t="n">
        <f aca="false">IF(AND(ISNUMBER(R8),ISNUMBER(R7)),R8-R7,"")</f>
        <v>74280</v>
      </c>
      <c r="V8" s="0" t="s">
        <v>71</v>
      </c>
      <c r="W8" s="13"/>
      <c r="Y8" s="0" t="s">
        <v>71</v>
      </c>
      <c r="Z8" s="0" t="s">
        <v>71</v>
      </c>
      <c r="AA8" s="0" t="s">
        <v>71</v>
      </c>
      <c r="AB8" s="0" t="s">
        <v>71</v>
      </c>
      <c r="AC8" s="0" t="s">
        <v>71</v>
      </c>
      <c r="AD8" s="0" t="s">
        <v>71</v>
      </c>
      <c r="AE8" s="0" t="s">
        <v>71</v>
      </c>
      <c r="AF8" s="0" t="s">
        <v>71</v>
      </c>
      <c r="AG8" s="0" t="s">
        <v>71</v>
      </c>
      <c r="AH8" s="0" t="s">
        <v>71</v>
      </c>
      <c r="AJ8" s="12" t="n">
        <v>3953590</v>
      </c>
      <c r="AK8" s="0" t="s">
        <v>72</v>
      </c>
      <c r="AL8" s="12" t="n">
        <v>2515458</v>
      </c>
      <c r="AM8" s="0" t="s">
        <v>72</v>
      </c>
      <c r="AN8" s="12" t="n">
        <v>5354</v>
      </c>
      <c r="AO8" s="16" t="n">
        <f aca="false">IF(AND(ISNUMBER(AN8),ISNUMBER(AN7)),AN8-AN7,"")</f>
        <v>-88</v>
      </c>
      <c r="AP8" s="0" t="s">
        <v>71</v>
      </c>
      <c r="AQ8" s="15" t="s">
        <v>73</v>
      </c>
      <c r="AR8" s="15" t="s">
        <v>74</v>
      </c>
    </row>
    <row r="9" customFormat="false" ht="15" hidden="false" customHeight="false" outlineLevel="0" collapsed="false">
      <c r="A9" s="0" t="n">
        <v>2012</v>
      </c>
      <c r="B9" s="12" t="n">
        <v>314339099</v>
      </c>
      <c r="C9" s="12" t="n">
        <v>313914040</v>
      </c>
      <c r="D9" s="12" t="n">
        <v>291775619</v>
      </c>
      <c r="E9" s="12" t="n">
        <v>22138421</v>
      </c>
      <c r="F9" s="12" t="n">
        <v>220008145</v>
      </c>
      <c r="G9" s="16" t="n">
        <f aca="false">IF(AND(ISNUMBER(D9),ISNUMBER(D8)),D9-D8,"")</f>
        <v>2421368</v>
      </c>
      <c r="H9" s="17" t="n">
        <f aca="false">IF(AND(ISNUMBER(D9),ISNUMBER(D8)),(D9-D8)/D8,"")</f>
        <v>0.0083681784236168</v>
      </c>
      <c r="J9" s="12" t="n">
        <v>194198928</v>
      </c>
      <c r="K9" s="0" t="s">
        <v>71</v>
      </c>
      <c r="L9" s="0" t="s">
        <v>71</v>
      </c>
      <c r="M9" s="15" t="s">
        <v>90</v>
      </c>
      <c r="N9" s="12" t="n">
        <v>215081</v>
      </c>
      <c r="O9" s="12" t="n">
        <v>153157</v>
      </c>
      <c r="P9" s="16" t="n">
        <f aca="false">IF(AND(ISNUMBER(J9),ISNUMBER(J7)),J9-J7,"")</f>
        <v>7324771</v>
      </c>
      <c r="Q9" s="15" t="s">
        <v>82</v>
      </c>
      <c r="R9" s="12" t="n">
        <v>757430</v>
      </c>
      <c r="S9" s="12" t="n">
        <v>899160</v>
      </c>
      <c r="T9" s="16" t="n">
        <f aca="false">IF(AND(ISNUMBER(R9),ISNUMBER(R8)),R9-R8,"")</f>
        <v>63240</v>
      </c>
      <c r="V9" s="0" t="s">
        <v>71</v>
      </c>
      <c r="W9" s="16" t="str">
        <f aca="false">IF(AND(ISNUMBER(V9),ISNUMBER(V7)),V9-V7,"")</f>
        <v/>
      </c>
      <c r="X9" s="0" t="s">
        <v>91</v>
      </c>
      <c r="Y9" s="0" t="s">
        <v>71</v>
      </c>
      <c r="Z9" s="0" t="s">
        <v>71</v>
      </c>
      <c r="AA9" s="0" t="s">
        <v>71</v>
      </c>
      <c r="AB9" s="0" t="s">
        <v>71</v>
      </c>
      <c r="AC9" s="0" t="s">
        <v>71</v>
      </c>
      <c r="AD9" s="0" t="s">
        <v>71</v>
      </c>
      <c r="AE9" s="0" t="s">
        <v>71</v>
      </c>
      <c r="AF9" s="0" t="s">
        <v>71</v>
      </c>
      <c r="AG9" s="0" t="s">
        <v>71</v>
      </c>
      <c r="AH9" s="0" t="s">
        <v>71</v>
      </c>
      <c r="AI9" s="15" t="s">
        <v>92</v>
      </c>
      <c r="AJ9" s="12" t="n">
        <v>3952841</v>
      </c>
      <c r="AK9" s="0" t="s">
        <v>72</v>
      </c>
      <c r="AL9" s="12" t="n">
        <v>2543279</v>
      </c>
      <c r="AM9" s="0" t="s">
        <v>72</v>
      </c>
      <c r="AN9" s="12" t="n">
        <v>5490</v>
      </c>
      <c r="AO9" s="16" t="n">
        <f aca="false">IF(AND(ISNUMBER(AN9),ISNUMBER(AN8)),AN9-AN8,"")</f>
        <v>136</v>
      </c>
      <c r="AP9" s="0" t="s">
        <v>71</v>
      </c>
      <c r="AQ9" s="15" t="s">
        <v>73</v>
      </c>
    </row>
    <row r="10" customFormat="false" ht="15" hidden="false" customHeight="false" outlineLevel="0" collapsed="false">
      <c r="A10" s="0" t="n">
        <v>2013</v>
      </c>
      <c r="B10" s="12" t="n">
        <v>316726282</v>
      </c>
      <c r="C10" s="12" t="n">
        <v>316128839</v>
      </c>
      <c r="D10" s="12" t="n">
        <v>294075483</v>
      </c>
      <c r="E10" s="12" t="n">
        <v>22053356</v>
      </c>
      <c r="F10" s="12" t="n">
        <v>222363928</v>
      </c>
      <c r="G10" s="16" t="n">
        <f aca="false">IF(AND(ISNUMBER(D10),ISNUMBER(D9)),D10-D9,"")</f>
        <v>2299864</v>
      </c>
      <c r="H10" s="17" t="n">
        <f aca="false">IF(AND(ISNUMBER(D10),ISNUMBER(D9)),(D10-D9)/D9,"")</f>
        <v>0.00788230355874937</v>
      </c>
      <c r="J10" s="0" t="s">
        <v>71</v>
      </c>
      <c r="K10" s="0" t="s">
        <v>71</v>
      </c>
      <c r="L10" s="0" t="s">
        <v>71</v>
      </c>
      <c r="N10" s="0" t="s">
        <v>71</v>
      </c>
      <c r="O10" s="0" t="s">
        <v>71</v>
      </c>
      <c r="P10" s="13"/>
      <c r="R10" s="12" t="n">
        <v>779930</v>
      </c>
      <c r="S10" s="12" t="n">
        <v>772620</v>
      </c>
      <c r="T10" s="16" t="n">
        <f aca="false">IF(AND(ISNUMBER(R10),ISNUMBER(R9)),R10-R9,"")</f>
        <v>22500</v>
      </c>
      <c r="V10" s="0" t="s">
        <v>71</v>
      </c>
      <c r="W10" s="13"/>
      <c r="Y10" s="0" t="s">
        <v>71</v>
      </c>
      <c r="Z10" s="0" t="s">
        <v>71</v>
      </c>
      <c r="AA10" s="0" t="s">
        <v>71</v>
      </c>
      <c r="AB10" s="0" t="s">
        <v>71</v>
      </c>
      <c r="AC10" s="0" t="s">
        <v>71</v>
      </c>
      <c r="AD10" s="0" t="s">
        <v>71</v>
      </c>
      <c r="AE10" s="0" t="s">
        <v>71</v>
      </c>
      <c r="AF10" s="0" t="s">
        <v>71</v>
      </c>
      <c r="AG10" s="0" t="s">
        <v>71</v>
      </c>
      <c r="AH10" s="0" t="s">
        <v>71</v>
      </c>
      <c r="AJ10" s="12" t="n">
        <v>3932181</v>
      </c>
      <c r="AK10" s="0" t="s">
        <v>72</v>
      </c>
      <c r="AL10" s="12" t="n">
        <v>2596993</v>
      </c>
      <c r="AM10" s="0" t="s">
        <v>72</v>
      </c>
      <c r="AN10" s="12" t="n">
        <v>5762</v>
      </c>
      <c r="AO10" s="16" t="n">
        <f aca="false">IF(AND(ISNUMBER(AN10),ISNUMBER(AN9)),AN10-AN9,"")</f>
        <v>272</v>
      </c>
      <c r="AP10" s="0" t="s">
        <v>71</v>
      </c>
      <c r="AQ10" s="15" t="s">
        <v>73</v>
      </c>
      <c r="AR10" s="15" t="s">
        <v>74</v>
      </c>
    </row>
    <row r="11" customFormat="false" ht="15" hidden="false" customHeight="false" outlineLevel="0" collapsed="false">
      <c r="A11" s="0" t="n">
        <v>2014</v>
      </c>
      <c r="B11" s="12" t="n">
        <v>319257560</v>
      </c>
      <c r="C11" s="12" t="n">
        <v>318857056</v>
      </c>
      <c r="D11" s="12" t="n">
        <v>296450000</v>
      </c>
      <c r="E11" s="12" t="n">
        <v>22407056</v>
      </c>
      <c r="F11" s="12" t="n">
        <v>224744860</v>
      </c>
      <c r="G11" s="16" t="n">
        <f aca="false">IF(AND(ISNUMBER(D11),ISNUMBER(D10)),D11-D10,"")</f>
        <v>2374517</v>
      </c>
      <c r="H11" s="17" t="n">
        <f aca="false">IF(AND(ISNUMBER(D11),ISNUMBER(D10)),(D11-D10)/D10,"")</f>
        <v>0.00807451534475589</v>
      </c>
      <c r="J11" s="12" t="n">
        <v>190669639</v>
      </c>
      <c r="K11" s="12" t="n">
        <v>173518745</v>
      </c>
      <c r="L11" s="12" t="n">
        <v>23051454</v>
      </c>
      <c r="M11" s="15" t="s">
        <v>93</v>
      </c>
      <c r="N11" s="12" t="n">
        <v>219941</v>
      </c>
      <c r="O11" s="12" t="n">
        <v>142166</v>
      </c>
      <c r="P11" s="16" t="n">
        <f aca="false">IF(AND(ISNUMBER(J11),ISNUMBER(J9)),J11-J9,"")</f>
        <v>-3529289</v>
      </c>
      <c r="Q11" s="15" t="s">
        <v>94</v>
      </c>
      <c r="R11" s="12" t="n">
        <v>653420</v>
      </c>
      <c r="S11" s="12" t="n">
        <v>773820</v>
      </c>
      <c r="T11" s="16" t="n">
        <f aca="false">IF(AND(ISNUMBER(R11),ISNUMBER(R10)),R11-R10,"")</f>
        <v>-126510</v>
      </c>
      <c r="V11" s="0" t="s">
        <v>71</v>
      </c>
      <c r="W11" s="16" t="str">
        <f aca="false">IF(AND(ISNUMBER(V11),ISNUMBER(V9)),V11-V9,"")</f>
        <v/>
      </c>
      <c r="X11" s="15" t="s">
        <v>95</v>
      </c>
      <c r="Y11" s="0" t="s">
        <v>71</v>
      </c>
      <c r="Z11" s="0" t="s">
        <v>71</v>
      </c>
      <c r="AA11" s="0" t="s">
        <v>71</v>
      </c>
      <c r="AB11" s="0" t="s">
        <v>71</v>
      </c>
      <c r="AC11" s="0" t="s">
        <v>71</v>
      </c>
      <c r="AD11" s="0" t="s">
        <v>71</v>
      </c>
      <c r="AE11" s="0" t="s">
        <v>71</v>
      </c>
      <c r="AF11" s="0" t="s">
        <v>71</v>
      </c>
      <c r="AG11" s="0" t="s">
        <v>71</v>
      </c>
      <c r="AH11" s="0" t="s">
        <v>71</v>
      </c>
      <c r="AI11" s="15" t="s">
        <v>96</v>
      </c>
      <c r="AJ11" s="12" t="n">
        <v>3988076</v>
      </c>
      <c r="AK11" s="0" t="s">
        <v>72</v>
      </c>
      <c r="AL11" s="12" t="n">
        <v>2626418</v>
      </c>
      <c r="AM11" s="0" t="s">
        <v>72</v>
      </c>
      <c r="AN11" s="12" t="n">
        <v>5652</v>
      </c>
      <c r="AO11" s="16" t="n">
        <f aca="false">IF(AND(ISNUMBER(AN11),ISNUMBER(AN10)),AN11-AN10,"")</f>
        <v>-110</v>
      </c>
      <c r="AP11" s="0" t="s">
        <v>71</v>
      </c>
      <c r="AQ11" s="15" t="s">
        <v>73</v>
      </c>
    </row>
    <row r="12" customFormat="false" ht="15" hidden="false" customHeight="false" outlineLevel="0" collapsed="false">
      <c r="A12" s="0" t="n">
        <v>2015</v>
      </c>
      <c r="B12" s="12" t="n">
        <v>321815121</v>
      </c>
      <c r="C12" s="12" t="n">
        <v>321418821</v>
      </c>
      <c r="D12" s="12" t="n">
        <v>298825552</v>
      </c>
      <c r="E12" s="12" t="n">
        <v>22593269</v>
      </c>
      <c r="F12" s="12" t="n">
        <v>227019486</v>
      </c>
      <c r="G12" s="16" t="n">
        <f aca="false">IF(AND(ISNUMBER(D12),ISNUMBER(D11)),D12-D11,"")</f>
        <v>2375552</v>
      </c>
      <c r="H12" s="17" t="n">
        <f aca="false">IF(AND(ISNUMBER(D12),ISNUMBER(D11)),(D12-D11)/D11,"")</f>
        <v>0.00801333108449992</v>
      </c>
      <c r="J12" s="0" t="s">
        <v>71</v>
      </c>
      <c r="K12" s="0" t="s">
        <v>71</v>
      </c>
      <c r="L12" s="0" t="s">
        <v>71</v>
      </c>
      <c r="N12" s="0" t="s">
        <v>71</v>
      </c>
      <c r="O12" s="0" t="s">
        <v>71</v>
      </c>
      <c r="P12" s="13"/>
      <c r="R12" s="12" t="n">
        <v>730260</v>
      </c>
      <c r="S12" s="12" t="n">
        <v>783060</v>
      </c>
      <c r="T12" s="16" t="n">
        <f aca="false">IF(AND(ISNUMBER(R12),ISNUMBER(R11)),R12-R11,"")</f>
        <v>76840</v>
      </c>
      <c r="V12" s="0" t="s">
        <v>71</v>
      </c>
      <c r="W12" s="13"/>
      <c r="Y12" s="0" t="s">
        <v>71</v>
      </c>
      <c r="Z12" s="0" t="s">
        <v>71</v>
      </c>
      <c r="AA12" s="0" t="s">
        <v>71</v>
      </c>
      <c r="AB12" s="0" t="s">
        <v>71</v>
      </c>
      <c r="AC12" s="0" t="s">
        <v>71</v>
      </c>
      <c r="AD12" s="0" t="s">
        <v>71</v>
      </c>
      <c r="AE12" s="0" t="s">
        <v>71</v>
      </c>
      <c r="AF12" s="0" t="s">
        <v>71</v>
      </c>
      <c r="AG12" s="0" t="s">
        <v>71</v>
      </c>
      <c r="AH12" s="0" t="s">
        <v>71</v>
      </c>
      <c r="AJ12" s="12" t="n">
        <v>3978497</v>
      </c>
      <c r="AK12" s="0" t="s">
        <v>72</v>
      </c>
      <c r="AL12" s="12" t="n">
        <v>2712630</v>
      </c>
      <c r="AM12" s="0" t="s">
        <v>72</v>
      </c>
      <c r="AN12" s="12" t="n">
        <v>5844</v>
      </c>
      <c r="AO12" s="16" t="n">
        <f aca="false">IF(AND(ISNUMBER(AN12),ISNUMBER(AN11)),AN12-AN11,"")</f>
        <v>192</v>
      </c>
      <c r="AP12" s="18" t="n">
        <v>73.4</v>
      </c>
      <c r="AQ12" s="15" t="s">
        <v>73</v>
      </c>
      <c r="AR12" s="15" t="s">
        <v>74</v>
      </c>
    </row>
    <row r="13" customFormat="false" ht="15" hidden="false" customHeight="false" outlineLevel="0" collapsed="false">
      <c r="A13" s="0" t="n">
        <v>2016</v>
      </c>
      <c r="B13" s="12" t="n">
        <v>324353340</v>
      </c>
      <c r="C13" s="12" t="n">
        <v>323127515</v>
      </c>
      <c r="D13" s="12" t="n">
        <v>300626542</v>
      </c>
      <c r="E13" s="12" t="n">
        <v>22500973</v>
      </c>
      <c r="F13" s="12" t="n">
        <v>228849669</v>
      </c>
      <c r="G13" s="16" t="n">
        <f aca="false">IF(AND(ISNUMBER(D13),ISNUMBER(D12)),D13-D12,"")</f>
        <v>1800990</v>
      </c>
      <c r="H13" s="17" t="n">
        <f aca="false">IF(AND(ISNUMBER(D13),ISNUMBER(D12)),(D13-D12)/D12,"")</f>
        <v>0.00602689424631264</v>
      </c>
      <c r="J13" s="12" t="n">
        <v>214109360</v>
      </c>
      <c r="K13" s="12" t="n">
        <v>185714229</v>
      </c>
      <c r="L13" s="12" t="n">
        <v>18629063</v>
      </c>
      <c r="M13" s="15" t="s">
        <v>97</v>
      </c>
      <c r="N13" s="12" t="n">
        <v>224059</v>
      </c>
      <c r="O13" s="12" t="n">
        <v>157596</v>
      </c>
      <c r="P13" s="16" t="n">
        <f aca="false">IF(AND(ISNUMBER(J13),ISNUMBER(J11)),J13-J11,"")</f>
        <v>23439721</v>
      </c>
      <c r="Q13" s="15" t="s">
        <v>82</v>
      </c>
      <c r="R13" s="12" t="n">
        <v>753060</v>
      </c>
      <c r="S13" s="12" t="n">
        <v>972150</v>
      </c>
      <c r="T13" s="16" t="n">
        <f aca="false">IF(AND(ISNUMBER(R13),ISNUMBER(R12)),R13-R12,"")</f>
        <v>22800</v>
      </c>
      <c r="V13" s="12" t="n">
        <v>28935330</v>
      </c>
      <c r="W13" s="16" t="str">
        <f aca="false">IF(AND(ISNUMBER(V13),ISNUMBER(V11)),V13-V11,"")</f>
        <v/>
      </c>
      <c r="Y13" s="12" t="n">
        <v>16696470</v>
      </c>
      <c r="Z13" s="12" t="n">
        <v>5188806</v>
      </c>
      <c r="AA13" s="12" t="n">
        <v>4110047</v>
      </c>
      <c r="AB13" s="12" t="n">
        <v>4358065</v>
      </c>
      <c r="AC13" s="12" t="n">
        <v>334253</v>
      </c>
      <c r="AD13" s="12" t="n">
        <v>299717</v>
      </c>
      <c r="AE13" s="12" t="n">
        <v>10644</v>
      </c>
      <c r="AF13" s="0" t="s">
        <v>71</v>
      </c>
      <c r="AG13" s="12" t="n">
        <v>1347664</v>
      </c>
      <c r="AH13" s="12" t="n">
        <v>1047274</v>
      </c>
      <c r="AJ13" s="12" t="n">
        <v>3945875</v>
      </c>
      <c r="AK13" s="0" t="s">
        <v>72</v>
      </c>
      <c r="AL13" s="12" t="n">
        <v>2744248</v>
      </c>
      <c r="AM13" s="0" t="s">
        <v>72</v>
      </c>
      <c r="AN13" s="12" t="n">
        <v>5945</v>
      </c>
      <c r="AO13" s="16" t="n">
        <f aca="false">IF(AND(ISNUMBER(AN13),ISNUMBER(AN12)),AN13-AN12,"")</f>
        <v>101</v>
      </c>
      <c r="AP13" s="0" t="s">
        <v>71</v>
      </c>
      <c r="AQ13" s="15" t="s">
        <v>73</v>
      </c>
    </row>
    <row r="14" customFormat="false" ht="15" hidden="false" customHeight="false" outlineLevel="0" collapsed="false">
      <c r="A14" s="0" t="n">
        <v>2017</v>
      </c>
      <c r="B14" s="12" t="n">
        <v>326608609</v>
      </c>
      <c r="C14" s="12" t="n">
        <v>325719178</v>
      </c>
      <c r="D14" s="12" t="n">
        <v>303142055</v>
      </c>
      <c r="E14" s="12" t="n">
        <v>22577123</v>
      </c>
      <c r="F14" s="12" t="n">
        <v>231416670</v>
      </c>
      <c r="G14" s="16" t="n">
        <f aca="false">IF(AND(ISNUMBER(D14),ISNUMBER(D13)),D14-D13,"")</f>
        <v>2515513</v>
      </c>
      <c r="H14" s="17" t="n">
        <f aca="false">IF(AND(ISNUMBER(D14),ISNUMBER(D13)),(D14-D13)/D13,"")</f>
        <v>0.00836756789092827</v>
      </c>
      <c r="J14" s="0" t="s">
        <v>71</v>
      </c>
      <c r="K14" s="0" t="s">
        <v>71</v>
      </c>
      <c r="L14" s="0" t="s">
        <v>71</v>
      </c>
      <c r="N14" s="0" t="s">
        <v>71</v>
      </c>
      <c r="O14" s="0" t="s">
        <v>71</v>
      </c>
      <c r="P14" s="13"/>
      <c r="R14" s="12" t="n">
        <v>707270</v>
      </c>
      <c r="S14" s="12" t="n">
        <v>986850</v>
      </c>
      <c r="T14" s="16" t="n">
        <f aca="false">IF(AND(ISNUMBER(R14),ISNUMBER(R13)),R14-R13,"")</f>
        <v>-45790</v>
      </c>
      <c r="V14" s="0" t="s">
        <v>71</v>
      </c>
      <c r="W14" s="13"/>
      <c r="Y14" s="0" t="s">
        <v>71</v>
      </c>
      <c r="Z14" s="0" t="s">
        <v>71</v>
      </c>
      <c r="AA14" s="0" t="s">
        <v>71</v>
      </c>
      <c r="AB14" s="0" t="s">
        <v>71</v>
      </c>
      <c r="AC14" s="0" t="s">
        <v>71</v>
      </c>
      <c r="AD14" s="0" t="s">
        <v>71</v>
      </c>
      <c r="AE14" s="0" t="s">
        <v>71</v>
      </c>
      <c r="AF14" s="0" t="s">
        <v>71</v>
      </c>
      <c r="AG14" s="0" t="s">
        <v>71</v>
      </c>
      <c r="AH14" s="0" t="s">
        <v>71</v>
      </c>
      <c r="AJ14" s="12" t="n">
        <v>3855500</v>
      </c>
      <c r="AK14" s="0" t="s">
        <v>72</v>
      </c>
      <c r="AL14" s="12" t="n">
        <v>2813503</v>
      </c>
      <c r="AM14" s="0" t="s">
        <v>72</v>
      </c>
      <c r="AN14" s="12" t="n">
        <v>5776</v>
      </c>
      <c r="AO14" s="16" t="n">
        <f aca="false">IF(AND(ISNUMBER(AN14),ISNUMBER(AN13)),AN14-AN13,"")</f>
        <v>-169</v>
      </c>
      <c r="AP14" s="0" t="s">
        <v>71</v>
      </c>
      <c r="AQ14" s="15" t="s">
        <v>73</v>
      </c>
      <c r="AR14" s="15" t="s">
        <v>74</v>
      </c>
    </row>
    <row r="15" customFormat="false" ht="15" hidden="false" customHeight="false" outlineLevel="0" collapsed="false">
      <c r="A15" s="0" t="n">
        <v>2018</v>
      </c>
      <c r="B15" s="12" t="n">
        <v>328529577</v>
      </c>
      <c r="C15" s="12" t="n">
        <v>327167439</v>
      </c>
      <c r="D15" s="12" t="n">
        <v>305068455</v>
      </c>
      <c r="E15" s="12" t="n">
        <v>22098984</v>
      </c>
      <c r="F15" s="12" t="n">
        <v>233565291</v>
      </c>
      <c r="G15" s="16" t="n">
        <f aca="false">IF(AND(ISNUMBER(D15),ISNUMBER(D14)),D15-D14,"")</f>
        <v>1926400</v>
      </c>
      <c r="H15" s="17" t="n">
        <f aca="false">IF(AND(ISNUMBER(D15),ISNUMBER(D14)),(D15-D14)/D14,"")</f>
        <v>0.00635477647599902</v>
      </c>
      <c r="J15" s="12" t="n">
        <v>211665577</v>
      </c>
      <c r="K15" s="12" t="n">
        <v>190662485</v>
      </c>
      <c r="L15" s="12" t="n">
        <v>21164394</v>
      </c>
      <c r="M15" s="15" t="s">
        <v>98</v>
      </c>
      <c r="N15" s="12" t="n">
        <v>228832</v>
      </c>
      <c r="O15" s="12" t="n">
        <v>153066</v>
      </c>
      <c r="P15" s="16" t="n">
        <f aca="false">IF(AND(ISNUMBER(J15),ISNUMBER(J13)),J15-J13,"")</f>
        <v>-2443783</v>
      </c>
      <c r="Q15" s="0" t="s">
        <v>87</v>
      </c>
      <c r="R15" s="12" t="n">
        <v>761900</v>
      </c>
      <c r="S15" s="12" t="n">
        <v>837170</v>
      </c>
      <c r="T15" s="16" t="n">
        <f aca="false">IF(AND(ISNUMBER(R15),ISNUMBER(R14)),R15-R14,"")</f>
        <v>54630</v>
      </c>
      <c r="V15" s="12" t="n">
        <v>20872886</v>
      </c>
      <c r="W15" s="16" t="n">
        <f aca="false">IF(AND(ISNUMBER(V15),ISNUMBER(V13)),V15-V13,"")</f>
        <v>-8062444</v>
      </c>
      <c r="Y15" s="12" t="n">
        <v>17300470</v>
      </c>
      <c r="Z15" s="12" t="n">
        <v>4268463</v>
      </c>
      <c r="AA15" s="12" t="n">
        <v>3730617</v>
      </c>
      <c r="AB15" s="12" t="n">
        <v>6062095</v>
      </c>
      <c r="AC15" s="12" t="n">
        <v>393735</v>
      </c>
      <c r="AD15" s="12" t="n">
        <v>489084</v>
      </c>
      <c r="AE15" s="12" t="n">
        <v>9569</v>
      </c>
      <c r="AF15" s="0" t="s">
        <v>71</v>
      </c>
      <c r="AG15" s="12" t="n">
        <v>1243759</v>
      </c>
      <c r="AH15" s="12" t="n">
        <v>1103148</v>
      </c>
      <c r="AJ15" s="12" t="n">
        <v>3791712</v>
      </c>
      <c r="AK15" s="0" t="s">
        <v>72</v>
      </c>
      <c r="AL15" s="12" t="n">
        <v>2839205</v>
      </c>
      <c r="AM15" s="0" t="s">
        <v>72</v>
      </c>
      <c r="AN15" s="12" t="n">
        <v>5566</v>
      </c>
      <c r="AO15" s="16" t="n">
        <f aca="false">IF(AND(ISNUMBER(AN15),ISNUMBER(AN14)),AN15-AN14,"")</f>
        <v>-210</v>
      </c>
      <c r="AP15" s="0" t="s">
        <v>71</v>
      </c>
      <c r="AQ15" s="15" t="s">
        <v>73</v>
      </c>
    </row>
    <row r="16" customFormat="false" ht="15" hidden="false" customHeight="false" outlineLevel="0" collapsed="false">
      <c r="A16" s="0" t="n">
        <v>2019</v>
      </c>
      <c r="B16" s="12" t="n">
        <v>330226227</v>
      </c>
      <c r="C16" s="12" t="n">
        <v>328239523</v>
      </c>
      <c r="D16" s="12" t="n">
        <v>306489539</v>
      </c>
      <c r="E16" s="12" t="n">
        <v>21749984</v>
      </c>
      <c r="F16" s="12" t="n">
        <v>235418734</v>
      </c>
      <c r="G16" s="16" t="n">
        <f aca="false">IF(AND(ISNUMBER(D16),ISNUMBER(D15)),D16-D15,"")</f>
        <v>1421084</v>
      </c>
      <c r="H16" s="17" t="n">
        <f aca="false">IF(AND(ISNUMBER(D16),ISNUMBER(D15)),(D16-D15)/D15,"")</f>
        <v>0.00465824629426205</v>
      </c>
      <c r="J16" s="0" t="s">
        <v>71</v>
      </c>
      <c r="K16" s="0" t="s">
        <v>71</v>
      </c>
      <c r="L16" s="0" t="s">
        <v>71</v>
      </c>
      <c r="N16" s="0" t="s">
        <v>71</v>
      </c>
      <c r="O16" s="0" t="s">
        <v>71</v>
      </c>
      <c r="P16" s="13"/>
      <c r="R16" s="12" t="n">
        <v>843590</v>
      </c>
      <c r="S16" s="12" t="n">
        <v>830560</v>
      </c>
      <c r="T16" s="16" t="n">
        <f aca="false">IF(AND(ISNUMBER(R16),ISNUMBER(R15)),R16-R15,"")</f>
        <v>81690</v>
      </c>
      <c r="V16" s="0" t="s">
        <v>71</v>
      </c>
      <c r="W16" s="13"/>
      <c r="Y16" s="0" t="s">
        <v>71</v>
      </c>
      <c r="Z16" s="0" t="s">
        <v>71</v>
      </c>
      <c r="AA16" s="0" t="s">
        <v>71</v>
      </c>
      <c r="AB16" s="0" t="s">
        <v>71</v>
      </c>
      <c r="AC16" s="0" t="s">
        <v>71</v>
      </c>
      <c r="AD16" s="0" t="s">
        <v>71</v>
      </c>
      <c r="AE16" s="0" t="s">
        <v>71</v>
      </c>
      <c r="AF16" s="0" t="s">
        <v>71</v>
      </c>
      <c r="AG16" s="0" t="s">
        <v>71</v>
      </c>
      <c r="AH16" s="0" t="s">
        <v>71</v>
      </c>
      <c r="AJ16" s="12" t="n">
        <v>3747540</v>
      </c>
      <c r="AK16" s="0" t="s">
        <v>72</v>
      </c>
      <c r="AL16" s="12" t="n">
        <v>2854838</v>
      </c>
      <c r="AM16" s="0" t="s">
        <v>72</v>
      </c>
      <c r="AN16" s="12" t="n">
        <v>5403</v>
      </c>
      <c r="AO16" s="16" t="n">
        <f aca="false">IF(AND(ISNUMBER(AN16),ISNUMBER(AN15)),AN16-AN15,"")</f>
        <v>-163</v>
      </c>
      <c r="AP16" s="0" t="s">
        <v>71</v>
      </c>
      <c r="AQ16" s="15" t="s">
        <v>73</v>
      </c>
      <c r="AR16" s="15" t="s">
        <v>74</v>
      </c>
    </row>
    <row r="17" customFormat="false" ht="15" hidden="false" customHeight="false" outlineLevel="0" collapsed="false">
      <c r="A17" s="0" t="n">
        <v>2020</v>
      </c>
      <c r="B17" s="12" t="n">
        <v>331578104</v>
      </c>
      <c r="C17" s="12" t="n">
        <v>329484119</v>
      </c>
      <c r="D17" s="12" t="n">
        <v>309278120</v>
      </c>
      <c r="E17" s="12" t="n">
        <v>20205999</v>
      </c>
      <c r="F17" s="0" t="s">
        <v>71</v>
      </c>
      <c r="G17" s="13" t="s">
        <v>75</v>
      </c>
      <c r="H17" s="14" t="s">
        <v>75</v>
      </c>
      <c r="I17" s="15" t="s">
        <v>99</v>
      </c>
      <c r="J17" s="12" t="n">
        <v>228004364</v>
      </c>
      <c r="K17" s="12" t="n">
        <v>209441338</v>
      </c>
      <c r="L17" s="12" t="n">
        <v>18523963</v>
      </c>
      <c r="M17" s="0" t="s">
        <v>100</v>
      </c>
      <c r="N17" s="12" t="n">
        <v>231593</v>
      </c>
      <c r="O17" s="12" t="n">
        <v>168308</v>
      </c>
      <c r="P17" s="16" t="n">
        <f aca="false">IF(AND(ISNUMBER(J17),ISNUMBER(J15)),J17-J15,"")</f>
        <v>16338787</v>
      </c>
      <c r="Q17" s="15" t="s">
        <v>101</v>
      </c>
      <c r="R17" s="12" t="n">
        <v>628250</v>
      </c>
      <c r="S17" s="12" t="n">
        <v>967760</v>
      </c>
      <c r="T17" s="16" t="n">
        <f aca="false">IF(AND(ISNUMBER(R17),ISNUMBER(R16)),R17-R16,"")</f>
        <v>-215340</v>
      </c>
      <c r="U17" s="15" t="s">
        <v>102</v>
      </c>
      <c r="V17" s="12" t="n">
        <v>33437005</v>
      </c>
      <c r="W17" s="16" t="n">
        <f aca="false">IF(AND(ISNUMBER(V17),ISNUMBER(V15)),V17-V15,"")</f>
        <v>12564119</v>
      </c>
      <c r="Y17" s="12" t="n">
        <v>18781054</v>
      </c>
      <c r="Z17" s="12" t="n">
        <v>5342509</v>
      </c>
      <c r="AA17" s="12" t="n">
        <v>4020596</v>
      </c>
      <c r="AB17" s="12" t="n">
        <v>5984924</v>
      </c>
      <c r="AC17" s="12" t="n">
        <v>269439</v>
      </c>
      <c r="AD17" s="12" t="n">
        <v>582352</v>
      </c>
      <c r="AE17" s="12" t="n">
        <v>9643</v>
      </c>
      <c r="AF17" s="0" t="s">
        <v>71</v>
      </c>
      <c r="AG17" s="12" t="n">
        <v>1592211</v>
      </c>
      <c r="AH17" s="12" t="n">
        <v>979380</v>
      </c>
      <c r="AJ17" s="12" t="n">
        <v>3613647</v>
      </c>
      <c r="AK17" s="0" t="s">
        <v>72</v>
      </c>
      <c r="AL17" s="12" t="n">
        <v>3383729</v>
      </c>
      <c r="AM17" s="0" t="s">
        <v>72</v>
      </c>
      <c r="AN17" s="12" t="n">
        <v>4461</v>
      </c>
      <c r="AO17" s="16" t="n">
        <f aca="false">IF(AND(ISNUMBER(AN17),ISNUMBER(AN16)),AN17-AN16,"")</f>
        <v>-942</v>
      </c>
      <c r="AP17" s="18" t="n">
        <v>83.9</v>
      </c>
      <c r="AQ17" s="15" t="s">
        <v>73</v>
      </c>
      <c r="AR17" s="15" t="s">
        <v>103</v>
      </c>
    </row>
    <row r="18" customFormat="false" ht="15" hidden="false" customHeight="false" outlineLevel="0" collapsed="false">
      <c r="A18" s="0" t="n">
        <v>2021</v>
      </c>
      <c r="B18" s="12" t="n">
        <v>332100166</v>
      </c>
      <c r="C18" s="12" t="n">
        <v>331893745</v>
      </c>
      <c r="D18" s="12" t="n">
        <v>310667725</v>
      </c>
      <c r="E18" s="12" t="n">
        <v>21226020</v>
      </c>
      <c r="F18" s="12" t="n">
        <v>239035960</v>
      </c>
      <c r="G18" s="13" t="s">
        <v>75</v>
      </c>
      <c r="H18" s="14" t="s">
        <v>75</v>
      </c>
      <c r="J18" s="0" t="s">
        <v>71</v>
      </c>
      <c r="K18" s="0" t="s">
        <v>71</v>
      </c>
      <c r="L18" s="0" t="s">
        <v>71</v>
      </c>
      <c r="N18" s="0" t="s">
        <v>71</v>
      </c>
      <c r="O18" s="0" t="s">
        <v>71</v>
      </c>
      <c r="P18" s="13"/>
      <c r="R18" s="12" t="n">
        <v>813860</v>
      </c>
      <c r="S18" s="12" t="n">
        <v>789120</v>
      </c>
      <c r="T18" s="16" t="n">
        <f aca="false">IF(AND(ISNUMBER(R18),ISNUMBER(R17)),R18-R17,"")</f>
        <v>185610</v>
      </c>
      <c r="U18" s="0" t="s">
        <v>104</v>
      </c>
      <c r="V18" s="0" t="s">
        <v>71</v>
      </c>
      <c r="W18" s="13"/>
      <c r="Y18" s="0" t="s">
        <v>71</v>
      </c>
      <c r="Z18" s="0" t="s">
        <v>71</v>
      </c>
      <c r="AA18" s="0" t="s">
        <v>71</v>
      </c>
      <c r="AB18" s="0" t="s">
        <v>71</v>
      </c>
      <c r="AC18" s="0" t="s">
        <v>71</v>
      </c>
      <c r="AD18" s="0" t="s">
        <v>71</v>
      </c>
      <c r="AE18" s="0" t="s">
        <v>71</v>
      </c>
      <c r="AF18" s="0" t="s">
        <v>71</v>
      </c>
      <c r="AG18" s="0" t="s">
        <v>71</v>
      </c>
      <c r="AH18" s="0" t="s">
        <v>71</v>
      </c>
      <c r="AJ18" s="12" t="n">
        <v>3664292</v>
      </c>
      <c r="AK18" s="0" t="s">
        <v>72</v>
      </c>
      <c r="AL18" s="12" t="n">
        <v>3464231</v>
      </c>
      <c r="AM18" s="0" t="s">
        <v>72</v>
      </c>
      <c r="AN18" s="12" t="n">
        <v>4934</v>
      </c>
      <c r="AO18" s="16" t="n">
        <f aca="false">IF(AND(ISNUMBER(AN18),ISNUMBER(AN17)),AN18-AN17,"")</f>
        <v>473</v>
      </c>
      <c r="AP18" s="18" t="n">
        <v>79</v>
      </c>
      <c r="AQ18" s="15" t="s">
        <v>73</v>
      </c>
      <c r="AR18" s="15" t="s">
        <v>74</v>
      </c>
    </row>
    <row r="19" customFormat="false" ht="15" hidden="false" customHeight="false" outlineLevel="0" collapsed="false">
      <c r="A19" s="0" t="n">
        <v>2022</v>
      </c>
      <c r="B19" s="12" t="n">
        <v>333996304</v>
      </c>
      <c r="C19" s="12" t="n">
        <v>333287562</v>
      </c>
      <c r="D19" s="12" t="n">
        <v>311614516</v>
      </c>
      <c r="E19" s="12" t="n">
        <v>21673046</v>
      </c>
      <c r="F19" s="12" t="n">
        <v>241228116</v>
      </c>
      <c r="G19" s="16" t="n">
        <f aca="false">IF(AND(ISNUMBER(D19),ISNUMBER(D18)),D19-D18,"")</f>
        <v>946791</v>
      </c>
      <c r="H19" s="17" t="n">
        <f aca="false">IF(AND(ISNUMBER(D19),ISNUMBER(D18)),(D19-D18)/D18,"")</f>
        <v>0.00304760013290727</v>
      </c>
      <c r="J19" s="12" t="n">
        <v>226339980</v>
      </c>
      <c r="K19" s="12" t="n">
        <v>203660564</v>
      </c>
      <c r="L19" s="12" t="n">
        <v>22794555</v>
      </c>
      <c r="M19" s="0" t="s">
        <v>105</v>
      </c>
      <c r="N19" s="12" t="n">
        <v>233546</v>
      </c>
      <c r="O19" s="12" t="n">
        <v>161422</v>
      </c>
      <c r="P19" s="16" t="n">
        <f aca="false">IF(AND(ISNUMBER(J19),ISNUMBER(J17)),J19-J17,"")</f>
        <v>-1664384</v>
      </c>
      <c r="Q19" s="0" t="s">
        <v>87</v>
      </c>
      <c r="R19" s="12" t="n">
        <v>969380</v>
      </c>
      <c r="S19" s="12" t="n">
        <v>781080</v>
      </c>
      <c r="T19" s="16" t="n">
        <f aca="false">IF(AND(ISNUMBER(R19),ISNUMBER(R18)),R19-R18,"")</f>
        <v>155520</v>
      </c>
      <c r="U19" s="15" t="s">
        <v>106</v>
      </c>
      <c r="V19" s="12" t="n">
        <v>22810030</v>
      </c>
      <c r="W19" s="16" t="n">
        <f aca="false">IF(AND(ISNUMBER(V19),ISNUMBER(V17)),V19-V17,"")</f>
        <v>-10626975</v>
      </c>
      <c r="Y19" s="12" t="n">
        <v>19260000</v>
      </c>
      <c r="Z19" s="12" t="n">
        <v>5117961</v>
      </c>
      <c r="AA19" s="12" t="n">
        <v>4898625</v>
      </c>
      <c r="AB19" s="12" t="n">
        <v>4776706</v>
      </c>
      <c r="AC19" s="12" t="n">
        <v>240887</v>
      </c>
      <c r="AD19" s="12" t="n">
        <v>758405</v>
      </c>
      <c r="AE19" s="12" t="n">
        <v>10637</v>
      </c>
      <c r="AF19" s="0" t="s">
        <v>71</v>
      </c>
      <c r="AG19" s="12" t="n">
        <v>2324178</v>
      </c>
      <c r="AH19" s="12" t="n">
        <v>1132601</v>
      </c>
      <c r="AJ19" s="12" t="n">
        <v>3667758</v>
      </c>
      <c r="AK19" s="0" t="s">
        <v>72</v>
      </c>
      <c r="AL19" s="12" t="n">
        <v>3279857</v>
      </c>
      <c r="AM19" s="0" t="s">
        <v>72</v>
      </c>
      <c r="AN19" s="12" t="n">
        <v>5975</v>
      </c>
      <c r="AO19" s="16" t="n">
        <f aca="false">IF(AND(ISNUMBER(AN19),ISNUMBER(AN18)),AN19-AN18,"")</f>
        <v>1041</v>
      </c>
      <c r="AP19" s="18" t="n">
        <v>67.3</v>
      </c>
      <c r="AQ19" s="15" t="s">
        <v>73</v>
      </c>
    </row>
    <row r="20" customFormat="false" ht="15" hidden="false" customHeight="false" outlineLevel="0" collapsed="false">
      <c r="A20" s="0" t="n">
        <v>2023</v>
      </c>
      <c r="B20" s="12" t="n">
        <v>336755052</v>
      </c>
      <c r="C20" s="12" t="n">
        <v>334914896</v>
      </c>
      <c r="D20" s="12" t="n">
        <v>312053551</v>
      </c>
      <c r="E20" s="12" t="n">
        <v>22861345</v>
      </c>
      <c r="F20" s="12" t="n">
        <v>241601029</v>
      </c>
      <c r="G20" s="16" t="n">
        <f aca="false">IF(AND(ISNUMBER(D20),ISNUMBER(D19)),D20-D19,"")</f>
        <v>439035</v>
      </c>
      <c r="H20" s="17" t="n">
        <f aca="false">IF(AND(ISNUMBER(D20),ISNUMBER(D19)),(D20-D19)/D19,"")</f>
        <v>0.00140890419880183</v>
      </c>
      <c r="J20" s="0" t="s">
        <v>71</v>
      </c>
      <c r="K20" s="0" t="s">
        <v>71</v>
      </c>
      <c r="L20" s="0" t="s">
        <v>71</v>
      </c>
      <c r="N20" s="0" t="s">
        <v>71</v>
      </c>
      <c r="O20" s="0" t="s">
        <v>71</v>
      </c>
      <c r="P20" s="13"/>
      <c r="R20" s="12" t="n">
        <v>878460</v>
      </c>
      <c r="S20" s="12" t="n">
        <v>827610</v>
      </c>
      <c r="T20" s="16" t="n">
        <f aca="false">IF(AND(ISNUMBER(R20),ISNUMBER(R19)),R20-R19,"")</f>
        <v>-90920</v>
      </c>
      <c r="V20" s="0" t="s">
        <v>71</v>
      </c>
      <c r="W20" s="13"/>
      <c r="Y20" s="0" t="s">
        <v>71</v>
      </c>
      <c r="Z20" s="0" t="s">
        <v>71</v>
      </c>
      <c r="AA20" s="0" t="s">
        <v>71</v>
      </c>
      <c r="AB20" s="0" t="s">
        <v>71</v>
      </c>
      <c r="AC20" s="0" t="s">
        <v>71</v>
      </c>
      <c r="AD20" s="0" t="s">
        <v>71</v>
      </c>
      <c r="AE20" s="0" t="s">
        <v>71</v>
      </c>
      <c r="AF20" s="0" t="s">
        <v>71</v>
      </c>
      <c r="AG20" s="0" t="s">
        <v>71</v>
      </c>
      <c r="AH20" s="0" t="s">
        <v>71</v>
      </c>
      <c r="AJ20" s="12" t="n">
        <v>3596017</v>
      </c>
      <c r="AK20" s="0" t="s">
        <v>72</v>
      </c>
      <c r="AL20" s="12" t="n">
        <v>3090964</v>
      </c>
      <c r="AM20" s="0" t="s">
        <v>72</v>
      </c>
      <c r="AN20" s="12" t="n">
        <v>6909</v>
      </c>
      <c r="AO20" s="16" t="n">
        <f aca="false">IF(AND(ISNUMBER(AN20),ISNUMBER(AN19)),AN20-AN19,"")</f>
        <v>934</v>
      </c>
      <c r="AP20" s="18" t="n">
        <v>59.8</v>
      </c>
      <c r="AQ20" s="15" t="s">
        <v>73</v>
      </c>
      <c r="AR20" s="15" t="s">
        <v>74</v>
      </c>
    </row>
    <row r="21" customFormat="false" ht="15" hidden="false" customHeight="false" outlineLevel="0" collapsed="false">
      <c r="A21" s="0" t="n">
        <v>2024</v>
      </c>
      <c r="B21" s="12" t="n">
        <v>340003797</v>
      </c>
      <c r="C21" s="12" t="n">
        <v>340110990</v>
      </c>
      <c r="D21" s="12" t="n">
        <v>315714107</v>
      </c>
      <c r="E21" s="12" t="n">
        <v>24396883</v>
      </c>
      <c r="F21" s="12" t="n">
        <v>245275126</v>
      </c>
      <c r="G21" s="16" t="n">
        <f aca="false">IF(AND(ISNUMBER(D21),ISNUMBER(D20)),D21-D20,"")</f>
        <v>3660556</v>
      </c>
      <c r="H21" s="17" t="n">
        <f aca="false">IF(AND(ISNUMBER(D21),ISNUMBER(D20)),(D21-D20)/D20,"")</f>
        <v>0.0117305378780964</v>
      </c>
      <c r="J21" s="12" t="n">
        <v>234504358</v>
      </c>
      <c r="K21" s="12" t="n">
        <v>211144275</v>
      </c>
      <c r="L21" s="12" t="n">
        <v>23184185</v>
      </c>
      <c r="M21" s="15" t="s">
        <v>107</v>
      </c>
      <c r="N21" s="12" t="n">
        <v>236138</v>
      </c>
      <c r="O21" s="12" t="n">
        <v>173854</v>
      </c>
      <c r="P21" s="16" t="n">
        <f aca="false">IF(AND(ISNUMBER(J21),ISNUMBER(J19)),J21-J19,"")</f>
        <v>8164378</v>
      </c>
      <c r="Q21" s="15" t="s">
        <v>82</v>
      </c>
      <c r="R21" s="12" t="n">
        <v>818570</v>
      </c>
      <c r="S21" s="12" t="n">
        <v>994130</v>
      </c>
      <c r="T21" s="16" t="n">
        <f aca="false">IF(AND(ISNUMBER(R21),ISNUMBER(R20)),R21-R20,"")</f>
        <v>-59890</v>
      </c>
      <c r="V21" s="12" t="n">
        <v>26185294</v>
      </c>
      <c r="W21" s="16" t="n">
        <f aca="false">IF(AND(ISNUMBER(V21),ISNUMBER(V19)),V21-V19,"")</f>
        <v>3375264</v>
      </c>
      <c r="Y21" s="12" t="n">
        <v>21298175</v>
      </c>
      <c r="Z21" s="12" t="n">
        <v>6504112</v>
      </c>
      <c r="AA21" s="12" t="n">
        <v>4482207</v>
      </c>
      <c r="AB21" s="12" t="n">
        <v>6693317</v>
      </c>
      <c r="AC21" s="12" t="n">
        <v>293862</v>
      </c>
      <c r="AD21" s="12" t="n">
        <v>494917</v>
      </c>
      <c r="AE21" s="12" t="n">
        <v>13382</v>
      </c>
      <c r="AF21" s="12" t="n">
        <v>1175148</v>
      </c>
      <c r="AG21" s="12" t="n">
        <v>650030</v>
      </c>
      <c r="AH21" s="12" t="n">
        <v>1002042</v>
      </c>
      <c r="AI21" s="15" t="s">
        <v>108</v>
      </c>
      <c r="AJ21" s="12" t="n">
        <v>3628934</v>
      </c>
      <c r="AK21" s="0" t="s">
        <v>72</v>
      </c>
      <c r="AL21" s="12" t="n">
        <v>3072666</v>
      </c>
      <c r="AM21" s="0" t="s">
        <v>72</v>
      </c>
      <c r="AN21" s="12" t="n">
        <v>7470</v>
      </c>
      <c r="AO21" s="16" t="n">
        <f aca="false">IF(AND(ISNUMBER(AN21),ISNUMBER(AN20)),AN21-AN20,"")</f>
        <v>561</v>
      </c>
      <c r="AP21" s="18" t="n">
        <v>56.1</v>
      </c>
      <c r="AQ21" s="15" t="s">
        <v>73</v>
      </c>
    </row>
    <row r="22" customFormat="false" ht="15" hidden="false" customHeight="false" outlineLevel="0" collapsed="false">
      <c r="A22" s="0" t="n">
        <v>2025</v>
      </c>
      <c r="B22" s="12" t="n">
        <v>341784857</v>
      </c>
      <c r="C22" s="0" t="s">
        <v>71</v>
      </c>
      <c r="D22" s="0" t="s">
        <v>71</v>
      </c>
      <c r="E22" s="0" t="s">
        <v>71</v>
      </c>
      <c r="F22" s="0" t="s">
        <v>71</v>
      </c>
      <c r="G22" s="16" t="str">
        <f aca="false">IF(AND(ISNUMBER(D22),ISNUMBER(D21)),D22-D21,"")</f>
        <v/>
      </c>
      <c r="H22" s="17" t="str">
        <f aca="false">IF(AND(ISNUMBER(D22),ISNUMBER(D21)),(D22-D21)/D21,"")</f>
        <v/>
      </c>
      <c r="I22" s="15" t="s">
        <v>109</v>
      </c>
      <c r="J22" s="0" t="s">
        <v>71</v>
      </c>
      <c r="K22" s="0" t="s">
        <v>71</v>
      </c>
      <c r="L22" s="0" t="s">
        <v>71</v>
      </c>
      <c r="N22" s="0" t="s">
        <v>71</v>
      </c>
      <c r="O22" s="0" t="s">
        <v>71</v>
      </c>
      <c r="P22" s="13"/>
      <c r="R22" s="0" t="s">
        <v>71</v>
      </c>
      <c r="S22" s="0" t="s">
        <v>71</v>
      </c>
      <c r="T22" s="16" t="str">
        <f aca="false">IF(AND(ISNUMBER(R22),ISNUMBER(R21)),R22-R21,"")</f>
        <v/>
      </c>
      <c r="U22" s="15" t="s">
        <v>110</v>
      </c>
      <c r="V22" s="0" t="s">
        <v>71</v>
      </c>
      <c r="W22" s="13"/>
      <c r="Y22" s="0" t="s">
        <v>71</v>
      </c>
      <c r="Z22" s="0" t="s">
        <v>71</v>
      </c>
      <c r="AA22" s="0" t="s">
        <v>71</v>
      </c>
      <c r="AB22" s="0" t="s">
        <v>71</v>
      </c>
      <c r="AC22" s="0" t="s">
        <v>71</v>
      </c>
      <c r="AD22" s="0" t="s">
        <v>71</v>
      </c>
      <c r="AE22" s="0" t="s">
        <v>71</v>
      </c>
      <c r="AF22" s="0" t="s">
        <v>71</v>
      </c>
      <c r="AG22" s="0" t="s">
        <v>71</v>
      </c>
      <c r="AH22" s="0" t="s">
        <v>71</v>
      </c>
      <c r="AJ22" s="12" t="n">
        <v>3606400</v>
      </c>
      <c r="AK22" s="0" t="s">
        <v>111</v>
      </c>
      <c r="AL22" s="12" t="n">
        <v>3094593</v>
      </c>
      <c r="AM22" s="0" t="s">
        <v>112</v>
      </c>
      <c r="AN22" s="0" t="s">
        <v>71</v>
      </c>
      <c r="AO22" s="16" t="str">
        <f aca="false">IF(AND(ISNUMBER(AN22),ISNUMBER(AN21)),AN22-AN21,"")</f>
        <v/>
      </c>
      <c r="AP22" s="0" t="s">
        <v>71</v>
      </c>
      <c r="AQ22" s="15" t="s">
        <v>73</v>
      </c>
      <c r="AR22" s="15"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0"/>
  </cols>
  <sheetData>
    <row r="1" customFormat="false" ht="60" hidden="false" customHeight="true" outlineLevel="0" collapsed="false">
      <c r="A1" s="11" t="s">
        <v>114</v>
      </c>
      <c r="B1" s="11" t="s">
        <v>115</v>
      </c>
    </row>
    <row r="2" customFormat="false" ht="15" hidden="false" customHeight="false" outlineLevel="0" collapsed="false">
      <c r="A2" s="0" t="s">
        <v>116</v>
      </c>
      <c r="B2" s="15" t="s">
        <v>117</v>
      </c>
    </row>
    <row r="3" customFormat="false" ht="15" hidden="false" customHeight="false" outlineLevel="0" collapsed="false">
      <c r="A3" s="0" t="s">
        <v>118</v>
      </c>
      <c r="B3" s="15" t="s">
        <v>119</v>
      </c>
    </row>
    <row r="4" customFormat="false" ht="15" hidden="false" customHeight="false" outlineLevel="0" collapsed="false">
      <c r="A4" s="0" t="s">
        <v>120</v>
      </c>
      <c r="B4" s="15" t="s">
        <v>121</v>
      </c>
    </row>
    <row r="5" customFormat="false" ht="15" hidden="false" customHeight="false" outlineLevel="0" collapsed="false">
      <c r="A5" s="0" t="s">
        <v>122</v>
      </c>
      <c r="B5" s="15" t="s">
        <v>123</v>
      </c>
    </row>
    <row r="6" customFormat="false" ht="15" hidden="false" customHeight="false" outlineLevel="0" collapsed="false">
      <c r="A6" s="0" t="s">
        <v>124</v>
      </c>
      <c r="B6" s="15" t="s">
        <v>125</v>
      </c>
    </row>
    <row r="7" customFormat="false" ht="15" hidden="false" customHeight="false" outlineLevel="0" collapsed="false">
      <c r="A7" s="0" t="s">
        <v>126</v>
      </c>
      <c r="B7" s="15" t="s">
        <v>127</v>
      </c>
    </row>
    <row r="8" customFormat="false" ht="15" hidden="false" customHeight="false" outlineLevel="0" collapsed="false">
      <c r="A8" s="0" t="s">
        <v>128</v>
      </c>
      <c r="B8" s="15" t="s">
        <v>129</v>
      </c>
    </row>
    <row r="9" customFormat="false" ht="15" hidden="false" customHeight="false" outlineLevel="0" collapsed="false">
      <c r="A9" s="0" t="s">
        <v>130</v>
      </c>
      <c r="B9" s="15" t="s">
        <v>131</v>
      </c>
    </row>
    <row r="10" customFormat="false" ht="15" hidden="false" customHeight="false" outlineLevel="0" collapsed="false">
      <c r="A10" s="0" t="s">
        <v>132</v>
      </c>
      <c r="B10" s="15" t="s">
        <v>133</v>
      </c>
    </row>
    <row r="11" customFormat="false" ht="15" hidden="false" customHeight="false" outlineLevel="0" collapsed="false">
      <c r="A11" s="0" t="s">
        <v>134</v>
      </c>
      <c r="B11" s="15" t="s">
        <v>135</v>
      </c>
    </row>
    <row r="12" customFormat="false" ht="15" hidden="false" customHeight="false" outlineLevel="0" collapsed="false">
      <c r="A12" s="0" t="s">
        <v>136</v>
      </c>
      <c r="B12" s="15" t="s">
        <v>137</v>
      </c>
    </row>
    <row r="13" customFormat="false" ht="15" hidden="false" customHeight="false" outlineLevel="0" collapsed="false">
      <c r="A13" s="0" t="s">
        <v>138</v>
      </c>
      <c r="B13" s="15" t="s">
        <v>139</v>
      </c>
    </row>
    <row r="14" customFormat="false" ht="15" hidden="false" customHeight="false" outlineLevel="0" collapsed="false">
      <c r="A14" s="0" t="s">
        <v>140</v>
      </c>
      <c r="B14" s="15" t="s">
        <v>141</v>
      </c>
    </row>
    <row r="15" customFormat="false" ht="15" hidden="false" customHeight="false" outlineLevel="0" collapsed="false">
      <c r="A15" s="0" t="s">
        <v>142</v>
      </c>
      <c r="B15" s="15" t="s">
        <v>143</v>
      </c>
    </row>
    <row r="16" customFormat="false" ht="15" hidden="false" customHeight="false" outlineLevel="0" collapsed="false">
      <c r="A16" s="0" t="s">
        <v>144</v>
      </c>
      <c r="B16" s="15" t="s">
        <v>145</v>
      </c>
    </row>
    <row r="17" customFormat="false" ht="15" hidden="false" customHeight="false" outlineLevel="0" collapsed="false">
      <c r="A17" s="0" t="s">
        <v>146</v>
      </c>
      <c r="B17" s="15" t="s">
        <v>147</v>
      </c>
    </row>
    <row r="18" customFormat="false" ht="15" hidden="false" customHeight="false" outlineLevel="0" collapsed="false">
      <c r="A18" s="0" t="s">
        <v>148</v>
      </c>
      <c r="B18" s="15" t="s">
        <v>149</v>
      </c>
    </row>
    <row r="19" customFormat="false" ht="15" hidden="false" customHeight="false" outlineLevel="0" collapsed="false">
      <c r="A19" s="0" t="s">
        <v>150</v>
      </c>
      <c r="B19" s="15" t="s">
        <v>151</v>
      </c>
    </row>
    <row r="20" customFormat="false" ht="15" hidden="false" customHeight="false" outlineLevel="0" collapsed="false">
      <c r="A20" s="0" t="s">
        <v>152</v>
      </c>
      <c r="B20" s="15"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0"/>
    <col collapsed="false" customWidth="true" hidden="false" outlineLevel="0" max="3" min="3" style="0" width="80"/>
    <col collapsed="false" customWidth="true" hidden="false" outlineLevel="0" max="4" min="4" style="0" width="40"/>
    <col collapsed="false" customWidth="true" hidden="false" outlineLevel="0" max="5" min="5" style="0" width="50"/>
  </cols>
  <sheetData>
    <row r="1" customFormat="false" ht="60" hidden="false" customHeight="true" outlineLevel="0" collapsed="false">
      <c r="A1" s="11" t="s">
        <v>154</v>
      </c>
      <c r="B1" s="11" t="s">
        <v>155</v>
      </c>
      <c r="C1" s="11" t="s">
        <v>156</v>
      </c>
      <c r="D1" s="11" t="s">
        <v>157</v>
      </c>
      <c r="E1" s="11" t="s">
        <v>158</v>
      </c>
    </row>
    <row r="2" customFormat="false" ht="15" hidden="false" customHeight="false" outlineLevel="0" collapsed="false">
      <c r="A2" s="0" t="s">
        <v>159</v>
      </c>
      <c r="B2" s="15" t="s">
        <v>160</v>
      </c>
      <c r="C2" s="15" t="s">
        <v>161</v>
      </c>
      <c r="D2" s="15" t="s">
        <v>162</v>
      </c>
      <c r="E2" s="0" t="s">
        <v>163</v>
      </c>
    </row>
    <row r="3" customFormat="false" ht="15" hidden="false" customHeight="false" outlineLevel="0" collapsed="false">
      <c r="A3" s="0" t="s">
        <v>164</v>
      </c>
      <c r="B3" s="15" t="s">
        <v>165</v>
      </c>
      <c r="C3" s="15" t="s">
        <v>166</v>
      </c>
      <c r="D3" s="0" t="s">
        <v>120</v>
      </c>
      <c r="E3" s="0" t="s">
        <v>163</v>
      </c>
    </row>
    <row r="4" customFormat="false" ht="15" hidden="false" customHeight="false" outlineLevel="0" collapsed="false">
      <c r="A4" s="0" t="s">
        <v>167</v>
      </c>
      <c r="B4" s="0" t="s">
        <v>168</v>
      </c>
      <c r="C4" s="15" t="s">
        <v>169</v>
      </c>
      <c r="D4" s="0" t="s">
        <v>120</v>
      </c>
      <c r="E4" s="0" t="s">
        <v>163</v>
      </c>
    </row>
    <row r="5" customFormat="false" ht="15" hidden="false" customHeight="false" outlineLevel="0" collapsed="false">
      <c r="A5" s="0" t="s">
        <v>170</v>
      </c>
      <c r="B5" s="15" t="s">
        <v>171</v>
      </c>
      <c r="C5" s="15" t="s">
        <v>172</v>
      </c>
      <c r="D5" s="0" t="s">
        <v>173</v>
      </c>
      <c r="E5" s="0" t="s">
        <v>163</v>
      </c>
    </row>
    <row r="6" customFormat="false" ht="15" hidden="false" customHeight="false" outlineLevel="0" collapsed="false">
      <c r="A6" s="0" t="s">
        <v>174</v>
      </c>
      <c r="B6" s="15" t="s">
        <v>175</v>
      </c>
      <c r="C6" s="15" t="s">
        <v>176</v>
      </c>
      <c r="D6" s="0" t="s">
        <v>177</v>
      </c>
      <c r="E6" s="0" t="s">
        <v>163</v>
      </c>
    </row>
    <row r="7" customFormat="false" ht="15" hidden="false" customHeight="false" outlineLevel="0" collapsed="false">
      <c r="A7" s="0" t="s">
        <v>178</v>
      </c>
      <c r="B7" s="0" t="s">
        <v>179</v>
      </c>
      <c r="C7" s="15" t="s">
        <v>180</v>
      </c>
      <c r="D7" s="0" t="s">
        <v>181</v>
      </c>
      <c r="E7" s="0" t="s">
        <v>163</v>
      </c>
    </row>
    <row r="8" customFormat="false" ht="15" hidden="false" customHeight="false" outlineLevel="0" collapsed="false">
      <c r="A8" s="0" t="s">
        <v>182</v>
      </c>
      <c r="B8" s="15" t="s">
        <v>183</v>
      </c>
      <c r="C8" s="15" t="s">
        <v>184</v>
      </c>
      <c r="D8" s="0" t="s">
        <v>185</v>
      </c>
      <c r="E8" s="0" t="s">
        <v>163</v>
      </c>
    </row>
    <row r="9" customFormat="false" ht="15" hidden="false" customHeight="false" outlineLevel="0" collapsed="false">
      <c r="A9" s="0" t="s">
        <v>186</v>
      </c>
      <c r="B9" s="15" t="s">
        <v>187</v>
      </c>
      <c r="C9" s="15" t="s">
        <v>188</v>
      </c>
      <c r="D9" s="0" t="s">
        <v>189</v>
      </c>
      <c r="E9" s="0" t="s">
        <v>163</v>
      </c>
    </row>
    <row r="10" customFormat="false" ht="15" hidden="false" customHeight="false" outlineLevel="0" collapsed="false">
      <c r="A10" s="0" t="s">
        <v>190</v>
      </c>
      <c r="B10" s="15" t="s">
        <v>191</v>
      </c>
      <c r="C10" s="15" t="s">
        <v>192</v>
      </c>
      <c r="D10" s="0" t="s">
        <v>193</v>
      </c>
      <c r="E10" s="0" t="s">
        <v>163</v>
      </c>
    </row>
    <row r="11" customFormat="false" ht="15" hidden="false" customHeight="false" outlineLevel="0" collapsed="false">
      <c r="A11" s="0" t="s">
        <v>194</v>
      </c>
      <c r="B11" s="15" t="s">
        <v>195</v>
      </c>
      <c r="C11" s="15" t="s">
        <v>196</v>
      </c>
      <c r="D11" s="0" t="s">
        <v>197</v>
      </c>
      <c r="E11" s="0" t="s">
        <v>163</v>
      </c>
    </row>
    <row r="12" customFormat="false" ht="15" hidden="false" customHeight="false" outlineLevel="0" collapsed="false">
      <c r="A12" s="0" t="s">
        <v>198</v>
      </c>
      <c r="B12" s="15" t="s">
        <v>199</v>
      </c>
      <c r="C12" s="15" t="s">
        <v>200</v>
      </c>
      <c r="D12" s="0" t="s">
        <v>201</v>
      </c>
      <c r="E12" s="0" t="s">
        <v>163</v>
      </c>
    </row>
    <row r="13" customFormat="false" ht="15" hidden="false" customHeight="false" outlineLevel="0" collapsed="false">
      <c r="A13" s="0" t="s">
        <v>202</v>
      </c>
      <c r="B13" s="15" t="s">
        <v>203</v>
      </c>
      <c r="C13" s="15" t="s">
        <v>204</v>
      </c>
      <c r="D13" s="0" t="s">
        <v>205</v>
      </c>
      <c r="E13" s="0" t="s">
        <v>163</v>
      </c>
    </row>
    <row r="14" customFormat="false" ht="15" hidden="false" customHeight="false" outlineLevel="0" collapsed="false">
      <c r="A14" s="0" t="s">
        <v>206</v>
      </c>
      <c r="B14" s="15" t="s">
        <v>207</v>
      </c>
      <c r="C14" s="15" t="s">
        <v>208</v>
      </c>
      <c r="D14" s="0" t="s">
        <v>209</v>
      </c>
      <c r="E14" s="0" t="s">
        <v>163</v>
      </c>
    </row>
    <row r="15" customFormat="false" ht="15" hidden="false" customHeight="false" outlineLevel="0" collapsed="false">
      <c r="A15" s="0" t="s">
        <v>210</v>
      </c>
      <c r="B15" s="15" t="s">
        <v>211</v>
      </c>
      <c r="C15" s="15" t="s">
        <v>212</v>
      </c>
      <c r="D15" s="0" t="s">
        <v>213</v>
      </c>
      <c r="E15" s="0" t="s">
        <v>163</v>
      </c>
    </row>
    <row r="16" customFormat="false" ht="15" hidden="false" customHeight="false" outlineLevel="0" collapsed="false">
      <c r="A16" s="0" t="s">
        <v>214</v>
      </c>
      <c r="B16" s="15" t="s">
        <v>215</v>
      </c>
      <c r="C16" s="15" t="s">
        <v>216</v>
      </c>
      <c r="D16" s="0" t="s">
        <v>217</v>
      </c>
      <c r="E16" s="0" t="s">
        <v>163</v>
      </c>
    </row>
    <row r="17" customFormat="false" ht="15" hidden="false" customHeight="false" outlineLevel="0" collapsed="false">
      <c r="A17" s="0" t="s">
        <v>218</v>
      </c>
      <c r="B17" s="0" t="s">
        <v>219</v>
      </c>
      <c r="C17" s="15" t="s">
        <v>220</v>
      </c>
      <c r="D17" s="0" t="s">
        <v>221</v>
      </c>
      <c r="E17" s="0" t="s">
        <v>163</v>
      </c>
    </row>
    <row r="18" customFormat="false" ht="15" hidden="false" customHeight="false" outlineLevel="0" collapsed="false">
      <c r="A18" s="0" t="s">
        <v>222</v>
      </c>
      <c r="B18" s="0" t="s">
        <v>223</v>
      </c>
      <c r="C18" s="15" t="s">
        <v>224</v>
      </c>
      <c r="D18" s="0" t="s">
        <v>221</v>
      </c>
      <c r="E18" s="0" t="s">
        <v>163</v>
      </c>
    </row>
    <row r="19" customFormat="false" ht="15" hidden="false" customHeight="false" outlineLevel="0" collapsed="false">
      <c r="A19" s="0" t="s">
        <v>225</v>
      </c>
      <c r="B19" s="0" t="s">
        <v>226</v>
      </c>
      <c r="C19" s="15" t="s">
        <v>227</v>
      </c>
      <c r="D19" s="0" t="s">
        <v>228</v>
      </c>
      <c r="E19" s="0" t="s">
        <v>163</v>
      </c>
    </row>
    <row r="20" customFormat="false" ht="15" hidden="false" customHeight="false" outlineLevel="0" collapsed="false">
      <c r="A20" s="0" t="s">
        <v>229</v>
      </c>
      <c r="B20" s="0" t="s">
        <v>230</v>
      </c>
      <c r="C20" s="15" t="s">
        <v>231</v>
      </c>
      <c r="D20" s="0" t="s">
        <v>232</v>
      </c>
      <c r="E20" s="0" t="s">
        <v>163</v>
      </c>
    </row>
    <row r="21" customFormat="false" ht="15" hidden="false" customHeight="false" outlineLevel="0" collapsed="false">
      <c r="A21" s="0" t="s">
        <v>233</v>
      </c>
      <c r="B21" s="0" t="s">
        <v>234</v>
      </c>
      <c r="C21" s="15" t="s">
        <v>235</v>
      </c>
      <c r="D21" s="0" t="s">
        <v>236</v>
      </c>
      <c r="E21" s="0" t="s">
        <v>163</v>
      </c>
    </row>
    <row r="22" customFormat="false" ht="15" hidden="false" customHeight="false" outlineLevel="0" collapsed="false">
      <c r="A22" s="0" t="s">
        <v>237</v>
      </c>
      <c r="B22" s="0" t="s">
        <v>238</v>
      </c>
      <c r="C22" s="15" t="s">
        <v>239</v>
      </c>
      <c r="D22" s="0" t="s">
        <v>240</v>
      </c>
      <c r="E22" s="0" t="s">
        <v>163</v>
      </c>
    </row>
    <row r="23" customFormat="false" ht="15" hidden="false" customHeight="false" outlineLevel="0" collapsed="false">
      <c r="A23" s="0" t="s">
        <v>241</v>
      </c>
      <c r="B23" s="15" t="s">
        <v>242</v>
      </c>
      <c r="C23" s="15" t="s">
        <v>243</v>
      </c>
      <c r="D23" s="0" t="s">
        <v>244</v>
      </c>
      <c r="E23" s="0" t="s">
        <v>245</v>
      </c>
    </row>
    <row r="24" customFormat="false" ht="15" hidden="false" customHeight="false" outlineLevel="0" collapsed="false">
      <c r="A24" s="0" t="s">
        <v>246</v>
      </c>
      <c r="B24" s="0" t="s">
        <v>247</v>
      </c>
      <c r="C24" s="15" t="s">
        <v>248</v>
      </c>
      <c r="D24" s="0" t="s">
        <v>249</v>
      </c>
      <c r="E24" s="0" t="s">
        <v>163</v>
      </c>
    </row>
    <row r="25" customFormat="false" ht="15" hidden="false" customHeight="false" outlineLevel="0" collapsed="false">
      <c r="A25" s="0" t="s">
        <v>250</v>
      </c>
      <c r="B25" s="0" t="s">
        <v>251</v>
      </c>
      <c r="C25" s="15" t="s">
        <v>252</v>
      </c>
      <c r="D25" s="0" t="s">
        <v>253</v>
      </c>
      <c r="E25" s="0" t="s">
        <v>163</v>
      </c>
    </row>
    <row r="26" customFormat="false" ht="15" hidden="false" customHeight="false" outlineLevel="0" collapsed="false">
      <c r="A26" s="0" t="s">
        <v>254</v>
      </c>
      <c r="B26" s="0" t="s">
        <v>255</v>
      </c>
      <c r="C26" s="15" t="s">
        <v>256</v>
      </c>
      <c r="D26" s="0" t="s">
        <v>257</v>
      </c>
      <c r="E26" s="0" t="s">
        <v>163</v>
      </c>
    </row>
    <row r="27" customFormat="false" ht="15" hidden="false" customHeight="false" outlineLevel="0" collapsed="false">
      <c r="A27" s="0" t="s">
        <v>258</v>
      </c>
      <c r="B27" s="0" t="s">
        <v>259</v>
      </c>
      <c r="C27" s="15" t="s">
        <v>260</v>
      </c>
      <c r="D27" s="0" t="s">
        <v>261</v>
      </c>
      <c r="E27" s="0" t="s">
        <v>163</v>
      </c>
    </row>
    <row r="28" customFormat="false" ht="15" hidden="false" customHeight="false" outlineLevel="0" collapsed="false">
      <c r="A28" s="0" t="s">
        <v>262</v>
      </c>
      <c r="B28" s="0" t="s">
        <v>263</v>
      </c>
      <c r="C28" s="15" t="s">
        <v>264</v>
      </c>
      <c r="D28" s="0" t="s">
        <v>265</v>
      </c>
      <c r="E28" s="0" t="s">
        <v>163</v>
      </c>
    </row>
    <row r="29" customFormat="false" ht="15" hidden="false" customHeight="false" outlineLevel="0" collapsed="false">
      <c r="A29" s="0" t="s">
        <v>266</v>
      </c>
      <c r="B29" s="15" t="s">
        <v>267</v>
      </c>
      <c r="C29" s="15" t="s">
        <v>268</v>
      </c>
      <c r="D29" s="0" t="s">
        <v>269</v>
      </c>
      <c r="E29" s="0" t="s">
        <v>163</v>
      </c>
    </row>
    <row r="30" customFormat="false" ht="15" hidden="false" customHeight="false" outlineLevel="0" collapsed="false">
      <c r="A30" s="0" t="s">
        <v>270</v>
      </c>
      <c r="B30" s="0" t="s">
        <v>271</v>
      </c>
      <c r="C30" s="15" t="s">
        <v>272</v>
      </c>
      <c r="D30" s="0" t="s">
        <v>273</v>
      </c>
      <c r="E30" s="0" t="s">
        <v>163</v>
      </c>
    </row>
    <row r="31" customFormat="false" ht="15" hidden="false" customHeight="false" outlineLevel="0" collapsed="false">
      <c r="A31" s="0" t="s">
        <v>274</v>
      </c>
      <c r="B31" s="0" t="s">
        <v>275</v>
      </c>
      <c r="C31" s="15" t="s">
        <v>276</v>
      </c>
      <c r="D31" s="0" t="s">
        <v>277</v>
      </c>
      <c r="E31" s="0" t="s">
        <v>163</v>
      </c>
    </row>
    <row r="32" customFormat="false" ht="15" hidden="false" customHeight="false" outlineLevel="0" collapsed="false">
      <c r="A32" s="0" t="s">
        <v>278</v>
      </c>
      <c r="B32" s="0" t="s">
        <v>279</v>
      </c>
      <c r="C32" s="15" t="s">
        <v>280</v>
      </c>
      <c r="D32" s="0" t="s">
        <v>281</v>
      </c>
      <c r="E32" s="0" t="s">
        <v>163</v>
      </c>
    </row>
    <row r="33" customFormat="false" ht="15" hidden="false" customHeight="false" outlineLevel="0" collapsed="false">
      <c r="A33" s="0" t="s">
        <v>282</v>
      </c>
      <c r="B33" s="0" t="s">
        <v>283</v>
      </c>
      <c r="C33" s="15" t="s">
        <v>284</v>
      </c>
      <c r="D33" s="0" t="s">
        <v>285</v>
      </c>
      <c r="E33" s="0" t="s">
        <v>163</v>
      </c>
    </row>
    <row r="34" customFormat="false" ht="15" hidden="false" customHeight="false" outlineLevel="0" collapsed="false">
      <c r="A34" s="0" t="s">
        <v>286</v>
      </c>
      <c r="B34" s="0" t="s">
        <v>287</v>
      </c>
      <c r="C34" s="15" t="s">
        <v>288</v>
      </c>
      <c r="D34" s="0" t="s">
        <v>289</v>
      </c>
      <c r="E34" s="0" t="s">
        <v>163</v>
      </c>
    </row>
    <row r="35" customFormat="false" ht="15" hidden="false" customHeight="false" outlineLevel="0" collapsed="false">
      <c r="A35" s="0" t="s">
        <v>290</v>
      </c>
      <c r="B35" s="0" t="s">
        <v>291</v>
      </c>
      <c r="C35" s="15" t="s">
        <v>292</v>
      </c>
      <c r="D35" s="0" t="s">
        <v>293</v>
      </c>
      <c r="E35" s="0" t="s">
        <v>163</v>
      </c>
    </row>
    <row r="36" customFormat="false" ht="15" hidden="false" customHeight="false" outlineLevel="0" collapsed="false">
      <c r="A36" s="0" t="s">
        <v>294</v>
      </c>
      <c r="B36" s="0" t="s">
        <v>295</v>
      </c>
      <c r="C36" s="15" t="s">
        <v>296</v>
      </c>
      <c r="D36" s="0" t="s">
        <v>297</v>
      </c>
      <c r="E36" s="0" t="s">
        <v>163</v>
      </c>
    </row>
    <row r="37" customFormat="false" ht="15" hidden="false" customHeight="false" outlineLevel="0" collapsed="false">
      <c r="A37" s="0" t="s">
        <v>298</v>
      </c>
      <c r="B37" s="15" t="s">
        <v>299</v>
      </c>
      <c r="C37" s="15" t="s">
        <v>300</v>
      </c>
      <c r="D37" s="0" t="s">
        <v>301</v>
      </c>
      <c r="E37" s="0" t="s">
        <v>163</v>
      </c>
    </row>
    <row r="38" customFormat="false" ht="15" hidden="false" customHeight="false" outlineLevel="0" collapsed="false">
      <c r="A38" s="0" t="s">
        <v>302</v>
      </c>
      <c r="B38" s="15" t="s">
        <v>303</v>
      </c>
      <c r="C38" s="15" t="s">
        <v>304</v>
      </c>
      <c r="D38" s="0" t="s">
        <v>305</v>
      </c>
      <c r="E38" s="0" t="s">
        <v>163</v>
      </c>
    </row>
    <row r="39" customFormat="false" ht="15" hidden="false" customHeight="false" outlineLevel="0" collapsed="false">
      <c r="A39" s="0" t="s">
        <v>306</v>
      </c>
      <c r="B39" s="15" t="s">
        <v>307</v>
      </c>
      <c r="C39" s="15" t="s">
        <v>308</v>
      </c>
      <c r="D39" s="0" t="s">
        <v>309</v>
      </c>
      <c r="E39" s="0" t="s">
        <v>163</v>
      </c>
    </row>
    <row r="40" customFormat="false" ht="15" hidden="false" customHeight="false" outlineLevel="0" collapsed="false">
      <c r="A40" s="0" t="s">
        <v>310</v>
      </c>
      <c r="B40" s="15" t="s">
        <v>311</v>
      </c>
      <c r="C40" s="15" t="s">
        <v>312</v>
      </c>
      <c r="D40" s="0" t="s">
        <v>313</v>
      </c>
      <c r="E40" s="0" t="s">
        <v>245</v>
      </c>
    </row>
    <row r="41" customFormat="false" ht="15" hidden="false" customHeight="false" outlineLevel="0" collapsed="false">
      <c r="A41" s="0" t="s">
        <v>314</v>
      </c>
      <c r="B41" s="15" t="s">
        <v>315</v>
      </c>
      <c r="C41" s="0" t="s">
        <v>316</v>
      </c>
      <c r="D41" s="0" t="s">
        <v>317</v>
      </c>
      <c r="E41" s="15" t="s">
        <v>318</v>
      </c>
    </row>
    <row r="42" customFormat="false" ht="15" hidden="false" customHeight="false" outlineLevel="0" collapsed="false">
      <c r="A42" s="0" t="s">
        <v>319</v>
      </c>
      <c r="B42" s="15" t="s">
        <v>320</v>
      </c>
      <c r="C42" s="15" t="s">
        <v>321</v>
      </c>
      <c r="D42" s="15" t="s">
        <v>322</v>
      </c>
      <c r="E42" s="15" t="s">
        <v>318</v>
      </c>
    </row>
    <row r="43" customFormat="false" ht="15" hidden="false" customHeight="false" outlineLevel="0" collapsed="false">
      <c r="A43" s="0" t="s">
        <v>323</v>
      </c>
      <c r="B43" s="15" t="s">
        <v>324</v>
      </c>
      <c r="C43" s="15" t="s">
        <v>325</v>
      </c>
      <c r="D43" s="0" t="s">
        <v>326</v>
      </c>
      <c r="E43" s="0" t="s">
        <v>245</v>
      </c>
    </row>
    <row r="44" customFormat="false" ht="15" hidden="false" customHeight="false" outlineLevel="0" collapsed="false">
      <c r="A44" s="0" t="s">
        <v>327</v>
      </c>
      <c r="B44" s="15" t="s">
        <v>328</v>
      </c>
      <c r="C44" s="15" t="s">
        <v>329</v>
      </c>
      <c r="D44" s="0" t="s">
        <v>330</v>
      </c>
      <c r="E44" s="0" t="s">
        <v>163</v>
      </c>
    </row>
    <row r="45" customFormat="false" ht="15" hidden="false" customHeight="false" outlineLevel="0" collapsed="false">
      <c r="A45" s="0" t="s">
        <v>331</v>
      </c>
      <c r="B45" s="15" t="s">
        <v>332</v>
      </c>
      <c r="C45" s="15" t="s">
        <v>333</v>
      </c>
      <c r="D45" s="0" t="s">
        <v>334</v>
      </c>
      <c r="E45" s="0" t="s">
        <v>163</v>
      </c>
    </row>
    <row r="46" customFormat="false" ht="15" hidden="false" customHeight="false" outlineLevel="0" collapsed="false">
      <c r="A46" s="0" t="s">
        <v>335</v>
      </c>
      <c r="B46" s="15" t="s">
        <v>336</v>
      </c>
      <c r="C46" s="15" t="s">
        <v>337</v>
      </c>
      <c r="D46" s="0" t="s">
        <v>338</v>
      </c>
      <c r="E46" s="15" t="s">
        <v>318</v>
      </c>
    </row>
    <row r="47" customFormat="false" ht="15" hidden="false" customHeight="false" outlineLevel="0" collapsed="false">
      <c r="A47" s="0" t="s">
        <v>339</v>
      </c>
      <c r="B47" s="15" t="s">
        <v>340</v>
      </c>
      <c r="C47" s="15" t="s">
        <v>341</v>
      </c>
      <c r="D47" s="15" t="s">
        <v>342</v>
      </c>
      <c r="E47" s="15" t="s">
        <v>318</v>
      </c>
    </row>
    <row r="48" customFormat="false" ht="15" hidden="false" customHeight="false" outlineLevel="0" collapsed="false">
      <c r="A48" s="0" t="s">
        <v>343</v>
      </c>
      <c r="B48" s="15" t="s">
        <v>344</v>
      </c>
      <c r="C48" s="15" t="s">
        <v>345</v>
      </c>
      <c r="D48" s="15" t="s">
        <v>346</v>
      </c>
      <c r="E48" s="0" t="s">
        <v>245</v>
      </c>
    </row>
    <row r="49" customFormat="false" ht="15" hidden="false" customHeight="false" outlineLevel="0" collapsed="false">
      <c r="A49" s="0" t="s">
        <v>347</v>
      </c>
      <c r="B49" s="15" t="s">
        <v>348</v>
      </c>
      <c r="C49" s="15" t="s">
        <v>349</v>
      </c>
      <c r="D49" s="0" t="s">
        <v>350</v>
      </c>
      <c r="E49" s="15" t="s">
        <v>351</v>
      </c>
    </row>
    <row r="50" customFormat="false" ht="15" hidden="false" customHeight="false" outlineLevel="0" collapsed="false">
      <c r="A50" s="0" t="s">
        <v>352</v>
      </c>
      <c r="B50" s="15" t="s">
        <v>353</v>
      </c>
      <c r="C50" s="15" t="s">
        <v>354</v>
      </c>
      <c r="D50" s="0" t="s">
        <v>355</v>
      </c>
      <c r="E50" s="15" t="s">
        <v>351</v>
      </c>
    </row>
    <row r="51" customFormat="false" ht="15" hidden="false" customHeight="false" outlineLevel="0" collapsed="false">
      <c r="A51" s="0" t="s">
        <v>356</v>
      </c>
      <c r="B51" s="15" t="s">
        <v>357</v>
      </c>
      <c r="C51" s="0" t="s">
        <v>358</v>
      </c>
      <c r="D51" s="15" t="s">
        <v>359</v>
      </c>
      <c r="E51" s="15" t="s">
        <v>318</v>
      </c>
    </row>
    <row r="52" customFormat="false" ht="15" hidden="false" customHeight="false" outlineLevel="0" collapsed="false">
      <c r="A52" s="0" t="s">
        <v>360</v>
      </c>
      <c r="B52" s="15" t="s">
        <v>361</v>
      </c>
      <c r="C52" s="15" t="s">
        <v>362</v>
      </c>
      <c r="D52" s="0" t="s">
        <v>363</v>
      </c>
      <c r="E52" s="15" t="s">
        <v>351</v>
      </c>
    </row>
    <row r="53" customFormat="false" ht="15" hidden="false" customHeight="false" outlineLevel="0" collapsed="false">
      <c r="A53" s="0" t="s">
        <v>364</v>
      </c>
      <c r="B53" s="15" t="s">
        <v>365</v>
      </c>
      <c r="C53" s="15" t="s">
        <v>366</v>
      </c>
      <c r="D53" s="0" t="s">
        <v>367</v>
      </c>
      <c r="E53" s="0" t="s">
        <v>163</v>
      </c>
    </row>
    <row r="54" customFormat="false" ht="15" hidden="false" customHeight="false" outlineLevel="0" collapsed="false">
      <c r="A54" s="0" t="s">
        <v>368</v>
      </c>
      <c r="B54" s="15" t="s">
        <v>369</v>
      </c>
      <c r="C54" s="15" t="s">
        <v>370</v>
      </c>
      <c r="D54" s="15" t="s">
        <v>371</v>
      </c>
      <c r="E54" s="15" t="s">
        <v>318</v>
      </c>
    </row>
    <row r="55" customFormat="false" ht="15" hidden="false" customHeight="false" outlineLevel="0" collapsed="false">
      <c r="A55" s="0" t="s">
        <v>372</v>
      </c>
      <c r="B55" s="15" t="s">
        <v>373</v>
      </c>
      <c r="C55" s="15" t="s">
        <v>374</v>
      </c>
      <c r="D55" s="0" t="s">
        <v>375</v>
      </c>
      <c r="E55" s="0" t="s">
        <v>245</v>
      </c>
    </row>
    <row r="56" customFormat="false" ht="15" hidden="false" customHeight="false" outlineLevel="0" collapsed="false">
      <c r="A56" s="0" t="s">
        <v>376</v>
      </c>
      <c r="B56" s="15" t="s">
        <v>377</v>
      </c>
      <c r="C56" s="15" t="s">
        <v>378</v>
      </c>
      <c r="D56" s="0" t="s">
        <v>379</v>
      </c>
      <c r="E56" s="0" t="s">
        <v>163</v>
      </c>
    </row>
    <row r="57" customFormat="false" ht="15" hidden="false" customHeight="false" outlineLevel="0" collapsed="false">
      <c r="A57" s="0" t="s">
        <v>380</v>
      </c>
      <c r="B57" s="15" t="s">
        <v>381</v>
      </c>
      <c r="C57" s="15" t="s">
        <v>382</v>
      </c>
      <c r="D57" s="0" t="s">
        <v>383</v>
      </c>
      <c r="E57" s="0" t="s">
        <v>163</v>
      </c>
    </row>
    <row r="58" customFormat="false" ht="15" hidden="false" customHeight="false" outlineLevel="0" collapsed="false">
      <c r="A58" s="0" t="s">
        <v>384</v>
      </c>
      <c r="B58" s="15" t="s">
        <v>385</v>
      </c>
      <c r="C58" s="15" t="s">
        <v>386</v>
      </c>
      <c r="D58" s="0" t="s">
        <v>383</v>
      </c>
      <c r="E58" s="0" t="s">
        <v>163</v>
      </c>
    </row>
    <row r="59" customFormat="false" ht="15" hidden="false" customHeight="false" outlineLevel="0" collapsed="false">
      <c r="A59" s="0" t="s">
        <v>387</v>
      </c>
      <c r="B59" s="15" t="s">
        <v>388</v>
      </c>
      <c r="C59" s="15" t="s">
        <v>389</v>
      </c>
      <c r="D59" s="0" t="s">
        <v>390</v>
      </c>
      <c r="E59" s="0" t="s">
        <v>163</v>
      </c>
    </row>
    <row r="60" customFormat="false" ht="15" hidden="false" customHeight="false" outlineLevel="0" collapsed="false">
      <c r="A60" s="0" t="s">
        <v>391</v>
      </c>
      <c r="B60" s="15" t="s">
        <v>392</v>
      </c>
      <c r="C60" s="15" t="s">
        <v>393</v>
      </c>
      <c r="D60" s="0" t="s">
        <v>394</v>
      </c>
      <c r="E60" s="0" t="s">
        <v>163</v>
      </c>
    </row>
    <row r="61" customFormat="false" ht="15" hidden="false" customHeight="false" outlineLevel="0" collapsed="false">
      <c r="A61" s="0" t="s">
        <v>395</v>
      </c>
      <c r="B61" s="0" t="s">
        <v>396</v>
      </c>
      <c r="C61" s="15" t="s">
        <v>397</v>
      </c>
      <c r="D61" s="0" t="s">
        <v>394</v>
      </c>
      <c r="E61" s="0" t="s">
        <v>163</v>
      </c>
    </row>
    <row r="62" customFormat="false" ht="15" hidden="false" customHeight="false" outlineLevel="0" collapsed="false">
      <c r="A62" s="0" t="s">
        <v>398</v>
      </c>
      <c r="B62" s="15" t="s">
        <v>399</v>
      </c>
      <c r="C62" s="15" t="s">
        <v>400</v>
      </c>
      <c r="D62" s="15" t="s">
        <v>401</v>
      </c>
      <c r="E62" s="0" t="s">
        <v>163</v>
      </c>
    </row>
    <row r="63" customFormat="false" ht="15" hidden="false" customHeight="false" outlineLevel="0" collapsed="false">
      <c r="A63" s="0" t="s">
        <v>402</v>
      </c>
      <c r="B63" s="15" t="s">
        <v>403</v>
      </c>
      <c r="C63" s="15" t="s">
        <v>404</v>
      </c>
      <c r="D63" s="0" t="s">
        <v>405</v>
      </c>
      <c r="E63" s="0" t="s">
        <v>245</v>
      </c>
    </row>
    <row r="64" customFormat="false" ht="15" hidden="false" customHeight="false" outlineLevel="0" collapsed="false">
      <c r="A64" s="0" t="s">
        <v>406</v>
      </c>
      <c r="B64" s="15" t="s">
        <v>407</v>
      </c>
      <c r="C64" s="15" t="s">
        <v>408</v>
      </c>
      <c r="D64" s="0" t="s">
        <v>409</v>
      </c>
      <c r="E64" s="0" t="s">
        <v>245</v>
      </c>
    </row>
    <row r="65" customFormat="false" ht="15" hidden="false" customHeight="false" outlineLevel="0" collapsed="false">
      <c r="A65" s="0" t="s">
        <v>410</v>
      </c>
      <c r="B65" s="15" t="s">
        <v>411</v>
      </c>
      <c r="C65" s="15" t="s">
        <v>412</v>
      </c>
      <c r="D65" s="0" t="s">
        <v>413</v>
      </c>
      <c r="E65" s="0" t="s">
        <v>163</v>
      </c>
    </row>
    <row r="66" customFormat="false" ht="15" hidden="false" customHeight="false" outlineLevel="0" collapsed="false">
      <c r="A66" s="0" t="s">
        <v>414</v>
      </c>
      <c r="B66" s="15" t="s">
        <v>415</v>
      </c>
      <c r="C66" s="15" t="s">
        <v>416</v>
      </c>
      <c r="D66" s="0" t="s">
        <v>417</v>
      </c>
      <c r="E66" s="0" t="s">
        <v>245</v>
      </c>
    </row>
    <row r="67" customFormat="false" ht="15" hidden="false" customHeight="false" outlineLevel="0" collapsed="false">
      <c r="A67" s="0" t="s">
        <v>418</v>
      </c>
      <c r="B67" s="15" t="s">
        <v>419</v>
      </c>
      <c r="C67" s="15" t="s">
        <v>420</v>
      </c>
      <c r="D67" s="0" t="s">
        <v>421</v>
      </c>
      <c r="E67" s="15" t="s">
        <v>422</v>
      </c>
    </row>
    <row r="68" customFormat="false" ht="15" hidden="false" customHeight="false" outlineLevel="0" collapsed="false">
      <c r="A68" s="0" t="s">
        <v>423</v>
      </c>
      <c r="B68" s="15" t="s">
        <v>424</v>
      </c>
      <c r="C68" s="15" t="s">
        <v>425</v>
      </c>
      <c r="D68" s="0" t="s">
        <v>426</v>
      </c>
      <c r="E68" s="0" t="s">
        <v>245</v>
      </c>
    </row>
    <row r="69" customFormat="false" ht="15" hidden="false" customHeight="false" outlineLevel="0" collapsed="false">
      <c r="A69" s="0" t="s">
        <v>427</v>
      </c>
      <c r="B69" s="15" t="s">
        <v>428</v>
      </c>
      <c r="C69" s="15" t="s">
        <v>429</v>
      </c>
      <c r="D69" s="0" t="s">
        <v>430</v>
      </c>
      <c r="E69" s="15" t="s">
        <v>431</v>
      </c>
    </row>
    <row r="70" customFormat="false" ht="15" hidden="false" customHeight="false" outlineLevel="0" collapsed="false">
      <c r="A70" s="0" t="s">
        <v>432</v>
      </c>
      <c r="B70" s="15" t="s">
        <v>433</v>
      </c>
      <c r="C70" s="15" t="s">
        <v>434</v>
      </c>
      <c r="D70" s="0" t="s">
        <v>435</v>
      </c>
      <c r="E70" s="0" t="s">
        <v>245</v>
      </c>
    </row>
    <row r="71" customFormat="false" ht="15" hidden="false" customHeight="false" outlineLevel="0" collapsed="false">
      <c r="A71" s="0" t="s">
        <v>436</v>
      </c>
      <c r="B71" s="15" t="s">
        <v>437</v>
      </c>
      <c r="C71" s="15" t="s">
        <v>438</v>
      </c>
      <c r="D71" s="0" t="s">
        <v>435</v>
      </c>
      <c r="E71" s="0" t="s">
        <v>245</v>
      </c>
    </row>
    <row r="72" customFormat="false" ht="15" hidden="false" customHeight="false" outlineLevel="0" collapsed="false">
      <c r="A72" s="0" t="s">
        <v>439</v>
      </c>
      <c r="B72" s="15" t="s">
        <v>440</v>
      </c>
      <c r="C72" s="15" t="s">
        <v>441</v>
      </c>
      <c r="D72" s="15" t="s">
        <v>442</v>
      </c>
      <c r="E72" s="0" t="s">
        <v>163</v>
      </c>
    </row>
    <row r="73" customFormat="false" ht="15" hidden="false" customHeight="false" outlineLevel="0" collapsed="false">
      <c r="A73" s="0" t="s">
        <v>443</v>
      </c>
      <c r="B73" s="15" t="s">
        <v>444</v>
      </c>
      <c r="C73" s="15" t="s">
        <v>445</v>
      </c>
      <c r="D73" s="0" t="s">
        <v>446</v>
      </c>
      <c r="E73" s="0" t="s">
        <v>245</v>
      </c>
    </row>
    <row r="74" customFormat="false" ht="15" hidden="false" customHeight="false" outlineLevel="0" collapsed="false">
      <c r="A74" s="0" t="s">
        <v>447</v>
      </c>
      <c r="B74" s="0" t="s">
        <v>448</v>
      </c>
      <c r="C74" s="15" t="s">
        <v>449</v>
      </c>
      <c r="D74" s="0" t="s">
        <v>450</v>
      </c>
      <c r="E74" s="0" t="s">
        <v>245</v>
      </c>
    </row>
    <row r="75" customFormat="false" ht="15" hidden="false" customHeight="false" outlineLevel="0" collapsed="false">
      <c r="A75" s="0" t="s">
        <v>451</v>
      </c>
      <c r="B75" s="15" t="s">
        <v>452</v>
      </c>
      <c r="C75" s="15" t="s">
        <v>453</v>
      </c>
      <c r="D75" s="0" t="s">
        <v>454</v>
      </c>
      <c r="E75" s="0" t="s">
        <v>245</v>
      </c>
    </row>
    <row r="76" customFormat="false" ht="15" hidden="false" customHeight="false" outlineLevel="0" collapsed="false">
      <c r="A76" s="0" t="s">
        <v>455</v>
      </c>
      <c r="B76" s="15" t="s">
        <v>456</v>
      </c>
      <c r="C76" s="15" t="s">
        <v>457</v>
      </c>
      <c r="D76" s="0" t="s">
        <v>458</v>
      </c>
      <c r="E76" s="0" t="s">
        <v>245</v>
      </c>
    </row>
    <row r="77" customFormat="false" ht="15" hidden="false" customHeight="false" outlineLevel="0" collapsed="false">
      <c r="A77" s="0" t="s">
        <v>459</v>
      </c>
      <c r="B77" s="15" t="s">
        <v>460</v>
      </c>
      <c r="C77" s="15" t="s">
        <v>461</v>
      </c>
      <c r="D77" s="0" t="s">
        <v>454</v>
      </c>
      <c r="E77" s="0" t="s">
        <v>245</v>
      </c>
    </row>
    <row r="78" customFormat="false" ht="15" hidden="false" customHeight="false" outlineLevel="0" collapsed="false">
      <c r="A78" s="0" t="s">
        <v>462</v>
      </c>
      <c r="B78" s="15" t="s">
        <v>463</v>
      </c>
      <c r="C78" s="15" t="s">
        <v>464</v>
      </c>
      <c r="D78" s="0" t="s">
        <v>465</v>
      </c>
      <c r="E78" s="0" t="s">
        <v>163</v>
      </c>
    </row>
    <row r="79" customFormat="false" ht="15" hidden="false" customHeight="false" outlineLevel="0" collapsed="false">
      <c r="A79" s="0" t="s">
        <v>466</v>
      </c>
      <c r="B79" s="15" t="s">
        <v>467</v>
      </c>
      <c r="C79" s="15" t="s">
        <v>468</v>
      </c>
      <c r="D79" s="0" t="s">
        <v>469</v>
      </c>
      <c r="E79" s="0" t="s">
        <v>245</v>
      </c>
    </row>
    <row r="80" customFormat="false" ht="15" hidden="false" customHeight="false" outlineLevel="0" collapsed="false">
      <c r="A80" s="0" t="s">
        <v>470</v>
      </c>
      <c r="B80" s="15" t="s">
        <v>471</v>
      </c>
      <c r="C80" s="15" t="s">
        <v>472</v>
      </c>
      <c r="D80" s="0" t="s">
        <v>473</v>
      </c>
      <c r="E80" s="0" t="s">
        <v>163</v>
      </c>
    </row>
    <row r="81" customFormat="false" ht="15" hidden="false" customHeight="false" outlineLevel="0" collapsed="false">
      <c r="A81" s="0" t="s">
        <v>474</v>
      </c>
      <c r="B81" s="15" t="s">
        <v>475</v>
      </c>
      <c r="C81" s="15" t="s">
        <v>476</v>
      </c>
      <c r="D81" s="0" t="s">
        <v>477</v>
      </c>
      <c r="E81" s="15" t="s">
        <v>431</v>
      </c>
    </row>
    <row r="82" customFormat="false" ht="15" hidden="false" customHeight="false" outlineLevel="0" collapsed="false">
      <c r="A82" s="0" t="s">
        <v>478</v>
      </c>
      <c r="B82" s="15" t="s">
        <v>479</v>
      </c>
      <c r="C82" s="15" t="s">
        <v>480</v>
      </c>
      <c r="D82" s="0" t="s">
        <v>477</v>
      </c>
      <c r="E82" s="15" t="s">
        <v>351</v>
      </c>
    </row>
    <row r="83" customFormat="false" ht="15" hidden="false" customHeight="false" outlineLevel="0" collapsed="false">
      <c r="A83" s="0" t="s">
        <v>481</v>
      </c>
      <c r="B83" s="15" t="s">
        <v>482</v>
      </c>
      <c r="C83" s="15" t="s">
        <v>483</v>
      </c>
      <c r="D83" s="0" t="s">
        <v>484</v>
      </c>
      <c r="E83" s="0" t="s">
        <v>245</v>
      </c>
    </row>
    <row r="84" customFormat="false" ht="15" hidden="false" customHeight="false" outlineLevel="0" collapsed="false">
      <c r="A84" s="0" t="s">
        <v>485</v>
      </c>
      <c r="B84" s="15" t="s">
        <v>486</v>
      </c>
      <c r="C84" s="15" t="s">
        <v>487</v>
      </c>
      <c r="D84" s="0" t="s">
        <v>488</v>
      </c>
      <c r="E84" s="0" t="s">
        <v>163</v>
      </c>
    </row>
    <row r="85" customFormat="false" ht="15" hidden="false" customHeight="false" outlineLevel="0" collapsed="false">
      <c r="A85" s="0" t="s">
        <v>489</v>
      </c>
      <c r="B85" s="15" t="s">
        <v>490</v>
      </c>
      <c r="C85" s="15" t="s">
        <v>491</v>
      </c>
      <c r="D85" s="0" t="s">
        <v>492</v>
      </c>
      <c r="E85" s="0" t="s">
        <v>163</v>
      </c>
    </row>
    <row r="86" customFormat="false" ht="15" hidden="false" customHeight="false" outlineLevel="0" collapsed="false">
      <c r="A86" s="0" t="s">
        <v>493</v>
      </c>
      <c r="B86" s="15" t="s">
        <v>494</v>
      </c>
      <c r="C86" s="15" t="s">
        <v>495</v>
      </c>
      <c r="D86" s="0" t="s">
        <v>496</v>
      </c>
      <c r="E86" s="0" t="s">
        <v>163</v>
      </c>
    </row>
    <row r="87" customFormat="false" ht="15" hidden="false" customHeight="false" outlineLevel="0" collapsed="false">
      <c r="A87" s="0" t="s">
        <v>497</v>
      </c>
      <c r="B87" s="15" t="s">
        <v>498</v>
      </c>
      <c r="C87" s="15" t="s">
        <v>499</v>
      </c>
      <c r="D87" s="0" t="s">
        <v>500</v>
      </c>
      <c r="E87" s="0" t="s">
        <v>245</v>
      </c>
    </row>
    <row r="88" customFormat="false" ht="15" hidden="false" customHeight="false" outlineLevel="0" collapsed="false">
      <c r="A88" s="0" t="s">
        <v>501</v>
      </c>
      <c r="B88" s="15" t="s">
        <v>502</v>
      </c>
      <c r="C88" s="0" t="s">
        <v>503</v>
      </c>
      <c r="D88" s="0" t="s">
        <v>504</v>
      </c>
      <c r="E88" s="0" t="s">
        <v>245</v>
      </c>
    </row>
    <row r="89" customFormat="false" ht="15" hidden="false" customHeight="false" outlineLevel="0" collapsed="false">
      <c r="A89" s="0" t="s">
        <v>505</v>
      </c>
      <c r="B89" s="15" t="s">
        <v>506</v>
      </c>
      <c r="C89" s="15" t="s">
        <v>507</v>
      </c>
      <c r="D89" s="0" t="s">
        <v>508</v>
      </c>
      <c r="E89" s="0" t="s">
        <v>245</v>
      </c>
    </row>
    <row r="90" customFormat="false" ht="15" hidden="false" customHeight="false" outlineLevel="0" collapsed="false">
      <c r="A90" s="0" t="s">
        <v>509</v>
      </c>
      <c r="B90" s="15" t="s">
        <v>510</v>
      </c>
      <c r="C90" s="15" t="s">
        <v>511</v>
      </c>
      <c r="D90" s="0" t="s">
        <v>512</v>
      </c>
      <c r="E90" s="0" t="s">
        <v>245</v>
      </c>
    </row>
    <row r="91" customFormat="false" ht="15" hidden="false" customHeight="false" outlineLevel="0" collapsed="false">
      <c r="A91" s="0" t="s">
        <v>513</v>
      </c>
      <c r="B91" s="15" t="s">
        <v>514</v>
      </c>
      <c r="C91" s="15" t="s">
        <v>515</v>
      </c>
      <c r="D91" s="0" t="s">
        <v>516</v>
      </c>
      <c r="E91" s="0" t="s">
        <v>245</v>
      </c>
    </row>
    <row r="92" customFormat="false" ht="15" hidden="false" customHeight="false" outlineLevel="0" collapsed="false">
      <c r="A92" s="0" t="s">
        <v>517</v>
      </c>
      <c r="B92" s="15" t="s">
        <v>518</v>
      </c>
      <c r="C92" s="15" t="s">
        <v>519</v>
      </c>
      <c r="D92" s="0" t="s">
        <v>516</v>
      </c>
      <c r="E92" s="0" t="s">
        <v>245</v>
      </c>
    </row>
    <row r="93" customFormat="false" ht="15" hidden="false" customHeight="false" outlineLevel="0" collapsed="false">
      <c r="A93" s="0" t="s">
        <v>520</v>
      </c>
      <c r="B93" s="15" t="s">
        <v>521</v>
      </c>
      <c r="C93" s="15" t="s">
        <v>522</v>
      </c>
      <c r="D93" s="0" t="s">
        <v>523</v>
      </c>
      <c r="E93" s="0" t="s">
        <v>163</v>
      </c>
    </row>
    <row r="94" customFormat="false" ht="15" hidden="false" customHeight="false" outlineLevel="0" collapsed="false">
      <c r="A94" s="0" t="s">
        <v>524</v>
      </c>
      <c r="B94" s="15" t="s">
        <v>525</v>
      </c>
      <c r="C94" s="15" t="s">
        <v>526</v>
      </c>
      <c r="D94" s="0" t="s">
        <v>527</v>
      </c>
      <c r="E94" s="0" t="s">
        <v>163</v>
      </c>
    </row>
    <row r="95" customFormat="false" ht="15" hidden="false" customHeight="false" outlineLevel="0" collapsed="false">
      <c r="A95" s="0" t="s">
        <v>528</v>
      </c>
      <c r="B95" s="15" t="s">
        <v>529</v>
      </c>
      <c r="C95" s="15" t="s">
        <v>530</v>
      </c>
      <c r="D95" s="0" t="s">
        <v>531</v>
      </c>
      <c r="E95" s="0" t="s">
        <v>245</v>
      </c>
    </row>
    <row r="96" customFormat="false" ht="15" hidden="false" customHeight="false" outlineLevel="0" collapsed="false">
      <c r="A96" s="0" t="s">
        <v>532</v>
      </c>
      <c r="B96" s="15" t="s">
        <v>533</v>
      </c>
      <c r="C96" s="15" t="s">
        <v>534</v>
      </c>
      <c r="D96" s="0" t="s">
        <v>535</v>
      </c>
      <c r="E96" s="0" t="s">
        <v>245</v>
      </c>
    </row>
    <row r="97" customFormat="false" ht="15" hidden="false" customHeight="false" outlineLevel="0" collapsed="false">
      <c r="A97" s="0" t="s">
        <v>536</v>
      </c>
      <c r="B97" s="15" t="s">
        <v>537</v>
      </c>
      <c r="C97" s="15" t="s">
        <v>538</v>
      </c>
      <c r="D97" s="0" t="s">
        <v>539</v>
      </c>
      <c r="E97" s="0" t="s">
        <v>245</v>
      </c>
    </row>
    <row r="98" customFormat="false" ht="15" hidden="false" customHeight="false" outlineLevel="0" collapsed="false">
      <c r="A98" s="0" t="s">
        <v>540</v>
      </c>
      <c r="B98" s="15" t="s">
        <v>541</v>
      </c>
      <c r="C98" s="15" t="s">
        <v>542</v>
      </c>
      <c r="D98" s="0" t="s">
        <v>543</v>
      </c>
      <c r="E98" s="0" t="s">
        <v>245</v>
      </c>
    </row>
    <row r="99" customFormat="false" ht="15" hidden="false" customHeight="false" outlineLevel="0" collapsed="false">
      <c r="A99" s="0" t="s">
        <v>544</v>
      </c>
      <c r="B99" s="15" t="s">
        <v>545</v>
      </c>
      <c r="C99" s="15" t="s">
        <v>546</v>
      </c>
      <c r="D99" s="0" t="s">
        <v>547</v>
      </c>
      <c r="E99" s="0" t="s">
        <v>245</v>
      </c>
    </row>
    <row r="100" customFormat="false" ht="15" hidden="false" customHeight="false" outlineLevel="0" collapsed="false">
      <c r="A100" s="0" t="s">
        <v>548</v>
      </c>
      <c r="B100" s="15" t="s">
        <v>549</v>
      </c>
      <c r="C100" s="15" t="s">
        <v>550</v>
      </c>
      <c r="D100" s="0" t="s">
        <v>551</v>
      </c>
      <c r="E100" s="0" t="s">
        <v>245</v>
      </c>
    </row>
    <row r="101" customFormat="false" ht="15" hidden="false" customHeight="false" outlineLevel="0" collapsed="false">
      <c r="A101" s="0" t="s">
        <v>552</v>
      </c>
      <c r="B101" s="15" t="s">
        <v>553</v>
      </c>
      <c r="C101" s="15" t="s">
        <v>554</v>
      </c>
      <c r="D101" s="0" t="s">
        <v>555</v>
      </c>
      <c r="E101" s="0" t="s">
        <v>245</v>
      </c>
    </row>
    <row r="102" customFormat="false" ht="15" hidden="false" customHeight="false" outlineLevel="0" collapsed="false">
      <c r="A102" s="0" t="s">
        <v>556</v>
      </c>
      <c r="B102" s="15" t="s">
        <v>557</v>
      </c>
      <c r="C102" s="15" t="s">
        <v>558</v>
      </c>
      <c r="D102" s="0" t="s">
        <v>555</v>
      </c>
      <c r="E102" s="0" t="s">
        <v>245</v>
      </c>
    </row>
    <row r="103" customFormat="false" ht="15" hidden="false" customHeight="false" outlineLevel="0" collapsed="false">
      <c r="A103" s="0" t="s">
        <v>559</v>
      </c>
      <c r="B103" s="15" t="s">
        <v>560</v>
      </c>
      <c r="C103" s="15" t="s">
        <v>561</v>
      </c>
      <c r="D103" s="0" t="s">
        <v>562</v>
      </c>
      <c r="E103" s="0" t="s">
        <v>163</v>
      </c>
    </row>
    <row r="104" customFormat="false" ht="15" hidden="false" customHeight="false" outlineLevel="0" collapsed="false">
      <c r="A104" s="0" t="s">
        <v>563</v>
      </c>
      <c r="B104" s="15" t="s">
        <v>564</v>
      </c>
      <c r="C104" s="15" t="s">
        <v>565</v>
      </c>
      <c r="D104" s="0" t="s">
        <v>566</v>
      </c>
      <c r="E104" s="0" t="s">
        <v>163</v>
      </c>
    </row>
    <row r="105" customFormat="false" ht="15" hidden="false" customHeight="false" outlineLevel="0" collapsed="false">
      <c r="A105" s="0" t="s">
        <v>567</v>
      </c>
      <c r="B105" s="0" t="s">
        <v>568</v>
      </c>
      <c r="C105" s="15" t="s">
        <v>569</v>
      </c>
      <c r="D105" s="0" t="s">
        <v>570</v>
      </c>
      <c r="E105" s="0" t="s">
        <v>163</v>
      </c>
    </row>
    <row r="106" customFormat="false" ht="15" hidden="false" customHeight="false" outlineLevel="0" collapsed="false">
      <c r="A106" s="0" t="s">
        <v>571</v>
      </c>
      <c r="B106" s="0" t="s">
        <v>572</v>
      </c>
      <c r="C106" s="15" t="s">
        <v>573</v>
      </c>
      <c r="D106" s="0" t="s">
        <v>574</v>
      </c>
      <c r="E106" s="0" t="s">
        <v>163</v>
      </c>
    </row>
    <row r="107" customFormat="false" ht="15" hidden="false" customHeight="false" outlineLevel="0" collapsed="false">
      <c r="A107" s="0" t="s">
        <v>575</v>
      </c>
      <c r="B107" s="0" t="s">
        <v>576</v>
      </c>
      <c r="C107" s="15" t="s">
        <v>577</v>
      </c>
      <c r="D107" s="0" t="s">
        <v>578</v>
      </c>
      <c r="E107" s="0" t="s">
        <v>163</v>
      </c>
    </row>
    <row r="108" customFormat="false" ht="15" hidden="false" customHeight="false" outlineLevel="0" collapsed="false">
      <c r="A108" s="0" t="s">
        <v>579</v>
      </c>
      <c r="B108" s="0" t="s">
        <v>580</v>
      </c>
      <c r="C108" s="15" t="s">
        <v>581</v>
      </c>
      <c r="D108" s="0" t="s">
        <v>582</v>
      </c>
      <c r="E108" s="0" t="s">
        <v>163</v>
      </c>
    </row>
    <row r="109" customFormat="false" ht="15" hidden="false" customHeight="false" outlineLevel="0" collapsed="false">
      <c r="A109" s="0" t="s">
        <v>583</v>
      </c>
      <c r="B109" s="15" t="s">
        <v>584</v>
      </c>
      <c r="C109" s="15" t="s">
        <v>585</v>
      </c>
      <c r="D109" s="0" t="s">
        <v>586</v>
      </c>
      <c r="E109" s="0" t="s">
        <v>163</v>
      </c>
    </row>
    <row r="110" customFormat="false" ht="15" hidden="false" customHeight="false" outlineLevel="0" collapsed="false">
      <c r="A110" s="0" t="s">
        <v>587</v>
      </c>
      <c r="B110" s="0" t="s">
        <v>588</v>
      </c>
      <c r="C110" s="15" t="s">
        <v>589</v>
      </c>
      <c r="D110" s="0" t="s">
        <v>590</v>
      </c>
      <c r="E110" s="0"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48"/>
    <col collapsed="false" customWidth="true" hidden="false" outlineLevel="0" max="4" min="4" style="0" width="22"/>
    <col collapsed="false" customWidth="true" hidden="false" outlineLevel="0" max="5" min="5" style="0" width="16"/>
  </cols>
  <sheetData>
    <row r="1" customFormat="false" ht="60" hidden="false" customHeight="true" outlineLevel="0" collapsed="false">
      <c r="A1" s="11" t="s">
        <v>591</v>
      </c>
      <c r="B1" s="11" t="s">
        <v>592</v>
      </c>
      <c r="C1" s="11" t="s">
        <v>593</v>
      </c>
      <c r="D1" s="11" t="s">
        <v>594</v>
      </c>
      <c r="E1" s="11" t="s">
        <v>595</v>
      </c>
    </row>
    <row r="2" customFormat="false" ht="15" hidden="false" customHeight="false" outlineLevel="0" collapsed="false">
      <c r="A2" s="0" t="s">
        <v>596</v>
      </c>
      <c r="B2" s="12" t="n">
        <v>2024</v>
      </c>
      <c r="C2" s="0" t="s">
        <v>597</v>
      </c>
      <c r="D2" s="12" t="n">
        <v>103512313</v>
      </c>
      <c r="E2" s="0" t="s">
        <v>246</v>
      </c>
    </row>
    <row r="3" customFormat="false" ht="15" hidden="false" customHeight="false" outlineLevel="0" collapsed="false">
      <c r="A3" s="0" t="s">
        <v>596</v>
      </c>
      <c r="B3" s="12" t="n">
        <v>2024</v>
      </c>
      <c r="C3" s="0" t="s">
        <v>598</v>
      </c>
      <c r="D3" s="12" t="n">
        <v>8565489</v>
      </c>
      <c r="E3" s="0" t="s">
        <v>246</v>
      </c>
    </row>
    <row r="4" customFormat="false" ht="15" hidden="false" customHeight="false" outlineLevel="0" collapsed="false">
      <c r="A4" s="0" t="s">
        <v>596</v>
      </c>
      <c r="B4" s="12" t="n">
        <v>2024</v>
      </c>
      <c r="C4" s="0" t="s">
        <v>599</v>
      </c>
      <c r="D4" s="12" t="n">
        <v>6209202</v>
      </c>
      <c r="E4" s="0" t="s">
        <v>246</v>
      </c>
    </row>
    <row r="5" customFormat="false" ht="15" hidden="false" customHeight="false" outlineLevel="0" collapsed="false">
      <c r="A5" s="0" t="s">
        <v>596</v>
      </c>
      <c r="B5" s="12" t="n">
        <v>2024</v>
      </c>
      <c r="C5" s="0" t="s">
        <v>600</v>
      </c>
      <c r="D5" s="12" t="n">
        <v>14424190</v>
      </c>
      <c r="E5" s="0" t="s">
        <v>246</v>
      </c>
    </row>
    <row r="6" customFormat="false" ht="15" hidden="false" customHeight="false" outlineLevel="0" collapsed="false">
      <c r="A6" s="0" t="s">
        <v>596</v>
      </c>
      <c r="B6" s="12" t="n">
        <v>2024</v>
      </c>
      <c r="C6" s="0" t="s">
        <v>601</v>
      </c>
      <c r="D6" s="12" t="n">
        <v>26099956</v>
      </c>
      <c r="E6" s="0" t="s">
        <v>246</v>
      </c>
    </row>
    <row r="7" customFormat="false" ht="15" hidden="false" customHeight="false" outlineLevel="0" collapsed="false">
      <c r="A7" s="0" t="s">
        <v>596</v>
      </c>
      <c r="B7" s="12" t="n">
        <v>2024</v>
      </c>
      <c r="C7" s="0" t="s">
        <v>602</v>
      </c>
      <c r="D7" s="12" t="n">
        <v>31829586</v>
      </c>
      <c r="E7" s="0" t="s">
        <v>246</v>
      </c>
    </row>
    <row r="8" customFormat="false" ht="15" hidden="false" customHeight="false" outlineLevel="0" collapsed="false">
      <c r="A8" s="0" t="s">
        <v>596</v>
      </c>
      <c r="B8" s="12" t="n">
        <v>2024</v>
      </c>
      <c r="C8" s="0" t="s">
        <v>603</v>
      </c>
      <c r="D8" s="12" t="n">
        <v>996390</v>
      </c>
      <c r="E8" s="0" t="s">
        <v>246</v>
      </c>
    </row>
    <row r="9" customFormat="false" ht="15" hidden="false" customHeight="false" outlineLevel="0" collapsed="false">
      <c r="A9" s="0" t="s">
        <v>596</v>
      </c>
      <c r="B9" s="12" t="n">
        <v>2024</v>
      </c>
      <c r="C9" s="0" t="s">
        <v>604</v>
      </c>
      <c r="D9" s="12" t="n">
        <v>65038</v>
      </c>
      <c r="E9" s="0" t="s">
        <v>246</v>
      </c>
    </row>
    <row r="10" customFormat="false" ht="15" hidden="false" customHeight="false" outlineLevel="0" collapsed="false">
      <c r="A10" s="0" t="s">
        <v>596</v>
      </c>
      <c r="B10" s="12" t="n">
        <v>2024</v>
      </c>
      <c r="C10" s="0" t="s">
        <v>605</v>
      </c>
      <c r="D10" s="12" t="n">
        <v>50961</v>
      </c>
      <c r="E10" s="0" t="s">
        <v>246</v>
      </c>
    </row>
    <row r="11" customFormat="false" ht="15" hidden="false" customHeight="false" outlineLevel="0" collapsed="false">
      <c r="A11" s="0" t="s">
        <v>596</v>
      </c>
      <c r="B11" s="12" t="n">
        <v>2024</v>
      </c>
      <c r="C11" s="0" t="s">
        <v>606</v>
      </c>
      <c r="D11" s="12" t="n">
        <v>1869606</v>
      </c>
      <c r="E11" s="0" t="s">
        <v>246</v>
      </c>
    </row>
    <row r="12" customFormat="false" ht="15" hidden="false" customHeight="false" outlineLevel="0" collapsed="false">
      <c r="A12" s="0" t="s">
        <v>596</v>
      </c>
      <c r="B12" s="12" t="n">
        <v>2024</v>
      </c>
      <c r="C12" s="0" t="s">
        <v>607</v>
      </c>
      <c r="D12" s="12" t="n">
        <v>2104177</v>
      </c>
      <c r="E12" s="0" t="s">
        <v>246</v>
      </c>
    </row>
    <row r="13" customFormat="false" ht="15" hidden="false" customHeight="false" outlineLevel="0" collapsed="false">
      <c r="A13" s="0" t="s">
        <v>596</v>
      </c>
      <c r="B13" s="12" t="n">
        <v>2024</v>
      </c>
      <c r="C13" s="0" t="s">
        <v>608</v>
      </c>
      <c r="D13" s="12" t="n">
        <v>2246241</v>
      </c>
      <c r="E13" s="0" t="s">
        <v>246</v>
      </c>
    </row>
    <row r="14" customFormat="false" ht="15" hidden="false" customHeight="false" outlineLevel="0" collapsed="false">
      <c r="A14" s="0" t="s">
        <v>596</v>
      </c>
      <c r="B14" s="12" t="n">
        <v>2024</v>
      </c>
      <c r="C14" s="0" t="s">
        <v>609</v>
      </c>
      <c r="D14" s="12" t="n">
        <v>7709087</v>
      </c>
      <c r="E14" s="0" t="s">
        <v>246</v>
      </c>
    </row>
    <row r="15" customFormat="false" ht="15" hidden="false" customHeight="false" outlineLevel="0" collapsed="false">
      <c r="A15" s="0" t="s">
        <v>596</v>
      </c>
      <c r="B15" s="12" t="n">
        <v>2024</v>
      </c>
      <c r="C15" s="0" t="s">
        <v>610</v>
      </c>
      <c r="D15" s="12" t="n">
        <v>1342390</v>
      </c>
      <c r="E15" s="0" t="s">
        <v>246</v>
      </c>
    </row>
    <row r="16" customFormat="false" ht="15" hidden="false" customHeight="false" outlineLevel="0" collapsed="false">
      <c r="A16" s="0" t="s">
        <v>596</v>
      </c>
      <c r="B16" s="12" t="n">
        <v>2022</v>
      </c>
      <c r="C16" s="0" t="s">
        <v>611</v>
      </c>
      <c r="D16" s="12" t="n">
        <v>80764222</v>
      </c>
      <c r="E16" s="0" t="s">
        <v>254</v>
      </c>
    </row>
    <row r="17" customFormat="false" ht="15" hidden="false" customHeight="false" outlineLevel="0" collapsed="false">
      <c r="A17" s="0" t="s">
        <v>596</v>
      </c>
      <c r="B17" s="12" t="n">
        <v>2022</v>
      </c>
      <c r="C17" s="0" t="s">
        <v>598</v>
      </c>
      <c r="D17" s="12" t="n">
        <v>7340458</v>
      </c>
      <c r="E17" s="0" t="s">
        <v>254</v>
      </c>
    </row>
    <row r="18" customFormat="false" ht="15" hidden="false" customHeight="false" outlineLevel="0" collapsed="false">
      <c r="A18" s="0" t="s">
        <v>596</v>
      </c>
      <c r="B18" s="12" t="n">
        <v>2022</v>
      </c>
      <c r="C18" s="0" t="s">
        <v>612</v>
      </c>
      <c r="D18" s="12" t="n">
        <v>4566735</v>
      </c>
      <c r="E18" s="0" t="s">
        <v>254</v>
      </c>
    </row>
    <row r="19" customFormat="false" ht="15" hidden="false" customHeight="false" outlineLevel="0" collapsed="false">
      <c r="A19" s="0" t="s">
        <v>596</v>
      </c>
      <c r="B19" s="12" t="n">
        <v>2022</v>
      </c>
      <c r="C19" s="0" t="s">
        <v>600</v>
      </c>
      <c r="D19" s="12" t="n">
        <v>10822001</v>
      </c>
      <c r="E19" s="0" t="s">
        <v>254</v>
      </c>
    </row>
    <row r="20" customFormat="false" ht="15" hidden="false" customHeight="false" outlineLevel="0" collapsed="false">
      <c r="A20" s="0" t="s">
        <v>596</v>
      </c>
      <c r="B20" s="12" t="n">
        <v>2022</v>
      </c>
      <c r="C20" s="0" t="s">
        <v>613</v>
      </c>
      <c r="D20" s="12" t="n">
        <v>44051378</v>
      </c>
      <c r="E20" s="0" t="s">
        <v>254</v>
      </c>
    </row>
    <row r="21" customFormat="false" ht="15" hidden="false" customHeight="false" outlineLevel="0" collapsed="false">
      <c r="A21" s="0" t="s">
        <v>596</v>
      </c>
      <c r="B21" s="12" t="n">
        <v>2022</v>
      </c>
      <c r="C21" s="0" t="s">
        <v>614</v>
      </c>
      <c r="D21" s="12" t="n">
        <v>1113307</v>
      </c>
      <c r="E21" s="0" t="s">
        <v>254</v>
      </c>
    </row>
    <row r="22" customFormat="false" ht="15" hidden="false" customHeight="false" outlineLevel="0" collapsed="false">
      <c r="A22" s="0" t="s">
        <v>596</v>
      </c>
      <c r="B22" s="12" t="n">
        <v>2022</v>
      </c>
      <c r="C22" s="0" t="s">
        <v>615</v>
      </c>
      <c r="D22" s="12" t="n">
        <v>82698</v>
      </c>
      <c r="E22" s="0" t="s">
        <v>254</v>
      </c>
    </row>
    <row r="23" customFormat="false" ht="15" hidden="false" customHeight="false" outlineLevel="0" collapsed="false">
      <c r="A23" s="0" t="s">
        <v>596</v>
      </c>
      <c r="B23" s="12" t="n">
        <v>2022</v>
      </c>
      <c r="C23" s="0" t="s">
        <v>616</v>
      </c>
      <c r="D23" s="12" t="n">
        <v>33554</v>
      </c>
      <c r="E23" s="0" t="s">
        <v>254</v>
      </c>
    </row>
    <row r="24" customFormat="false" ht="15" hidden="false" customHeight="false" outlineLevel="0" collapsed="false">
      <c r="A24" s="0" t="s">
        <v>596</v>
      </c>
      <c r="B24" s="12" t="n">
        <v>2022</v>
      </c>
      <c r="C24" s="0" t="s">
        <v>606</v>
      </c>
      <c r="D24" s="12" t="n">
        <v>1622543</v>
      </c>
      <c r="E24" s="0" t="s">
        <v>254</v>
      </c>
    </row>
    <row r="25" customFormat="false" ht="15" hidden="false" customHeight="false" outlineLevel="0" collapsed="false">
      <c r="A25" s="0" t="s">
        <v>596</v>
      </c>
      <c r="B25" s="12" t="n">
        <v>2022</v>
      </c>
      <c r="C25" s="0" t="s">
        <v>607</v>
      </c>
      <c r="D25" s="12" t="n">
        <v>1200404</v>
      </c>
      <c r="E25" s="0" t="s">
        <v>254</v>
      </c>
    </row>
    <row r="26" customFormat="false" ht="15" hidden="false" customHeight="false" outlineLevel="0" collapsed="false">
      <c r="A26" s="0" t="s">
        <v>596</v>
      </c>
      <c r="B26" s="12" t="n">
        <v>2022</v>
      </c>
      <c r="C26" s="0" t="s">
        <v>609</v>
      </c>
      <c r="D26" s="12" t="n">
        <v>7585847</v>
      </c>
      <c r="E26" s="0" t="s">
        <v>254</v>
      </c>
    </row>
    <row r="27" customFormat="false" ht="15" hidden="false" customHeight="false" outlineLevel="0" collapsed="false">
      <c r="A27" s="0" t="s">
        <v>596</v>
      </c>
      <c r="B27" s="12" t="n">
        <v>2022</v>
      </c>
      <c r="C27" s="0" t="s">
        <v>610</v>
      </c>
      <c r="D27" s="12" t="n">
        <v>2664163</v>
      </c>
      <c r="E27" s="0" t="s">
        <v>254</v>
      </c>
    </row>
    <row r="28" customFormat="false" ht="15" hidden="false" customHeight="false" outlineLevel="0" collapsed="false">
      <c r="A28" s="0" t="s">
        <v>596</v>
      </c>
      <c r="B28" s="12" t="n">
        <v>2020</v>
      </c>
      <c r="C28" s="0" t="s">
        <v>611</v>
      </c>
      <c r="D28" s="12" t="n">
        <v>103701513</v>
      </c>
      <c r="E28" s="0" t="s">
        <v>258</v>
      </c>
    </row>
    <row r="29" customFormat="false" ht="15" hidden="false" customHeight="false" outlineLevel="0" collapsed="false">
      <c r="A29" s="0" t="s">
        <v>596</v>
      </c>
      <c r="B29" s="12" t="n">
        <v>2020</v>
      </c>
      <c r="C29" s="0" t="s">
        <v>598</v>
      </c>
      <c r="D29" s="12" t="n">
        <v>13253501</v>
      </c>
      <c r="E29" s="0" t="s">
        <v>258</v>
      </c>
    </row>
    <row r="30" customFormat="false" ht="15" hidden="false" customHeight="false" outlineLevel="0" collapsed="false">
      <c r="A30" s="0" t="s">
        <v>596</v>
      </c>
      <c r="B30" s="12" t="n">
        <v>2020</v>
      </c>
      <c r="C30" s="0" t="s">
        <v>612</v>
      </c>
      <c r="D30" s="12" t="n">
        <v>8605537</v>
      </c>
      <c r="E30" s="0" t="s">
        <v>258</v>
      </c>
    </row>
    <row r="31" customFormat="false" ht="15" hidden="false" customHeight="false" outlineLevel="0" collapsed="false">
      <c r="A31" s="0" t="s">
        <v>596</v>
      </c>
      <c r="B31" s="12" t="n">
        <v>2020</v>
      </c>
      <c r="C31" s="0" t="s">
        <v>600</v>
      </c>
      <c r="D31" s="12" t="n">
        <v>27681700</v>
      </c>
      <c r="E31" s="0" t="s">
        <v>258</v>
      </c>
    </row>
    <row r="32" customFormat="false" ht="15" hidden="false" customHeight="false" outlineLevel="0" collapsed="false">
      <c r="A32" s="0" t="s">
        <v>596</v>
      </c>
      <c r="B32" s="12" t="n">
        <v>2020</v>
      </c>
      <c r="C32" s="0" t="s">
        <v>613</v>
      </c>
      <c r="D32" s="12" t="n">
        <v>39705812</v>
      </c>
      <c r="E32" s="0" t="s">
        <v>258</v>
      </c>
    </row>
    <row r="33" customFormat="false" ht="15" hidden="false" customHeight="false" outlineLevel="0" collapsed="false">
      <c r="A33" s="0" t="s">
        <v>596</v>
      </c>
      <c r="B33" s="12" t="n">
        <v>2020</v>
      </c>
      <c r="C33" s="0" t="s">
        <v>614</v>
      </c>
      <c r="D33" s="12" t="n">
        <v>1548664</v>
      </c>
      <c r="E33" s="0" t="s">
        <v>258</v>
      </c>
    </row>
    <row r="34" customFormat="false" ht="15" hidden="false" customHeight="false" outlineLevel="0" collapsed="false">
      <c r="A34" s="0" t="s">
        <v>596</v>
      </c>
      <c r="B34" s="12" t="n">
        <v>2020</v>
      </c>
      <c r="C34" s="0" t="s">
        <v>615</v>
      </c>
      <c r="D34" s="12" t="n">
        <v>129186</v>
      </c>
      <c r="E34" s="0" t="s">
        <v>258</v>
      </c>
    </row>
    <row r="35" customFormat="false" ht="15" hidden="false" customHeight="false" outlineLevel="0" collapsed="false">
      <c r="A35" s="0" t="s">
        <v>596</v>
      </c>
      <c r="B35" s="12" t="n">
        <v>2020</v>
      </c>
      <c r="C35" s="0" t="s">
        <v>616</v>
      </c>
      <c r="D35" s="12" t="n">
        <v>67899</v>
      </c>
      <c r="E35" s="0" t="s">
        <v>258</v>
      </c>
    </row>
    <row r="36" customFormat="false" ht="15" hidden="false" customHeight="false" outlineLevel="0" collapsed="false">
      <c r="A36" s="0" t="s">
        <v>596</v>
      </c>
      <c r="B36" s="12" t="n">
        <v>2020</v>
      </c>
      <c r="C36" s="0" t="s">
        <v>606</v>
      </c>
      <c r="D36" s="12" t="n">
        <v>2264124</v>
      </c>
      <c r="E36" s="0" t="s">
        <v>258</v>
      </c>
    </row>
    <row r="37" customFormat="false" ht="15" hidden="false" customHeight="false" outlineLevel="0" collapsed="false">
      <c r="A37" s="0" t="s">
        <v>596</v>
      </c>
      <c r="B37" s="12" t="n">
        <v>2020</v>
      </c>
      <c r="C37" s="0" t="s">
        <v>607</v>
      </c>
      <c r="D37" s="12" t="n">
        <v>1740471</v>
      </c>
      <c r="E37" s="0" t="s">
        <v>258</v>
      </c>
    </row>
    <row r="38" customFormat="false" ht="15" hidden="false" customHeight="false" outlineLevel="0" collapsed="false">
      <c r="A38" s="0" t="s">
        <v>596</v>
      </c>
      <c r="B38" s="12" t="n">
        <v>2020</v>
      </c>
      <c r="C38" s="0" t="s">
        <v>609</v>
      </c>
      <c r="D38" s="12" t="n">
        <v>7496129</v>
      </c>
      <c r="E38" s="0" t="s">
        <v>258</v>
      </c>
    </row>
    <row r="39" customFormat="false" ht="15" hidden="false" customHeight="false" outlineLevel="0" collapsed="false">
      <c r="A39" s="0" t="s">
        <v>596</v>
      </c>
      <c r="B39" s="12" t="n">
        <v>2020</v>
      </c>
      <c r="C39" s="0" t="s">
        <v>610</v>
      </c>
      <c r="D39" s="12" t="n">
        <v>1208490</v>
      </c>
      <c r="E39" s="0" t="s">
        <v>258</v>
      </c>
    </row>
    <row r="40" customFormat="false" ht="15" hidden="false" customHeight="false" outlineLevel="0" collapsed="false">
      <c r="A40" s="0" t="s">
        <v>596</v>
      </c>
      <c r="B40" s="12" t="n">
        <v>2018</v>
      </c>
      <c r="C40" s="0" t="s">
        <v>611</v>
      </c>
      <c r="D40" s="12" t="n">
        <v>79854972</v>
      </c>
      <c r="E40" s="0" t="s">
        <v>262</v>
      </c>
    </row>
    <row r="41" customFormat="false" ht="15" hidden="false" customHeight="false" outlineLevel="0" collapsed="false">
      <c r="A41" s="0" t="s">
        <v>596</v>
      </c>
      <c r="B41" s="12" t="n">
        <v>2018</v>
      </c>
      <c r="C41" s="0" t="s">
        <v>598</v>
      </c>
      <c r="D41" s="12" t="n">
        <v>9050646</v>
      </c>
      <c r="E41" s="0" t="s">
        <v>262</v>
      </c>
    </row>
    <row r="42" customFormat="false" ht="15" hidden="false" customHeight="false" outlineLevel="0" collapsed="false">
      <c r="A42" s="0" t="s">
        <v>596</v>
      </c>
      <c r="B42" s="12" t="n">
        <v>2018</v>
      </c>
      <c r="C42" s="0" t="s">
        <v>612</v>
      </c>
      <c r="D42" s="12" t="n">
        <v>6996437</v>
      </c>
      <c r="E42" s="0" t="s">
        <v>262</v>
      </c>
    </row>
    <row r="43" customFormat="false" ht="15" hidden="false" customHeight="false" outlineLevel="0" collapsed="false">
      <c r="A43" s="0" t="s">
        <v>596</v>
      </c>
      <c r="B43" s="12" t="n">
        <v>2018</v>
      </c>
      <c r="C43" s="0" t="s">
        <v>600</v>
      </c>
      <c r="D43" s="12" t="n">
        <v>11253404</v>
      </c>
      <c r="E43" s="0" t="s">
        <v>262</v>
      </c>
    </row>
    <row r="44" customFormat="false" ht="15" hidden="false" customHeight="false" outlineLevel="0" collapsed="false">
      <c r="A44" s="0" t="s">
        <v>596</v>
      </c>
      <c r="B44" s="12" t="n">
        <v>2018</v>
      </c>
      <c r="C44" s="0" t="s">
        <v>613</v>
      </c>
      <c r="D44" s="12" t="n">
        <v>35330384</v>
      </c>
      <c r="E44" s="0" t="s">
        <v>262</v>
      </c>
    </row>
    <row r="45" customFormat="false" ht="15" hidden="false" customHeight="false" outlineLevel="0" collapsed="false">
      <c r="A45" s="0" t="s">
        <v>596</v>
      </c>
      <c r="B45" s="12" t="n">
        <v>2018</v>
      </c>
      <c r="C45" s="0" t="s">
        <v>614</v>
      </c>
      <c r="D45" s="12" t="n">
        <v>1626156</v>
      </c>
      <c r="E45" s="0" t="s">
        <v>262</v>
      </c>
    </row>
    <row r="46" customFormat="false" ht="15" hidden="false" customHeight="false" outlineLevel="0" collapsed="false">
      <c r="A46" s="0" t="s">
        <v>596</v>
      </c>
      <c r="B46" s="12" t="n">
        <v>2018</v>
      </c>
      <c r="C46" s="0" t="s">
        <v>615</v>
      </c>
      <c r="D46" s="12" t="n">
        <v>96107</v>
      </c>
      <c r="E46" s="0" t="s">
        <v>262</v>
      </c>
    </row>
    <row r="47" customFormat="false" ht="15" hidden="false" customHeight="false" outlineLevel="0" collapsed="false">
      <c r="A47" s="0" t="s">
        <v>596</v>
      </c>
      <c r="B47" s="12" t="n">
        <v>2018</v>
      </c>
      <c r="C47" s="0" t="s">
        <v>616</v>
      </c>
      <c r="D47" s="12" t="n">
        <v>65737</v>
      </c>
      <c r="E47" s="0" t="s">
        <v>262</v>
      </c>
    </row>
    <row r="48" customFormat="false" ht="15" hidden="false" customHeight="false" outlineLevel="0" collapsed="false">
      <c r="A48" s="0" t="s">
        <v>596</v>
      </c>
      <c r="B48" s="12" t="n">
        <v>2018</v>
      </c>
      <c r="C48" s="0" t="s">
        <v>606</v>
      </c>
      <c r="D48" s="12" t="n">
        <v>1657593</v>
      </c>
      <c r="E48" s="0" t="s">
        <v>262</v>
      </c>
    </row>
    <row r="49" customFormat="false" ht="15" hidden="false" customHeight="false" outlineLevel="0" collapsed="false">
      <c r="A49" s="0" t="s">
        <v>596</v>
      </c>
      <c r="B49" s="12" t="n">
        <v>2018</v>
      </c>
      <c r="C49" s="0" t="s">
        <v>607</v>
      </c>
      <c r="D49" s="12" t="n">
        <v>2215034</v>
      </c>
      <c r="E49" s="0" t="s">
        <v>262</v>
      </c>
    </row>
    <row r="50" customFormat="false" ht="15" hidden="false" customHeight="false" outlineLevel="0" collapsed="false">
      <c r="A50" s="0" t="s">
        <v>596</v>
      </c>
      <c r="B50" s="12" t="n">
        <v>2018</v>
      </c>
      <c r="C50" s="0" t="s">
        <v>609</v>
      </c>
      <c r="D50" s="12" t="n">
        <v>5133476</v>
      </c>
      <c r="E50" s="0" t="s">
        <v>262</v>
      </c>
    </row>
    <row r="51" customFormat="false" ht="15" hidden="false" customHeight="false" outlineLevel="0" collapsed="false">
      <c r="A51" s="0" t="s">
        <v>596</v>
      </c>
      <c r="B51" s="12" t="n">
        <v>2018</v>
      </c>
      <c r="C51" s="0" t="s">
        <v>610</v>
      </c>
      <c r="D51" s="12" t="n">
        <v>6940105</v>
      </c>
      <c r="E51" s="0" t="s">
        <v>262</v>
      </c>
    </row>
    <row r="52" customFormat="false" ht="15" hidden="false" customHeight="false" outlineLevel="0" collapsed="false">
      <c r="A52" s="0" t="s">
        <v>596</v>
      </c>
      <c r="B52" s="12" t="n">
        <v>2016</v>
      </c>
      <c r="C52" s="0" t="s">
        <v>611</v>
      </c>
      <c r="D52" s="12" t="n">
        <v>77516596</v>
      </c>
      <c r="E52" s="0" t="s">
        <v>270</v>
      </c>
    </row>
    <row r="53" customFormat="false" ht="15" hidden="false" customHeight="false" outlineLevel="0" collapsed="false">
      <c r="A53" s="0" t="s">
        <v>596</v>
      </c>
      <c r="B53" s="12" t="n">
        <v>2016</v>
      </c>
      <c r="C53" s="0" t="s">
        <v>617</v>
      </c>
      <c r="D53" s="12" t="n">
        <v>13407280</v>
      </c>
      <c r="E53" s="0" t="s">
        <v>270</v>
      </c>
    </row>
    <row r="54" customFormat="false" ht="15" hidden="false" customHeight="false" outlineLevel="0" collapsed="false">
      <c r="A54" s="0" t="s">
        <v>596</v>
      </c>
      <c r="B54" s="12" t="n">
        <v>2016</v>
      </c>
      <c r="C54" s="0" t="s">
        <v>612</v>
      </c>
      <c r="D54" s="12" t="n">
        <v>9424298</v>
      </c>
      <c r="E54" s="0" t="s">
        <v>270</v>
      </c>
    </row>
    <row r="55" customFormat="false" ht="15" hidden="false" customHeight="false" outlineLevel="0" collapsed="false">
      <c r="A55" s="0" t="s">
        <v>596</v>
      </c>
      <c r="B55" s="12" t="n">
        <v>2016</v>
      </c>
      <c r="C55" s="0" t="s">
        <v>618</v>
      </c>
      <c r="D55" s="12" t="n">
        <v>13485127</v>
      </c>
      <c r="E55" s="0" t="s">
        <v>270</v>
      </c>
    </row>
    <row r="56" customFormat="false" ht="15" hidden="false" customHeight="false" outlineLevel="0" collapsed="false">
      <c r="A56" s="0" t="s">
        <v>596</v>
      </c>
      <c r="B56" s="12" t="n">
        <v>2016</v>
      </c>
      <c r="C56" s="0" t="s">
        <v>619</v>
      </c>
      <c r="D56" s="12" t="n">
        <v>25373246</v>
      </c>
      <c r="E56" s="0" t="s">
        <v>270</v>
      </c>
    </row>
    <row r="57" customFormat="false" ht="15" hidden="false" customHeight="false" outlineLevel="0" collapsed="false">
      <c r="A57" s="0" t="s">
        <v>596</v>
      </c>
      <c r="B57" s="12" t="n">
        <v>2016</v>
      </c>
      <c r="C57" s="0" t="s">
        <v>614</v>
      </c>
      <c r="D57" s="12" t="n">
        <v>2042557</v>
      </c>
      <c r="E57" s="0" t="s">
        <v>270</v>
      </c>
    </row>
    <row r="58" customFormat="false" ht="15" hidden="false" customHeight="false" outlineLevel="0" collapsed="false">
      <c r="A58" s="0" t="s">
        <v>596</v>
      </c>
      <c r="B58" s="12" t="n">
        <v>2016</v>
      </c>
      <c r="C58" s="0" t="s">
        <v>615</v>
      </c>
      <c r="D58" s="12" t="n">
        <v>164733</v>
      </c>
      <c r="E58" s="0" t="s">
        <v>270</v>
      </c>
    </row>
    <row r="59" customFormat="false" ht="15" hidden="false" customHeight="false" outlineLevel="0" collapsed="false">
      <c r="A59" s="0" t="s">
        <v>596</v>
      </c>
      <c r="B59" s="12" t="n">
        <v>2016</v>
      </c>
      <c r="C59" s="0" t="s">
        <v>616</v>
      </c>
      <c r="D59" s="12" t="n">
        <v>100184</v>
      </c>
      <c r="E59" s="0" t="s">
        <v>270</v>
      </c>
    </row>
    <row r="60" customFormat="false" ht="15" hidden="false" customHeight="false" outlineLevel="0" collapsed="false">
      <c r="A60" s="0" t="s">
        <v>596</v>
      </c>
      <c r="B60" s="12" t="n">
        <v>2016</v>
      </c>
      <c r="C60" s="0" t="s">
        <v>606</v>
      </c>
      <c r="D60" s="12" t="n">
        <v>1644701</v>
      </c>
      <c r="E60" s="0" t="s">
        <v>270</v>
      </c>
    </row>
    <row r="61" customFormat="false" ht="15" hidden="false" customHeight="false" outlineLevel="0" collapsed="false">
      <c r="A61" s="0" t="s">
        <v>596</v>
      </c>
      <c r="B61" s="12" t="n">
        <v>2016</v>
      </c>
      <c r="C61" s="0" t="s">
        <v>607</v>
      </c>
      <c r="D61" s="12" t="n">
        <v>2604814</v>
      </c>
      <c r="E61" s="0" t="s">
        <v>270</v>
      </c>
    </row>
    <row r="62" customFormat="false" ht="15" hidden="false" customHeight="false" outlineLevel="0" collapsed="false">
      <c r="A62" s="0" t="s">
        <v>596</v>
      </c>
      <c r="B62" s="12" t="n">
        <v>2016</v>
      </c>
      <c r="C62" s="0" t="s">
        <v>609</v>
      </c>
      <c r="D62" s="12" t="n">
        <v>5270517</v>
      </c>
      <c r="E62" s="0" t="s">
        <v>270</v>
      </c>
    </row>
    <row r="63" customFormat="false" ht="15" hidden="false" customHeight="false" outlineLevel="0" collapsed="false">
      <c r="A63" s="0" t="s">
        <v>596</v>
      </c>
      <c r="B63" s="12" t="n">
        <v>2016</v>
      </c>
      <c r="C63" s="0" t="s">
        <v>610</v>
      </c>
      <c r="D63" s="12" t="n">
        <v>3999139</v>
      </c>
      <c r="E63" s="0" t="s">
        <v>270</v>
      </c>
    </row>
    <row r="64" customFormat="false" ht="15" hidden="false" customHeight="false" outlineLevel="0" collapsed="false">
      <c r="A64" s="0" t="s">
        <v>596</v>
      </c>
      <c r="B64" s="12" t="n">
        <v>2014</v>
      </c>
      <c r="C64" s="0" t="s">
        <v>620</v>
      </c>
      <c r="D64" s="0" t="s">
        <v>621</v>
      </c>
      <c r="E64" s="0" t="s">
        <v>274</v>
      </c>
    </row>
    <row r="65" customFormat="false" ht="15" hidden="false" customHeight="false" outlineLevel="0" collapsed="false">
      <c r="A65" s="0" t="s">
        <v>596</v>
      </c>
      <c r="B65" s="12" t="n">
        <v>2014</v>
      </c>
      <c r="C65" s="0" t="s">
        <v>622</v>
      </c>
      <c r="D65" s="0" t="s">
        <v>623</v>
      </c>
      <c r="E65" s="0" t="s">
        <v>274</v>
      </c>
    </row>
    <row r="66" customFormat="false" ht="15" hidden="false" customHeight="false" outlineLevel="0" collapsed="false">
      <c r="A66" s="0" t="s">
        <v>596</v>
      </c>
      <c r="B66" s="12" t="n">
        <v>2014</v>
      </c>
      <c r="C66" s="0" t="s">
        <v>624</v>
      </c>
      <c r="D66" s="0" t="s">
        <v>625</v>
      </c>
      <c r="E66" s="0" t="s">
        <v>274</v>
      </c>
    </row>
    <row r="67" customFormat="false" ht="15" hidden="false" customHeight="false" outlineLevel="0" collapsed="false">
      <c r="A67" s="0" t="s">
        <v>596</v>
      </c>
      <c r="B67" s="12" t="n">
        <v>2014</v>
      </c>
      <c r="C67" s="0" t="s">
        <v>626</v>
      </c>
      <c r="D67" s="0" t="s">
        <v>627</v>
      </c>
      <c r="E67" s="0" t="s">
        <v>274</v>
      </c>
    </row>
    <row r="68" customFormat="false" ht="15" hidden="false" customHeight="false" outlineLevel="0" collapsed="false">
      <c r="A68" s="0" t="s">
        <v>596</v>
      </c>
      <c r="B68" s="12" t="n">
        <v>2012</v>
      </c>
      <c r="C68" s="0" t="s">
        <v>628</v>
      </c>
      <c r="D68" s="0" t="s">
        <v>629</v>
      </c>
      <c r="E68" s="0" t="s">
        <v>278</v>
      </c>
    </row>
    <row r="69" customFormat="false" ht="15" hidden="false" customHeight="false" outlineLevel="0" collapsed="false">
      <c r="A69" s="0" t="s">
        <v>596</v>
      </c>
      <c r="B69" s="12" t="n">
        <v>2012</v>
      </c>
      <c r="C69" s="0" t="s">
        <v>622</v>
      </c>
      <c r="D69" s="0" t="s">
        <v>630</v>
      </c>
      <c r="E69" s="0" t="s">
        <v>278</v>
      </c>
    </row>
    <row r="70" customFormat="false" ht="15" hidden="false" customHeight="false" outlineLevel="0" collapsed="false">
      <c r="A70" s="0" t="s">
        <v>596</v>
      </c>
      <c r="B70" s="12" t="n">
        <v>2012</v>
      </c>
      <c r="C70" s="0" t="s">
        <v>624</v>
      </c>
      <c r="D70" s="0" t="s">
        <v>631</v>
      </c>
      <c r="E70" s="0" t="s">
        <v>278</v>
      </c>
    </row>
    <row r="71" customFormat="false" ht="15" hidden="false" customHeight="false" outlineLevel="0" collapsed="false">
      <c r="A71" s="0" t="s">
        <v>596</v>
      </c>
      <c r="B71" s="12" t="n">
        <v>2012</v>
      </c>
      <c r="C71" s="0" t="s">
        <v>626</v>
      </c>
      <c r="D71" s="0" t="s">
        <v>632</v>
      </c>
      <c r="E71" s="0" t="s">
        <v>278</v>
      </c>
    </row>
    <row r="72" customFormat="false" ht="15" hidden="false" customHeight="false" outlineLevel="0" collapsed="false">
      <c r="A72" s="0" t="s">
        <v>596</v>
      </c>
      <c r="B72" s="12" t="n">
        <v>2012</v>
      </c>
      <c r="C72" s="0" t="s">
        <v>618</v>
      </c>
      <c r="D72" s="12" t="n">
        <v>3329216</v>
      </c>
      <c r="E72" s="0" t="s">
        <v>278</v>
      </c>
    </row>
    <row r="73" customFormat="false" ht="15" hidden="false" customHeight="false" outlineLevel="0" collapsed="false">
      <c r="A73" s="0" t="s">
        <v>596</v>
      </c>
      <c r="B73" s="12" t="n">
        <v>2010</v>
      </c>
      <c r="C73" s="0" t="s">
        <v>633</v>
      </c>
      <c r="D73" s="0" t="s">
        <v>634</v>
      </c>
      <c r="E73" s="0" t="s">
        <v>282</v>
      </c>
    </row>
    <row r="74" customFormat="false" ht="15" hidden="false" customHeight="false" outlineLevel="0" collapsed="false">
      <c r="A74" s="0" t="s">
        <v>596</v>
      </c>
      <c r="B74" s="12" t="n">
        <v>2010</v>
      </c>
      <c r="C74" s="0" t="s">
        <v>622</v>
      </c>
      <c r="D74" s="0" t="s">
        <v>635</v>
      </c>
      <c r="E74" s="0" t="s">
        <v>282</v>
      </c>
    </row>
    <row r="75" customFormat="false" ht="15" hidden="false" customHeight="false" outlineLevel="0" collapsed="false">
      <c r="A75" s="0" t="s">
        <v>596</v>
      </c>
      <c r="B75" s="12" t="n">
        <v>2010</v>
      </c>
      <c r="C75" s="0" t="s">
        <v>624</v>
      </c>
      <c r="D75" s="0" t="s">
        <v>636</v>
      </c>
      <c r="E75" s="0" t="s">
        <v>282</v>
      </c>
    </row>
    <row r="76" customFormat="false" ht="15" hidden="false" customHeight="false" outlineLevel="0" collapsed="false">
      <c r="A76" s="0" t="s">
        <v>596</v>
      </c>
      <c r="B76" s="12" t="n">
        <v>2010</v>
      </c>
      <c r="C76" s="0" t="s">
        <v>626</v>
      </c>
      <c r="D76" s="0" t="s">
        <v>637</v>
      </c>
      <c r="E76" s="0" t="s">
        <v>282</v>
      </c>
    </row>
    <row r="77" customFormat="false" ht="15" hidden="false" customHeight="false" outlineLevel="0" collapsed="false">
      <c r="A77" s="0" t="s">
        <v>596</v>
      </c>
      <c r="B77" s="12" t="n">
        <v>2010</v>
      </c>
      <c r="C77" s="0" t="s">
        <v>618</v>
      </c>
      <c r="D77" s="12" t="n">
        <v>768211</v>
      </c>
      <c r="E77" s="0" t="s">
        <v>282</v>
      </c>
    </row>
    <row r="78" customFormat="false" ht="15" hidden="false" customHeight="false" outlineLevel="0" collapsed="false">
      <c r="A78" s="0" t="s">
        <v>596</v>
      </c>
      <c r="B78" s="12" t="n">
        <v>2008</v>
      </c>
      <c r="C78" s="0" t="s">
        <v>633</v>
      </c>
      <c r="D78" s="0" t="s">
        <v>638</v>
      </c>
      <c r="E78" s="0" t="s">
        <v>286</v>
      </c>
    </row>
    <row r="79" customFormat="false" ht="15" hidden="false" customHeight="false" outlineLevel="0" collapsed="false">
      <c r="A79" s="0" t="s">
        <v>596</v>
      </c>
      <c r="B79" s="12" t="n">
        <v>2008</v>
      </c>
      <c r="C79" s="0" t="s">
        <v>622</v>
      </c>
      <c r="D79" s="0" t="s">
        <v>639</v>
      </c>
      <c r="E79" s="0" t="s">
        <v>286</v>
      </c>
    </row>
    <row r="80" customFormat="false" ht="15" hidden="false" customHeight="false" outlineLevel="0" collapsed="false">
      <c r="A80" s="0" t="s">
        <v>596</v>
      </c>
      <c r="B80" s="12" t="n">
        <v>2008</v>
      </c>
      <c r="C80" s="0" t="s">
        <v>624</v>
      </c>
      <c r="D80" s="0" t="s">
        <v>640</v>
      </c>
      <c r="E80" s="0" t="s">
        <v>286</v>
      </c>
    </row>
    <row r="81" customFormat="false" ht="15" hidden="false" customHeight="false" outlineLevel="0" collapsed="false">
      <c r="A81" s="0" t="s">
        <v>596</v>
      </c>
      <c r="B81" s="12" t="n">
        <v>2008</v>
      </c>
      <c r="C81" s="0" t="s">
        <v>626</v>
      </c>
      <c r="D81" s="0" t="s">
        <v>641</v>
      </c>
      <c r="E81" s="0" t="s">
        <v>286</v>
      </c>
    </row>
    <row r="82" customFormat="false" ht="15" hidden="false" customHeight="false" outlineLevel="0" collapsed="false">
      <c r="A82" s="0" t="s">
        <v>596</v>
      </c>
      <c r="B82" s="12" t="n">
        <v>2008</v>
      </c>
      <c r="C82" s="0" t="s">
        <v>642</v>
      </c>
      <c r="D82" s="0" t="s">
        <v>643</v>
      </c>
      <c r="E82" s="0" t="s">
        <v>286</v>
      </c>
    </row>
    <row r="83" customFormat="false" ht="15" hidden="false" customHeight="false" outlineLevel="0" collapsed="false">
      <c r="A83" s="0" t="s">
        <v>596</v>
      </c>
      <c r="B83" s="12" t="n">
        <v>2006</v>
      </c>
      <c r="C83" s="0" t="s">
        <v>644</v>
      </c>
      <c r="D83" s="0" t="s">
        <v>645</v>
      </c>
      <c r="E83" s="0" t="s">
        <v>290</v>
      </c>
    </row>
    <row r="84" customFormat="false" ht="15" hidden="false" customHeight="false" outlineLevel="0" collapsed="false">
      <c r="A84" s="0" t="s">
        <v>596</v>
      </c>
      <c r="B84" s="12" t="n">
        <v>2006</v>
      </c>
      <c r="C84" s="0" t="s">
        <v>624</v>
      </c>
      <c r="D84" s="0" t="s">
        <v>646</v>
      </c>
      <c r="E84" s="0" t="s">
        <v>290</v>
      </c>
    </row>
    <row r="85" customFormat="false" ht="15" hidden="false" customHeight="false" outlineLevel="0" collapsed="false">
      <c r="A85" s="0" t="s">
        <v>596</v>
      </c>
      <c r="B85" s="12" t="n">
        <v>2006</v>
      </c>
      <c r="C85" s="0" t="s">
        <v>626</v>
      </c>
      <c r="D85" s="0" t="s">
        <v>647</v>
      </c>
      <c r="E85" s="0" t="s">
        <v>290</v>
      </c>
    </row>
    <row r="86" customFormat="false" ht="15" hidden="false" customHeight="false" outlineLevel="0" collapsed="false">
      <c r="A86" s="0" t="s">
        <v>596</v>
      </c>
      <c r="B86" s="12" t="n">
        <v>2006</v>
      </c>
      <c r="C86" s="0" t="s">
        <v>622</v>
      </c>
      <c r="D86" s="0" t="s">
        <v>648</v>
      </c>
      <c r="E86" s="0" t="s">
        <v>290</v>
      </c>
    </row>
    <row r="87" customFormat="false" ht="15" hidden="false" customHeight="false" outlineLevel="0" collapsed="false">
      <c r="A87" s="0" t="s">
        <v>649</v>
      </c>
      <c r="B87" s="12" t="n">
        <v>2024</v>
      </c>
      <c r="C87" s="0" t="s">
        <v>597</v>
      </c>
      <c r="D87" s="12" t="n">
        <v>3832931</v>
      </c>
      <c r="E87" s="0" t="s">
        <v>246</v>
      </c>
    </row>
    <row r="88" customFormat="false" ht="15" hidden="false" customHeight="false" outlineLevel="0" collapsed="false">
      <c r="A88" s="0" t="s">
        <v>649</v>
      </c>
      <c r="B88" s="12" t="n">
        <v>2024</v>
      </c>
      <c r="C88" s="0" t="s">
        <v>598</v>
      </c>
      <c r="D88" s="12" t="n">
        <v>270637</v>
      </c>
      <c r="E88" s="0" t="s">
        <v>246</v>
      </c>
    </row>
    <row r="89" customFormat="false" ht="15" hidden="false" customHeight="false" outlineLevel="0" collapsed="false">
      <c r="A89" s="0" t="s">
        <v>649</v>
      </c>
      <c r="B89" s="12" t="n">
        <v>2024</v>
      </c>
      <c r="C89" s="0" t="s">
        <v>612</v>
      </c>
      <c r="D89" s="12" t="n">
        <v>64193</v>
      </c>
      <c r="E89" s="0" t="s">
        <v>246</v>
      </c>
    </row>
    <row r="90" customFormat="false" ht="15" hidden="false" customHeight="false" outlineLevel="0" collapsed="false">
      <c r="A90" s="0" t="s">
        <v>649</v>
      </c>
      <c r="B90" s="12" t="n">
        <v>2024</v>
      </c>
      <c r="C90" s="0" t="s">
        <v>600</v>
      </c>
      <c r="D90" s="12" t="n">
        <v>711329</v>
      </c>
      <c r="E90" s="0" t="s">
        <v>246</v>
      </c>
    </row>
    <row r="91" customFormat="false" ht="15" hidden="false" customHeight="false" outlineLevel="0" collapsed="false">
      <c r="A91" s="0" t="s">
        <v>649</v>
      </c>
      <c r="B91" s="12" t="n">
        <v>2024</v>
      </c>
      <c r="C91" s="0" t="s">
        <v>601</v>
      </c>
      <c r="D91" s="12" t="n">
        <v>2202812</v>
      </c>
      <c r="E91" s="0" t="s">
        <v>246</v>
      </c>
    </row>
    <row r="92" customFormat="false" ht="15" hidden="false" customHeight="false" outlineLevel="0" collapsed="false">
      <c r="A92" s="0" t="s">
        <v>649</v>
      </c>
      <c r="B92" s="12" t="n">
        <v>2024</v>
      </c>
      <c r="C92" s="0" t="s">
        <v>602</v>
      </c>
      <c r="D92" s="12" t="n">
        <v>0</v>
      </c>
      <c r="E92" s="0" t="s">
        <v>246</v>
      </c>
    </row>
    <row r="93" customFormat="false" ht="15" hidden="false" customHeight="false" outlineLevel="0" collapsed="false">
      <c r="A93" s="0" t="s">
        <v>649</v>
      </c>
      <c r="B93" s="12" t="n">
        <v>2024</v>
      </c>
      <c r="C93" s="0" t="s">
        <v>614</v>
      </c>
      <c r="D93" s="12" t="n">
        <v>24511</v>
      </c>
      <c r="E93" s="0" t="s">
        <v>246</v>
      </c>
    </row>
    <row r="94" customFormat="false" ht="15" hidden="false" customHeight="false" outlineLevel="0" collapsed="false">
      <c r="A94" s="0" t="s">
        <v>649</v>
      </c>
      <c r="B94" s="12" t="n">
        <v>2024</v>
      </c>
      <c r="C94" s="0" t="s">
        <v>615</v>
      </c>
      <c r="D94" s="12" t="n">
        <v>187</v>
      </c>
      <c r="E94" s="0" t="s">
        <v>246</v>
      </c>
    </row>
    <row r="95" customFormat="false" ht="15" hidden="false" customHeight="false" outlineLevel="0" collapsed="false">
      <c r="A95" s="0" t="s">
        <v>649</v>
      </c>
      <c r="B95" s="12" t="n">
        <v>2024</v>
      </c>
      <c r="C95" s="0" t="s">
        <v>616</v>
      </c>
      <c r="D95" s="12" t="n">
        <v>5</v>
      </c>
      <c r="E95" s="0" t="s">
        <v>246</v>
      </c>
    </row>
    <row r="96" customFormat="false" ht="15" hidden="false" customHeight="false" outlineLevel="0" collapsed="false">
      <c r="A96" s="0" t="s">
        <v>649</v>
      </c>
      <c r="B96" s="12" t="n">
        <v>2024</v>
      </c>
      <c r="C96" s="0" t="s">
        <v>606</v>
      </c>
      <c r="D96" s="0" t="s">
        <v>650</v>
      </c>
      <c r="E96" s="0" t="s">
        <v>246</v>
      </c>
    </row>
    <row r="97" customFormat="false" ht="15" hidden="false" customHeight="false" outlineLevel="0" collapsed="false">
      <c r="A97" s="0" t="s">
        <v>649</v>
      </c>
      <c r="B97" s="12" t="n">
        <v>2024</v>
      </c>
      <c r="C97" s="0" t="s">
        <v>607</v>
      </c>
      <c r="D97" s="12" t="n">
        <v>16112</v>
      </c>
      <c r="E97" s="0" t="s">
        <v>246</v>
      </c>
    </row>
    <row r="98" customFormat="false" ht="15" hidden="false" customHeight="false" outlineLevel="0" collapsed="false">
      <c r="A98" s="0" t="s">
        <v>649</v>
      </c>
      <c r="B98" s="12" t="n">
        <v>2024</v>
      </c>
      <c r="C98" s="0" t="s">
        <v>608</v>
      </c>
      <c r="D98" s="12" t="n">
        <v>224672</v>
      </c>
      <c r="E98" s="0" t="s">
        <v>246</v>
      </c>
    </row>
    <row r="99" customFormat="false" ht="15" hidden="false" customHeight="false" outlineLevel="0" collapsed="false">
      <c r="A99" s="0" t="s">
        <v>649</v>
      </c>
      <c r="B99" s="12" t="n">
        <v>2024</v>
      </c>
      <c r="C99" s="0" t="s">
        <v>609</v>
      </c>
      <c r="D99" s="12" t="n">
        <v>318473</v>
      </c>
      <c r="E99" s="0" t="s">
        <v>246</v>
      </c>
    </row>
    <row r="100" customFormat="false" ht="15" hidden="false" customHeight="false" outlineLevel="0" collapsed="false">
      <c r="A100" s="0" t="s">
        <v>649</v>
      </c>
      <c r="B100" s="12" t="n">
        <v>2024</v>
      </c>
      <c r="C100" s="0" t="s">
        <v>610</v>
      </c>
      <c r="D100" s="12" t="n">
        <v>0</v>
      </c>
      <c r="E100" s="0" t="s">
        <v>246</v>
      </c>
    </row>
    <row r="101" customFormat="false" ht="15" hidden="false" customHeight="false" outlineLevel="0" collapsed="false">
      <c r="A101" s="0" t="s">
        <v>649</v>
      </c>
      <c r="B101" s="12" t="n">
        <v>2022</v>
      </c>
      <c r="C101" s="0" t="s">
        <v>651</v>
      </c>
      <c r="D101" s="12" t="n">
        <v>3042434</v>
      </c>
      <c r="E101" s="0" t="s">
        <v>254</v>
      </c>
    </row>
    <row r="102" customFormat="false" ht="15" hidden="false" customHeight="false" outlineLevel="0" collapsed="false">
      <c r="A102" s="0" t="s">
        <v>649</v>
      </c>
      <c r="B102" s="12" t="n">
        <v>2022</v>
      </c>
      <c r="C102" s="0" t="s">
        <v>652</v>
      </c>
      <c r="D102" s="12" t="n">
        <v>248408</v>
      </c>
      <c r="E102" s="0" t="s">
        <v>254</v>
      </c>
    </row>
    <row r="103" customFormat="false" ht="15" hidden="false" customHeight="false" outlineLevel="0" collapsed="false">
      <c r="A103" s="0" t="s">
        <v>649</v>
      </c>
      <c r="B103" s="12" t="n">
        <v>2022</v>
      </c>
      <c r="C103" s="0" t="s">
        <v>612</v>
      </c>
      <c r="D103" s="12" t="n">
        <v>39533</v>
      </c>
      <c r="E103" s="0" t="s">
        <v>254</v>
      </c>
    </row>
    <row r="104" customFormat="false" ht="15" hidden="false" customHeight="false" outlineLevel="0" collapsed="false">
      <c r="A104" s="0" t="s">
        <v>649</v>
      </c>
      <c r="B104" s="12" t="n">
        <v>2022</v>
      </c>
      <c r="C104" s="0" t="s">
        <v>600</v>
      </c>
      <c r="D104" s="12" t="n">
        <v>468561</v>
      </c>
      <c r="E104" s="0" t="s">
        <v>254</v>
      </c>
    </row>
    <row r="105" customFormat="false" ht="15" hidden="false" customHeight="false" outlineLevel="0" collapsed="false">
      <c r="A105" s="0" t="s">
        <v>649</v>
      </c>
      <c r="B105" s="12" t="n">
        <v>2022</v>
      </c>
      <c r="C105" s="0" t="s">
        <v>653</v>
      </c>
      <c r="D105" s="12" t="n">
        <v>2171174</v>
      </c>
      <c r="E105" s="0" t="s">
        <v>254</v>
      </c>
    </row>
    <row r="106" customFormat="false" ht="15" hidden="false" customHeight="false" outlineLevel="0" collapsed="false">
      <c r="A106" s="0" t="s">
        <v>649</v>
      </c>
      <c r="B106" s="12" t="n">
        <v>2022</v>
      </c>
      <c r="C106" s="0" t="s">
        <v>614</v>
      </c>
      <c r="D106" s="12" t="n">
        <v>24508</v>
      </c>
      <c r="E106" s="0" t="s">
        <v>254</v>
      </c>
    </row>
    <row r="107" customFormat="false" ht="15" hidden="false" customHeight="false" outlineLevel="0" collapsed="false">
      <c r="A107" s="0" t="s">
        <v>649</v>
      </c>
      <c r="B107" s="12" t="n">
        <v>2022</v>
      </c>
      <c r="C107" s="0" t="s">
        <v>654</v>
      </c>
      <c r="D107" s="12" t="n">
        <v>316</v>
      </c>
      <c r="E107" s="0" t="s">
        <v>254</v>
      </c>
    </row>
    <row r="108" customFormat="false" ht="15" hidden="false" customHeight="false" outlineLevel="0" collapsed="false">
      <c r="A108" s="0" t="s">
        <v>649</v>
      </c>
      <c r="B108" s="12" t="n">
        <v>2022</v>
      </c>
      <c r="C108" s="0" t="s">
        <v>616</v>
      </c>
      <c r="D108" s="12" t="n">
        <v>13</v>
      </c>
      <c r="E108" s="0" t="s">
        <v>254</v>
      </c>
    </row>
    <row r="109" customFormat="false" ht="15" hidden="false" customHeight="false" outlineLevel="0" collapsed="false">
      <c r="A109" s="0" t="s">
        <v>649</v>
      </c>
      <c r="B109" s="12" t="n">
        <v>2022</v>
      </c>
      <c r="C109" s="0" t="s">
        <v>607</v>
      </c>
      <c r="D109" s="12" t="n">
        <v>37581</v>
      </c>
      <c r="E109" s="0" t="s">
        <v>254</v>
      </c>
    </row>
    <row r="110" customFormat="false" ht="15" hidden="false" customHeight="false" outlineLevel="0" collapsed="false">
      <c r="A110" s="0" t="s">
        <v>649</v>
      </c>
      <c r="B110" s="12" t="n">
        <v>2022</v>
      </c>
      <c r="C110" s="0" t="s">
        <v>609</v>
      </c>
      <c r="D110" s="12" t="n">
        <v>52340</v>
      </c>
      <c r="E110" s="0" t="s">
        <v>254</v>
      </c>
    </row>
    <row r="111" customFormat="false" ht="15" hidden="false" customHeight="false" outlineLevel="0" collapsed="false">
      <c r="A111" s="0" t="s">
        <v>649</v>
      </c>
      <c r="B111" s="12" t="n">
        <v>2020</v>
      </c>
      <c r="C111" s="0" t="s">
        <v>651</v>
      </c>
      <c r="D111" s="12" t="n">
        <v>3195131</v>
      </c>
      <c r="E111" s="0" t="s">
        <v>258</v>
      </c>
    </row>
    <row r="112" customFormat="false" ht="15" hidden="false" customHeight="false" outlineLevel="0" collapsed="false">
      <c r="A112" s="0" t="s">
        <v>649</v>
      </c>
      <c r="B112" s="12" t="n">
        <v>2020</v>
      </c>
      <c r="C112" s="0" t="s">
        <v>652</v>
      </c>
      <c r="D112" s="12" t="n">
        <v>449231</v>
      </c>
      <c r="E112" s="0" t="s">
        <v>258</v>
      </c>
    </row>
    <row r="113" customFormat="false" ht="15" hidden="false" customHeight="false" outlineLevel="0" collapsed="false">
      <c r="A113" s="0" t="s">
        <v>649</v>
      </c>
      <c r="B113" s="12" t="n">
        <v>2020</v>
      </c>
      <c r="C113" s="0" t="s">
        <v>612</v>
      </c>
      <c r="D113" s="12" t="n">
        <v>70691</v>
      </c>
      <c r="E113" s="0" t="s">
        <v>258</v>
      </c>
    </row>
    <row r="114" customFormat="false" ht="15" hidden="false" customHeight="false" outlineLevel="0" collapsed="false">
      <c r="A114" s="0" t="s">
        <v>649</v>
      </c>
      <c r="B114" s="12" t="n">
        <v>2020</v>
      </c>
      <c r="C114" s="0" t="s">
        <v>600</v>
      </c>
      <c r="D114" s="12" t="n">
        <v>873530</v>
      </c>
      <c r="E114" s="0" t="s">
        <v>258</v>
      </c>
    </row>
    <row r="115" customFormat="false" ht="15" hidden="false" customHeight="false" outlineLevel="0" collapsed="false">
      <c r="A115" s="0" t="s">
        <v>649</v>
      </c>
      <c r="B115" s="12" t="n">
        <v>2020</v>
      </c>
      <c r="C115" s="0" t="s">
        <v>653</v>
      </c>
      <c r="D115" s="12" t="n">
        <v>1587291</v>
      </c>
      <c r="E115" s="0" t="s">
        <v>258</v>
      </c>
    </row>
    <row r="116" customFormat="false" ht="15" hidden="false" customHeight="false" outlineLevel="0" collapsed="false">
      <c r="A116" s="0" t="s">
        <v>649</v>
      </c>
      <c r="B116" s="12" t="n">
        <v>2020</v>
      </c>
      <c r="C116" s="0" t="s">
        <v>614</v>
      </c>
      <c r="D116" s="12" t="n">
        <v>38028</v>
      </c>
      <c r="E116" s="0" t="s">
        <v>258</v>
      </c>
    </row>
    <row r="117" customFormat="false" ht="15" hidden="false" customHeight="false" outlineLevel="0" collapsed="false">
      <c r="A117" s="0" t="s">
        <v>649</v>
      </c>
      <c r="B117" s="12" t="n">
        <v>2020</v>
      </c>
      <c r="C117" s="0" t="s">
        <v>654</v>
      </c>
      <c r="D117" s="12" t="n">
        <v>2108</v>
      </c>
      <c r="E117" s="0" t="s">
        <v>258</v>
      </c>
    </row>
    <row r="118" customFormat="false" ht="15" hidden="false" customHeight="false" outlineLevel="0" collapsed="false">
      <c r="A118" s="0" t="s">
        <v>649</v>
      </c>
      <c r="B118" s="12" t="n">
        <v>2020</v>
      </c>
      <c r="C118" s="0" t="s">
        <v>616</v>
      </c>
      <c r="D118" s="12" t="n">
        <v>37</v>
      </c>
      <c r="E118" s="0" t="s">
        <v>258</v>
      </c>
    </row>
    <row r="119" customFormat="false" ht="15" hidden="false" customHeight="false" outlineLevel="0" collapsed="false">
      <c r="A119" s="0" t="s">
        <v>649</v>
      </c>
      <c r="B119" s="12" t="n">
        <v>2020</v>
      </c>
      <c r="C119" s="0" t="s">
        <v>607</v>
      </c>
      <c r="D119" s="12" t="n">
        <v>86182</v>
      </c>
      <c r="E119" s="0" t="s">
        <v>258</v>
      </c>
    </row>
    <row r="120" customFormat="false" ht="15" hidden="false" customHeight="false" outlineLevel="0" collapsed="false">
      <c r="A120" s="0" t="s">
        <v>649</v>
      </c>
      <c r="B120" s="12" t="n">
        <v>2020</v>
      </c>
      <c r="C120" s="0" t="s">
        <v>609</v>
      </c>
      <c r="D120" s="12" t="n">
        <v>88033</v>
      </c>
      <c r="E120" s="0" t="s">
        <v>258</v>
      </c>
    </row>
    <row r="121" customFormat="false" ht="15" hidden="false" customHeight="false" outlineLevel="0" collapsed="false">
      <c r="A121" s="0" t="s">
        <v>649</v>
      </c>
      <c r="B121" s="12" t="n">
        <v>2018</v>
      </c>
      <c r="C121" s="0" t="s">
        <v>651</v>
      </c>
      <c r="D121" s="12" t="n">
        <v>1434349</v>
      </c>
      <c r="E121" s="0" t="s">
        <v>262</v>
      </c>
    </row>
    <row r="122" customFormat="false" ht="15" hidden="false" customHeight="false" outlineLevel="0" collapsed="false">
      <c r="A122" s="0" t="s">
        <v>649</v>
      </c>
      <c r="B122" s="12" t="n">
        <v>2018</v>
      </c>
      <c r="C122" s="0" t="s">
        <v>652</v>
      </c>
      <c r="D122" s="12" t="n">
        <v>101488</v>
      </c>
      <c r="E122" s="0" t="s">
        <v>262</v>
      </c>
    </row>
    <row r="123" customFormat="false" ht="15" hidden="false" customHeight="false" outlineLevel="0" collapsed="false">
      <c r="A123" s="0" t="s">
        <v>649</v>
      </c>
      <c r="B123" s="12" t="n">
        <v>2018</v>
      </c>
      <c r="C123" s="0" t="s">
        <v>612</v>
      </c>
      <c r="D123" s="12" t="n">
        <v>33453</v>
      </c>
      <c r="E123" s="0" t="s">
        <v>262</v>
      </c>
    </row>
    <row r="124" customFormat="false" ht="15" hidden="false" customHeight="false" outlineLevel="0" collapsed="false">
      <c r="A124" s="0" t="s">
        <v>649</v>
      </c>
      <c r="B124" s="12" t="n">
        <v>2018</v>
      </c>
      <c r="C124" s="0" t="s">
        <v>600</v>
      </c>
      <c r="D124" s="12" t="n">
        <v>351629</v>
      </c>
      <c r="E124" s="0" t="s">
        <v>262</v>
      </c>
    </row>
    <row r="125" customFormat="false" ht="15" hidden="false" customHeight="false" outlineLevel="0" collapsed="false">
      <c r="A125" s="0" t="s">
        <v>649</v>
      </c>
      <c r="B125" s="12" t="n">
        <v>2018</v>
      </c>
      <c r="C125" s="0" t="s">
        <v>653</v>
      </c>
      <c r="D125" s="12" t="n">
        <v>782426</v>
      </c>
      <c r="E125" s="0" t="s">
        <v>262</v>
      </c>
    </row>
    <row r="126" customFormat="false" ht="15" hidden="false" customHeight="false" outlineLevel="0" collapsed="false">
      <c r="A126" s="0" t="s">
        <v>649</v>
      </c>
      <c r="B126" s="12" t="n">
        <v>2018</v>
      </c>
      <c r="C126" s="0" t="s">
        <v>614</v>
      </c>
      <c r="D126" s="12" t="n">
        <v>31576</v>
      </c>
      <c r="E126" s="0" t="s">
        <v>262</v>
      </c>
    </row>
    <row r="127" customFormat="false" ht="15" hidden="false" customHeight="false" outlineLevel="0" collapsed="false">
      <c r="A127" s="0" t="s">
        <v>649</v>
      </c>
      <c r="B127" s="12" t="n">
        <v>2018</v>
      </c>
      <c r="C127" s="0" t="s">
        <v>654</v>
      </c>
      <c r="D127" s="12" t="n">
        <v>181</v>
      </c>
      <c r="E127" s="0" t="s">
        <v>262</v>
      </c>
    </row>
    <row r="128" customFormat="false" ht="15" hidden="false" customHeight="false" outlineLevel="0" collapsed="false">
      <c r="A128" s="0" t="s">
        <v>649</v>
      </c>
      <c r="B128" s="12" t="n">
        <v>2018</v>
      </c>
      <c r="C128" s="0" t="s">
        <v>616</v>
      </c>
      <c r="D128" s="12" t="n">
        <v>28</v>
      </c>
      <c r="E128" s="0" t="s">
        <v>262</v>
      </c>
    </row>
    <row r="129" customFormat="false" ht="15" hidden="false" customHeight="false" outlineLevel="0" collapsed="false">
      <c r="A129" s="0" t="s">
        <v>649</v>
      </c>
      <c r="B129" s="12" t="n">
        <v>2018</v>
      </c>
      <c r="C129" s="0" t="s">
        <v>607</v>
      </c>
      <c r="D129" s="12" t="n">
        <v>89963</v>
      </c>
      <c r="E129" s="0" t="s">
        <v>262</v>
      </c>
    </row>
    <row r="130" customFormat="false" ht="15" hidden="false" customHeight="false" outlineLevel="0" collapsed="false">
      <c r="A130" s="0" t="s">
        <v>649</v>
      </c>
      <c r="B130" s="12" t="n">
        <v>2018</v>
      </c>
      <c r="C130" s="0" t="s">
        <v>609</v>
      </c>
      <c r="D130" s="12" t="n">
        <v>43605</v>
      </c>
      <c r="E130" s="0" t="s">
        <v>262</v>
      </c>
    </row>
    <row r="131" customFormat="false" ht="15" hidden="false" customHeight="false" outlineLevel="0" collapsed="false">
      <c r="A131" s="0" t="s">
        <v>649</v>
      </c>
      <c r="B131" s="12" t="n">
        <v>2016</v>
      </c>
      <c r="C131" s="0" t="s">
        <v>651</v>
      </c>
      <c r="D131" s="12" t="n">
        <v>1580143</v>
      </c>
      <c r="E131" s="0" t="s">
        <v>270</v>
      </c>
    </row>
    <row r="132" customFormat="false" ht="15" hidden="false" customHeight="false" outlineLevel="0" collapsed="false">
      <c r="A132" s="0" t="s">
        <v>649</v>
      </c>
      <c r="B132" s="12" t="n">
        <v>2016</v>
      </c>
      <c r="C132" s="0" t="s">
        <v>652</v>
      </c>
      <c r="D132" s="12" t="n">
        <v>225180</v>
      </c>
      <c r="E132" s="0" t="s">
        <v>270</v>
      </c>
    </row>
    <row r="133" customFormat="false" ht="15" hidden="false" customHeight="false" outlineLevel="0" collapsed="false">
      <c r="A133" s="0" t="s">
        <v>649</v>
      </c>
      <c r="B133" s="12" t="n">
        <v>2016</v>
      </c>
      <c r="C133" s="0" t="s">
        <v>612</v>
      </c>
      <c r="D133" s="12" t="n">
        <v>54442</v>
      </c>
      <c r="E133" s="0" t="s">
        <v>270</v>
      </c>
    </row>
    <row r="134" customFormat="false" ht="15" hidden="false" customHeight="false" outlineLevel="0" collapsed="false">
      <c r="A134" s="0" t="s">
        <v>649</v>
      </c>
      <c r="B134" s="12" t="n">
        <v>2016</v>
      </c>
      <c r="C134" s="0" t="s">
        <v>618</v>
      </c>
      <c r="D134" s="12" t="n">
        <v>548799</v>
      </c>
      <c r="E134" s="0" t="s">
        <v>270</v>
      </c>
    </row>
    <row r="135" customFormat="false" ht="15" hidden="false" customHeight="false" outlineLevel="0" collapsed="false">
      <c r="A135" s="0" t="s">
        <v>649</v>
      </c>
      <c r="B135" s="12" t="n">
        <v>2016</v>
      </c>
      <c r="C135" s="0" t="s">
        <v>653</v>
      </c>
      <c r="D135" s="12" t="n">
        <v>468901</v>
      </c>
      <c r="E135" s="0" t="s">
        <v>270</v>
      </c>
    </row>
    <row r="136" customFormat="false" ht="15" hidden="false" customHeight="false" outlineLevel="0" collapsed="false">
      <c r="A136" s="0" t="s">
        <v>649</v>
      </c>
      <c r="B136" s="12" t="n">
        <v>2016</v>
      </c>
      <c r="C136" s="0" t="s">
        <v>614</v>
      </c>
      <c r="D136" s="12" t="n">
        <v>33077</v>
      </c>
      <c r="E136" s="0" t="s">
        <v>270</v>
      </c>
    </row>
    <row r="137" customFormat="false" ht="15" hidden="false" customHeight="false" outlineLevel="0" collapsed="false">
      <c r="A137" s="0" t="s">
        <v>649</v>
      </c>
      <c r="B137" s="12" t="n">
        <v>2016</v>
      </c>
      <c r="C137" s="0" t="s">
        <v>654</v>
      </c>
      <c r="D137" s="12" t="n">
        <v>518</v>
      </c>
      <c r="E137" s="0" t="s">
        <v>270</v>
      </c>
    </row>
    <row r="138" customFormat="false" ht="15" hidden="false" customHeight="false" outlineLevel="0" collapsed="false">
      <c r="A138" s="0" t="s">
        <v>649</v>
      </c>
      <c r="B138" s="12" t="n">
        <v>2016</v>
      </c>
      <c r="C138" s="0" t="s">
        <v>616</v>
      </c>
      <c r="D138" s="12" t="n">
        <v>22</v>
      </c>
      <c r="E138" s="0" t="s">
        <v>270</v>
      </c>
    </row>
    <row r="139" customFormat="false" ht="15" hidden="false" customHeight="false" outlineLevel="0" collapsed="false">
      <c r="A139" s="0" t="s">
        <v>649</v>
      </c>
      <c r="B139" s="12" t="n">
        <v>2016</v>
      </c>
      <c r="C139" s="0" t="s">
        <v>606</v>
      </c>
      <c r="D139" s="12" t="n">
        <v>0</v>
      </c>
      <c r="E139" s="0" t="s">
        <v>270</v>
      </c>
    </row>
    <row r="140" customFormat="false" ht="15" hidden="false" customHeight="false" outlineLevel="0" collapsed="false">
      <c r="A140" s="0" t="s">
        <v>649</v>
      </c>
      <c r="B140" s="12" t="n">
        <v>2016</v>
      </c>
      <c r="C140" s="0" t="s">
        <v>607</v>
      </c>
      <c r="D140" s="12" t="n">
        <v>199124</v>
      </c>
      <c r="E140" s="0" t="s">
        <v>270</v>
      </c>
    </row>
    <row r="141" customFormat="false" ht="15" hidden="false" customHeight="false" outlineLevel="0" collapsed="false">
      <c r="A141" s="0" t="s">
        <v>649</v>
      </c>
      <c r="B141" s="12" t="n">
        <v>2016</v>
      </c>
      <c r="C141" s="0" t="s">
        <v>609</v>
      </c>
      <c r="D141" s="12" t="n">
        <v>50080</v>
      </c>
      <c r="E141" s="0" t="s">
        <v>270</v>
      </c>
    </row>
    <row r="142" customFormat="false" ht="15" hidden="false" customHeight="false" outlineLevel="0" collapsed="false">
      <c r="A142" s="0" t="s">
        <v>649</v>
      </c>
      <c r="B142" s="12" t="n">
        <v>2014</v>
      </c>
      <c r="C142" s="0" t="s">
        <v>651</v>
      </c>
      <c r="D142" s="12" t="n">
        <v>875547</v>
      </c>
      <c r="E142" s="0" t="s">
        <v>274</v>
      </c>
    </row>
    <row r="143" customFormat="false" ht="15" hidden="false" customHeight="false" outlineLevel="0" collapsed="false">
      <c r="A143" s="0" t="s">
        <v>649</v>
      </c>
      <c r="B143" s="12" t="n">
        <v>2014</v>
      </c>
      <c r="C143" s="0" t="s">
        <v>652</v>
      </c>
      <c r="D143" s="12" t="n">
        <v>143869</v>
      </c>
      <c r="E143" s="0" t="s">
        <v>274</v>
      </c>
    </row>
    <row r="144" customFormat="false" ht="15" hidden="false" customHeight="false" outlineLevel="0" collapsed="false">
      <c r="A144" s="0" t="s">
        <v>649</v>
      </c>
      <c r="B144" s="12" t="n">
        <v>2014</v>
      </c>
      <c r="C144" s="0" t="s">
        <v>612</v>
      </c>
      <c r="D144" s="12" t="n">
        <v>93088</v>
      </c>
      <c r="E144" s="0" t="s">
        <v>274</v>
      </c>
    </row>
    <row r="145" customFormat="false" ht="15" hidden="false" customHeight="false" outlineLevel="0" collapsed="false">
      <c r="A145" s="0" t="s">
        <v>649</v>
      </c>
      <c r="B145" s="12" t="n">
        <v>2014</v>
      </c>
      <c r="C145" s="0" t="s">
        <v>618</v>
      </c>
      <c r="D145" s="12" t="n">
        <v>206786</v>
      </c>
      <c r="E145" s="0" t="s">
        <v>274</v>
      </c>
    </row>
    <row r="147" customFormat="false" ht="15" hidden="false" customHeight="false" outlineLevel="0" collapsed="false">
      <c r="A147" s="15" t="s">
        <v>655</v>
      </c>
    </row>
    <row r="148" customFormat="false" ht="15" hidden="false" customHeight="false" outlineLevel="0" collapsed="false">
      <c r="A148" s="0" t="s">
        <v>26</v>
      </c>
      <c r="B148" s="0" t="s">
        <v>656</v>
      </c>
      <c r="C148" s="0" t="s">
        <v>657</v>
      </c>
      <c r="D148" s="0" t="s">
        <v>658</v>
      </c>
      <c r="E148" s="0" t="s">
        <v>659</v>
      </c>
    </row>
    <row r="149" customFormat="false" ht="15" hidden="false" customHeight="false" outlineLevel="0" collapsed="false">
      <c r="A149" s="0" t="n">
        <v>2006</v>
      </c>
      <c r="B149" s="12" t="n">
        <v>187132</v>
      </c>
      <c r="C149" s="12" t="n">
        <v>128282</v>
      </c>
      <c r="D149" s="12" t="n">
        <v>13941</v>
      </c>
      <c r="E149" s="12" t="n">
        <v>7565</v>
      </c>
    </row>
    <row r="150" customFormat="false" ht="15" hidden="false" customHeight="false" outlineLevel="0" collapsed="false">
      <c r="A150" s="0" t="n">
        <v>2008</v>
      </c>
      <c r="B150" s="12" t="n">
        <v>190683</v>
      </c>
      <c r="C150" s="12" t="n">
        <v>137001</v>
      </c>
      <c r="D150" s="12" t="n">
        <v>15390</v>
      </c>
      <c r="E150" s="12" t="n">
        <v>9310</v>
      </c>
    </row>
    <row r="151" customFormat="false" ht="15" hidden="false" customHeight="false" outlineLevel="0" collapsed="false">
      <c r="A151" s="0" t="n">
        <v>2010</v>
      </c>
      <c r="B151" s="12" t="n">
        <v>193897</v>
      </c>
      <c r="C151" s="12" t="n">
        <v>128098</v>
      </c>
      <c r="D151" s="12" t="n">
        <v>16903</v>
      </c>
      <c r="E151" s="12" t="n">
        <v>9165</v>
      </c>
    </row>
    <row r="152" customFormat="false" ht="15" hidden="false" customHeight="false" outlineLevel="0" collapsed="false">
      <c r="A152" s="0" t="n">
        <v>2012</v>
      </c>
      <c r="B152" s="12" t="n">
        <v>197756</v>
      </c>
      <c r="C152" s="12" t="n">
        <v>142404</v>
      </c>
      <c r="D152" s="12" t="n">
        <v>17325</v>
      </c>
      <c r="E152" s="12" t="n">
        <v>10753</v>
      </c>
    </row>
    <row r="153" customFormat="false" ht="15" hidden="false" customHeight="false" outlineLevel="0" collapsed="false">
      <c r="A153" s="0" t="n">
        <v>2014</v>
      </c>
      <c r="B153" s="12" t="n">
        <v>200605</v>
      </c>
      <c r="C153" s="12" t="n">
        <v>131359</v>
      </c>
      <c r="D153" s="12" t="n">
        <v>19336</v>
      </c>
      <c r="E153" s="12" t="n">
        <v>10807</v>
      </c>
    </row>
    <row r="154" customFormat="false" ht="15" hidden="false" customHeight="false" outlineLevel="0" collapsed="false">
      <c r="A154" s="0" t="n">
        <v>2016</v>
      </c>
      <c r="B154" s="12" t="n">
        <v>204212</v>
      </c>
      <c r="C154" s="12" t="n">
        <v>145351</v>
      </c>
      <c r="D154" s="12" t="n">
        <v>19847</v>
      </c>
      <c r="E154" s="12" t="n">
        <v>12245</v>
      </c>
    </row>
    <row r="155" customFormat="false" ht="15" hidden="false" customHeight="false" outlineLevel="0" collapsed="false">
      <c r="A155" s="0" t="n">
        <v>2018</v>
      </c>
      <c r="B155" s="12" t="n">
        <v>207022</v>
      </c>
      <c r="C155" s="12" t="n">
        <v>140377</v>
      </c>
      <c r="D155" s="12" t="n">
        <v>21810</v>
      </c>
      <c r="E155" s="12" t="n">
        <v>12689</v>
      </c>
    </row>
    <row r="156" customFormat="false" ht="15" hidden="false" customHeight="false" outlineLevel="0" collapsed="false">
      <c r="A156" s="0" t="n">
        <v>2020</v>
      </c>
      <c r="B156" s="12" t="n">
        <v>210083</v>
      </c>
      <c r="C156" s="12" t="n">
        <v>154035</v>
      </c>
      <c r="D156" s="12" t="n">
        <v>21509</v>
      </c>
      <c r="E156" s="12" t="n">
        <v>14273</v>
      </c>
    </row>
    <row r="157" customFormat="false" ht="15" hidden="false" customHeight="false" outlineLevel="0" collapsed="false">
      <c r="A157" s="0" t="n">
        <v>2022</v>
      </c>
      <c r="B157" s="12" t="n">
        <v>209835</v>
      </c>
      <c r="C157" s="12" t="n">
        <v>146950</v>
      </c>
      <c r="D157" s="12" t="n">
        <v>23711</v>
      </c>
      <c r="E157" s="12" t="n">
        <v>14473</v>
      </c>
    </row>
    <row r="158" customFormat="false" ht="15" hidden="false" customHeight="false" outlineLevel="0" collapsed="false">
      <c r="A158" s="0" t="n">
        <v>2024</v>
      </c>
      <c r="B158" s="12" t="n">
        <v>212399</v>
      </c>
      <c r="C158" s="12" t="n">
        <v>157935</v>
      </c>
      <c r="D158" s="12" t="n">
        <v>23739</v>
      </c>
      <c r="E158" s="12" t="n">
        <v>15919</v>
      </c>
    </row>
    <row r="159" customFormat="false" ht="15" hidden="false" customHeight="false" outlineLevel="0" collapsed="false">
      <c r="A159" s="0" t="s">
        <v>660</v>
      </c>
      <c r="B159" s="15" t="s">
        <v>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0"/>
    <col collapsed="false" customWidth="true" hidden="false" outlineLevel="0" max="3" min="3" style="0" width="16"/>
    <col collapsed="false" customWidth="true" hidden="false" outlineLevel="0" max="4" min="4" style="0" width="24"/>
    <col collapsed="false" customWidth="true" hidden="false" outlineLevel="0" max="8" min="5" style="0" width="16"/>
    <col collapsed="false" customWidth="true" hidden="false" outlineLevel="0" max="9" min="9" style="0" width="70"/>
  </cols>
  <sheetData>
    <row r="1" customFormat="false" ht="60" hidden="false" customHeight="true" outlineLevel="0" collapsed="false">
      <c r="A1" s="11" t="s">
        <v>662</v>
      </c>
      <c r="B1" s="11" t="s">
        <v>663</v>
      </c>
      <c r="C1" s="11" t="s">
        <v>664</v>
      </c>
      <c r="D1" s="11" t="s">
        <v>665</v>
      </c>
      <c r="E1" s="11" t="s">
        <v>666</v>
      </c>
      <c r="F1" s="11" t="s">
        <v>667</v>
      </c>
      <c r="G1" s="11" t="s">
        <v>668</v>
      </c>
      <c r="H1" s="11" t="s">
        <v>595</v>
      </c>
      <c r="I1" s="11" t="s">
        <v>669</v>
      </c>
    </row>
    <row r="2" customFormat="false" ht="15" hidden="false" customHeight="false" outlineLevel="0" collapsed="false">
      <c r="A2" s="0" t="s">
        <v>670</v>
      </c>
      <c r="B2" s="15" t="s">
        <v>671</v>
      </c>
      <c r="C2" s="0" t="s">
        <v>672</v>
      </c>
      <c r="D2" s="12" t="n">
        <v>680397</v>
      </c>
      <c r="E2" s="18" t="n">
        <v>9.6</v>
      </c>
      <c r="F2" s="12" t="n">
        <v>344166</v>
      </c>
      <c r="G2" s="12" t="n">
        <v>336231</v>
      </c>
      <c r="H2" s="0" t="s">
        <v>360</v>
      </c>
      <c r="I2" s="15" t="s">
        <v>673</v>
      </c>
    </row>
    <row r="3" customFormat="false" ht="15" hidden="false" customHeight="false" outlineLevel="0" collapsed="false">
      <c r="A3" s="0" t="s">
        <v>670</v>
      </c>
      <c r="B3" s="15" t="s">
        <v>671</v>
      </c>
      <c r="C3" s="0" t="s">
        <v>674</v>
      </c>
      <c r="D3" s="12" t="n">
        <v>674250</v>
      </c>
      <c r="E3" s="18" t="n">
        <v>9.3</v>
      </c>
      <c r="F3" s="12" t="n">
        <v>339073</v>
      </c>
      <c r="G3" s="12" t="n">
        <v>335177</v>
      </c>
      <c r="H3" s="0" t="s">
        <v>360</v>
      </c>
      <c r="I3" s="15" t="s">
        <v>673</v>
      </c>
    </row>
    <row r="4" customFormat="false" ht="15" hidden="false" customHeight="false" outlineLevel="0" collapsed="false">
      <c r="A4" s="0" t="s">
        <v>670</v>
      </c>
      <c r="B4" s="15" t="s">
        <v>671</v>
      </c>
      <c r="C4" s="0" t="s">
        <v>675</v>
      </c>
      <c r="D4" s="12" t="n">
        <v>663210</v>
      </c>
      <c r="E4" s="18" t="n">
        <v>9</v>
      </c>
      <c r="F4" s="12" t="n">
        <v>330665</v>
      </c>
      <c r="G4" s="12" t="n">
        <v>332545</v>
      </c>
      <c r="H4" s="0" t="s">
        <v>360</v>
      </c>
      <c r="I4" s="15" t="s">
        <v>673</v>
      </c>
    </row>
    <row r="5" customFormat="false" ht="15" hidden="false" customHeight="false" outlineLevel="0" collapsed="false">
      <c r="A5" s="0" t="s">
        <v>670</v>
      </c>
      <c r="B5" s="15" t="s">
        <v>671</v>
      </c>
      <c r="C5" s="0" t="s">
        <v>676</v>
      </c>
      <c r="D5" s="12" t="n">
        <v>655988</v>
      </c>
      <c r="E5" s="18" t="n">
        <v>8.7</v>
      </c>
      <c r="F5" s="12" t="n">
        <v>324271</v>
      </c>
      <c r="G5" s="12" t="n">
        <v>331717</v>
      </c>
      <c r="H5" s="0" t="s">
        <v>360</v>
      </c>
      <c r="I5" s="15" t="s">
        <v>673</v>
      </c>
    </row>
    <row r="6" customFormat="false" ht="15" hidden="false" customHeight="false" outlineLevel="0" collapsed="false">
      <c r="A6" s="0" t="s">
        <v>670</v>
      </c>
      <c r="B6" s="15" t="s">
        <v>671</v>
      </c>
      <c r="C6" s="0" t="s">
        <v>677</v>
      </c>
      <c r="D6" s="12" t="n">
        <v>644966</v>
      </c>
      <c r="E6" s="18" t="n">
        <v>8.4</v>
      </c>
      <c r="F6" s="12" t="n">
        <v>316216</v>
      </c>
      <c r="G6" s="12" t="n">
        <v>328750</v>
      </c>
      <c r="H6" s="0" t="s">
        <v>360</v>
      </c>
      <c r="I6" s="15" t="s">
        <v>673</v>
      </c>
    </row>
    <row r="7" customFormat="false" ht="15" hidden="false" customHeight="false" outlineLevel="0" collapsed="false">
      <c r="A7" s="0" t="s">
        <v>670</v>
      </c>
      <c r="B7" s="15" t="s">
        <v>671</v>
      </c>
      <c r="C7" s="0" t="s">
        <v>678</v>
      </c>
      <c r="D7" s="12" t="n">
        <v>627271</v>
      </c>
      <c r="E7" s="18" t="n">
        <v>7.9</v>
      </c>
      <c r="F7" s="12" t="n">
        <v>303457</v>
      </c>
      <c r="G7" s="12" t="n">
        <v>323814</v>
      </c>
      <c r="H7" s="0" t="s">
        <v>360</v>
      </c>
      <c r="I7" s="15" t="s">
        <v>673</v>
      </c>
    </row>
    <row r="8" customFormat="false" ht="15" hidden="false" customHeight="false" outlineLevel="0" collapsed="false">
      <c r="A8" s="0" t="s">
        <v>670</v>
      </c>
      <c r="B8" s="15" t="s">
        <v>671</v>
      </c>
      <c r="C8" s="0" t="s">
        <v>679</v>
      </c>
      <c r="D8" s="12" t="n">
        <v>604908</v>
      </c>
      <c r="E8" s="18" t="n">
        <v>7.5</v>
      </c>
      <c r="F8" s="12" t="n">
        <v>290275</v>
      </c>
      <c r="G8" s="12" t="n">
        <v>314633</v>
      </c>
      <c r="H8" s="0" t="s">
        <v>360</v>
      </c>
      <c r="I8" s="15" t="s">
        <v>673</v>
      </c>
    </row>
    <row r="9" customFormat="false" ht="15" hidden="false" customHeight="false" outlineLevel="0" collapsed="false">
      <c r="A9" s="0" t="s">
        <v>670</v>
      </c>
      <c r="B9" s="15" t="s">
        <v>671</v>
      </c>
      <c r="C9" s="0" t="s">
        <v>680</v>
      </c>
      <c r="D9" s="12" t="n">
        <v>582345</v>
      </c>
      <c r="E9" s="18" t="n">
        <v>7</v>
      </c>
      <c r="F9" s="12" t="n">
        <v>273500</v>
      </c>
      <c r="G9" s="12" t="n">
        <v>308845</v>
      </c>
      <c r="H9" s="0" t="s">
        <v>360</v>
      </c>
      <c r="I9" s="15" t="s">
        <v>673</v>
      </c>
    </row>
    <row r="10" customFormat="false" ht="15" hidden="false" customHeight="false" outlineLevel="0" collapsed="false">
      <c r="A10" s="0" t="s">
        <v>670</v>
      </c>
      <c r="B10" s="15" t="s">
        <v>671</v>
      </c>
      <c r="C10" s="0" t="s">
        <v>681</v>
      </c>
      <c r="D10" s="12" t="n">
        <v>562423</v>
      </c>
      <c r="E10" s="18" t="n">
        <v>6.7</v>
      </c>
      <c r="F10" s="12" t="n">
        <v>261280</v>
      </c>
      <c r="G10" s="12" t="n">
        <v>301143</v>
      </c>
      <c r="H10" s="0" t="s">
        <v>360</v>
      </c>
      <c r="I10" s="15" t="s">
        <v>673</v>
      </c>
    </row>
    <row r="11" customFormat="false" ht="15" hidden="false" customHeight="false" outlineLevel="0" collapsed="false">
      <c r="A11" s="0" t="s">
        <v>670</v>
      </c>
      <c r="B11" s="15" t="s">
        <v>671</v>
      </c>
      <c r="C11" s="0" t="s">
        <v>682</v>
      </c>
      <c r="D11" s="12" t="n">
        <v>540121</v>
      </c>
      <c r="E11" s="18" t="n">
        <v>6.5</v>
      </c>
      <c r="F11" s="12" t="n">
        <v>253104</v>
      </c>
      <c r="G11" s="12" t="n">
        <v>287017</v>
      </c>
      <c r="H11" s="0" t="s">
        <v>360</v>
      </c>
      <c r="I11" s="15" t="s">
        <v>673</v>
      </c>
    </row>
    <row r="12" customFormat="false" ht="15" hidden="false" customHeight="false" outlineLevel="0" collapsed="false">
      <c r="A12" s="0" t="s">
        <v>670</v>
      </c>
      <c r="B12" s="15" t="s">
        <v>671</v>
      </c>
      <c r="C12" s="0" t="s">
        <v>683</v>
      </c>
      <c r="D12" s="12" t="n">
        <v>525595</v>
      </c>
      <c r="E12" s="18" t="n">
        <v>6.3</v>
      </c>
      <c r="F12" s="12" t="n">
        <v>248119</v>
      </c>
      <c r="G12" s="12" t="n">
        <v>277476</v>
      </c>
      <c r="H12" s="0" t="s">
        <v>360</v>
      </c>
      <c r="I12" s="15" t="s">
        <v>673</v>
      </c>
    </row>
    <row r="13" customFormat="false" ht="15" hidden="false" customHeight="false" outlineLevel="0" collapsed="false">
      <c r="A13" s="0" t="s">
        <v>670</v>
      </c>
      <c r="B13" s="15" t="s">
        <v>671</v>
      </c>
      <c r="C13" s="0" t="s">
        <v>684</v>
      </c>
      <c r="D13" s="12" t="n">
        <v>507229</v>
      </c>
      <c r="E13" s="18" t="n">
        <v>6.1</v>
      </c>
      <c r="F13" s="12" t="n">
        <v>241383</v>
      </c>
      <c r="G13" s="12" t="n">
        <v>265846</v>
      </c>
      <c r="H13" s="0" t="s">
        <v>360</v>
      </c>
      <c r="I13" s="15" t="s">
        <v>673</v>
      </c>
    </row>
    <row r="14" customFormat="false" ht="15" hidden="false" customHeight="false" outlineLevel="0" collapsed="false">
      <c r="A14" s="0" t="s">
        <v>670</v>
      </c>
      <c r="B14" s="15" t="s">
        <v>671</v>
      </c>
      <c r="C14" s="0" t="s">
        <v>685</v>
      </c>
      <c r="D14" s="12" t="n">
        <v>492642</v>
      </c>
      <c r="E14" s="18" t="n">
        <v>6</v>
      </c>
      <c r="F14" s="12" t="n">
        <v>236010</v>
      </c>
      <c r="G14" s="12" t="n">
        <v>256632</v>
      </c>
      <c r="H14" s="0" t="s">
        <v>360</v>
      </c>
      <c r="I14" s="15" t="s">
        <v>673</v>
      </c>
    </row>
    <row r="15" customFormat="false" ht="15" hidden="false" customHeight="false" outlineLevel="0" collapsed="false">
      <c r="A15" s="0" t="s">
        <v>670</v>
      </c>
      <c r="B15" s="15" t="s">
        <v>671</v>
      </c>
      <c r="C15" s="0" t="s">
        <v>686</v>
      </c>
      <c r="D15" s="12" t="n">
        <v>463411</v>
      </c>
      <c r="E15" s="18" t="n">
        <v>5.7</v>
      </c>
      <c r="F15" s="12" t="n">
        <v>220798</v>
      </c>
      <c r="G15" s="12" t="n">
        <v>242613</v>
      </c>
      <c r="H15" s="0" t="s">
        <v>360</v>
      </c>
      <c r="I15" s="15" t="s">
        <v>673</v>
      </c>
    </row>
    <row r="16" customFormat="false" ht="15" hidden="false" customHeight="false" outlineLevel="0" collapsed="false">
      <c r="A16" s="0" t="s">
        <v>670</v>
      </c>
      <c r="B16" s="15" t="s">
        <v>671</v>
      </c>
      <c r="C16" s="0" t="s">
        <v>687</v>
      </c>
      <c r="D16" s="12" t="n">
        <v>430352</v>
      </c>
      <c r="E16" s="18" t="n">
        <v>5.3</v>
      </c>
      <c r="F16" s="12" t="n">
        <v>205351</v>
      </c>
      <c r="G16" s="12" t="n">
        <v>225001</v>
      </c>
      <c r="H16" s="0" t="s">
        <v>360</v>
      </c>
      <c r="I16" s="15" t="s">
        <v>673</v>
      </c>
    </row>
    <row r="17" customFormat="false" ht="15" hidden="false" customHeight="false" outlineLevel="0" collapsed="false">
      <c r="A17" s="0" t="s">
        <v>670</v>
      </c>
      <c r="B17" s="15" t="s">
        <v>671</v>
      </c>
      <c r="C17" s="0" t="s">
        <v>688</v>
      </c>
      <c r="D17" s="12" t="n">
        <v>397447</v>
      </c>
      <c r="E17" s="18" t="n">
        <v>5</v>
      </c>
      <c r="F17" s="12" t="n">
        <v>189539</v>
      </c>
      <c r="G17" s="12" t="n">
        <v>207908</v>
      </c>
      <c r="H17" s="0" t="s">
        <v>360</v>
      </c>
      <c r="I17" s="15" t="s">
        <v>673</v>
      </c>
    </row>
    <row r="18" customFormat="false" ht="15" hidden="false" customHeight="false" outlineLevel="0" collapsed="false">
      <c r="A18" s="0" t="s">
        <v>670</v>
      </c>
      <c r="B18" s="15" t="s">
        <v>671</v>
      </c>
      <c r="C18" s="0" t="s">
        <v>689</v>
      </c>
      <c r="D18" s="12" t="n">
        <v>365714</v>
      </c>
      <c r="E18" s="18" t="n">
        <v>4.8</v>
      </c>
      <c r="F18" s="12" t="n">
        <v>176625</v>
      </c>
      <c r="G18" s="12" t="n">
        <v>189089</v>
      </c>
      <c r="H18" s="0" t="s">
        <v>360</v>
      </c>
      <c r="I18" s="15" t="s">
        <v>673</v>
      </c>
    </row>
    <row r="19" customFormat="false" ht="15" hidden="false" customHeight="false" outlineLevel="0" collapsed="false">
      <c r="A19" s="0" t="s">
        <v>670</v>
      </c>
      <c r="B19" s="15" t="s">
        <v>671</v>
      </c>
      <c r="C19" s="0" t="s">
        <v>690</v>
      </c>
      <c r="D19" s="12" t="n">
        <v>342890</v>
      </c>
      <c r="E19" s="18" t="n">
        <v>4.5</v>
      </c>
      <c r="F19" s="12" t="n">
        <v>169443</v>
      </c>
      <c r="G19" s="12" t="n">
        <v>173447</v>
      </c>
      <c r="H19" s="0" t="s">
        <v>360</v>
      </c>
      <c r="I19" s="15" t="s">
        <v>673</v>
      </c>
    </row>
    <row r="20" customFormat="false" ht="15" hidden="false" customHeight="false" outlineLevel="0" collapsed="false">
      <c r="A20" s="0" t="s">
        <v>670</v>
      </c>
      <c r="B20" s="15" t="s">
        <v>671</v>
      </c>
      <c r="C20" s="0" t="s">
        <v>691</v>
      </c>
      <c r="D20" s="12" t="n">
        <v>324723</v>
      </c>
      <c r="E20" s="18" t="n">
        <v>4.4</v>
      </c>
      <c r="F20" s="12" t="n">
        <v>166514</v>
      </c>
      <c r="G20" s="12" t="n">
        <v>158209</v>
      </c>
      <c r="H20" s="0" t="s">
        <v>360</v>
      </c>
      <c r="I20" s="15" t="s">
        <v>673</v>
      </c>
    </row>
    <row r="21" customFormat="false" ht="15" hidden="false" customHeight="false" outlineLevel="0" collapsed="false">
      <c r="A21" s="0" t="s">
        <v>670</v>
      </c>
      <c r="B21" s="15" t="s">
        <v>671</v>
      </c>
      <c r="C21" s="0" t="s">
        <v>692</v>
      </c>
      <c r="D21" s="12" t="n">
        <v>319391</v>
      </c>
      <c r="E21" s="18" t="n">
        <v>4.3</v>
      </c>
      <c r="F21" s="12" t="n">
        <v>169351</v>
      </c>
      <c r="G21" s="12" t="n">
        <v>150040</v>
      </c>
      <c r="H21" s="0" t="s">
        <v>360</v>
      </c>
      <c r="I21" s="15" t="s">
        <v>673</v>
      </c>
    </row>
    <row r="22" customFormat="false" ht="15" hidden="false" customHeight="false" outlineLevel="0" collapsed="false">
      <c r="A22" s="0" t="s">
        <v>670</v>
      </c>
      <c r="B22" s="15" t="s">
        <v>693</v>
      </c>
      <c r="C22" s="0" t="s">
        <v>692</v>
      </c>
      <c r="D22" s="12" t="n">
        <v>2806</v>
      </c>
      <c r="F22" s="12" t="n">
        <v>1625</v>
      </c>
      <c r="G22" s="12" t="n">
        <v>1181</v>
      </c>
      <c r="H22" s="0" t="s">
        <v>360</v>
      </c>
      <c r="I22" s="0" t="s">
        <v>694</v>
      </c>
    </row>
    <row r="23" customFormat="false" ht="15" hidden="false" customHeight="false" outlineLevel="0" collapsed="false">
      <c r="A23" s="0" t="s">
        <v>695</v>
      </c>
      <c r="B23" s="15" t="s">
        <v>696</v>
      </c>
      <c r="C23" s="0" t="s">
        <v>697</v>
      </c>
      <c r="D23" s="12" t="n">
        <v>434000</v>
      </c>
      <c r="E23" s="18" t="n">
        <v>1.1</v>
      </c>
      <c r="H23" s="0" t="s">
        <v>364</v>
      </c>
      <c r="I23" s="15" t="s">
        <v>698</v>
      </c>
    </row>
    <row r="24" customFormat="false" ht="15" hidden="false" customHeight="false" outlineLevel="0" collapsed="false">
      <c r="A24" s="0" t="s">
        <v>695</v>
      </c>
      <c r="B24" s="15" t="s">
        <v>699</v>
      </c>
      <c r="C24" s="0" t="s">
        <v>697</v>
      </c>
      <c r="D24" s="12" t="n">
        <v>1330000</v>
      </c>
      <c r="E24" s="18" t="n">
        <v>3.3</v>
      </c>
      <c r="H24" s="0" t="s">
        <v>364</v>
      </c>
      <c r="I24" s="0" t="s">
        <v>700</v>
      </c>
    </row>
    <row r="25" customFormat="false" ht="15" hidden="false" customHeight="false" outlineLevel="0" collapsed="false">
      <c r="A25" s="0" t="s">
        <v>695</v>
      </c>
      <c r="B25" s="15" t="s">
        <v>701</v>
      </c>
      <c r="C25" s="0" t="s">
        <v>697</v>
      </c>
      <c r="D25" s="12" t="n">
        <v>2470000</v>
      </c>
      <c r="E25" s="18" t="n">
        <v>6.2</v>
      </c>
      <c r="H25" s="0" t="s">
        <v>364</v>
      </c>
      <c r="I25" s="0" t="s">
        <v>702</v>
      </c>
    </row>
    <row r="26" customFormat="false" ht="15" hidden="false" customHeight="false" outlineLevel="0" collapsed="false">
      <c r="A26" s="0" t="s">
        <v>695</v>
      </c>
      <c r="B26" s="15" t="s">
        <v>703</v>
      </c>
      <c r="C26" s="0" t="s">
        <v>697</v>
      </c>
      <c r="D26" s="12" t="n">
        <v>2488000</v>
      </c>
      <c r="E26" s="18" t="n">
        <v>6.2</v>
      </c>
      <c r="H26" s="0" t="s">
        <v>364</v>
      </c>
      <c r="I26" s="15" t="s">
        <v>704</v>
      </c>
    </row>
    <row r="27" customFormat="false" ht="15" hidden="false" customHeight="false" outlineLevel="0" collapsed="false">
      <c r="A27" s="0" t="s">
        <v>695</v>
      </c>
      <c r="B27" s="0" t="s">
        <v>705</v>
      </c>
      <c r="C27" s="0" t="s">
        <v>706</v>
      </c>
      <c r="D27" s="0" t="s">
        <v>707</v>
      </c>
      <c r="H27" s="0" t="s">
        <v>708</v>
      </c>
      <c r="I27" s="15" t="s">
        <v>709</v>
      </c>
    </row>
    <row r="28" customFormat="false" ht="15" hidden="false" customHeight="false" outlineLevel="0" collapsed="false">
      <c r="A28" s="0" t="s">
        <v>710</v>
      </c>
      <c r="B28" s="15" t="s">
        <v>711</v>
      </c>
      <c r="C28" s="0" t="s">
        <v>712</v>
      </c>
      <c r="D28" s="15" t="s">
        <v>713</v>
      </c>
      <c r="H28" s="0" t="s">
        <v>714</v>
      </c>
      <c r="I28" s="15" t="s">
        <v>715</v>
      </c>
    </row>
    <row r="29" customFormat="false" ht="15" hidden="false" customHeight="false" outlineLevel="0" collapsed="false">
      <c r="A29" s="0" t="s">
        <v>716</v>
      </c>
      <c r="B29" s="15" t="s">
        <v>717</v>
      </c>
      <c r="C29" s="0" t="s">
        <v>718</v>
      </c>
      <c r="D29" s="0" t="s">
        <v>71</v>
      </c>
      <c r="H29" s="0" t="s">
        <v>719</v>
      </c>
      <c r="I29" s="15" t="s">
        <v>720</v>
      </c>
    </row>
    <row r="30" customFormat="false" ht="15" hidden="false" customHeight="false" outlineLevel="0" collapsed="false">
      <c r="A30" s="0" t="s">
        <v>721</v>
      </c>
      <c r="B30" s="15" t="s">
        <v>722</v>
      </c>
      <c r="C30" s="0" t="s">
        <v>718</v>
      </c>
      <c r="D30" s="0" t="s">
        <v>71</v>
      </c>
      <c r="H30" s="0" t="s">
        <v>723</v>
      </c>
      <c r="I30" s="15" t="s">
        <v>724</v>
      </c>
    </row>
    <row r="31" customFormat="false" ht="15" hidden="false" customHeight="false" outlineLevel="0" collapsed="false">
      <c r="A31" s="0" t="s">
        <v>725</v>
      </c>
      <c r="B31" s="0" t="s">
        <v>726</v>
      </c>
      <c r="C31" s="0" t="s">
        <v>719</v>
      </c>
      <c r="D31" s="0" t="s">
        <v>719</v>
      </c>
      <c r="H31" s="0" t="s">
        <v>587</v>
      </c>
      <c r="I31" s="15" t="s">
        <v>727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40"/>
    <col collapsed="false" customWidth="true" hidden="false" outlineLevel="0" max="5" min="4" style="0" width="16"/>
    <col collapsed="false" customWidth="true" hidden="false" outlineLevel="0" max="6" min="6" style="0" width="22"/>
    <col collapsed="false" customWidth="true" hidden="false" outlineLevel="0" max="7" min="7" style="0" width="16"/>
    <col collapsed="false" customWidth="true" hidden="false" outlineLevel="0" max="8" min="8" style="0" width="80"/>
    <col collapsed="false" customWidth="true" hidden="false" outlineLevel="0" max="9" min="9" style="0" width="16"/>
  </cols>
  <sheetData>
    <row r="1" customFormat="false" ht="60" hidden="false" customHeight="true" outlineLevel="0" collapsed="false">
      <c r="A1" s="11" t="s">
        <v>728</v>
      </c>
      <c r="B1" s="11" t="s">
        <v>729</v>
      </c>
      <c r="C1" s="11" t="s">
        <v>730</v>
      </c>
      <c r="D1" s="11" t="s">
        <v>731</v>
      </c>
      <c r="E1" s="11" t="s">
        <v>732</v>
      </c>
      <c r="F1" s="11" t="s">
        <v>733</v>
      </c>
      <c r="G1" s="11" t="s">
        <v>734</v>
      </c>
      <c r="H1" s="11" t="s">
        <v>735</v>
      </c>
      <c r="I1" s="11" t="s">
        <v>595</v>
      </c>
    </row>
    <row r="2" customFormat="false" ht="15" hidden="false" customHeight="false" outlineLevel="0" collapsed="false">
      <c r="A2" s="0" t="s">
        <v>736</v>
      </c>
      <c r="B2" s="0" t="s">
        <v>737</v>
      </c>
      <c r="C2" s="15" t="s">
        <v>738</v>
      </c>
      <c r="F2" s="12" t="n">
        <v>155</v>
      </c>
      <c r="G2" s="0" t="s">
        <v>739</v>
      </c>
      <c r="H2" s="15" t="s">
        <v>740</v>
      </c>
      <c r="I2" s="0" t="s">
        <v>470</v>
      </c>
    </row>
    <row r="3" customFormat="false" ht="15" hidden="false" customHeight="false" outlineLevel="0" collapsed="false">
      <c r="A3" s="0" t="s">
        <v>741</v>
      </c>
      <c r="B3" s="0" t="s">
        <v>742</v>
      </c>
      <c r="C3" s="0" t="s">
        <v>743</v>
      </c>
      <c r="D3" s="12" t="n">
        <v>20</v>
      </c>
      <c r="E3" s="12" t="n">
        <v>20</v>
      </c>
      <c r="F3" s="12" t="n">
        <v>20</v>
      </c>
      <c r="G3" s="0" t="s">
        <v>744</v>
      </c>
      <c r="H3" s="15" t="s">
        <v>745</v>
      </c>
      <c r="I3" s="0" t="s">
        <v>524</v>
      </c>
    </row>
    <row r="4" customFormat="false" ht="15" hidden="false" customHeight="false" outlineLevel="0" collapsed="false">
      <c r="A4" s="0" t="s">
        <v>746</v>
      </c>
      <c r="B4" s="0" t="s">
        <v>747</v>
      </c>
      <c r="C4" s="0" t="s">
        <v>748</v>
      </c>
      <c r="E4" s="12" t="n">
        <v>6500</v>
      </c>
      <c r="F4" s="12" t="n">
        <v>1930</v>
      </c>
      <c r="G4" s="0" t="s">
        <v>749</v>
      </c>
      <c r="H4" s="15" t="s">
        <v>750</v>
      </c>
      <c r="I4" s="0" t="s">
        <v>751</v>
      </c>
    </row>
    <row r="5" customFormat="false" ht="15" hidden="false" customHeight="false" outlineLevel="0" collapsed="false">
      <c r="A5" s="0" t="s">
        <v>752</v>
      </c>
      <c r="B5" s="0" t="s">
        <v>753</v>
      </c>
      <c r="C5" s="15" t="s">
        <v>754</v>
      </c>
      <c r="D5" s="12" t="n">
        <v>2724</v>
      </c>
      <c r="E5" s="0" t="s">
        <v>755</v>
      </c>
      <c r="F5" s="12" t="n">
        <v>117</v>
      </c>
      <c r="G5" s="0" t="s">
        <v>749</v>
      </c>
      <c r="H5" s="15" t="s">
        <v>756</v>
      </c>
      <c r="I5" s="0" t="s">
        <v>757</v>
      </c>
    </row>
    <row r="6" customFormat="false" ht="15" hidden="false" customHeight="false" outlineLevel="0" collapsed="false">
      <c r="A6" s="0" t="s">
        <v>758</v>
      </c>
      <c r="B6" s="0" t="s">
        <v>759</v>
      </c>
      <c r="C6" s="15" t="s">
        <v>760</v>
      </c>
      <c r="E6" s="12" t="n">
        <v>6303</v>
      </c>
      <c r="G6" s="0" t="s">
        <v>761</v>
      </c>
      <c r="H6" s="15" t="s">
        <v>762</v>
      </c>
      <c r="I6" s="0" t="s">
        <v>763</v>
      </c>
    </row>
    <row r="7" customFormat="false" ht="15" hidden="false" customHeight="false" outlineLevel="0" collapsed="false">
      <c r="A7" s="0" t="s">
        <v>764</v>
      </c>
      <c r="B7" s="0" t="s">
        <v>765</v>
      </c>
      <c r="C7" s="0" t="s">
        <v>766</v>
      </c>
      <c r="D7" s="12" t="n">
        <v>597</v>
      </c>
      <c r="F7" s="12" t="n">
        <v>597</v>
      </c>
      <c r="G7" s="0" t="s">
        <v>767</v>
      </c>
      <c r="H7" s="15" t="s">
        <v>768</v>
      </c>
      <c r="I7" s="0" t="s">
        <v>769</v>
      </c>
    </row>
    <row r="8" customFormat="false" ht="15" hidden="false" customHeight="false" outlineLevel="0" collapsed="false">
      <c r="A8" s="0" t="s">
        <v>764</v>
      </c>
      <c r="B8" s="0" t="s">
        <v>770</v>
      </c>
      <c r="C8" s="0" t="s">
        <v>766</v>
      </c>
      <c r="D8" s="12" t="n">
        <v>30</v>
      </c>
      <c r="F8" s="12" t="n">
        <v>30</v>
      </c>
      <c r="G8" s="0" t="s">
        <v>767</v>
      </c>
      <c r="I8" s="0" t="s">
        <v>540</v>
      </c>
    </row>
    <row r="9" customFormat="false" ht="15" hidden="false" customHeight="false" outlineLevel="0" collapsed="false">
      <c r="A9" s="0" t="s">
        <v>764</v>
      </c>
      <c r="B9" s="0" t="s">
        <v>771</v>
      </c>
      <c r="C9" s="0" t="s">
        <v>772</v>
      </c>
      <c r="D9" s="12" t="n">
        <v>1084</v>
      </c>
      <c r="F9" s="12" t="n">
        <v>1084</v>
      </c>
      <c r="G9" s="0" t="s">
        <v>767</v>
      </c>
      <c r="H9" s="15" t="s">
        <v>773</v>
      </c>
      <c r="I9" s="0" t="s">
        <v>774</v>
      </c>
    </row>
    <row r="10" customFormat="false" ht="15" hidden="false" customHeight="false" outlineLevel="0" collapsed="false">
      <c r="A10" s="0" t="s">
        <v>775</v>
      </c>
      <c r="B10" s="0" t="s">
        <v>776</v>
      </c>
      <c r="C10" s="0" t="s">
        <v>777</v>
      </c>
      <c r="D10" s="12" t="n">
        <v>390</v>
      </c>
      <c r="G10" s="0" t="s">
        <v>778</v>
      </c>
      <c r="H10" s="15" t="s">
        <v>779</v>
      </c>
      <c r="I10" s="0" t="s">
        <v>544</v>
      </c>
    </row>
    <row r="11" customFormat="false" ht="15" hidden="false" customHeight="false" outlineLevel="0" collapsed="false">
      <c r="A11" s="0" t="s">
        <v>780</v>
      </c>
      <c r="B11" s="0" t="s">
        <v>781</v>
      </c>
      <c r="C11" s="0" t="s">
        <v>782</v>
      </c>
      <c r="D11" s="12" t="n">
        <v>277</v>
      </c>
      <c r="G11" s="0" t="s">
        <v>783</v>
      </c>
      <c r="H11" s="15" t="s">
        <v>784</v>
      </c>
      <c r="I11" s="0" t="s">
        <v>520</v>
      </c>
    </row>
    <row r="12" customFormat="false" ht="15" hidden="false" customHeight="false" outlineLevel="0" collapsed="false">
      <c r="A12" s="0" t="s">
        <v>785</v>
      </c>
      <c r="B12" s="0" t="s">
        <v>786</v>
      </c>
      <c r="C12" s="15" t="s">
        <v>787</v>
      </c>
      <c r="D12" s="12" t="n">
        <v>6600</v>
      </c>
      <c r="E12" s="12" t="n">
        <v>5100</v>
      </c>
      <c r="F12" s="15" t="s">
        <v>788</v>
      </c>
      <c r="G12" s="0" t="s">
        <v>789</v>
      </c>
      <c r="H12" s="15" t="s">
        <v>790</v>
      </c>
      <c r="I12" s="0" t="s">
        <v>791</v>
      </c>
    </row>
    <row r="13" customFormat="false" ht="15" hidden="false" customHeight="false" outlineLevel="0" collapsed="false">
      <c r="A13" s="0" t="s">
        <v>792</v>
      </c>
      <c r="B13" s="0" t="s">
        <v>793</v>
      </c>
      <c r="C13" s="15" t="s">
        <v>794</v>
      </c>
      <c r="D13" s="12" t="n">
        <v>1500</v>
      </c>
      <c r="G13" s="0" t="s">
        <v>795</v>
      </c>
      <c r="H13" s="15" t="s">
        <v>796</v>
      </c>
      <c r="I13" s="0" t="s">
        <v>520</v>
      </c>
    </row>
    <row r="14" customFormat="false" ht="15" hidden="false" customHeight="false" outlineLevel="0" collapsed="false">
      <c r="A14" s="0" t="s">
        <v>797</v>
      </c>
      <c r="B14" s="0" t="s">
        <v>798</v>
      </c>
      <c r="C14" s="15" t="s">
        <v>799</v>
      </c>
      <c r="D14" s="12" t="n">
        <v>28635</v>
      </c>
      <c r="E14" s="0" t="s">
        <v>71</v>
      </c>
      <c r="F14" s="0" t="s">
        <v>71</v>
      </c>
      <c r="G14" s="0" t="s">
        <v>800</v>
      </c>
      <c r="H14" s="15" t="s">
        <v>801</v>
      </c>
      <c r="I14" s="0" t="s">
        <v>802</v>
      </c>
    </row>
    <row r="15" customFormat="false" ht="15" hidden="false" customHeight="false" outlineLevel="0" collapsed="false">
      <c r="A15" s="0" t="s">
        <v>803</v>
      </c>
      <c r="B15" s="0" t="s">
        <v>804</v>
      </c>
      <c r="C15" s="15" t="s">
        <v>805</v>
      </c>
      <c r="F15" s="12" t="n">
        <v>70</v>
      </c>
      <c r="G15" s="0" t="s">
        <v>806</v>
      </c>
      <c r="H15" s="15" t="s">
        <v>807</v>
      </c>
      <c r="I15" s="0" t="s">
        <v>808</v>
      </c>
    </row>
    <row r="16" customFormat="false" ht="15" hidden="false" customHeight="false" outlineLevel="0" collapsed="false">
      <c r="A16" s="0" t="s">
        <v>809</v>
      </c>
      <c r="B16" s="0" t="s">
        <v>810</v>
      </c>
      <c r="C16" s="15" t="s">
        <v>811</v>
      </c>
      <c r="D16" s="12" t="n">
        <v>30000</v>
      </c>
      <c r="G16" s="0" t="s">
        <v>812</v>
      </c>
      <c r="H16" s="15" t="s">
        <v>813</v>
      </c>
      <c r="I16" s="0" t="s">
        <v>520</v>
      </c>
    </row>
    <row r="18" customFormat="false" ht="15" hidden="false" customHeight="false" outlineLevel="0" collapsed="false">
      <c r="A18" s="0" t="s">
        <v>814</v>
      </c>
      <c r="C18" s="0" t="s">
        <v>815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6"/>
    <col collapsed="false" customWidth="true" hidden="false" outlineLevel="0" max="7" min="7" style="0" width="22"/>
    <col collapsed="false" customWidth="true" hidden="false" outlineLevel="0" max="13" min="8" style="0" width="16"/>
    <col collapsed="false" customWidth="true" hidden="false" outlineLevel="0" max="14" min="14" style="0" width="22"/>
    <col collapsed="false" customWidth="true" hidden="false" outlineLevel="0" max="18" min="15" style="0" width="16"/>
    <col collapsed="false" customWidth="true" hidden="false" outlineLevel="0" max="19" min="19" style="0" width="22"/>
    <col collapsed="false" customWidth="true" hidden="false" outlineLevel="0" max="32" min="20" style="0" width="16"/>
  </cols>
  <sheetData>
    <row r="1" customFormat="false" ht="60" hidden="false" customHeight="true" outlineLevel="0" collapsed="false">
      <c r="A1" s="11" t="s">
        <v>26</v>
      </c>
      <c r="B1" s="11" t="s">
        <v>816</v>
      </c>
      <c r="C1" s="11" t="s">
        <v>817</v>
      </c>
      <c r="D1" s="11" t="s">
        <v>118</v>
      </c>
      <c r="E1" s="11" t="s">
        <v>818</v>
      </c>
      <c r="F1" s="11" t="s">
        <v>819</v>
      </c>
      <c r="G1" s="11" t="s">
        <v>820</v>
      </c>
      <c r="H1" s="11" t="s">
        <v>821</v>
      </c>
      <c r="I1" s="11" t="s">
        <v>822</v>
      </c>
      <c r="J1" s="11" t="s">
        <v>823</v>
      </c>
      <c r="K1" s="11" t="s">
        <v>36</v>
      </c>
      <c r="L1" s="11" t="s">
        <v>37</v>
      </c>
      <c r="M1" s="11" t="s">
        <v>824</v>
      </c>
      <c r="N1" s="11" t="s">
        <v>825</v>
      </c>
      <c r="O1" s="11" t="s">
        <v>826</v>
      </c>
      <c r="P1" s="11" t="s">
        <v>50</v>
      </c>
      <c r="Q1" s="11" t="s">
        <v>51</v>
      </c>
      <c r="R1" s="11" t="s">
        <v>52</v>
      </c>
      <c r="S1" s="11" t="s">
        <v>827</v>
      </c>
      <c r="T1" s="11" t="s">
        <v>54</v>
      </c>
      <c r="U1" s="11" t="s">
        <v>55</v>
      </c>
      <c r="V1" s="11" t="s">
        <v>828</v>
      </c>
      <c r="W1" s="11" t="s">
        <v>829</v>
      </c>
      <c r="X1" s="11" t="s">
        <v>830</v>
      </c>
      <c r="Y1" s="11" t="s">
        <v>831</v>
      </c>
      <c r="Z1" s="11" t="s">
        <v>832</v>
      </c>
      <c r="AA1" s="11" t="s">
        <v>833</v>
      </c>
      <c r="AB1" s="11" t="s">
        <v>834</v>
      </c>
      <c r="AC1" s="11" t="s">
        <v>835</v>
      </c>
      <c r="AD1" s="11" t="s">
        <v>836</v>
      </c>
      <c r="AE1" s="11" t="s">
        <v>837</v>
      </c>
      <c r="AF1" s="11" t="s">
        <v>669</v>
      </c>
    </row>
    <row r="2" customFormat="false" ht="15" hidden="false" customHeight="false" outlineLevel="0" collapsed="false">
      <c r="A2" s="0" t="n">
        <v>2005</v>
      </c>
      <c r="B2" s="12" t="n">
        <v>4631888</v>
      </c>
      <c r="C2" s="0" t="s">
        <v>71</v>
      </c>
      <c r="D2" s="0" t="s">
        <v>71</v>
      </c>
      <c r="E2" s="0" t="s">
        <v>71</v>
      </c>
      <c r="F2" s="0" t="s">
        <v>71</v>
      </c>
      <c r="G2" s="13"/>
      <c r="H2" s="0" t="s">
        <v>71</v>
      </c>
      <c r="I2" s="0" t="s">
        <v>71</v>
      </c>
      <c r="J2" s="0" t="s">
        <v>71</v>
      </c>
      <c r="K2" s="0" t="s">
        <v>71</v>
      </c>
      <c r="L2" s="0" t="s">
        <v>71</v>
      </c>
      <c r="N2" s="13"/>
      <c r="O2" s="0" t="s">
        <v>71</v>
      </c>
      <c r="P2" s="0" t="s">
        <v>71</v>
      </c>
      <c r="Q2" s="0" t="s">
        <v>71</v>
      </c>
      <c r="R2" s="0" t="s">
        <v>71</v>
      </c>
      <c r="S2" s="0" t="s">
        <v>71</v>
      </c>
      <c r="T2" s="0" t="s">
        <v>71</v>
      </c>
      <c r="U2" s="0" t="s">
        <v>71</v>
      </c>
      <c r="V2" s="0" t="s">
        <v>71</v>
      </c>
      <c r="W2" s="0" t="s">
        <v>71</v>
      </c>
      <c r="X2" s="0" t="s">
        <v>71</v>
      </c>
      <c r="Y2" s="0" t="s">
        <v>71</v>
      </c>
      <c r="Z2" s="0" t="s">
        <v>71</v>
      </c>
      <c r="AA2" s="0" t="s">
        <v>71</v>
      </c>
      <c r="AB2" s="0" t="s">
        <v>71</v>
      </c>
      <c r="AC2" s="0" t="s">
        <v>71</v>
      </c>
      <c r="AD2" s="0" t="s">
        <v>71</v>
      </c>
      <c r="AF2" s="15" t="s">
        <v>838</v>
      </c>
    </row>
    <row r="3" customFormat="false" ht="15" hidden="false" customHeight="false" outlineLevel="0" collapsed="false">
      <c r="A3" s="0" t="n">
        <v>2006</v>
      </c>
      <c r="B3" s="12" t="n">
        <v>4720423</v>
      </c>
      <c r="C3" s="12" t="n">
        <v>4753377</v>
      </c>
      <c r="D3" s="12" t="n">
        <v>4414931</v>
      </c>
      <c r="E3" s="12" t="n">
        <v>338446</v>
      </c>
      <c r="F3" s="12" t="n">
        <v>3292556</v>
      </c>
      <c r="G3" s="16" t="str">
        <f aca="false">IF(AND(ISNUMBER(D3),ISNUMBER(D2)),D3-D2,"")</f>
        <v/>
      </c>
      <c r="H3" s="12" t="n">
        <v>3187</v>
      </c>
      <c r="I3" s="12" t="n">
        <v>2275</v>
      </c>
      <c r="J3" s="12" t="n">
        <v>3000836</v>
      </c>
      <c r="K3" s="0" t="s">
        <v>71</v>
      </c>
      <c r="L3" s="0" t="s">
        <v>71</v>
      </c>
      <c r="M3" s="0" t="s">
        <v>839</v>
      </c>
      <c r="N3" s="13"/>
      <c r="O3" s="0" t="s">
        <v>71</v>
      </c>
      <c r="P3" s="0" t="s">
        <v>71</v>
      </c>
      <c r="Q3" s="0" t="s">
        <v>71</v>
      </c>
      <c r="R3" s="0" t="s">
        <v>71</v>
      </c>
      <c r="S3" s="0" t="s">
        <v>71</v>
      </c>
      <c r="T3" s="0" t="s">
        <v>71</v>
      </c>
      <c r="U3" s="0" t="s">
        <v>71</v>
      </c>
      <c r="V3" s="0" t="s">
        <v>71</v>
      </c>
      <c r="W3" s="12" t="n">
        <v>1598728</v>
      </c>
      <c r="X3" s="12" t="n">
        <v>702492</v>
      </c>
      <c r="Y3" s="12" t="n">
        <v>234498</v>
      </c>
      <c r="Z3" s="12" t="n">
        <v>632793</v>
      </c>
      <c r="AA3" s="12" t="n">
        <v>26455</v>
      </c>
      <c r="AB3" s="0" t="s">
        <v>71</v>
      </c>
      <c r="AC3" s="0" t="s">
        <v>71</v>
      </c>
      <c r="AD3" s="0" t="s">
        <v>71</v>
      </c>
      <c r="AE3" s="15" t="s">
        <v>840</v>
      </c>
    </row>
    <row r="4" customFormat="false" ht="15" hidden="false" customHeight="false" outlineLevel="0" collapsed="false">
      <c r="A4" s="0" t="n">
        <v>2007</v>
      </c>
      <c r="B4" s="12" t="n">
        <v>4803868</v>
      </c>
      <c r="C4" s="12" t="n">
        <v>4861515</v>
      </c>
      <c r="D4" s="12" t="n">
        <v>4529302</v>
      </c>
      <c r="E4" s="12" t="n">
        <v>332213</v>
      </c>
      <c r="F4" s="12" t="n">
        <v>3380977</v>
      </c>
      <c r="G4" s="16" t="n">
        <f aca="false">IF(AND(ISNUMBER(D4),ISNUMBER(D3)),D4-D3,"")</f>
        <v>114371</v>
      </c>
      <c r="H4" s="0" t="s">
        <v>71</v>
      </c>
      <c r="I4" s="0" t="s">
        <v>71</v>
      </c>
      <c r="J4" s="0" t="s">
        <v>71</v>
      </c>
      <c r="K4" s="0" t="s">
        <v>71</v>
      </c>
      <c r="L4" s="0" t="s">
        <v>71</v>
      </c>
      <c r="N4" s="13"/>
      <c r="O4" s="0" t="s">
        <v>71</v>
      </c>
      <c r="P4" s="0" t="s">
        <v>71</v>
      </c>
      <c r="Q4" s="0" t="s">
        <v>71</v>
      </c>
      <c r="R4" s="0" t="s">
        <v>71</v>
      </c>
      <c r="S4" s="0" t="s">
        <v>71</v>
      </c>
      <c r="T4" s="0" t="s">
        <v>71</v>
      </c>
      <c r="U4" s="0" t="s">
        <v>71</v>
      </c>
      <c r="V4" s="0" t="s">
        <v>71</v>
      </c>
      <c r="W4" s="0" t="s">
        <v>71</v>
      </c>
      <c r="X4" s="0" t="s">
        <v>71</v>
      </c>
      <c r="Y4" s="0" t="s">
        <v>71</v>
      </c>
      <c r="Z4" s="0" t="s">
        <v>71</v>
      </c>
      <c r="AA4" s="0" t="s">
        <v>71</v>
      </c>
      <c r="AB4" s="0" t="s">
        <v>71</v>
      </c>
      <c r="AC4" s="0" t="s">
        <v>71</v>
      </c>
      <c r="AD4" s="0" t="s">
        <v>71</v>
      </c>
    </row>
    <row r="5" customFormat="false" ht="15" hidden="false" customHeight="false" outlineLevel="0" collapsed="false">
      <c r="A5" s="0" t="n">
        <v>2008</v>
      </c>
      <c r="B5" s="12" t="n">
        <v>4889730</v>
      </c>
      <c r="C5" s="12" t="n">
        <v>4939456</v>
      </c>
      <c r="D5" s="12" t="n">
        <v>4599143</v>
      </c>
      <c r="E5" s="12" t="n">
        <v>340313</v>
      </c>
      <c r="F5" s="12" t="n">
        <v>3435250</v>
      </c>
      <c r="G5" s="16" t="n">
        <f aca="false">IF(AND(ISNUMBER(D5),ISNUMBER(D4)),D5-D4,"")</f>
        <v>69841</v>
      </c>
      <c r="H5" s="12" t="n">
        <v>3374</v>
      </c>
      <c r="I5" s="12" t="n">
        <v>2437</v>
      </c>
      <c r="J5" s="12" t="n">
        <v>3214382</v>
      </c>
      <c r="K5" s="0" t="s">
        <v>71</v>
      </c>
      <c r="L5" s="0" t="s">
        <v>71</v>
      </c>
      <c r="M5" s="0" t="s">
        <v>841</v>
      </c>
      <c r="N5" s="16" t="n">
        <f aca="false">IF(AND(ISNUMBER(J5),ISNUMBER(J3)),J5-J3,"")</f>
        <v>213546</v>
      </c>
      <c r="O5" s="0" t="s">
        <v>71</v>
      </c>
      <c r="P5" s="0" t="s">
        <v>71</v>
      </c>
      <c r="Q5" s="0" t="s">
        <v>71</v>
      </c>
      <c r="R5" s="0" t="s">
        <v>71</v>
      </c>
      <c r="S5" s="0" t="s">
        <v>71</v>
      </c>
      <c r="T5" s="0" t="s">
        <v>71</v>
      </c>
      <c r="U5" s="0" t="s">
        <v>71</v>
      </c>
      <c r="V5" s="0" t="s">
        <v>71</v>
      </c>
      <c r="W5" s="12" t="n">
        <v>2426253</v>
      </c>
      <c r="X5" s="12" t="n">
        <v>490535</v>
      </c>
      <c r="Y5" s="12" t="n">
        <v>364969</v>
      </c>
      <c r="Z5" s="12" t="n">
        <v>1510842</v>
      </c>
      <c r="AA5" s="12" t="n">
        <v>47214</v>
      </c>
      <c r="AB5" s="0" t="s">
        <v>71</v>
      </c>
      <c r="AC5" s="0" t="s">
        <v>71</v>
      </c>
      <c r="AD5" s="0" t="s">
        <v>71</v>
      </c>
      <c r="AE5" s="0" t="s">
        <v>842</v>
      </c>
    </row>
    <row r="6" customFormat="false" ht="15" hidden="false" customHeight="false" outlineLevel="0" collapsed="false">
      <c r="A6" s="0" t="n">
        <v>2009</v>
      </c>
      <c r="B6" s="12" t="n">
        <v>4972195</v>
      </c>
      <c r="C6" s="12" t="n">
        <v>5024748</v>
      </c>
      <c r="D6" s="12" t="n">
        <v>4699098</v>
      </c>
      <c r="E6" s="12" t="n">
        <v>325650</v>
      </c>
      <c r="F6" s="12" t="n">
        <v>3504141</v>
      </c>
      <c r="G6" s="16" t="n">
        <f aca="false">IF(AND(ISNUMBER(D6),ISNUMBER(D5)),D6-D5,"")</f>
        <v>99955</v>
      </c>
      <c r="H6" s="0" t="s">
        <v>71</v>
      </c>
      <c r="I6" s="0" t="s">
        <v>71</v>
      </c>
      <c r="J6" s="0" t="s">
        <v>71</v>
      </c>
      <c r="K6" s="0" t="s">
        <v>71</v>
      </c>
      <c r="L6" s="0" t="s">
        <v>71</v>
      </c>
      <c r="N6" s="13"/>
      <c r="O6" s="0" t="s">
        <v>71</v>
      </c>
      <c r="P6" s="0" t="s">
        <v>71</v>
      </c>
      <c r="Q6" s="0" t="s">
        <v>71</v>
      </c>
      <c r="R6" s="0" t="s">
        <v>71</v>
      </c>
      <c r="S6" s="0" t="s">
        <v>71</v>
      </c>
      <c r="T6" s="0" t="s">
        <v>71</v>
      </c>
      <c r="U6" s="0" t="s">
        <v>71</v>
      </c>
      <c r="V6" s="0" t="s">
        <v>71</v>
      </c>
      <c r="W6" s="0" t="s">
        <v>71</v>
      </c>
      <c r="X6" s="0" t="s">
        <v>71</v>
      </c>
      <c r="Y6" s="0" t="s">
        <v>71</v>
      </c>
      <c r="Z6" s="0" t="s">
        <v>71</v>
      </c>
      <c r="AA6" s="0" t="s">
        <v>71</v>
      </c>
      <c r="AB6" s="0" t="s">
        <v>71</v>
      </c>
      <c r="AC6" s="0" t="s">
        <v>71</v>
      </c>
      <c r="AD6" s="0" t="s">
        <v>71</v>
      </c>
    </row>
    <row r="7" customFormat="false" ht="15" hidden="false" customHeight="false" outlineLevel="0" collapsed="false">
      <c r="A7" s="0" t="n">
        <v>2010</v>
      </c>
      <c r="B7" s="12" t="n">
        <v>5046928</v>
      </c>
      <c r="C7" s="12" t="n">
        <v>5049071</v>
      </c>
      <c r="D7" s="12" t="n">
        <v>4729312</v>
      </c>
      <c r="E7" s="12" t="n">
        <v>319759</v>
      </c>
      <c r="F7" s="12" t="n">
        <v>3534106</v>
      </c>
      <c r="G7" s="16" t="n">
        <f aca="false">IF(AND(ISNUMBER(D7),ISNUMBER(D6)),D7-D6,"")</f>
        <v>30214</v>
      </c>
      <c r="H7" s="12" t="n">
        <v>3473</v>
      </c>
      <c r="I7" s="12" t="n">
        <v>2299</v>
      </c>
      <c r="J7" s="12" t="n">
        <v>3293942</v>
      </c>
      <c r="K7" s="0" t="s">
        <v>71</v>
      </c>
      <c r="L7" s="0" t="s">
        <v>71</v>
      </c>
      <c r="M7" s="0" t="s">
        <v>843</v>
      </c>
      <c r="N7" s="16" t="n">
        <f aca="false">IF(AND(ISNUMBER(J7),ISNUMBER(J5)),J7-J5,"")</f>
        <v>79560</v>
      </c>
      <c r="O7" s="0" t="s">
        <v>71</v>
      </c>
      <c r="P7" s="0" t="s">
        <v>71</v>
      </c>
      <c r="Q7" s="0" t="s">
        <v>71</v>
      </c>
      <c r="R7" s="0" t="s">
        <v>71</v>
      </c>
      <c r="S7" s="0" t="s">
        <v>71</v>
      </c>
      <c r="T7" s="0" t="s">
        <v>71</v>
      </c>
      <c r="U7" s="0" t="s">
        <v>71</v>
      </c>
      <c r="V7" s="0" t="s">
        <v>71</v>
      </c>
      <c r="W7" s="12" t="n">
        <v>1828323</v>
      </c>
      <c r="X7" s="12" t="n">
        <v>400163</v>
      </c>
      <c r="Y7" s="12" t="n">
        <v>122053</v>
      </c>
      <c r="Z7" s="12" t="n">
        <v>1266035</v>
      </c>
      <c r="AA7" s="12" t="n">
        <v>35694</v>
      </c>
      <c r="AB7" s="0" t="s">
        <v>71</v>
      </c>
      <c r="AC7" s="0" t="s">
        <v>71</v>
      </c>
      <c r="AD7" s="0" t="s">
        <v>71</v>
      </c>
      <c r="AE7" s="0" t="s">
        <v>844</v>
      </c>
    </row>
    <row r="8" customFormat="false" ht="15" hidden="false" customHeight="false" outlineLevel="0" collapsed="false">
      <c r="A8" s="0" t="n">
        <v>2011</v>
      </c>
      <c r="B8" s="12" t="n">
        <v>5118837</v>
      </c>
      <c r="C8" s="12" t="n">
        <v>5116796</v>
      </c>
      <c r="D8" s="12" t="n">
        <v>4799788</v>
      </c>
      <c r="E8" s="12" t="n">
        <v>317008</v>
      </c>
      <c r="F8" s="12" t="n">
        <v>3603892</v>
      </c>
      <c r="G8" s="16" t="n">
        <f aca="false">IF(AND(ISNUMBER(D8),ISNUMBER(D7)),D8-D7,"")</f>
        <v>70476</v>
      </c>
      <c r="H8" s="0" t="s">
        <v>71</v>
      </c>
      <c r="I8" s="0" t="s">
        <v>71</v>
      </c>
      <c r="J8" s="0" t="s">
        <v>71</v>
      </c>
      <c r="K8" s="0" t="s">
        <v>71</v>
      </c>
      <c r="L8" s="0" t="s">
        <v>71</v>
      </c>
      <c r="N8" s="13"/>
      <c r="O8" s="0" t="s">
        <v>71</v>
      </c>
      <c r="P8" s="0" t="s">
        <v>71</v>
      </c>
      <c r="Q8" s="0" t="s">
        <v>71</v>
      </c>
      <c r="R8" s="0" t="s">
        <v>71</v>
      </c>
      <c r="S8" s="0" t="s">
        <v>71</v>
      </c>
      <c r="T8" s="0" t="s">
        <v>71</v>
      </c>
      <c r="U8" s="0" t="s">
        <v>71</v>
      </c>
      <c r="V8" s="0" t="s">
        <v>71</v>
      </c>
      <c r="W8" s="0" t="s">
        <v>71</v>
      </c>
      <c r="X8" s="0" t="s">
        <v>71</v>
      </c>
      <c r="Y8" s="0" t="s">
        <v>71</v>
      </c>
      <c r="Z8" s="0" t="s">
        <v>71</v>
      </c>
      <c r="AA8" s="0" t="s">
        <v>71</v>
      </c>
      <c r="AB8" s="0" t="s">
        <v>71</v>
      </c>
      <c r="AC8" s="0" t="s">
        <v>71</v>
      </c>
      <c r="AD8" s="0" t="s">
        <v>71</v>
      </c>
    </row>
    <row r="9" customFormat="false" ht="15" hidden="false" customHeight="false" outlineLevel="0" collapsed="false">
      <c r="A9" s="0" t="n">
        <v>2012</v>
      </c>
      <c r="B9" s="12" t="n">
        <v>5188139</v>
      </c>
      <c r="C9" s="12" t="n">
        <v>5187582</v>
      </c>
      <c r="D9" s="12" t="n">
        <v>4882536</v>
      </c>
      <c r="E9" s="12" t="n">
        <v>305046</v>
      </c>
      <c r="F9" s="12" t="n">
        <v>3682926</v>
      </c>
      <c r="G9" s="16" t="n">
        <f aca="false">IF(AND(ISNUMBER(D9),ISNUMBER(D8)),D9-D8,"")</f>
        <v>82748</v>
      </c>
      <c r="H9" s="12" t="n">
        <v>3544</v>
      </c>
      <c r="I9" s="12" t="n">
        <v>2635</v>
      </c>
      <c r="J9" s="12" t="n">
        <v>3651091</v>
      </c>
      <c r="K9" s="0" t="s">
        <v>71</v>
      </c>
      <c r="L9" s="0" t="s">
        <v>71</v>
      </c>
      <c r="M9" s="0" t="s">
        <v>845</v>
      </c>
      <c r="N9" s="16" t="n">
        <f aca="false">IF(AND(ISNUMBER(J9),ISNUMBER(J7)),J9-J7,"")</f>
        <v>357149</v>
      </c>
      <c r="O9" s="0" t="s">
        <v>71</v>
      </c>
      <c r="P9" s="0" t="s">
        <v>71</v>
      </c>
      <c r="Q9" s="0" t="s">
        <v>71</v>
      </c>
      <c r="R9" s="0" t="s">
        <v>71</v>
      </c>
      <c r="S9" s="0" t="s">
        <v>71</v>
      </c>
      <c r="T9" s="0" t="s">
        <v>71</v>
      </c>
      <c r="U9" s="0" t="s">
        <v>71</v>
      </c>
      <c r="V9" s="0" t="s">
        <v>71</v>
      </c>
      <c r="W9" s="12" t="n">
        <v>2594628</v>
      </c>
      <c r="X9" s="12" t="n">
        <v>421980</v>
      </c>
      <c r="Y9" s="12" t="n">
        <v>250797</v>
      </c>
      <c r="Z9" s="12" t="n">
        <v>1851529</v>
      </c>
      <c r="AA9" s="12" t="n">
        <v>52977</v>
      </c>
      <c r="AB9" s="0" t="s">
        <v>71</v>
      </c>
      <c r="AC9" s="0" t="s">
        <v>71</v>
      </c>
      <c r="AD9" s="0" t="s">
        <v>71</v>
      </c>
      <c r="AE9" s="0" t="s">
        <v>846</v>
      </c>
    </row>
    <row r="10" customFormat="false" ht="15" hidden="false" customHeight="false" outlineLevel="0" collapsed="false">
      <c r="A10" s="0" t="n">
        <v>2013</v>
      </c>
      <c r="B10" s="12" t="n">
        <v>5262801</v>
      </c>
      <c r="C10" s="12" t="n">
        <v>5268367</v>
      </c>
      <c r="D10" s="12" t="n">
        <v>4965333</v>
      </c>
      <c r="E10" s="12" t="n">
        <v>303034</v>
      </c>
      <c r="F10" s="12" t="n">
        <v>3756032</v>
      </c>
      <c r="G10" s="16" t="n">
        <f aca="false">IF(AND(ISNUMBER(D10),ISNUMBER(D9)),D10-D9,"")</f>
        <v>82797</v>
      </c>
      <c r="H10" s="0" t="s">
        <v>71</v>
      </c>
      <c r="I10" s="0" t="s">
        <v>71</v>
      </c>
      <c r="J10" s="0" t="s">
        <v>71</v>
      </c>
      <c r="K10" s="0" t="s">
        <v>71</v>
      </c>
      <c r="L10" s="0" t="s">
        <v>71</v>
      </c>
      <c r="N10" s="13"/>
      <c r="O10" s="0" t="s">
        <v>71</v>
      </c>
      <c r="P10" s="0" t="s">
        <v>71</v>
      </c>
      <c r="Q10" s="0" t="s">
        <v>71</v>
      </c>
      <c r="R10" s="0" t="s">
        <v>71</v>
      </c>
      <c r="S10" s="0" t="s">
        <v>71</v>
      </c>
      <c r="T10" s="0" t="s">
        <v>71</v>
      </c>
      <c r="U10" s="0" t="s">
        <v>71</v>
      </c>
      <c r="V10" s="0" t="s">
        <v>71</v>
      </c>
      <c r="W10" s="0" t="s">
        <v>71</v>
      </c>
      <c r="X10" s="0" t="s">
        <v>71</v>
      </c>
      <c r="Y10" s="0" t="s">
        <v>71</v>
      </c>
      <c r="Z10" s="0" t="s">
        <v>71</v>
      </c>
      <c r="AA10" s="0" t="s">
        <v>71</v>
      </c>
      <c r="AB10" s="0" t="s">
        <v>71</v>
      </c>
      <c r="AC10" s="0" t="s">
        <v>71</v>
      </c>
      <c r="AD10" s="0" t="s">
        <v>71</v>
      </c>
      <c r="AF10" s="15" t="s">
        <v>847</v>
      </c>
    </row>
    <row r="11" customFormat="false" ht="15" hidden="false" customHeight="false" outlineLevel="0" collapsed="false">
      <c r="A11" s="0" t="n">
        <v>2014</v>
      </c>
      <c r="B11" s="12" t="n">
        <v>5342212</v>
      </c>
      <c r="C11" s="12" t="n">
        <v>5355866</v>
      </c>
      <c r="D11" s="12" t="n">
        <v>5031995</v>
      </c>
      <c r="E11" s="12" t="n">
        <v>323871</v>
      </c>
      <c r="F11" s="12" t="n">
        <v>3811144</v>
      </c>
      <c r="G11" s="16" t="n">
        <f aca="false">IF(AND(ISNUMBER(D11),ISNUMBER(D10)),D11-D10,"")</f>
        <v>66662</v>
      </c>
      <c r="H11" s="12" t="n">
        <v>3732</v>
      </c>
      <c r="I11" s="12" t="n">
        <v>2654</v>
      </c>
      <c r="J11" s="12" t="n">
        <v>3649105</v>
      </c>
      <c r="K11" s="12" t="n">
        <v>2889034</v>
      </c>
      <c r="L11" s="12" t="n">
        <v>760071</v>
      </c>
      <c r="M11" s="0" t="s">
        <v>848</v>
      </c>
      <c r="N11" s="16" t="n">
        <f aca="false">IF(AND(ISNUMBER(J11),ISNUMBER(J9)),J11-J9,"")</f>
        <v>-1986</v>
      </c>
      <c r="O11" s="0" t="s">
        <v>71</v>
      </c>
      <c r="P11" s="12" t="n">
        <v>163902</v>
      </c>
      <c r="Q11" s="12" t="n">
        <v>62432</v>
      </c>
      <c r="R11" s="12" t="n">
        <v>17565</v>
      </c>
      <c r="S11" s="12" t="n">
        <v>50228</v>
      </c>
      <c r="T11" s="0" t="s">
        <v>71</v>
      </c>
      <c r="U11" s="12" t="n">
        <v>15116</v>
      </c>
      <c r="V11" s="0" t="s">
        <v>71</v>
      </c>
      <c r="W11" s="12" t="n">
        <v>2075858</v>
      </c>
      <c r="X11" s="12" t="n">
        <v>83440</v>
      </c>
      <c r="Y11" s="12" t="n">
        <v>17620</v>
      </c>
      <c r="Z11" s="12" t="n">
        <v>1967491</v>
      </c>
      <c r="AA11" s="12" t="n">
        <v>578</v>
      </c>
      <c r="AB11" s="12" t="n">
        <v>6729</v>
      </c>
      <c r="AC11" s="0" t="s">
        <v>71</v>
      </c>
      <c r="AD11" s="0" t="s">
        <v>71</v>
      </c>
      <c r="AE11" s="15" t="s">
        <v>849</v>
      </c>
    </row>
    <row r="12" customFormat="false" ht="15" hidden="false" customHeight="false" outlineLevel="0" collapsed="false">
      <c r="A12" s="0" t="n">
        <v>2015</v>
      </c>
      <c r="B12" s="12" t="n">
        <v>5441452</v>
      </c>
      <c r="C12" s="12" t="n">
        <v>5456574</v>
      </c>
      <c r="D12" s="12" t="n">
        <v>5127202</v>
      </c>
      <c r="E12" s="12" t="n">
        <v>329372</v>
      </c>
      <c r="F12" s="12" t="n">
        <v>3896986</v>
      </c>
      <c r="G12" s="16" t="n">
        <f aca="false">IF(AND(ISNUMBER(D12),ISNUMBER(D11)),D12-D11,"")</f>
        <v>95207</v>
      </c>
      <c r="H12" s="0" t="s">
        <v>71</v>
      </c>
      <c r="I12" s="0" t="s">
        <v>71</v>
      </c>
      <c r="J12" s="0" t="s">
        <v>71</v>
      </c>
      <c r="K12" s="0" t="s">
        <v>71</v>
      </c>
      <c r="L12" s="0" t="s">
        <v>71</v>
      </c>
      <c r="N12" s="13"/>
      <c r="O12" s="0" t="s">
        <v>71</v>
      </c>
      <c r="P12" s="0" t="s">
        <v>71</v>
      </c>
      <c r="Q12" s="0" t="s">
        <v>71</v>
      </c>
      <c r="R12" s="0" t="s">
        <v>71</v>
      </c>
      <c r="S12" s="0" t="s">
        <v>71</v>
      </c>
      <c r="T12" s="0" t="s">
        <v>71</v>
      </c>
      <c r="U12" s="0" t="s">
        <v>71</v>
      </c>
      <c r="V12" s="0" t="s">
        <v>71</v>
      </c>
      <c r="W12" s="0" t="s">
        <v>71</v>
      </c>
      <c r="X12" s="0" t="s">
        <v>71</v>
      </c>
      <c r="Y12" s="0" t="s">
        <v>71</v>
      </c>
      <c r="Z12" s="0" t="s">
        <v>71</v>
      </c>
      <c r="AA12" s="0" t="s">
        <v>71</v>
      </c>
      <c r="AB12" s="0" t="s">
        <v>71</v>
      </c>
      <c r="AC12" s="0" t="s">
        <v>71</v>
      </c>
      <c r="AD12" s="0" t="s">
        <v>71</v>
      </c>
    </row>
    <row r="13" customFormat="false" ht="15" hidden="false" customHeight="false" outlineLevel="0" collapsed="false">
      <c r="A13" s="0" t="n">
        <v>2016</v>
      </c>
      <c r="B13" s="12" t="n">
        <v>5528510</v>
      </c>
      <c r="C13" s="12" t="n">
        <v>5540545</v>
      </c>
      <c r="D13" s="12" t="n">
        <v>5211807</v>
      </c>
      <c r="E13" s="12" t="n">
        <v>328738</v>
      </c>
      <c r="F13" s="12" t="n">
        <v>3979278</v>
      </c>
      <c r="G13" s="16" t="n">
        <f aca="false">IF(AND(ISNUMBER(D13),ISNUMBER(D12)),D13-D12,"")</f>
        <v>84605</v>
      </c>
      <c r="H13" s="12" t="n">
        <v>3895</v>
      </c>
      <c r="I13" s="12" t="n">
        <v>2893</v>
      </c>
      <c r="J13" s="12" t="n">
        <v>3840303</v>
      </c>
      <c r="K13" s="12" t="n">
        <v>3336663</v>
      </c>
      <c r="L13" s="12" t="n">
        <v>503640</v>
      </c>
      <c r="M13" s="0" t="s">
        <v>850</v>
      </c>
      <c r="N13" s="16" t="n">
        <f aca="false">IF(AND(ISNUMBER(J13),ISNUMBER(J11)),J13-J11,"")</f>
        <v>191198</v>
      </c>
      <c r="O13" s="12" t="n">
        <v>536680</v>
      </c>
      <c r="P13" s="0" t="s">
        <v>71</v>
      </c>
      <c r="Q13" s="0" t="s">
        <v>71</v>
      </c>
      <c r="R13" s="0" t="s">
        <v>71</v>
      </c>
      <c r="S13" s="0" t="s">
        <v>71</v>
      </c>
      <c r="T13" s="0" t="s">
        <v>71</v>
      </c>
      <c r="U13" s="0" t="s">
        <v>71</v>
      </c>
      <c r="V13" s="12" t="n">
        <v>461029</v>
      </c>
      <c r="W13" s="12" t="n">
        <v>2884199</v>
      </c>
      <c r="X13" s="0" t="s">
        <v>71</v>
      </c>
      <c r="Y13" s="0" t="s">
        <v>71</v>
      </c>
      <c r="Z13" s="12" t="n">
        <v>2631744</v>
      </c>
      <c r="AA13" s="0" t="s">
        <v>71</v>
      </c>
      <c r="AB13" s="0" t="s">
        <v>71</v>
      </c>
      <c r="AC13" s="12" t="n">
        <v>3411107</v>
      </c>
      <c r="AD13" s="12" t="n">
        <v>2654993</v>
      </c>
      <c r="AE13" s="15" t="s">
        <v>851</v>
      </c>
      <c r="AF13" s="15" t="s">
        <v>852</v>
      </c>
    </row>
    <row r="14" customFormat="false" ht="15" hidden="false" customHeight="false" outlineLevel="0" collapsed="false">
      <c r="A14" s="0" t="n">
        <v>2017</v>
      </c>
      <c r="B14" s="12" t="n">
        <v>5599635</v>
      </c>
      <c r="C14" s="12" t="n">
        <v>5607154</v>
      </c>
      <c r="D14" s="12" t="n">
        <v>5290660</v>
      </c>
      <c r="E14" s="12" t="n">
        <v>316494</v>
      </c>
      <c r="F14" s="12" t="n">
        <v>4057437</v>
      </c>
      <c r="G14" s="16" t="n">
        <f aca="false">IF(AND(ISNUMBER(D14),ISNUMBER(D13)),D14-D13,"")</f>
        <v>78853</v>
      </c>
      <c r="H14" s="0" t="s">
        <v>71</v>
      </c>
      <c r="I14" s="0" t="s">
        <v>71</v>
      </c>
      <c r="J14" s="0" t="s">
        <v>71</v>
      </c>
      <c r="K14" s="0" t="s">
        <v>71</v>
      </c>
      <c r="L14" s="0" t="s">
        <v>71</v>
      </c>
      <c r="N14" s="13"/>
      <c r="O14" s="0" t="s">
        <v>71</v>
      </c>
      <c r="P14" s="0" t="s">
        <v>71</v>
      </c>
      <c r="Q14" s="0" t="s">
        <v>71</v>
      </c>
      <c r="R14" s="0" t="s">
        <v>71</v>
      </c>
      <c r="S14" s="0" t="s">
        <v>71</v>
      </c>
      <c r="T14" s="0" t="s">
        <v>71</v>
      </c>
      <c r="U14" s="0" t="s">
        <v>71</v>
      </c>
      <c r="V14" s="0" t="s">
        <v>71</v>
      </c>
      <c r="W14" s="0" t="s">
        <v>71</v>
      </c>
      <c r="X14" s="0" t="s">
        <v>71</v>
      </c>
      <c r="Y14" s="0" t="s">
        <v>71</v>
      </c>
      <c r="Z14" s="0" t="s">
        <v>71</v>
      </c>
      <c r="AA14" s="0" t="s">
        <v>71</v>
      </c>
      <c r="AB14" s="0" t="s">
        <v>71</v>
      </c>
      <c r="AC14" s="0" t="s">
        <v>71</v>
      </c>
      <c r="AD14" s="0" t="s">
        <v>71</v>
      </c>
    </row>
    <row r="15" customFormat="false" ht="15" hidden="false" customHeight="false" outlineLevel="0" collapsed="false">
      <c r="A15" s="0" t="n">
        <v>2018</v>
      </c>
      <c r="B15" s="12" t="n">
        <v>5676918</v>
      </c>
      <c r="C15" s="12" t="n">
        <v>5695564</v>
      </c>
      <c r="D15" s="12" t="n">
        <v>5393398</v>
      </c>
      <c r="E15" s="12" t="n">
        <v>302166</v>
      </c>
      <c r="F15" s="12" t="n">
        <v>4151040</v>
      </c>
      <c r="G15" s="16" t="n">
        <f aca="false">IF(AND(ISNUMBER(D15),ISNUMBER(D14)),D15-D14,"")</f>
        <v>102738</v>
      </c>
      <c r="H15" s="12" t="n">
        <v>4029</v>
      </c>
      <c r="I15" s="12" t="n">
        <v>2645</v>
      </c>
      <c r="J15" s="12" t="n">
        <v>3953613</v>
      </c>
      <c r="K15" s="12" t="n">
        <v>3426499</v>
      </c>
      <c r="L15" s="12" t="n">
        <v>527114</v>
      </c>
      <c r="M15" s="0" t="s">
        <v>853</v>
      </c>
      <c r="N15" s="16" t="n">
        <f aca="false">IF(AND(ISNUMBER(J15),ISNUMBER(J13)),J15-J13,"")</f>
        <v>113310</v>
      </c>
      <c r="O15" s="12" t="n">
        <v>378688</v>
      </c>
      <c r="P15" s="12" t="n">
        <v>289247</v>
      </c>
      <c r="Q15" s="12" t="n">
        <v>31257</v>
      </c>
      <c r="R15" s="12" t="n">
        <v>55825</v>
      </c>
      <c r="S15" s="12" t="n">
        <v>172379</v>
      </c>
      <c r="T15" s="12" t="n">
        <v>6506</v>
      </c>
      <c r="U15" s="12" t="n">
        <v>22745</v>
      </c>
      <c r="V15" s="12" t="n">
        <v>323475</v>
      </c>
      <c r="W15" s="12" t="n">
        <v>2586432</v>
      </c>
      <c r="X15" s="0" t="s">
        <v>71</v>
      </c>
      <c r="Y15" s="12" t="n">
        <v>89355</v>
      </c>
      <c r="Z15" s="12" t="n">
        <v>2430239</v>
      </c>
      <c r="AA15" s="0" t="s">
        <v>71</v>
      </c>
      <c r="AB15" s="0" t="s">
        <v>71</v>
      </c>
      <c r="AC15" s="12" t="n">
        <v>3467664</v>
      </c>
      <c r="AD15" s="12" t="n">
        <v>2449409</v>
      </c>
      <c r="AE15" s="15" t="s">
        <v>854</v>
      </c>
    </row>
    <row r="16" customFormat="false" ht="15" hidden="false" customHeight="false" outlineLevel="0" collapsed="false">
      <c r="A16" s="0" t="n">
        <v>2019</v>
      </c>
      <c r="B16" s="12" t="n">
        <v>5735797</v>
      </c>
      <c r="C16" s="12" t="n">
        <v>5758736</v>
      </c>
      <c r="D16" s="12" t="n">
        <v>5479562</v>
      </c>
      <c r="E16" s="12" t="n">
        <v>279174</v>
      </c>
      <c r="F16" s="12" t="n">
        <v>4244210</v>
      </c>
      <c r="G16" s="16" t="n">
        <f aca="false">IF(AND(ISNUMBER(D16),ISNUMBER(D15)),D16-D15,"")</f>
        <v>86164</v>
      </c>
      <c r="H16" s="0" t="s">
        <v>71</v>
      </c>
      <c r="I16" s="0" t="s">
        <v>71</v>
      </c>
      <c r="J16" s="0" t="s">
        <v>71</v>
      </c>
      <c r="K16" s="0" t="s">
        <v>71</v>
      </c>
      <c r="L16" s="0" t="s">
        <v>71</v>
      </c>
      <c r="N16" s="13"/>
      <c r="O16" s="0" t="s">
        <v>71</v>
      </c>
      <c r="P16" s="0" t="s">
        <v>71</v>
      </c>
      <c r="Q16" s="0" t="s">
        <v>71</v>
      </c>
      <c r="R16" s="0" t="s">
        <v>71</v>
      </c>
      <c r="S16" s="0" t="s">
        <v>71</v>
      </c>
      <c r="T16" s="0" t="s">
        <v>71</v>
      </c>
      <c r="U16" s="0" t="s">
        <v>71</v>
      </c>
      <c r="V16" s="0" t="s">
        <v>71</v>
      </c>
      <c r="W16" s="0" t="s">
        <v>71</v>
      </c>
      <c r="X16" s="0" t="s">
        <v>71</v>
      </c>
      <c r="Y16" s="0" t="s">
        <v>71</v>
      </c>
      <c r="Z16" s="0" t="s">
        <v>71</v>
      </c>
      <c r="AA16" s="0" t="s">
        <v>71</v>
      </c>
      <c r="AB16" s="0" t="s">
        <v>71</v>
      </c>
      <c r="AC16" s="0" t="s">
        <v>71</v>
      </c>
      <c r="AD16" s="0" t="s">
        <v>71</v>
      </c>
    </row>
    <row r="17" customFormat="false" ht="15" hidden="false" customHeight="false" outlineLevel="0" collapsed="false">
      <c r="A17" s="0" t="n">
        <v>2020</v>
      </c>
      <c r="B17" s="12" t="n">
        <v>5786873</v>
      </c>
      <c r="C17" s="12" t="n">
        <v>5807719</v>
      </c>
      <c r="D17" s="12" t="n">
        <v>5539302</v>
      </c>
      <c r="E17" s="12" t="n">
        <v>268417</v>
      </c>
      <c r="F17" s="0" t="s">
        <v>71</v>
      </c>
      <c r="G17" s="13" t="s">
        <v>75</v>
      </c>
      <c r="H17" s="12" t="n">
        <v>4200</v>
      </c>
      <c r="I17" s="12" t="n">
        <v>2993</v>
      </c>
      <c r="J17" s="12" t="n">
        <v>4211528</v>
      </c>
      <c r="K17" s="12" t="n">
        <v>3803762</v>
      </c>
      <c r="L17" s="12" t="n">
        <v>407766</v>
      </c>
      <c r="M17" s="0" t="s">
        <v>855</v>
      </c>
      <c r="N17" s="16" t="n">
        <f aca="false">IF(AND(ISNUMBER(J17),ISNUMBER(J15)),J17-J15,"")</f>
        <v>257915</v>
      </c>
      <c r="O17" s="12" t="n">
        <v>1486922</v>
      </c>
      <c r="P17" s="12" t="n">
        <v>416819</v>
      </c>
      <c r="Q17" s="12" t="n">
        <v>104155</v>
      </c>
      <c r="R17" s="12" t="n">
        <v>62005</v>
      </c>
      <c r="S17" s="12" t="n">
        <v>210941</v>
      </c>
      <c r="T17" s="12" t="n">
        <v>5183</v>
      </c>
      <c r="U17" s="12" t="n">
        <v>32908</v>
      </c>
      <c r="V17" s="12" t="n">
        <v>705625</v>
      </c>
      <c r="W17" s="12" t="n">
        <v>3320607</v>
      </c>
      <c r="X17" s="12" t="n">
        <v>89789</v>
      </c>
      <c r="Y17" s="12" t="n">
        <v>108856</v>
      </c>
      <c r="Z17" s="12" t="n">
        <v>3092904</v>
      </c>
      <c r="AA17" s="12" t="n">
        <v>642</v>
      </c>
      <c r="AB17" s="12" t="n">
        <v>28908</v>
      </c>
      <c r="AC17" s="12" t="n">
        <v>3904381</v>
      </c>
      <c r="AD17" s="12" t="n">
        <v>3122440</v>
      </c>
      <c r="AE17" s="0" t="s">
        <v>856</v>
      </c>
      <c r="AF17" s="15" t="s">
        <v>857</v>
      </c>
    </row>
    <row r="18" customFormat="false" ht="15" hidden="false" customHeight="false" outlineLevel="0" collapsed="false">
      <c r="A18" s="0" t="n">
        <v>2021</v>
      </c>
      <c r="B18" s="12" t="n">
        <v>5814368</v>
      </c>
      <c r="C18" s="12" t="n">
        <v>5812069</v>
      </c>
      <c r="D18" s="12" t="n">
        <v>5521011</v>
      </c>
      <c r="E18" s="12" t="n">
        <v>291058</v>
      </c>
      <c r="F18" s="12" t="n">
        <v>4303604</v>
      </c>
      <c r="G18" s="13" t="s">
        <v>75</v>
      </c>
      <c r="H18" s="0" t="s">
        <v>71</v>
      </c>
      <c r="I18" s="0" t="s">
        <v>71</v>
      </c>
      <c r="J18" s="0" t="s">
        <v>71</v>
      </c>
      <c r="K18" s="0" t="s">
        <v>71</v>
      </c>
      <c r="L18" s="0" t="s">
        <v>71</v>
      </c>
      <c r="N18" s="13"/>
      <c r="O18" s="0" t="s">
        <v>71</v>
      </c>
      <c r="P18" s="0" t="s">
        <v>71</v>
      </c>
      <c r="Q18" s="0" t="s">
        <v>71</v>
      </c>
      <c r="R18" s="0" t="s">
        <v>71</v>
      </c>
      <c r="S18" s="0" t="s">
        <v>71</v>
      </c>
      <c r="T18" s="0" t="s">
        <v>71</v>
      </c>
      <c r="U18" s="0" t="s">
        <v>71</v>
      </c>
      <c r="V18" s="0" t="s">
        <v>71</v>
      </c>
      <c r="W18" s="0" t="s">
        <v>71</v>
      </c>
      <c r="X18" s="0" t="s">
        <v>71</v>
      </c>
      <c r="Y18" s="0" t="s">
        <v>71</v>
      </c>
      <c r="Z18" s="0" t="s">
        <v>71</v>
      </c>
      <c r="AA18" s="0" t="s">
        <v>71</v>
      </c>
      <c r="AB18" s="0" t="s">
        <v>71</v>
      </c>
      <c r="AC18" s="0" t="s">
        <v>71</v>
      </c>
      <c r="AD18" s="0" t="s">
        <v>71</v>
      </c>
    </row>
    <row r="19" customFormat="false" ht="15" hidden="false" customHeight="false" outlineLevel="0" collapsed="false">
      <c r="A19" s="0" t="n">
        <v>2022</v>
      </c>
      <c r="B19" s="12" t="n">
        <v>5853355</v>
      </c>
      <c r="C19" s="12" t="n">
        <v>5839926</v>
      </c>
      <c r="D19" s="12" t="n">
        <v>5554892</v>
      </c>
      <c r="E19" s="12" t="n">
        <v>285034</v>
      </c>
      <c r="F19" s="12" t="n">
        <v>4369352</v>
      </c>
      <c r="G19" s="16" t="n">
        <f aca="false">IF(AND(ISNUMBER(D19),ISNUMBER(D18)),D19-D18,"")</f>
        <v>33881</v>
      </c>
      <c r="H19" s="12" t="n">
        <v>4384</v>
      </c>
      <c r="I19" s="12" t="n">
        <v>3162</v>
      </c>
      <c r="J19" s="12" t="n">
        <v>4355778</v>
      </c>
      <c r="K19" s="12" t="n">
        <v>3839814</v>
      </c>
      <c r="L19" s="12" t="n">
        <v>515964</v>
      </c>
      <c r="M19" s="0" t="s">
        <v>858</v>
      </c>
      <c r="N19" s="16" t="n">
        <f aca="false">IF(AND(ISNUMBER(J19),ISNUMBER(J17)),J19-J17,"")</f>
        <v>144250</v>
      </c>
      <c r="O19" s="12" t="n">
        <v>1189963</v>
      </c>
      <c r="P19" s="12" t="n">
        <v>394628</v>
      </c>
      <c r="Q19" s="12" t="n">
        <v>59977</v>
      </c>
      <c r="R19" s="12" t="n">
        <v>99024</v>
      </c>
      <c r="S19" s="12" t="n">
        <v>161607</v>
      </c>
      <c r="T19" s="12" t="n">
        <v>9480</v>
      </c>
      <c r="U19" s="12" t="n">
        <v>64478</v>
      </c>
      <c r="V19" s="12" t="n">
        <v>651897</v>
      </c>
      <c r="W19" s="12" t="n">
        <v>2539897</v>
      </c>
      <c r="X19" s="12" t="n">
        <v>93149</v>
      </c>
      <c r="Y19" s="12" t="n">
        <v>27022</v>
      </c>
      <c r="Z19" s="12" t="n">
        <v>2406246</v>
      </c>
      <c r="AA19" s="12" t="n">
        <v>370</v>
      </c>
      <c r="AB19" s="12" t="n">
        <v>13426</v>
      </c>
      <c r="AC19" s="12" t="n">
        <v>3890522</v>
      </c>
      <c r="AD19" s="12" t="n">
        <v>2431292</v>
      </c>
      <c r="AE19" s="0" t="s">
        <v>859</v>
      </c>
    </row>
    <row r="20" customFormat="false" ht="15" hidden="false" customHeight="false" outlineLevel="0" collapsed="false">
      <c r="A20" s="0" t="n">
        <v>2023</v>
      </c>
      <c r="B20" s="12" t="n">
        <v>5912240</v>
      </c>
      <c r="C20" s="12" t="n">
        <v>5877610</v>
      </c>
      <c r="D20" s="12" t="n">
        <v>5576792</v>
      </c>
      <c r="E20" s="12" t="n">
        <v>300818</v>
      </c>
      <c r="F20" s="12" t="n">
        <v>4390366</v>
      </c>
      <c r="G20" s="16" t="n">
        <f aca="false">IF(AND(ISNUMBER(D20),ISNUMBER(D19)),D20-D19,"")</f>
        <v>21900</v>
      </c>
      <c r="H20" s="0" t="s">
        <v>71</v>
      </c>
      <c r="I20" s="0" t="s">
        <v>71</v>
      </c>
      <c r="J20" s="0" t="s">
        <v>71</v>
      </c>
      <c r="K20" s="0" t="s">
        <v>71</v>
      </c>
      <c r="L20" s="0" t="s">
        <v>71</v>
      </c>
      <c r="N20" s="13"/>
      <c r="O20" s="0" t="s">
        <v>71</v>
      </c>
      <c r="P20" s="0" t="s">
        <v>71</v>
      </c>
      <c r="Q20" s="0" t="s">
        <v>71</v>
      </c>
      <c r="R20" s="0" t="s">
        <v>71</v>
      </c>
      <c r="S20" s="0" t="s">
        <v>71</v>
      </c>
      <c r="T20" s="0" t="s">
        <v>71</v>
      </c>
      <c r="U20" s="0" t="s">
        <v>71</v>
      </c>
      <c r="V20" s="0" t="s">
        <v>71</v>
      </c>
      <c r="W20" s="0" t="s">
        <v>71</v>
      </c>
      <c r="X20" s="0" t="s">
        <v>71</v>
      </c>
      <c r="Y20" s="0" t="s">
        <v>71</v>
      </c>
      <c r="Z20" s="0" t="s">
        <v>71</v>
      </c>
      <c r="AA20" s="0" t="s">
        <v>71</v>
      </c>
      <c r="AB20" s="0" t="s">
        <v>71</v>
      </c>
      <c r="AC20" s="0" t="s">
        <v>71</v>
      </c>
      <c r="AD20" s="0" t="s">
        <v>71</v>
      </c>
    </row>
    <row r="21" customFormat="false" ht="15" hidden="false" customHeight="false" outlineLevel="0" collapsed="false">
      <c r="A21" s="0" t="n">
        <v>2024</v>
      </c>
      <c r="B21" s="12" t="n">
        <v>5988502</v>
      </c>
      <c r="C21" s="12" t="n">
        <v>5957494</v>
      </c>
      <c r="D21" s="12" t="n">
        <v>5625494</v>
      </c>
      <c r="E21" s="12" t="n">
        <v>332000</v>
      </c>
      <c r="F21" s="12" t="n">
        <v>4453187</v>
      </c>
      <c r="G21" s="16" t="n">
        <f aca="false">IF(AND(ISNUMBER(D21),ISNUMBER(D20)),D21-D20,"")</f>
        <v>48702</v>
      </c>
      <c r="H21" s="12" t="n">
        <v>4277</v>
      </c>
      <c r="I21" s="12" t="n">
        <v>3158</v>
      </c>
      <c r="J21" s="12" t="n">
        <v>4583280</v>
      </c>
      <c r="K21" s="12" t="n">
        <v>4074612</v>
      </c>
      <c r="L21" s="12" t="n">
        <v>508668</v>
      </c>
      <c r="M21" s="0" t="s">
        <v>860</v>
      </c>
      <c r="N21" s="16" t="n">
        <f aca="false">IF(AND(ISNUMBER(J21),ISNUMBER(J19)),J21-J19,"")</f>
        <v>227502</v>
      </c>
      <c r="O21" s="12" t="n">
        <v>498308</v>
      </c>
      <c r="P21" s="12" t="n">
        <v>389334</v>
      </c>
      <c r="Q21" s="12" t="n">
        <v>51622</v>
      </c>
      <c r="R21" s="12" t="n">
        <v>104494</v>
      </c>
      <c r="S21" s="12" t="n">
        <v>160239</v>
      </c>
      <c r="T21" s="12" t="n">
        <v>11331</v>
      </c>
      <c r="U21" s="12" t="n">
        <v>60643</v>
      </c>
      <c r="V21" s="12" t="n">
        <v>523868</v>
      </c>
      <c r="W21" s="12" t="n">
        <v>3240754</v>
      </c>
      <c r="X21" s="12" t="n">
        <v>141556</v>
      </c>
      <c r="Y21" s="12" t="n">
        <v>109209</v>
      </c>
      <c r="Z21" s="12" t="n">
        <v>2957550</v>
      </c>
      <c r="AA21" s="12" t="n">
        <v>205</v>
      </c>
      <c r="AB21" s="12" t="n">
        <v>32234</v>
      </c>
      <c r="AC21" s="12" t="n">
        <v>4090266</v>
      </c>
      <c r="AD21" s="12" t="n">
        <v>3000301</v>
      </c>
      <c r="AE21" s="0" t="s">
        <v>861</v>
      </c>
    </row>
    <row r="22" customFormat="false" ht="15" hidden="false" customHeight="false" outlineLevel="0" collapsed="false">
      <c r="A22" s="0" t="n">
        <v>2025</v>
      </c>
      <c r="B22" s="12" t="n">
        <v>6012561</v>
      </c>
      <c r="C22" s="0" t="s">
        <v>71</v>
      </c>
      <c r="D22" s="0" t="s">
        <v>71</v>
      </c>
      <c r="E22" s="0" t="s">
        <v>71</v>
      </c>
      <c r="F22" s="0" t="s">
        <v>71</v>
      </c>
      <c r="G22" s="16" t="str">
        <f aca="false">IF(AND(ISNUMBER(D22),ISNUMBER(D21)),D22-D21,"")</f>
        <v/>
      </c>
      <c r="H22" s="0" t="s">
        <v>71</v>
      </c>
      <c r="I22" s="0" t="s">
        <v>71</v>
      </c>
      <c r="J22" s="0" t="s">
        <v>71</v>
      </c>
      <c r="K22" s="0" t="s">
        <v>71</v>
      </c>
      <c r="L22" s="0" t="s">
        <v>71</v>
      </c>
      <c r="N22" s="13"/>
      <c r="O22" s="0" t="s">
        <v>71</v>
      </c>
      <c r="P22" s="0" t="s">
        <v>71</v>
      </c>
      <c r="Q22" s="0" t="s">
        <v>71</v>
      </c>
      <c r="R22" s="0" t="s">
        <v>71</v>
      </c>
      <c r="S22" s="0" t="s">
        <v>71</v>
      </c>
      <c r="T22" s="0" t="s">
        <v>71</v>
      </c>
      <c r="U22" s="0" t="s">
        <v>71</v>
      </c>
      <c r="V22" s="0" t="s">
        <v>71</v>
      </c>
      <c r="W22" s="0" t="s">
        <v>71</v>
      </c>
      <c r="X22" s="0" t="s">
        <v>71</v>
      </c>
      <c r="Y22" s="0" t="s">
        <v>71</v>
      </c>
      <c r="Z22" s="0" t="s">
        <v>71</v>
      </c>
      <c r="AA22" s="0" t="s">
        <v>71</v>
      </c>
      <c r="AB22" s="0" t="s">
        <v>71</v>
      </c>
      <c r="AC22" s="0" t="s">
        <v>71</v>
      </c>
      <c r="AD22" s="0" t="s">
        <v>71</v>
      </c>
      <c r="AF22" s="15" t="s">
        <v>862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26"/>
    <col collapsed="false" customWidth="true" hidden="false" outlineLevel="0" max="5" min="4" style="0" width="34"/>
    <col collapsed="false" customWidth="true" hidden="false" outlineLevel="0" max="6" min="6" style="0" width="70"/>
  </cols>
  <sheetData>
    <row r="1" customFormat="false" ht="60" hidden="false" customHeight="true" outlineLevel="0" collapsed="false">
      <c r="A1" s="11" t="s">
        <v>863</v>
      </c>
      <c r="B1" s="11" t="s">
        <v>864</v>
      </c>
      <c r="C1" s="11" t="s">
        <v>865</v>
      </c>
      <c r="D1" s="11" t="s">
        <v>866</v>
      </c>
      <c r="E1" s="11" t="s">
        <v>867</v>
      </c>
      <c r="F1" s="11" t="s">
        <v>868</v>
      </c>
    </row>
    <row r="2" customFormat="false" ht="15" hidden="false" customHeight="false" outlineLevel="0" collapsed="false">
      <c r="A2" s="0" t="s">
        <v>869</v>
      </c>
      <c r="B2" s="0" t="s">
        <v>870</v>
      </c>
      <c r="C2" s="12" t="n">
        <v>234504358</v>
      </c>
      <c r="D2" s="15" t="s">
        <v>871</v>
      </c>
      <c r="E2" s="12" t="n">
        <v>173854000</v>
      </c>
      <c r="F2" s="15" t="s">
        <v>872</v>
      </c>
    </row>
    <row r="3" customFormat="false" ht="15" hidden="false" customHeight="false" outlineLevel="0" collapsed="false">
      <c r="A3" s="0" t="s">
        <v>873</v>
      </c>
      <c r="B3" s="0" t="s">
        <v>257</v>
      </c>
      <c r="C3" s="12" t="n">
        <v>226339980</v>
      </c>
      <c r="D3" s="0" t="s">
        <v>221</v>
      </c>
      <c r="E3" s="12" t="n">
        <v>161422000</v>
      </c>
      <c r="F3" s="0" t="s">
        <v>874</v>
      </c>
    </row>
    <row r="4" customFormat="false" ht="15" hidden="false" customHeight="false" outlineLevel="0" collapsed="false">
      <c r="A4" s="0" t="s">
        <v>875</v>
      </c>
      <c r="B4" s="0" t="s">
        <v>261</v>
      </c>
      <c r="C4" s="12" t="n">
        <v>228004364</v>
      </c>
      <c r="D4" s="0" t="s">
        <v>876</v>
      </c>
      <c r="E4" s="12" t="n">
        <v>168308000</v>
      </c>
      <c r="F4" s="0" t="s">
        <v>874</v>
      </c>
    </row>
    <row r="5" customFormat="false" ht="15" hidden="false" customHeight="false" outlineLevel="0" collapsed="false">
      <c r="A5" s="0" t="s">
        <v>877</v>
      </c>
      <c r="B5" s="0" t="s">
        <v>878</v>
      </c>
      <c r="C5" s="12" t="n">
        <v>211665577</v>
      </c>
      <c r="D5" s="0" t="s">
        <v>879</v>
      </c>
      <c r="E5" s="12" t="n">
        <v>211601918</v>
      </c>
      <c r="F5" s="15" t="s">
        <v>880</v>
      </c>
    </row>
    <row r="6" customFormat="false" ht="15" hidden="false" customHeight="false" outlineLevel="0" collapsed="false">
      <c r="A6" s="0" t="s">
        <v>881</v>
      </c>
      <c r="B6" s="0" t="s">
        <v>882</v>
      </c>
      <c r="C6" s="12" t="n">
        <v>214109360</v>
      </c>
      <c r="D6" s="0" t="s">
        <v>883</v>
      </c>
      <c r="E6" s="12" t="n">
        <v>214109367</v>
      </c>
      <c r="F6" s="0" t="s">
        <v>884</v>
      </c>
    </row>
    <row r="7" customFormat="false" ht="15" hidden="false" customHeight="false" outlineLevel="0" collapsed="false">
      <c r="A7" s="0" t="s">
        <v>885</v>
      </c>
      <c r="B7" s="0" t="s">
        <v>886</v>
      </c>
      <c r="C7" s="12" t="n">
        <v>239035960</v>
      </c>
      <c r="D7" s="0" t="s">
        <v>887</v>
      </c>
      <c r="E7" s="12" t="n">
        <v>241710190</v>
      </c>
      <c r="F7" s="0" t="s">
        <v>888</v>
      </c>
    </row>
    <row r="8" customFormat="false" ht="15" hidden="false" customHeight="false" outlineLevel="0" collapsed="false">
      <c r="A8" s="0" t="s">
        <v>889</v>
      </c>
      <c r="B8" s="0" t="s">
        <v>890</v>
      </c>
      <c r="C8" s="12" t="n">
        <v>172805006</v>
      </c>
      <c r="D8" s="0" t="s">
        <v>891</v>
      </c>
      <c r="E8" s="12" t="n">
        <v>172251706</v>
      </c>
      <c r="F8" s="0" t="s">
        <v>892</v>
      </c>
    </row>
    <row r="9" customFormat="false" ht="15" hidden="false" customHeight="false" outlineLevel="0" collapsed="false">
      <c r="A9" s="0" t="s">
        <v>893</v>
      </c>
      <c r="B9" s="0" t="s">
        <v>894</v>
      </c>
      <c r="C9" s="12" t="n">
        <v>189844867</v>
      </c>
      <c r="D9" s="0" t="s">
        <v>895</v>
      </c>
      <c r="E9" s="0" t="s">
        <v>896</v>
      </c>
    </row>
    <row r="10" customFormat="false" ht="15" hidden="false" customHeight="false" outlineLevel="0" collapsed="false">
      <c r="A10" s="0" t="s">
        <v>897</v>
      </c>
      <c r="B10" s="0" t="s">
        <v>898</v>
      </c>
      <c r="C10" s="12" t="n">
        <v>186874157</v>
      </c>
      <c r="D10" s="0" t="s">
        <v>899</v>
      </c>
      <c r="E10" s="12" t="n">
        <v>186282492</v>
      </c>
    </row>
    <row r="11" customFormat="false" ht="15" hidden="false" customHeight="false" outlineLevel="0" collapsed="false">
      <c r="A11" s="0" t="s">
        <v>900</v>
      </c>
      <c r="B11" s="0" t="s">
        <v>901</v>
      </c>
      <c r="C11" s="12" t="n">
        <v>194198928</v>
      </c>
      <c r="D11" s="0" t="s">
        <v>902</v>
      </c>
      <c r="E11" s="12" t="n">
        <v>193585443</v>
      </c>
    </row>
    <row r="12" customFormat="false" ht="15" hidden="false" customHeight="false" outlineLevel="0" collapsed="false">
      <c r="A12" s="0" t="s">
        <v>903</v>
      </c>
      <c r="B12" s="0" t="s">
        <v>860</v>
      </c>
      <c r="C12" s="12" t="n">
        <v>4482207</v>
      </c>
      <c r="D12" s="0" t="s">
        <v>904</v>
      </c>
      <c r="E12" s="12" t="n">
        <v>4576275</v>
      </c>
    </row>
    <row r="13" customFormat="false" ht="15" hidden="false" customHeight="false" outlineLevel="0" collapsed="false">
      <c r="A13" s="0" t="s">
        <v>905</v>
      </c>
      <c r="B13" s="0" t="s">
        <v>860</v>
      </c>
      <c r="C13" s="12" t="n">
        <v>6504112</v>
      </c>
      <c r="D13" s="0" t="s">
        <v>906</v>
      </c>
      <c r="E13" s="12" t="n">
        <v>6504140</v>
      </c>
    </row>
    <row r="14" customFormat="false" ht="15" hidden="false" customHeight="false" outlineLevel="0" collapsed="false">
      <c r="A14" s="0" t="s">
        <v>907</v>
      </c>
      <c r="B14" s="0" t="s">
        <v>860</v>
      </c>
      <c r="C14" s="12" t="n">
        <v>293862</v>
      </c>
      <c r="D14" s="0" t="s">
        <v>906</v>
      </c>
      <c r="E14" s="12" t="n">
        <v>296581</v>
      </c>
    </row>
    <row r="15" customFormat="false" ht="15" hidden="false" customHeight="false" outlineLevel="0" collapsed="false">
      <c r="A15" s="0" t="s">
        <v>908</v>
      </c>
      <c r="B15" s="0" t="s">
        <v>860</v>
      </c>
      <c r="C15" s="12" t="n">
        <v>13382</v>
      </c>
      <c r="D15" s="0" t="s">
        <v>906</v>
      </c>
      <c r="E15" s="12" t="n">
        <v>13354</v>
      </c>
    </row>
    <row r="16" customFormat="false" ht="15" hidden="false" customHeight="false" outlineLevel="0" collapsed="false">
      <c r="A16" s="0" t="s">
        <v>909</v>
      </c>
      <c r="B16" s="0" t="s">
        <v>860</v>
      </c>
      <c r="C16" s="12" t="n">
        <v>1002042</v>
      </c>
      <c r="D16" s="0" t="s">
        <v>906</v>
      </c>
      <c r="E16" s="12" t="n">
        <v>894413</v>
      </c>
    </row>
    <row r="17" customFormat="false" ht="15" hidden="false" customHeight="false" outlineLevel="0" collapsed="false">
      <c r="A17" s="0" t="s">
        <v>910</v>
      </c>
      <c r="B17" s="0" t="s">
        <v>860</v>
      </c>
      <c r="C17" s="12" t="n">
        <v>39670903</v>
      </c>
      <c r="D17" s="0" t="s">
        <v>906</v>
      </c>
      <c r="E17" s="12" t="n">
        <v>38803086</v>
      </c>
    </row>
    <row r="18" customFormat="false" ht="15" hidden="false" customHeight="false" outlineLevel="0" collapsed="false">
      <c r="A18" s="0" t="s">
        <v>911</v>
      </c>
      <c r="B18" s="0" t="s">
        <v>912</v>
      </c>
      <c r="C18" s="15" t="s">
        <v>913</v>
      </c>
      <c r="D18" s="15" t="s">
        <v>914</v>
      </c>
      <c r="E18" s="15" t="s">
        <v>915</v>
      </c>
      <c r="F18" s="15" t="s">
        <v>916</v>
      </c>
    </row>
    <row r="19" customFormat="false" ht="15" hidden="false" customHeight="false" outlineLevel="0" collapsed="false">
      <c r="A19" s="0" t="s">
        <v>917</v>
      </c>
      <c r="B19" s="0" t="s">
        <v>918</v>
      </c>
      <c r="C19" s="12" t="n">
        <v>2724</v>
      </c>
      <c r="D19" s="0" t="s">
        <v>919</v>
      </c>
      <c r="E19" s="12" t="n">
        <v>578</v>
      </c>
      <c r="F19" s="15" t="s">
        <v>920</v>
      </c>
    </row>
    <row r="20" customFormat="false" ht="15" hidden="false" customHeight="false" outlineLevel="0" collapsed="false">
      <c r="A20" s="0" t="s">
        <v>921</v>
      </c>
      <c r="B20" s="0" t="s">
        <v>922</v>
      </c>
      <c r="C20" s="12" t="n">
        <v>28635</v>
      </c>
      <c r="D20" s="15" t="s">
        <v>923</v>
      </c>
      <c r="E20" s="0" t="s">
        <v>71</v>
      </c>
      <c r="F20" s="15" t="s">
        <v>924</v>
      </c>
    </row>
    <row r="21" customFormat="false" ht="15" hidden="false" customHeight="false" outlineLevel="0" collapsed="false">
      <c r="A21" s="0" t="s">
        <v>925</v>
      </c>
      <c r="B21" s="0" t="s">
        <v>926</v>
      </c>
      <c r="C21" s="0" t="s">
        <v>927</v>
      </c>
      <c r="D21" s="0" t="s">
        <v>928</v>
      </c>
      <c r="E21" s="12" t="n">
        <v>277</v>
      </c>
      <c r="F21" s="0" t="s">
        <v>929</v>
      </c>
    </row>
    <row r="22" customFormat="false" ht="15" hidden="false" customHeight="false" outlineLevel="0" collapsed="false">
      <c r="A22" s="15" t="s">
        <v>930</v>
      </c>
      <c r="B22" s="0" t="s">
        <v>931</v>
      </c>
      <c r="C22" s="12" t="n">
        <v>306303</v>
      </c>
      <c r="D22" s="0" t="s">
        <v>932</v>
      </c>
      <c r="E22" s="12" t="n">
        <v>101607</v>
      </c>
      <c r="F22" s="15" t="s">
        <v>933</v>
      </c>
    </row>
    <row r="23" customFormat="false" ht="15" hidden="false" customHeight="false" outlineLevel="0" collapsed="false">
      <c r="A23" s="0" t="s">
        <v>934</v>
      </c>
      <c r="B23" s="0" t="s">
        <v>935</v>
      </c>
      <c r="C23" s="0" t="s">
        <v>936</v>
      </c>
      <c r="D23" s="0" t="s">
        <v>937</v>
      </c>
      <c r="E23" s="15" t="s">
        <v>938</v>
      </c>
      <c r="F23" s="15" t="s">
        <v>939</v>
      </c>
    </row>
    <row r="24" customFormat="false" ht="15" hidden="false" customHeight="false" outlineLevel="0" collapsed="false">
      <c r="A24" s="0" t="s">
        <v>940</v>
      </c>
      <c r="B24" s="0" t="s">
        <v>941</v>
      </c>
      <c r="C24" s="15" t="s">
        <v>942</v>
      </c>
      <c r="D24" s="0" t="s">
        <v>943</v>
      </c>
      <c r="E24" s="15" t="s">
        <v>944</v>
      </c>
      <c r="F24" s="15" t="s">
        <v>945</v>
      </c>
    </row>
    <row r="25" customFormat="false" ht="15" hidden="false" customHeight="false" outlineLevel="0" collapsed="false">
      <c r="A25" s="0" t="s">
        <v>946</v>
      </c>
      <c r="B25" s="0" t="s">
        <v>941</v>
      </c>
      <c r="C25" s="0" t="s">
        <v>947</v>
      </c>
      <c r="D25" s="0" t="s">
        <v>948</v>
      </c>
      <c r="E25" s="15" t="s">
        <v>949</v>
      </c>
    </row>
    <row r="26" customFormat="false" ht="15" hidden="false" customHeight="false" outlineLevel="0" collapsed="false">
      <c r="A26" s="0" t="s">
        <v>950</v>
      </c>
      <c r="B26" s="0" t="s">
        <v>951</v>
      </c>
      <c r="C26" s="0" t="s">
        <v>952</v>
      </c>
      <c r="D26" s="0" t="s">
        <v>953</v>
      </c>
      <c r="E26" s="0" t="s">
        <v>954</v>
      </c>
      <c r="F26" s="0" t="s">
        <v>955</v>
      </c>
    </row>
    <row r="27" customFormat="false" ht="15" hidden="false" customHeight="false" outlineLevel="0" collapsed="false">
      <c r="A27" s="0" t="s">
        <v>956</v>
      </c>
      <c r="B27" s="0" t="s">
        <v>957</v>
      </c>
      <c r="C27" s="12" t="n">
        <v>100060</v>
      </c>
      <c r="D27" s="0" t="s">
        <v>719</v>
      </c>
      <c r="E27" s="0" t="s">
        <v>719</v>
      </c>
      <c r="F27" s="0" t="s">
        <v>958</v>
      </c>
    </row>
    <row r="28" customFormat="false" ht="15" hidden="false" customHeight="false" outlineLevel="0" collapsed="false">
      <c r="A28" s="0" t="s">
        <v>959</v>
      </c>
      <c r="B28" s="0" t="s">
        <v>817</v>
      </c>
      <c r="C28" s="12" t="n">
        <v>340110990</v>
      </c>
      <c r="D28" s="0" t="s">
        <v>960</v>
      </c>
      <c r="E28" s="12" t="n">
        <v>340003797</v>
      </c>
      <c r="F28" s="15" t="s">
        <v>961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6"/>
    <col collapsed="false" customWidth="true" hidden="false" outlineLevel="0" max="9" min="6" style="0" width="22"/>
    <col collapsed="false" customWidth="true" hidden="false" outlineLevel="0" max="11" min="10" style="0" width="16"/>
  </cols>
  <sheetData>
    <row r="1" customFormat="false" ht="60" hidden="false" customHeight="true" outlineLevel="0" collapsed="false">
      <c r="A1" s="11" t="s">
        <v>962</v>
      </c>
      <c r="B1" s="11" t="s">
        <v>305</v>
      </c>
      <c r="C1" s="11" t="s">
        <v>963</v>
      </c>
      <c r="D1" s="11" t="s">
        <v>964</v>
      </c>
      <c r="E1" s="11" t="s">
        <v>965</v>
      </c>
      <c r="F1" s="11" t="s">
        <v>966</v>
      </c>
      <c r="G1" s="11" t="s">
        <v>967</v>
      </c>
      <c r="H1" s="11" t="s">
        <v>968</v>
      </c>
      <c r="I1" s="11" t="s">
        <v>969</v>
      </c>
      <c r="J1" s="11" t="s">
        <v>970</v>
      </c>
      <c r="K1" s="11" t="s">
        <v>669</v>
      </c>
    </row>
    <row r="2" customFormat="false" ht="15" hidden="false" customHeight="false" outlineLevel="0" collapsed="false">
      <c r="A2" s="0" t="n">
        <v>2005</v>
      </c>
      <c r="B2" s="12" t="n">
        <v>53740</v>
      </c>
      <c r="C2" s="12" t="n">
        <v>25300</v>
      </c>
      <c r="D2" s="12" t="n">
        <v>13550</v>
      </c>
      <c r="E2" s="12" t="n">
        <v>11760</v>
      </c>
      <c r="F2" s="13"/>
      <c r="G2" s="13"/>
      <c r="H2" s="12" t="n">
        <v>5280</v>
      </c>
      <c r="I2" s="15" t="s">
        <v>971</v>
      </c>
    </row>
    <row r="3" customFormat="false" ht="15" hidden="false" customHeight="false" outlineLevel="0" collapsed="false">
      <c r="A3" s="0" t="n">
        <v>2006</v>
      </c>
      <c r="B3" s="12" t="n">
        <v>41090</v>
      </c>
      <c r="C3" s="12" t="n">
        <v>26350</v>
      </c>
      <c r="D3" s="12" t="n">
        <v>13050</v>
      </c>
      <c r="E3" s="12" t="n">
        <v>13300</v>
      </c>
      <c r="F3" s="16" t="n">
        <f aca="false">IF(AND(ISNUMBER(B3),ISNUMBER(B2)),B3-B2,"")</f>
        <v>-12650</v>
      </c>
      <c r="G3" s="16" t="n">
        <f aca="false">IF(AND(ISNUMBER(C3),ISNUMBER(C2)),C3-C2,"")</f>
        <v>1050</v>
      </c>
      <c r="H3" s="12" t="n">
        <v>5662</v>
      </c>
      <c r="I3" s="15" t="s">
        <v>971</v>
      </c>
    </row>
    <row r="4" customFormat="false" ht="15" hidden="false" customHeight="false" outlineLevel="0" collapsed="false">
      <c r="A4" s="0" t="n">
        <v>2007</v>
      </c>
      <c r="B4" s="12" t="n">
        <v>48220</v>
      </c>
      <c r="C4" s="12" t="n">
        <v>25320</v>
      </c>
      <c r="D4" s="12" t="n">
        <v>12460</v>
      </c>
      <c r="E4" s="12" t="n">
        <v>12860</v>
      </c>
      <c r="F4" s="16" t="n">
        <f aca="false">IF(AND(ISNUMBER(B4),ISNUMBER(B3)),B4-B3,"")</f>
        <v>7130</v>
      </c>
      <c r="G4" s="16" t="n">
        <f aca="false">IF(AND(ISNUMBER(C4),ISNUMBER(C3)),C4-C3,"")</f>
        <v>-1030</v>
      </c>
      <c r="H4" s="12" t="n">
        <v>5906</v>
      </c>
      <c r="I4" s="15" t="s">
        <v>971</v>
      </c>
    </row>
    <row r="5" customFormat="false" ht="15" hidden="false" customHeight="false" outlineLevel="0" collapsed="false">
      <c r="A5" s="0" t="n">
        <v>2008</v>
      </c>
      <c r="B5" s="12" t="n">
        <v>60110</v>
      </c>
      <c r="C5" s="12" t="n">
        <v>23020</v>
      </c>
      <c r="D5" s="12" t="n">
        <v>12130</v>
      </c>
      <c r="E5" s="12" t="n">
        <v>10890</v>
      </c>
      <c r="F5" s="16" t="n">
        <f aca="false">IF(AND(ISNUMBER(B5),ISNUMBER(B4)),B5-B4,"")</f>
        <v>11890</v>
      </c>
      <c r="G5" s="16" t="n">
        <f aca="false">IF(AND(ISNUMBER(C5),ISNUMBER(C4)),C5-C4,"")</f>
        <v>-2300</v>
      </c>
      <c r="H5" s="12" t="n">
        <v>5785</v>
      </c>
      <c r="I5" s="15" t="s">
        <v>971</v>
      </c>
    </row>
    <row r="6" customFormat="false" ht="15" hidden="false" customHeight="false" outlineLevel="0" collapsed="false">
      <c r="A6" s="0" t="n">
        <v>2009</v>
      </c>
      <c r="B6" s="12" t="n">
        <v>74600</v>
      </c>
      <c r="C6" s="12" t="n">
        <v>22300</v>
      </c>
      <c r="D6" s="12" t="n">
        <v>12000</v>
      </c>
      <c r="E6" s="12" t="n">
        <v>10300</v>
      </c>
      <c r="F6" s="16" t="n">
        <f aca="false">IF(AND(ISNUMBER(B6),ISNUMBER(B5)),B6-B5,"")</f>
        <v>14490</v>
      </c>
      <c r="G6" s="16" t="n">
        <f aca="false">IF(AND(ISNUMBER(C6),ISNUMBER(C5)),C6-C5,"")</f>
        <v>-720</v>
      </c>
      <c r="H6" s="12" t="n">
        <v>5548</v>
      </c>
      <c r="I6" s="15" t="s">
        <v>971</v>
      </c>
    </row>
    <row r="7" customFormat="false" ht="15" hidden="false" customHeight="false" outlineLevel="0" collapsed="false">
      <c r="A7" s="0" t="n">
        <v>2010</v>
      </c>
      <c r="B7" s="12" t="n">
        <v>73290</v>
      </c>
      <c r="C7" s="12" t="n">
        <v>19780</v>
      </c>
      <c r="D7" s="12" t="n">
        <v>11260</v>
      </c>
      <c r="E7" s="12" t="n">
        <v>8520</v>
      </c>
      <c r="F7" s="16" t="n">
        <f aca="false">IF(AND(ISNUMBER(B7),ISNUMBER(B6)),B7-B6,"")</f>
        <v>-1310</v>
      </c>
      <c r="G7" s="16" t="n">
        <f aca="false">IF(AND(ISNUMBER(C7),ISNUMBER(C6)),C7-C6,"")</f>
        <v>-2520</v>
      </c>
      <c r="H7" s="12" t="n">
        <v>5442</v>
      </c>
      <c r="I7" s="15" t="s">
        <v>971</v>
      </c>
    </row>
    <row r="8" customFormat="false" ht="15" hidden="false" customHeight="false" outlineLevel="0" collapsed="false">
      <c r="A8" s="0" t="n">
        <v>2011</v>
      </c>
      <c r="B8" s="12" t="n">
        <v>56380</v>
      </c>
      <c r="C8" s="12" t="n">
        <v>23630</v>
      </c>
      <c r="D8" s="12" t="n">
        <v>13490</v>
      </c>
      <c r="E8" s="12" t="n">
        <v>10140</v>
      </c>
      <c r="F8" s="16" t="n">
        <f aca="false">IF(AND(ISNUMBER(B8),ISNUMBER(B7)),B8-B7,"")</f>
        <v>-16910</v>
      </c>
      <c r="G8" s="16" t="n">
        <f aca="false">IF(AND(ISNUMBER(C8),ISNUMBER(C7)),C8-C7,"")</f>
        <v>3850</v>
      </c>
      <c r="H8" s="12" t="n">
        <v>5354</v>
      </c>
      <c r="I8" s="15" t="s">
        <v>971</v>
      </c>
    </row>
    <row r="9" customFormat="false" ht="15" hidden="false" customHeight="false" outlineLevel="0" collapsed="false">
      <c r="A9" s="0" t="n">
        <v>2012</v>
      </c>
      <c r="B9" s="12" t="n">
        <v>58180</v>
      </c>
      <c r="C9" s="12" t="n">
        <v>27450</v>
      </c>
      <c r="D9" s="12" t="n">
        <v>16870</v>
      </c>
      <c r="E9" s="12" t="n">
        <v>10580</v>
      </c>
      <c r="F9" s="16" t="n">
        <f aca="false">IF(AND(ISNUMBER(B9),ISNUMBER(B8)),B9-B8,"")</f>
        <v>1800</v>
      </c>
      <c r="G9" s="16" t="n">
        <f aca="false">IF(AND(ISNUMBER(C9),ISNUMBER(C8)),C9-C8,"")</f>
        <v>3820</v>
      </c>
      <c r="H9" s="12" t="n">
        <v>5490</v>
      </c>
      <c r="I9" s="15" t="s">
        <v>971</v>
      </c>
    </row>
    <row r="10" customFormat="false" ht="15" hidden="false" customHeight="false" outlineLevel="0" collapsed="false">
      <c r="A10" s="0" t="n">
        <v>2013</v>
      </c>
      <c r="B10" s="12" t="n">
        <v>69910</v>
      </c>
      <c r="C10" s="12" t="n">
        <v>24600</v>
      </c>
      <c r="D10" s="12" t="n">
        <v>14880</v>
      </c>
      <c r="E10" s="12" t="n">
        <v>9720</v>
      </c>
      <c r="F10" s="16" t="n">
        <f aca="false">IF(AND(ISNUMBER(B10),ISNUMBER(B9)),B10-B9,"")</f>
        <v>11730</v>
      </c>
      <c r="G10" s="16" t="n">
        <f aca="false">IF(AND(ISNUMBER(C10),ISNUMBER(C9)),C10-C9,"")</f>
        <v>-2850</v>
      </c>
      <c r="H10" s="12" t="n">
        <v>5762</v>
      </c>
      <c r="I10" s="15" t="s">
        <v>971</v>
      </c>
    </row>
    <row r="11" customFormat="false" ht="15" hidden="false" customHeight="false" outlineLevel="0" collapsed="false">
      <c r="A11" s="0" t="n">
        <v>2014</v>
      </c>
      <c r="B11" s="12" t="n">
        <v>69980</v>
      </c>
      <c r="C11" s="12" t="n">
        <v>23020</v>
      </c>
      <c r="D11" s="12" t="n">
        <v>14420</v>
      </c>
      <c r="E11" s="12" t="n">
        <v>8600</v>
      </c>
      <c r="F11" s="16" t="n">
        <f aca="false">IF(AND(ISNUMBER(B11),ISNUMBER(B10)),B11-B10,"")</f>
        <v>70</v>
      </c>
      <c r="G11" s="16" t="n">
        <f aca="false">IF(AND(ISNUMBER(C11),ISNUMBER(C10)),C11-C10,"")</f>
        <v>-1580</v>
      </c>
      <c r="H11" s="12" t="n">
        <v>5652</v>
      </c>
      <c r="I11" s="15" t="s">
        <v>971</v>
      </c>
    </row>
    <row r="12" customFormat="false" ht="15" hidden="false" customHeight="false" outlineLevel="0" collapsed="false">
      <c r="A12" s="0" t="n">
        <v>2015</v>
      </c>
      <c r="B12" s="12" t="n">
        <v>69920</v>
      </c>
      <c r="C12" s="12" t="n">
        <v>25920</v>
      </c>
      <c r="D12" s="12" t="n">
        <v>17800</v>
      </c>
      <c r="E12" s="12" t="n">
        <v>8120</v>
      </c>
      <c r="F12" s="16" t="n">
        <f aca="false">IF(AND(ISNUMBER(B12),ISNUMBER(B11)),B12-B11,"")</f>
        <v>-60</v>
      </c>
      <c r="G12" s="16" t="n">
        <f aca="false">IF(AND(ISNUMBER(C12),ISNUMBER(C11)),C12-C11,"")</f>
        <v>2900</v>
      </c>
      <c r="H12" s="12" t="n">
        <v>5844</v>
      </c>
      <c r="I12" s="15" t="s">
        <v>971</v>
      </c>
    </row>
    <row r="13" customFormat="false" ht="15" hidden="false" customHeight="false" outlineLevel="0" collapsed="false">
      <c r="A13" s="0" t="n">
        <v>2016</v>
      </c>
      <c r="B13" s="12" t="n">
        <v>84990</v>
      </c>
      <c r="C13" s="12" t="n">
        <v>20280</v>
      </c>
      <c r="D13" s="12" t="n">
        <v>11610</v>
      </c>
      <c r="E13" s="12" t="n">
        <v>8670</v>
      </c>
      <c r="F13" s="16" t="n">
        <f aca="false">IF(AND(ISNUMBER(B13),ISNUMBER(B12)),B13-B12,"")</f>
        <v>15070</v>
      </c>
      <c r="G13" s="16" t="n">
        <f aca="false">IF(AND(ISNUMBER(C13),ISNUMBER(C12)),C13-C12,"")</f>
        <v>-5640</v>
      </c>
      <c r="H13" s="12" t="n">
        <v>5945</v>
      </c>
      <c r="I13" s="15" t="s">
        <v>971</v>
      </c>
    </row>
    <row r="14" customFormat="false" ht="15" hidden="false" customHeight="false" outlineLevel="0" collapsed="false">
      <c r="A14" s="0" t="n">
        <v>2017</v>
      </c>
      <c r="B14" s="12" t="n">
        <v>53690</v>
      </c>
      <c r="C14" s="12" t="n">
        <v>26340</v>
      </c>
      <c r="D14" s="12" t="n">
        <v>15800</v>
      </c>
      <c r="E14" s="12" t="n">
        <v>10540</v>
      </c>
      <c r="F14" s="16" t="n">
        <f aca="false">IF(AND(ISNUMBER(B14),ISNUMBER(B13)),B14-B13,"")</f>
        <v>-31300</v>
      </c>
      <c r="G14" s="16" t="n">
        <f aca="false">IF(AND(ISNUMBER(C14),ISNUMBER(C13)),C14-C13,"")</f>
        <v>6060</v>
      </c>
      <c r="H14" s="12" t="n">
        <v>5776</v>
      </c>
      <c r="I14" s="15" t="s">
        <v>971</v>
      </c>
    </row>
    <row r="15" customFormat="false" ht="15" hidden="false" customHeight="false" outlineLevel="0" collapsed="false">
      <c r="A15" s="0" t="n">
        <v>2018</v>
      </c>
      <c r="B15" s="12" t="n">
        <v>22410</v>
      </c>
      <c r="C15" s="12" t="n">
        <v>37650</v>
      </c>
      <c r="D15" s="12" t="n">
        <v>24480</v>
      </c>
      <c r="E15" s="12" t="n">
        <v>13170</v>
      </c>
      <c r="F15" s="16" t="n">
        <f aca="false">IF(AND(ISNUMBER(B15),ISNUMBER(B14)),B15-B14,"")</f>
        <v>-31280</v>
      </c>
      <c r="G15" s="16" t="n">
        <f aca="false">IF(AND(ISNUMBER(C15),ISNUMBER(C14)),C15-C14,"")</f>
        <v>11310</v>
      </c>
      <c r="H15" s="12" t="n">
        <v>5566</v>
      </c>
      <c r="I15" s="15" t="s">
        <v>971</v>
      </c>
    </row>
    <row r="16" customFormat="false" ht="15" hidden="false" customHeight="false" outlineLevel="0" collapsed="false">
      <c r="A16" s="0" t="n">
        <v>2019</v>
      </c>
      <c r="B16" s="12" t="n">
        <v>29920</v>
      </c>
      <c r="C16" s="12" t="n">
        <v>45780</v>
      </c>
      <c r="D16" s="12" t="n">
        <v>26880</v>
      </c>
      <c r="E16" s="12" t="n">
        <v>18890</v>
      </c>
      <c r="F16" s="16" t="n">
        <f aca="false">IF(AND(ISNUMBER(B16),ISNUMBER(B15)),B16-B15,"")</f>
        <v>7510</v>
      </c>
      <c r="G16" s="16" t="n">
        <f aca="false">IF(AND(ISNUMBER(C16),ISNUMBER(C15)),C16-C15,"")</f>
        <v>8130</v>
      </c>
      <c r="H16" s="12" t="n">
        <v>5403</v>
      </c>
      <c r="I16" s="15" t="s">
        <v>971</v>
      </c>
    </row>
    <row r="17" customFormat="false" ht="15" hidden="false" customHeight="false" outlineLevel="0" collapsed="false">
      <c r="A17" s="0" t="n">
        <v>2020</v>
      </c>
      <c r="B17" s="12" t="n">
        <v>11840</v>
      </c>
      <c r="C17" s="12" t="n">
        <v>30680</v>
      </c>
      <c r="D17" s="12" t="n">
        <v>16080</v>
      </c>
      <c r="E17" s="12" t="n">
        <v>14600</v>
      </c>
      <c r="F17" s="16" t="n">
        <f aca="false">IF(AND(ISNUMBER(B17),ISNUMBER(B16)),B17-B16,"")</f>
        <v>-18080</v>
      </c>
      <c r="G17" s="16" t="n">
        <f aca="false">IF(AND(ISNUMBER(C17),ISNUMBER(C16)),C17-C16,"")</f>
        <v>-15100</v>
      </c>
      <c r="H17" s="12" t="n">
        <v>4461</v>
      </c>
      <c r="I17" s="15" t="s">
        <v>971</v>
      </c>
    </row>
    <row r="18" customFormat="false" ht="15" hidden="false" customHeight="false" outlineLevel="0" collapsed="false">
      <c r="A18" s="19" t="n">
        <v>2021</v>
      </c>
      <c r="B18" s="20" t="n">
        <v>11450</v>
      </c>
      <c r="C18" s="20" t="n">
        <v>16450</v>
      </c>
      <c r="D18" s="20" t="n">
        <v>9030</v>
      </c>
      <c r="E18" s="20" t="n">
        <v>7410</v>
      </c>
      <c r="F18" s="16" t="n">
        <f aca="false">IF(AND(ISNUMBER(B18),ISNUMBER(B17)),B18-B17,"")</f>
        <v>-390</v>
      </c>
      <c r="G18" s="16" t="n">
        <f aca="false">IF(AND(ISNUMBER(C18),ISNUMBER(C17)),C18-C17,"")</f>
        <v>-14230</v>
      </c>
      <c r="H18" s="20" t="n">
        <v>4934</v>
      </c>
      <c r="I18" s="21" t="s">
        <v>971</v>
      </c>
      <c r="J18" s="21" t="s">
        <v>972</v>
      </c>
      <c r="K18" s="19"/>
    </row>
    <row r="19" customFormat="false" ht="15" hidden="false" customHeight="false" outlineLevel="0" collapsed="false">
      <c r="A19" s="19" t="n">
        <v>2022</v>
      </c>
      <c r="B19" s="20" t="n">
        <v>25520</v>
      </c>
      <c r="C19" s="20" t="n">
        <v>35160</v>
      </c>
      <c r="D19" s="20" t="n">
        <v>12620</v>
      </c>
      <c r="E19" s="20" t="n">
        <v>22540</v>
      </c>
      <c r="F19" s="16" t="n">
        <f aca="false">IF(AND(ISNUMBER(B19),ISNUMBER(B18)),B19-B18,"")</f>
        <v>14070</v>
      </c>
      <c r="G19" s="16" t="n">
        <f aca="false">IF(AND(ISNUMBER(C19),ISNUMBER(C18)),C19-C18,"")</f>
        <v>18710</v>
      </c>
      <c r="H19" s="20" t="n">
        <v>5975</v>
      </c>
      <c r="I19" s="21" t="s">
        <v>971</v>
      </c>
      <c r="J19" s="19" t="s">
        <v>973</v>
      </c>
      <c r="K19" s="19"/>
    </row>
    <row r="20" customFormat="false" ht="15" hidden="false" customHeight="false" outlineLevel="0" collapsed="false">
      <c r="A20" s="19" t="n">
        <v>2023</v>
      </c>
      <c r="B20" s="20" t="n">
        <v>60050</v>
      </c>
      <c r="C20" s="20" t="n">
        <v>51550</v>
      </c>
      <c r="D20" s="20" t="n">
        <v>19420</v>
      </c>
      <c r="E20" s="20" t="n">
        <v>32140</v>
      </c>
      <c r="F20" s="16" t="n">
        <f aca="false">IF(AND(ISNUMBER(B20),ISNUMBER(B19)),B20-B19,"")</f>
        <v>34530</v>
      </c>
      <c r="G20" s="16" t="n">
        <f aca="false">IF(AND(ISNUMBER(C20),ISNUMBER(C19)),C20-C19,"")</f>
        <v>16390</v>
      </c>
      <c r="H20" s="20" t="n">
        <v>6909</v>
      </c>
      <c r="I20" s="21" t="s">
        <v>971</v>
      </c>
      <c r="J20" s="19" t="s">
        <v>973</v>
      </c>
      <c r="K20" s="19"/>
    </row>
    <row r="21" customFormat="false" ht="15" hidden="false" customHeight="false" outlineLevel="0" collapsed="false">
      <c r="A21" s="19" t="n">
        <v>2024</v>
      </c>
      <c r="B21" s="20" t="n">
        <v>100060</v>
      </c>
      <c r="C21" s="20" t="n">
        <v>68170</v>
      </c>
      <c r="D21" s="20" t="n">
        <v>35840</v>
      </c>
      <c r="E21" s="20" t="n">
        <v>32330</v>
      </c>
      <c r="F21" s="16" t="n">
        <f aca="false">IF(AND(ISNUMBER(B21),ISNUMBER(B20)),B21-B20,"")</f>
        <v>40010</v>
      </c>
      <c r="G21" s="16" t="n">
        <f aca="false">IF(AND(ISNUMBER(C21),ISNUMBER(C20)),C21-C20,"")</f>
        <v>16620</v>
      </c>
      <c r="H21" s="20" t="n">
        <v>7470</v>
      </c>
      <c r="I21" s="21" t="s">
        <v>971</v>
      </c>
      <c r="J21" s="19" t="s">
        <v>973</v>
      </c>
      <c r="K21" s="19"/>
    </row>
    <row r="22" customFormat="false" ht="15" hidden="false" customHeight="false" outlineLevel="0" collapsed="false">
      <c r="A22" s="19" t="n">
        <v>2025</v>
      </c>
      <c r="B22" s="19" t="s">
        <v>71</v>
      </c>
      <c r="C22" s="19" t="s">
        <v>71</v>
      </c>
      <c r="D22" s="19" t="s">
        <v>71</v>
      </c>
      <c r="E22" s="19" t="s">
        <v>71</v>
      </c>
      <c r="F22" s="16" t="str">
        <f aca="false">IF(AND(ISNUMBER(B22),ISNUMBER(B21)),B22-B21,"")</f>
        <v/>
      </c>
      <c r="G22" s="16" t="str">
        <f aca="false">IF(AND(ISNUMBER(C22),ISNUMBER(C21)),C22-C21,"")</f>
        <v/>
      </c>
      <c r="H22" s="19" t="s">
        <v>71</v>
      </c>
      <c r="I22" s="21" t="s">
        <v>971</v>
      </c>
      <c r="J22" s="19" t="s">
        <v>974</v>
      </c>
      <c r="K22" s="21" t="s">
        <v>975</v>
      </c>
    </row>
    <row r="23" customFormat="false" ht="15" hidden="false" customHeight="false" outlineLevel="0" collapsed="false">
      <c r="A23" s="22" t="s">
        <v>976</v>
      </c>
      <c r="B23" s="22" t="n">
        <f aca="false">SUM(B18:B21)</f>
        <v>197080</v>
      </c>
      <c r="C23" s="22" t="n">
        <f aca="false">SUM(C18:C21)</f>
        <v>171330</v>
      </c>
      <c r="D23" s="22" t="n">
        <f aca="false">SUM(D18:D21)</f>
        <v>76910</v>
      </c>
      <c r="E23" s="22" t="n">
        <f aca="false">SUM(E18:E21)</f>
        <v>94420</v>
      </c>
      <c r="F23" s="22"/>
      <c r="G23" s="22"/>
      <c r="H23" s="22"/>
      <c r="I23" s="22"/>
      <c r="J23" s="22" t="s">
        <v>977</v>
      </c>
      <c r="K23" s="22"/>
    </row>
    <row r="25" customFormat="false" ht="15" hidden="false" customHeight="false" outlineLevel="0" collapsed="false">
      <c r="A25" s="0" t="s">
        <v>978</v>
      </c>
      <c r="B25" s="0" t="s">
        <v>979</v>
      </c>
      <c r="C25" s="0" t="s">
        <v>664</v>
      </c>
      <c r="D25" s="0" t="s">
        <v>595</v>
      </c>
      <c r="E25" s="0" t="s">
        <v>980</v>
      </c>
    </row>
    <row r="26" customFormat="false" ht="15" hidden="false" customHeight="false" outlineLevel="0" collapsed="false">
      <c r="A26" s="0" t="s">
        <v>981</v>
      </c>
      <c r="B26" s="0" t="s">
        <v>982</v>
      </c>
      <c r="C26" s="0" t="s">
        <v>983</v>
      </c>
      <c r="D26" s="0" t="s">
        <v>548</v>
      </c>
      <c r="E26" s="0" t="s">
        <v>984</v>
      </c>
    </row>
    <row r="27" customFormat="false" ht="15" hidden="false" customHeight="false" outlineLevel="0" collapsed="false">
      <c r="A27" s="0" t="s">
        <v>985</v>
      </c>
      <c r="B27" s="0" t="s">
        <v>986</v>
      </c>
      <c r="C27" s="0" t="s">
        <v>987</v>
      </c>
      <c r="D27" s="0" t="s">
        <v>552</v>
      </c>
      <c r="E27" s="0" t="s">
        <v>988</v>
      </c>
    </row>
    <row r="28" customFormat="false" ht="15" hidden="false" customHeight="false" outlineLevel="0" collapsed="false">
      <c r="A28" s="0" t="s">
        <v>989</v>
      </c>
      <c r="B28" s="0" t="s">
        <v>990</v>
      </c>
      <c r="C28" s="0" t="s">
        <v>991</v>
      </c>
      <c r="D28" s="0" t="s">
        <v>552</v>
      </c>
      <c r="E28" s="0" t="s">
        <v>992</v>
      </c>
    </row>
    <row r="29" customFormat="false" ht="15" hidden="false" customHeight="false" outlineLevel="0" collapsed="false">
      <c r="A29" s="0" t="s">
        <v>993</v>
      </c>
      <c r="B29" s="0" t="s">
        <v>71</v>
      </c>
      <c r="C29" s="0" t="s">
        <v>994</v>
      </c>
      <c r="D29" s="0" t="s">
        <v>719</v>
      </c>
      <c r="E29" s="0" t="s">
        <v>995</v>
      </c>
    </row>
    <row r="30" customFormat="false" ht="15" hidden="false" customHeight="false" outlineLevel="0" collapsed="false">
      <c r="A30" s="0" t="s">
        <v>996</v>
      </c>
      <c r="B30" s="0" t="s">
        <v>71</v>
      </c>
      <c r="C30" s="0" t="s">
        <v>997</v>
      </c>
      <c r="D30" s="0" t="s">
        <v>719</v>
      </c>
      <c r="E30" s="0" t="s">
        <v>998</v>
      </c>
    </row>
    <row r="31" customFormat="false" ht="15" hidden="false" customHeight="false" outlineLevel="0" collapsed="false">
      <c r="A31" s="0" t="s">
        <v>999</v>
      </c>
      <c r="B31" s="0" t="s">
        <v>71</v>
      </c>
      <c r="C31" s="0" t="s">
        <v>1000</v>
      </c>
      <c r="D31" s="0" t="s">
        <v>719</v>
      </c>
      <c r="E31" s="0" t="s">
        <v>1001</v>
      </c>
    </row>
    <row r="32" customFormat="false" ht="15" hidden="false" customHeight="false" outlineLevel="0" collapsed="false">
      <c r="A32" s="0" t="s">
        <v>1002</v>
      </c>
      <c r="B32" s="0" t="s">
        <v>1003</v>
      </c>
      <c r="C32" s="0" t="s">
        <v>1004</v>
      </c>
      <c r="D32" s="0" t="s">
        <v>719</v>
      </c>
      <c r="E32" s="0" t="s">
        <v>1005</v>
      </c>
    </row>
    <row r="33" customFormat="false" ht="15" hidden="false" customHeight="false" outlineLevel="0" collapsed="false">
      <c r="A33" s="0" t="s">
        <v>1006</v>
      </c>
      <c r="B33" s="0" t="s">
        <v>1007</v>
      </c>
      <c r="C33" s="0" t="s">
        <v>1008</v>
      </c>
      <c r="D33" s="0" t="s">
        <v>559</v>
      </c>
      <c r="E33" s="0" t="s">
        <v>1009</v>
      </c>
    </row>
    <row r="34" customFormat="false" ht="15" hidden="false" customHeight="false" outlineLevel="0" collapsed="false">
      <c r="A34" s="0" t="s">
        <v>1010</v>
      </c>
      <c r="B34" s="0" t="s">
        <v>1003</v>
      </c>
      <c r="C34" s="0" t="s">
        <v>1004</v>
      </c>
      <c r="D34" s="0" t="s">
        <v>563</v>
      </c>
      <c r="E34" s="0" t="s">
        <v>1011</v>
      </c>
    </row>
    <row r="35" customFormat="false" ht="15" hidden="false" customHeight="false" outlineLevel="0" collapsed="false">
      <c r="A35" s="0" t="s">
        <v>1012</v>
      </c>
      <c r="B35" s="0" t="s">
        <v>71</v>
      </c>
      <c r="C35" s="0" t="s">
        <v>719</v>
      </c>
      <c r="D35" s="0" t="s">
        <v>352</v>
      </c>
      <c r="E35" s="0" t="s">
        <v>1013</v>
      </c>
    </row>
    <row r="36" customFormat="false" ht="15" hidden="false" customHeight="false" outlineLevel="0" collapsed="false">
      <c r="A36" s="0" t="s">
        <v>1014</v>
      </c>
      <c r="B36" s="0" t="s">
        <v>1015</v>
      </c>
      <c r="C36" s="0" t="s">
        <v>719</v>
      </c>
      <c r="D36" s="0" t="s">
        <v>719</v>
      </c>
      <c r="E36" s="0" t="s">
        <v>1016</v>
      </c>
    </row>
    <row r="37" customFormat="false" ht="15" hidden="false" customHeight="false" outlineLevel="0" collapsed="false">
      <c r="A37" s="0" t="s">
        <v>1017</v>
      </c>
      <c r="B37" s="0" t="s">
        <v>1018</v>
      </c>
      <c r="C37" s="0" t="s">
        <v>719</v>
      </c>
      <c r="D37" s="0" t="s">
        <v>719</v>
      </c>
      <c r="E37" s="0" t="s">
        <v>1019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2026-09-24T22:00:19Z</dcterms:created>
  <dc:creator>openpyxl</dc:creator>
  <dc:description/>
  <dc:language>en-US</dc:language>
  <cp:lastModifiedBy/>
  <dcterms:modified xsi:type="dcterms:W3CDTF">2026-09-25T01:18:09Z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