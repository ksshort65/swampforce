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fficial-data limits" sheetId="1" state="visible" r:id="rId1"/>
    <sheet xmlns:r="http://schemas.openxmlformats.org/officeDocument/2006/relationships" name="Main annual" sheetId="2" state="visible" r:id="rId2"/>
    <sheet xmlns:r="http://schemas.openxmlformats.org/officeDocument/2006/relationships" name="Notes-Definitions" sheetId="3" state="visible" r:id="rId3"/>
    <sheet xmlns:r="http://schemas.openxmlformats.org/officeDocument/2006/relationships" name="Sources" sheetId="4" state="visible" r:id="rId4"/>
    <sheet xmlns:r="http://schemas.openxmlformats.org/officeDocument/2006/relationships" name="Registration by method" sheetId="5" state="visible" r:id="rId5"/>
    <sheet xmlns:r="http://schemas.openxmlformats.org/officeDocument/2006/relationships" name="Noncitizens on benefits" sheetId="6" state="visible" r:id="rId6"/>
    <sheet xmlns:r="http://schemas.openxmlformats.org/officeDocument/2006/relationships" name="Noncitizens on rolls" sheetId="7" state="visible" r:id="rId7"/>
    <sheet xmlns:r="http://schemas.openxmlformats.org/officeDocument/2006/relationships" name="Discrepancies" sheetId="8" state="visible" r:id="rId8"/>
    <sheet xmlns:r="http://schemas.openxmlformats.org/officeDocument/2006/relationships" name="Humanitarian &amp; work permit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4"/>
    </font>
    <font>
      <name val="Arial"/>
      <charset val="1"/>
      <family val="0"/>
      <sz val="10"/>
    </font>
    <font>
      <name val="Arial"/>
      <charset val="1"/>
      <family val="0"/>
      <b val="1"/>
      <color rgb="FFFFFFFF"/>
      <sz val="11"/>
    </font>
    <font>
      <name val="Arial"/>
      <charset val="1"/>
      <family val="0"/>
      <b val="1"/>
      <sz val="10"/>
    </font>
    <font>
      <name val="Arial"/>
      <charset val="1"/>
      <family val="0"/>
      <b val="1"/>
      <color rgb="FF1F4E79"/>
      <sz val="11"/>
    </font>
    <font>
      <name val="Arial"/>
      <charset val="1"/>
      <family val="0"/>
      <i val="1"/>
      <sz val="10"/>
    </font>
    <font>
      <name val="Cambria"/>
      <charset val="1"/>
      <family val="0"/>
      <b val="1"/>
      <color rgb="FFFFFFFF"/>
      <sz val="11"/>
    </font>
    <font>
      <name val="Cambria"/>
      <charset val="1"/>
      <family val="0"/>
      <b val="1"/>
      <sz val="11"/>
    </font>
  </fonts>
  <fills count="7">
    <fill>
      <patternFill/>
    </fill>
    <fill>
      <patternFill patternType="gray125"/>
    </fill>
    <fill>
      <patternFill patternType="solid">
        <fgColor rgb="FF1F4E79"/>
        <bgColor rgb="FF1F4E78"/>
      </patternFill>
    </fill>
    <fill>
      <patternFill patternType="solid">
        <fgColor rgb="FFFFF2CC"/>
        <bgColor rgb="FFE2EFDA"/>
      </patternFill>
    </fill>
    <fill>
      <patternFill patternType="solid">
        <fgColor rgb="FFFFFFFF"/>
        <bgColor rgb="FFFFF2CC"/>
      </patternFill>
    </fill>
    <fill>
      <patternFill patternType="solid">
        <fgColor rgb="FFE2EFDA"/>
        <bgColor rgb="FFFFF2CC"/>
      </patternFill>
    </fill>
    <fill>
      <patternFill patternType="solid">
        <fgColor rgb="FF1F4E78"/>
        <bgColor rgb="FF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5"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0" borderId="0" applyAlignment="1" pivotButton="0" quotePrefix="0" xfId="0">
      <alignment horizontal="general" vertical="bottom"/>
    </xf>
    <xf numFmtId="0" fontId="5" fillId="5" borderId="0" applyAlignment="1" pivotButton="0" quotePrefix="0" xfId="0">
      <alignment horizontal="general" vertical="top" wrapText="1"/>
    </xf>
    <xf numFmtId="0" fontId="9" fillId="0" borderId="0" applyAlignment="1" pivotButton="0" quotePrefix="0" xfId="0">
      <alignment horizontal="general" vertical="bottom"/>
    </xf>
    <xf numFmtId="0" fontId="10" fillId="6" borderId="0" applyAlignment="1" pivotButton="0" quotePrefix="0" xfId="0">
      <alignment horizontal="general" vertical="top" wrapText="1"/>
    </xf>
    <xf numFmtId="3" fontId="0" fillId="0" borderId="0" applyAlignment="1" pivotButton="0" quotePrefix="0" xfId="0">
      <alignment horizontal="general" vertical="bottom"/>
    </xf>
    <xf numFmtId="0" fontId="0" fillId="5" borderId="0" applyAlignment="1" pivotButton="0" quotePrefix="0" xfId="0">
      <alignment horizontal="general" vertical="bottom"/>
    </xf>
    <xf numFmtId="10" fontId="0" fillId="5"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10" fontId="0" fillId="5" borderId="0" applyAlignment="1" pivotButton="0" quotePrefix="0" xfId="0">
      <alignment horizontal="general" vertical="top" wrapText="1"/>
    </xf>
    <xf numFmtId="164" fontId="0" fillId="0" borderId="0" applyAlignment="1" pivotButton="0" quotePrefix="0" xfId="0">
      <alignment horizontal="general" vertical="bottom"/>
    </xf>
    <xf numFmtId="0" fontId="0" fillId="3" borderId="0" applyAlignment="1" pivotButton="0" quotePrefix="0" xfId="0">
      <alignment horizontal="general" vertical="bottom"/>
    </xf>
    <xf numFmtId="3" fontId="0" fillId="3" borderId="0" applyAlignment="1" pivotButton="0" quotePrefix="0" xfId="0">
      <alignment horizontal="general" vertical="bottom"/>
    </xf>
    <xf numFmtId="0" fontId="0" fillId="3" borderId="0" applyAlignment="1" pivotButton="0" quotePrefix="0" xfId="0">
      <alignment horizontal="general" vertical="top" wrapText="1"/>
    </xf>
    <xf numFmtId="0" fontId="11"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5"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0" borderId="0" applyAlignment="1" pivotButton="0" quotePrefix="0" xfId="0">
      <alignment horizontal="general" vertical="bottom"/>
    </xf>
    <xf numFmtId="0" fontId="5" fillId="5" borderId="0" applyAlignment="1" pivotButton="0" quotePrefix="0" xfId="0">
      <alignment horizontal="general" vertical="top" wrapText="1"/>
    </xf>
    <xf numFmtId="0" fontId="9" fillId="0" borderId="0" applyAlignment="1" pivotButton="0" quotePrefix="0" xfId="0">
      <alignment horizontal="general" vertical="bottom"/>
    </xf>
    <xf numFmtId="0" fontId="10" fillId="6" borderId="0" applyAlignment="1" pivotButton="0" quotePrefix="0" xfId="0">
      <alignment horizontal="general" vertical="top" wrapText="1"/>
    </xf>
    <xf numFmtId="3" fontId="0" fillId="0" borderId="0" applyAlignment="1" pivotButton="0" quotePrefix="0" xfId="0">
      <alignment horizontal="general" vertical="bottom"/>
    </xf>
    <xf numFmtId="0" fontId="0" fillId="5" borderId="0" applyAlignment="1" pivotButton="0" quotePrefix="0" xfId="0">
      <alignment horizontal="general" vertical="bottom"/>
    </xf>
    <xf numFmtId="10" fontId="0" fillId="5"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10" fontId="0" fillId="5" borderId="0" applyAlignment="1" pivotButton="0" quotePrefix="0" xfId="0">
      <alignment horizontal="general" vertical="top" wrapText="1"/>
    </xf>
    <xf numFmtId="164" fontId="0" fillId="0" borderId="0" applyAlignment="1" pivotButton="0" quotePrefix="0" xfId="0">
      <alignment horizontal="general" vertical="bottom"/>
    </xf>
    <xf numFmtId="0" fontId="0" fillId="3" borderId="0" applyAlignment="1" pivotButton="0" quotePrefix="0" xfId="0">
      <alignment horizontal="general" vertical="bottom"/>
    </xf>
    <xf numFmtId="3" fontId="0" fillId="3" borderId="0" applyAlignment="1" pivotButton="0" quotePrefix="0" xfId="0">
      <alignment horizontal="general" vertical="bottom"/>
    </xf>
    <xf numFmtId="0" fontId="0" fillId="3" borderId="0" applyAlignment="1" pivotButton="0" quotePrefix="0" xfId="0">
      <alignment horizontal="general" vertical="top" wrapText="1"/>
    </xf>
    <xf numFmtId="0" fontId="11" fillId="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1"/>
  </sheetPr>
  <dimension ref="A1:C14"/>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23" min="1" max="1"/>
    <col width="78" customWidth="1" style="23" min="2" max="2"/>
    <col width="62" customWidth="1" style="23" min="3" max="3"/>
  </cols>
  <sheetData>
    <row r="1" ht="21.75" customHeight="1" s="24">
      <c r="A1" s="25" t="inlineStr">
        <is>
          <t>What official published sources do and do not show</t>
        </is>
      </c>
    </row>
    <row r="2" ht="48" customHeight="1" s="24">
      <c r="A2" s="26" t="inlineStr">
        <is>
          <t>Rule kept: no existing number in this workbook was changed. Empty / "Not reported" cells stay that way when no official published figure exists. Filling them with estimates would invent data.</t>
        </is>
      </c>
    </row>
    <row r="3"/>
    <row r="4" ht="31.5" customHeight="1" s="24">
      <c r="A4" s="27" t="inlineStr">
        <is>
          <t>Question the sheet was asked to answer</t>
        </is>
      </c>
      <c r="B4" s="27" t="inlineStr">
        <is>
          <t>Official published result</t>
        </is>
      </c>
      <c r="C4" s="27" t="inlineStr">
        <is>
          <t>Why a national cell cannot be a single number</t>
        </is>
      </c>
    </row>
    <row r="5" ht="91.5" customHeight="1" s="24">
      <c r="A5" s="28" t="inlineStr">
        <is>
          <t>How many illegal aliens are registered to vote?</t>
        </is>
      </c>
      <c r="B5" s="29" t="inlineStr">
        <is>
          <t>No official national count exists. Closest published figures: DHS SAVE flagged 28,635 potential non-U.S. citizens among 65 million+ records checked (SCOTUS 26A308); Reuters compilation of state processing errors since 2000: more than 30,000 self-declared noncitizens added; DOJ/AP Jan 2025–Sep 2026: 70 charged / ~160 arrests for unlawful voting and related offenses.</t>
        </is>
      </c>
      <c r="C5" s="29" t="inlineStr">
        <is>
          <t>Voter files do not record how citizenship was acquired. SAVE flags are not confirmed noncitizens (Texas: 578 of 2,724 later shown to be citizens). Charged cases are not a roll count.</t>
        </is>
      </c>
    </row>
    <row r="6" ht="91.5" customHeight="1" s="24">
      <c r="A6" s="28" t="inlineStr">
        <is>
          <t>How many of those registrants were issued Social Security numbers?</t>
        </is>
      </c>
      <c r="B6" s="29" t="inlineStr">
        <is>
          <t>Not reported. SSA annual statistical tables publish total original SSNs issued and age shares only. They do not split SSNs by citizenship or publish Enumeration-at-Birth / Enumeration-Beyond-Entry annual counts in those tables. Only official split found remains GAO-04-12 for FY2002.</t>
        </is>
      </c>
      <c r="C6" s="29" t="inlineStr">
        <is>
          <t>An SSN is not proof of voter registration. EBE issues SSNs after USCIS approval of I-765, I-485, or N-400 — work-authorized or adjusting status — not a published illegal-alien voter list.</t>
        </is>
      </c>
    </row>
    <row r="7" ht="91.5" customHeight="1" s="24">
      <c r="A7" s="28" t="inlineStr">
        <is>
          <t>Were they given amnesty under the prior administration?</t>
        </is>
      </c>
      <c r="B7" s="29" t="inlineStr">
        <is>
          <t>No general amnesty statute has been enacted since IRCA 1986 (Pub. L. 99-603). Parole (INA 212(d)(5)), TPS (INA 244), and DACA are temporary discretionary statuses. They do not confer citizenship or a right to vote in federal elections.</t>
        </is>
      </c>
      <c r="C7" s="29" t="inlineStr">
        <is>
          <t>Parole/TPS/DACA totals cannot be written into the voter-registration columns. CHNV parole granted ~532,000 (DHS FR 90 FR 13611). GAO: ~774,000 supporter-based parole grants May 2022–Sep 2024 (CHNV + U4U + family reunification). Those people are not counted as registered voters in EAVS.</t>
        </is>
      </c>
    </row>
    <row r="8" ht="91.5" customHeight="1" s="24">
      <c r="A8" s="30" t="inlineStr">
        <is>
          <t>Why do EAVS registered totals exceed CPS registered citizens?</t>
        </is>
      </c>
      <c r="B8" s="31" t="inlineStr">
        <is>
          <t>2024 EAVS total registered 234,504,358 vs CPS self-reported registered citizens 173,854,000 (thousands). Different concepts: EAVS counts administrative records including inactive names not yet removed; CPS is a household survey of citizens 18+ who say they are registered.</t>
        </is>
      </c>
      <c r="C8" s="31" t="inlineStr">
        <is>
          <t>The gap is not an official count of noncitizen registrants. See Discrepancies sheet. Do not treat EAVS minus CPS or EAVS minus CVAP as illegal-alien voters.</t>
        </is>
      </c>
    </row>
    <row r="9" ht="91.5" customHeight="1" s="24">
      <c r="A9" s="30" t="inlineStr">
        <is>
          <t>Why are so many cells still "Not reported"?</t>
        </is>
      </c>
      <c r="B9" s="31" t="inlineStr">
        <is>
          <t>EAVS and CPS are biennial (federal general-election years only). 2025 ACS 1-year not released as of Sep 24, 2026. DHS Yearbook FY2025 not published. SSA 2025 SSN table not published. Early EAVS cycles published rounded narratives, not exact removal/new-valid cells.</t>
        </is>
      </c>
      <c r="C9" s="31" t="inlineStr">
        <is>
          <t>Odd-year EAVS/CPS cells cannot be filled. 2020 ACS is experimental and not comparable. Workbook rule forbids interpolation.</t>
        </is>
      </c>
    </row>
    <row r="10" ht="91.5" customHeight="1" s="24">
      <c r="A10" s="30" t="inlineStr">
        <is>
          <t>What numbers in this book can be used without inventing?</t>
        </is>
      </c>
      <c r="B10" s="31" t="inlineStr">
        <is>
          <t>ACS citizens / noncitizens / CVAP; PEP population; EAVS registered / new valid / removals where published; CPS citizen 18+ and registered (self-report); DHS persons naturalized and N-400 filed; CDC births/deaths; SSA total SSNs issued; SSI qualified-noncitizen recipients; SNAP eligible noncitizen participants FY2023; state-by-state flagged/removed/referred counts on Noncitizens on rolls.</t>
        </is>
      </c>
      <c r="C10" s="31" t="inlineStr">
        <is>
          <t>Those series still do not identify illegal aliens on the rolls who hold SSNs. Naturalization makes a person a citizen eligible to register.</t>
        </is>
      </c>
    </row>
    <row r="11" ht="15" customHeight="1" s="24">
      <c r="A11" s="32" t="inlineStr">
        <is>
          <t>Biden-period humanitarian sums already in Humanitarian &amp; work permits (formulas; FY2021–FY2024 only)</t>
        </is>
      </c>
    </row>
    <row r="12" ht="48" customHeight="1" s="24">
      <c r="A12" s="33" t="inlineStr">
        <is>
          <t>Refugees FY2021–24 = SUM of published Yearbook arrivals. Asylum grants FY2021–24 = SUM of published Yearbook totals. FY2021 includes ~3.7 months under Trump. FY2025 excluded (not published). These sums are not voter-registration counts and are not SSN counts.</t>
        </is>
      </c>
    </row>
    <row r="13"/>
    <row r="14" ht="15" customHeight="1" s="24">
      <c r="A14" s="34" t="inlineStr">
        <is>
          <t>Existing published numbers on Main annual / other sheets were not edited.</t>
        </is>
      </c>
    </row>
  </sheetData>
  <mergeCells count="4">
    <mergeCell ref="A1:C1"/>
    <mergeCell ref="A2:C2"/>
    <mergeCell ref="A11:C11"/>
    <mergeCell ref="A12:C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R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22" customWidth="1" style="23" min="2" max="2"/>
    <col width="16" customWidth="1" style="23" min="3" max="5"/>
    <col width="22" customWidth="1" style="23" min="6" max="8"/>
    <col width="16" customWidth="1" style="23" min="9" max="9"/>
    <col width="22" customWidth="1" style="23" min="10" max="10"/>
    <col width="16" customWidth="1" style="23" min="11" max="13"/>
    <col width="22" customWidth="1" style="23" min="14" max="17"/>
    <col width="16" customWidth="1" style="23" min="18" max="18"/>
    <col width="22" customWidth="1" style="23" min="19" max="20"/>
    <col width="16" customWidth="1" style="23" min="21" max="21"/>
    <col width="22" customWidth="1" style="23" min="22" max="24"/>
    <col width="16" customWidth="1" style="23" min="25" max="27"/>
    <col width="22" customWidth="1" style="23" min="28" max="28"/>
    <col width="16" customWidth="1" style="23" min="29" max="40"/>
    <col width="22" customWidth="1" style="23" min="41" max="41"/>
    <col width="16" customWidth="1" style="23" min="42" max="42"/>
    <col width="22" customWidth="1" style="23" min="43" max="43"/>
    <col width="16" customWidth="1" style="23" min="44" max="44"/>
  </cols>
  <sheetData>
    <row r="1" ht="60" customHeight="1" s="24">
      <c r="A1" s="35" t="inlineStr">
        <is>
          <t>Year</t>
        </is>
      </c>
      <c r="B1" s="35" t="inlineStr">
        <is>
          <t>PEP total resident population (July 1)</t>
        </is>
      </c>
      <c r="C1" s="35" t="inlineStr">
        <is>
          <t>ACS total population</t>
        </is>
      </c>
      <c r="D1" s="35" t="inlineStr">
        <is>
          <t>ACS US citizens (B05001)</t>
        </is>
      </c>
      <c r="E1" s="35" t="inlineStr">
        <is>
          <t>ACS noncitizens (B05001)</t>
        </is>
      </c>
      <c r="F1" s="35" t="inlineStr">
        <is>
          <t>ACS CVAP (citizens 18+, B29001/B05003)</t>
        </is>
      </c>
      <c r="G1" s="35" t="inlineStr">
        <is>
          <t>YoY CHANGE: ACS citizens (number) [formula]</t>
        </is>
      </c>
      <c r="H1" s="35" t="inlineStr">
        <is>
          <t>YoY CHANGE: ACS citizens (%) [formula]</t>
        </is>
      </c>
      <c r="I1" s="35" t="inlineStr">
        <is>
          <t>ACS comparability note</t>
        </is>
      </c>
      <c r="J1" s="35" t="inlineStr">
        <is>
          <t>EAVS registered voters, total (as published)</t>
        </is>
      </c>
      <c r="K1" s="35" t="inlineStr">
        <is>
          <t>EAVS active</t>
        </is>
      </c>
      <c r="L1" s="35" t="inlineStr">
        <is>
          <t>EAVS inactive</t>
        </is>
      </c>
      <c r="M1" s="35" t="inlineStr">
        <is>
          <t>EAVS note</t>
        </is>
      </c>
      <c r="N1" s="35" t="inlineStr">
        <is>
          <t>CPS citizens 18+ (thousands, even yrs)</t>
        </is>
      </c>
      <c r="O1" s="35" t="inlineStr">
        <is>
          <t>CPS registered citizens (thousands)</t>
        </is>
      </c>
      <c r="P1" s="35" t="inlineStr">
        <is>
          <t>CHANGE vs prior EAVS cycle: total registered [formula]</t>
        </is>
      </c>
      <c r="Q1" s="35" t="inlineStr">
        <is>
          <t>Registration change: documented reason</t>
        </is>
      </c>
      <c r="R1" s="35" t="inlineStr">
        <is>
          <t>DHS persons naturalized (FY)</t>
        </is>
      </c>
      <c r="S1" s="35" t="inlineStr">
        <is>
          <t>DHS naturalization applications filed (FY)</t>
        </is>
      </c>
      <c r="T1" s="35" t="inlineStr">
        <is>
          <t>YoY CHANGE: persons naturalized [formula]</t>
        </is>
      </c>
      <c r="U1" s="35" t="inlineStr">
        <is>
          <t>Naturalization change: reason</t>
        </is>
      </c>
      <c r="V1" s="35" t="inlineStr">
        <is>
          <t>EAVS new valid registrations (exact)</t>
        </is>
      </c>
      <c r="W1" s="35" t="inlineStr">
        <is>
          <t>CHANGE vs prior EAVS cycle: new valid [formula]</t>
        </is>
      </c>
      <c r="X1" s="35" t="inlineStr">
        <is>
          <t>EAVS new valid (rounded narrative, where no exact figure)</t>
        </is>
      </c>
      <c r="Y1" s="35" t="inlineStr">
        <is>
          <t>EAVS removals total</t>
        </is>
      </c>
      <c r="Z1" s="35" t="inlineStr">
        <is>
          <t>Removed: moved</t>
        </is>
      </c>
      <c r="AA1" s="35" t="inlineStr">
        <is>
          <t>Removed: died</t>
        </is>
      </c>
      <c r="AB1" s="35" t="inlineStr">
        <is>
          <t>Removed: failure to respond to confirmation notice + 2 federal elections</t>
        </is>
      </c>
      <c r="AC1" s="35" t="inlineStr">
        <is>
          <t>Removed: felony</t>
        </is>
      </c>
      <c r="AD1" s="35" t="inlineStr">
        <is>
          <t>Removed: voter request</t>
        </is>
      </c>
      <c r="AE1" s="35" t="inlineStr">
        <is>
          <t>Removed: mental incompetence</t>
        </is>
      </c>
      <c r="AF1" s="35" t="inlineStr">
        <is>
          <t>Removed: duplicate</t>
        </is>
      </c>
      <c r="AG1" s="35" t="inlineStr">
        <is>
          <t>Removed: other</t>
        </is>
      </c>
      <c r="AH1" s="35" t="inlineStr">
        <is>
          <t>Removed: not categorized</t>
        </is>
      </c>
      <c r="AI1" s="35" t="inlineStr">
        <is>
          <t>EAVS removals note</t>
        </is>
      </c>
      <c r="AJ1" s="35" t="inlineStr">
        <is>
          <t>CDC births</t>
        </is>
      </c>
      <c r="AK1" s="35" t="inlineStr">
        <is>
          <t>Births status</t>
        </is>
      </c>
      <c r="AL1" s="35" t="inlineStr">
        <is>
          <t>CDC deaths</t>
        </is>
      </c>
      <c r="AM1" s="35" t="inlineStr">
        <is>
          <t>Deaths status</t>
        </is>
      </c>
      <c r="AN1" s="35" t="inlineStr">
        <is>
          <t>SSA SSNs issued (thousands)</t>
        </is>
      </c>
      <c r="AO1" s="35" t="inlineStr">
        <is>
          <t>YoY CHANGE: SSNs issued (thousands) [formula]</t>
        </is>
      </c>
      <c r="AP1" s="35" t="inlineStr">
        <is>
          <t>SSNs issued: % under age 15</t>
        </is>
      </c>
      <c r="AQ1" s="35" t="inlineStr">
        <is>
          <t>SSN citizen/noncitizen split &amp; Enumeration at Birth</t>
        </is>
      </c>
      <c r="AR1" s="35" t="inlineStr">
        <is>
          <t>Notes / missing-data reasons</t>
        </is>
      </c>
    </row>
    <row r="2" ht="15" customHeight="1" s="24">
      <c r="A2" s="23" t="n">
        <v>2005</v>
      </c>
      <c r="B2" s="36" t="n">
        <v>295516599</v>
      </c>
      <c r="C2" s="36" t="n">
        <v>288378137</v>
      </c>
      <c r="D2" s="36" t="n">
        <v>267656123</v>
      </c>
      <c r="E2" s="36" t="n">
        <v>20722014</v>
      </c>
      <c r="F2" s="36" t="n">
        <v>197004322</v>
      </c>
      <c r="G2" s="37" t="n"/>
      <c r="H2" s="38" t="n"/>
      <c r="I2" s="39" t="inlineStr">
        <is>
          <t>2005 ACS covered household population only (no group quarters); 2005-&gt;2006 change not comparable.</t>
        </is>
      </c>
      <c r="J2" s="23" t="inlineStr">
        <is>
          <t>Not reported</t>
        </is>
      </c>
      <c r="K2" s="23" t="inlineStr">
        <is>
          <t>Not reported</t>
        </is>
      </c>
      <c r="L2" s="23" t="inlineStr">
        <is>
          <t>Not reported</t>
        </is>
      </c>
      <c r="N2" s="23" t="inlineStr">
        <is>
          <t>Not reported</t>
        </is>
      </c>
      <c r="O2" s="23" t="inlineStr">
        <is>
          <t>Not reported</t>
        </is>
      </c>
      <c r="P2" s="37" t="n"/>
      <c r="R2" s="36" t="n">
        <v>604280</v>
      </c>
      <c r="S2" s="36" t="n">
        <v>602970</v>
      </c>
      <c r="T2" s="37" t="n"/>
      <c r="V2" s="23" t="inlineStr">
        <is>
          <t>Not reported</t>
        </is>
      </c>
      <c r="W2" s="37" t="n"/>
      <c r="Y2" s="23" t="inlineStr">
        <is>
          <t>Not reported</t>
        </is>
      </c>
      <c r="Z2" s="23" t="inlineStr">
        <is>
          <t>Not reported</t>
        </is>
      </c>
      <c r="AA2" s="23" t="inlineStr">
        <is>
          <t>Not reported</t>
        </is>
      </c>
      <c r="AB2" s="23" t="inlineStr">
        <is>
          <t>Not reported</t>
        </is>
      </c>
      <c r="AC2" s="23" t="inlineStr">
        <is>
          <t>Not reported</t>
        </is>
      </c>
      <c r="AD2" s="23" t="inlineStr">
        <is>
          <t>Not reported</t>
        </is>
      </c>
      <c r="AE2" s="23" t="inlineStr">
        <is>
          <t>Not reported</t>
        </is>
      </c>
      <c r="AF2" s="23" t="inlineStr">
        <is>
          <t>Not reported</t>
        </is>
      </c>
      <c r="AG2" s="23" t="inlineStr">
        <is>
          <t>Not reported</t>
        </is>
      </c>
      <c r="AH2" s="23" t="inlineStr">
        <is>
          <t>Not reported</t>
        </is>
      </c>
      <c r="AJ2" s="36" t="n">
        <v>4138349</v>
      </c>
      <c r="AK2" s="23" t="inlineStr">
        <is>
          <t>Final</t>
        </is>
      </c>
      <c r="AL2" s="36" t="n">
        <v>2448017</v>
      </c>
      <c r="AM2" s="23" t="inlineStr">
        <is>
          <t>Final</t>
        </is>
      </c>
      <c r="AN2" s="36" t="n">
        <v>5280</v>
      </c>
      <c r="AO2" s="37" t="n"/>
      <c r="AP2" s="23" t="inlineStr">
        <is>
          <t>Not reported</t>
        </is>
      </c>
      <c r="AQ2" s="39" t="inlineStr">
        <is>
          <t>Not reported: SSA statistical tables do not split SSNs by citizenship or show EAB counts; only official split found is GAO-04-12 for FY2002 (4.23M citizens / 1.34M noncitizens; ~89% of citizen SSNs via EAB).</t>
        </is>
      </c>
      <c r="AR2" s="39" t="inlineStr">
        <is>
          <t>EAVS/CPS: Not reported (odd year; surveys are biennial for federal general elections).</t>
        </is>
      </c>
    </row>
    <row r="3" ht="15" customHeight="1" s="24">
      <c r="A3" s="23" t="n">
        <v>2006</v>
      </c>
      <c r="B3" s="36" t="n">
        <v>298379912</v>
      </c>
      <c r="C3" s="36" t="n">
        <v>299398485</v>
      </c>
      <c r="D3" s="36" t="n">
        <v>277618427</v>
      </c>
      <c r="E3" s="36" t="n">
        <v>21780058</v>
      </c>
      <c r="F3" s="36" t="n">
        <v>206287902</v>
      </c>
      <c r="G3" s="37" t="inlineStr">
        <is>
          <t>Not computed: not comparable</t>
        </is>
      </c>
      <c r="H3" s="38" t="inlineStr">
        <is>
          <t>Not computed: not comparable</t>
        </is>
      </c>
      <c r="J3" s="36" t="n">
        <v>172805006</v>
      </c>
      <c r="K3" s="23" t="inlineStr">
        <is>
          <t>Not reported</t>
        </is>
      </c>
      <c r="L3" s="23" t="inlineStr">
        <is>
          <t>Not reported</t>
        </is>
      </c>
      <c r="M3" s="39" t="inlineStr">
        <is>
          <t>EAVS 2006 report TOTAL row. NVRA 2005-06 report gives &gt;=172.8M total, ~160.3M active, 21.2M inactive (rounded). Active/inactive exact figures not reported in the tables pulled.</t>
        </is>
      </c>
      <c r="N3" s="36" t="n">
        <v>201073</v>
      </c>
      <c r="O3" s="36" t="n">
        <v>135847</v>
      </c>
      <c r="P3" s="37" t="n"/>
      <c r="Q3" s="39" t="inlineStr">
        <is>
          <t>Documented (EAC 2005-06 NVRA report): decline from 2004 attributed to HAVA statewide voter-registration databases removing duplicates plus post-presidential-year list maintenance.</t>
        </is>
      </c>
      <c r="R3" s="36" t="n">
        <v>702590</v>
      </c>
      <c r="S3" s="36" t="n">
        <v>730640</v>
      </c>
      <c r="T3" s="40">
        <f>IF(AND(ISNUMBER(R3),ISNUMBER(R2)),R3-R2,"")</f>
        <v/>
      </c>
      <c r="V3" s="23" t="inlineStr">
        <is>
          <t>Not reported</t>
        </is>
      </c>
      <c r="W3" s="37" t="n"/>
      <c r="X3" s="39" t="inlineStr">
        <is>
          <t>~17.3 million (rounded, NVRA 2005-06 report)</t>
        </is>
      </c>
      <c r="Y3" s="23" t="inlineStr">
        <is>
          <t>Not reported</t>
        </is>
      </c>
      <c r="Z3" s="23" t="inlineStr">
        <is>
          <t>Not reported</t>
        </is>
      </c>
      <c r="AA3" s="23" t="inlineStr">
        <is>
          <t>Not reported</t>
        </is>
      </c>
      <c r="AB3" s="23" t="inlineStr">
        <is>
          <t>Not reported</t>
        </is>
      </c>
      <c r="AC3" s="23" t="inlineStr">
        <is>
          <t>Not reported</t>
        </is>
      </c>
      <c r="AD3" s="23" t="inlineStr">
        <is>
          <t>Not reported</t>
        </is>
      </c>
      <c r="AE3" s="23" t="inlineStr">
        <is>
          <t>Not reported</t>
        </is>
      </c>
      <c r="AF3" s="23" t="inlineStr">
        <is>
          <t>Not reported</t>
        </is>
      </c>
      <c r="AG3" s="23" t="inlineStr">
        <is>
          <t>Not reported</t>
        </is>
      </c>
      <c r="AH3" s="23" t="inlineStr">
        <is>
          <t>Not reported</t>
        </is>
      </c>
      <c r="AI3" s="39" t="inlineStr">
        <is>
          <t>~13 million (42 states; rounded): failure 3.5M, moved 3.0M, death 2.0M, other 3.7M, felony 0.3M, request 0.4M</t>
        </is>
      </c>
      <c r="AJ3" s="36" t="n">
        <v>4265555</v>
      </c>
      <c r="AK3" s="23" t="inlineStr">
        <is>
          <t>Final</t>
        </is>
      </c>
      <c r="AL3" s="36" t="n">
        <v>2426264</v>
      </c>
      <c r="AM3" s="23" t="inlineStr">
        <is>
          <t>Final</t>
        </is>
      </c>
      <c r="AN3" s="36" t="n">
        <v>5662</v>
      </c>
      <c r="AO3" s="40">
        <f>IF(AND(ISNUMBER(AN3),ISNUMBER(AN2)),AN3-AN2,"")</f>
        <v/>
      </c>
      <c r="AP3" s="23" t="inlineStr">
        <is>
          <t>Not reported</t>
        </is>
      </c>
      <c r="AQ3" s="39" t="inlineStr">
        <is>
          <t>Not reported: SSA statistical tables do not split SSNs by citizenship or show EAB counts; only official split found is GAO-04-12 for FY2002 (4.23M citizens / 1.34M noncitizens; ~89% of citizen SSNs via EAB).</t>
        </is>
      </c>
    </row>
    <row r="4" ht="15" customHeight="1" s="24">
      <c r="A4" s="23" t="n">
        <v>2007</v>
      </c>
      <c r="B4" s="36" t="n">
        <v>301231207</v>
      </c>
      <c r="C4" s="36" t="n">
        <v>301621159</v>
      </c>
      <c r="D4" s="36" t="n">
        <v>279743348</v>
      </c>
      <c r="E4" s="36" t="n">
        <v>21877811</v>
      </c>
      <c r="F4" s="36" t="n">
        <v>208186178</v>
      </c>
      <c r="G4" s="40">
        <f>IF(AND(ISNUMBER(D4),ISNUMBER(D3)),D4-D3,"")</f>
        <v/>
      </c>
      <c r="H4" s="41">
        <f>IF(AND(ISNUMBER(D4),ISNUMBER(D3)),(D4-D3)/D3,"")</f>
        <v/>
      </c>
      <c r="J4" s="23" t="inlineStr">
        <is>
          <t>Not reported</t>
        </is>
      </c>
      <c r="K4" s="23" t="inlineStr">
        <is>
          <t>Not reported</t>
        </is>
      </c>
      <c r="L4" s="23" t="inlineStr">
        <is>
          <t>Not reported</t>
        </is>
      </c>
      <c r="N4" s="23" t="inlineStr">
        <is>
          <t>Not reported</t>
        </is>
      </c>
      <c r="O4" s="23" t="inlineStr">
        <is>
          <t>Not reported</t>
        </is>
      </c>
      <c r="P4" s="37" t="n"/>
      <c r="R4" s="36" t="n">
        <v>660480</v>
      </c>
      <c r="S4" s="36" t="n">
        <v>1382990</v>
      </c>
      <c r="T4" s="40">
        <f>IF(AND(ISNUMBER(R4),ISNUMBER(R3)),R4-R3,"")</f>
        <v/>
      </c>
      <c r="U4" s="39" t="inlineStr">
        <is>
          <t>Applications filed jumped to 1,382,990 ahead of the July 30, 2007 USCIS fee increase and the 2008 election (per DHS naturalization flow reporting; reason text not re-verified from box).</t>
        </is>
      </c>
      <c r="V4" s="23" t="inlineStr">
        <is>
          <t>Not reported</t>
        </is>
      </c>
      <c r="W4" s="37" t="n"/>
      <c r="Y4" s="23" t="inlineStr">
        <is>
          <t>Not reported</t>
        </is>
      </c>
      <c r="Z4" s="23" t="inlineStr">
        <is>
          <t>Not reported</t>
        </is>
      </c>
      <c r="AA4" s="23" t="inlineStr">
        <is>
          <t>Not reported</t>
        </is>
      </c>
      <c r="AB4" s="23" t="inlineStr">
        <is>
          <t>Not reported</t>
        </is>
      </c>
      <c r="AC4" s="23" t="inlineStr">
        <is>
          <t>Not reported</t>
        </is>
      </c>
      <c r="AD4" s="23" t="inlineStr">
        <is>
          <t>Not reported</t>
        </is>
      </c>
      <c r="AE4" s="23" t="inlineStr">
        <is>
          <t>Not reported</t>
        </is>
      </c>
      <c r="AF4" s="23" t="inlineStr">
        <is>
          <t>Not reported</t>
        </is>
      </c>
      <c r="AG4" s="23" t="inlineStr">
        <is>
          <t>Not reported</t>
        </is>
      </c>
      <c r="AH4" s="23" t="inlineStr">
        <is>
          <t>Not reported</t>
        </is>
      </c>
      <c r="AJ4" s="36" t="n">
        <v>4316233</v>
      </c>
      <c r="AK4" s="23" t="inlineStr">
        <is>
          <t>Final</t>
        </is>
      </c>
      <c r="AL4" s="36" t="n">
        <v>2423712</v>
      </c>
      <c r="AM4" s="23" t="inlineStr">
        <is>
          <t>Final</t>
        </is>
      </c>
      <c r="AN4" s="36" t="n">
        <v>5906</v>
      </c>
      <c r="AO4" s="40">
        <f>IF(AND(ISNUMBER(AN4),ISNUMBER(AN3)),AN4-AN3,"")</f>
        <v/>
      </c>
      <c r="AP4" s="23" t="inlineStr">
        <is>
          <t>Not reported</t>
        </is>
      </c>
      <c r="AQ4" s="39" t="inlineStr">
        <is>
          <t>Not reported: SSA statistical tables do not split SSNs by citizenship or show EAB counts; only official split found is GAO-04-12 for FY2002 (4.23M citizens / 1.34M noncitizens; ~89% of citizen SSNs via EAB).</t>
        </is>
      </c>
      <c r="AR4" s="39" t="inlineStr">
        <is>
          <t>EAVS/CPS: Not reported (odd year; surveys are biennial for federal general elections).</t>
        </is>
      </c>
    </row>
    <row r="5" ht="15" customHeight="1" s="24">
      <c r="A5" s="23" t="n">
        <v>2008</v>
      </c>
      <c r="B5" s="36" t="n">
        <v>304093966</v>
      </c>
      <c r="C5" s="36" t="n">
        <v>304059728</v>
      </c>
      <c r="D5" s="36" t="n">
        <v>282428702</v>
      </c>
      <c r="E5" s="36" t="n">
        <v>21631026</v>
      </c>
      <c r="F5" s="36" t="n">
        <v>210710906</v>
      </c>
      <c r="G5" s="40">
        <f>IF(AND(ISNUMBER(D5),ISNUMBER(D4)),D5-D4,"")</f>
        <v/>
      </c>
      <c r="H5" s="41">
        <f>IF(AND(ISNUMBER(D5),ISNUMBER(D4)),(D5-D4)/D4,"")</f>
        <v/>
      </c>
      <c r="J5" s="36" t="n">
        <v>189844867</v>
      </c>
      <c r="K5" s="23" t="inlineStr">
        <is>
          <t>Not reported</t>
        </is>
      </c>
      <c r="L5" s="23" t="inlineStr">
        <is>
          <t>Not reported</t>
        </is>
      </c>
      <c r="M5" s="39" t="inlineStr">
        <is>
          <t>EAC NVRA 2007-08 report. EAVS summary text says 'more than 190 million' (see Discrepancies). Active/inactive not extracted.</t>
        </is>
      </c>
      <c r="N5" s="36" t="n">
        <v>206072</v>
      </c>
      <c r="O5" s="36" t="n">
        <v>146311</v>
      </c>
      <c r="P5" s="40">
        <f>IF(AND(ISNUMBER(J5),ISNUMBER(J3)),J5-J3,"")</f>
        <v/>
      </c>
      <c r="Q5" s="39" t="inlineStr">
        <is>
          <t>No cause documented in source pulled. Presidential-election year.</t>
        </is>
      </c>
      <c r="R5" s="36" t="n">
        <v>1046540</v>
      </c>
      <c r="S5" s="36" t="n">
        <v>525790</v>
      </c>
      <c r="T5" s="40">
        <f>IF(AND(ISNUMBER(R5),ISNUMBER(R4)),R5-R4,"")</f>
        <v/>
      </c>
      <c r="U5" s="39" t="inlineStr">
        <is>
          <t>Surge in persons naturalized (1,046,540) as the FY2007 application spike was processed (DHS flow reporting; not re-verified from box).</t>
        </is>
      </c>
      <c r="V5" s="23" t="inlineStr">
        <is>
          <t>Not reported</t>
        </is>
      </c>
      <c r="W5" s="40">
        <f>IF(AND(ISNUMBER(V5),ISNUMBER(V3)),V5-V3,"")</f>
        <v/>
      </c>
      <c r="X5" s="39" t="inlineStr">
        <is>
          <t>24.6 million (rounded, NVRA 2007-08 report)</t>
        </is>
      </c>
      <c r="Y5" s="23" t="inlineStr">
        <is>
          <t>Not reported</t>
        </is>
      </c>
      <c r="Z5" s="23" t="inlineStr">
        <is>
          <t>Not reported</t>
        </is>
      </c>
      <c r="AA5" s="23" t="inlineStr">
        <is>
          <t>Not reported</t>
        </is>
      </c>
      <c r="AB5" s="23" t="inlineStr">
        <is>
          <t>Not reported</t>
        </is>
      </c>
      <c r="AC5" s="23" t="inlineStr">
        <is>
          <t>Not reported</t>
        </is>
      </c>
      <c r="AD5" s="23" t="inlineStr">
        <is>
          <t>Not reported</t>
        </is>
      </c>
      <c r="AE5" s="23" t="inlineStr">
        <is>
          <t>Not reported</t>
        </is>
      </c>
      <c r="AF5" s="23" t="inlineStr">
        <is>
          <t>Not reported</t>
        </is>
      </c>
      <c r="AG5" s="23" t="inlineStr">
        <is>
          <t>Not reported</t>
        </is>
      </c>
      <c r="AH5" s="23" t="inlineStr">
        <is>
          <t>Not reported</t>
        </is>
      </c>
      <c r="AI5" s="39" t="inlineStr">
        <is>
          <t>~12.7 million (rounded): moved 2.7M, died 2.4M, failure 3.9M, felony 262,366</t>
        </is>
      </c>
      <c r="AJ5" s="36" t="n">
        <v>4247694</v>
      </c>
      <c r="AK5" s="23" t="inlineStr">
        <is>
          <t>Final</t>
        </is>
      </c>
      <c r="AL5" s="36" t="n">
        <v>2471984</v>
      </c>
      <c r="AM5" s="23" t="inlineStr">
        <is>
          <t>Final</t>
        </is>
      </c>
      <c r="AN5" s="36" t="n">
        <v>5785</v>
      </c>
      <c r="AO5" s="40">
        <f>IF(AND(ISNUMBER(AN5),ISNUMBER(AN4)),AN5-AN4,"")</f>
        <v/>
      </c>
      <c r="AP5" s="23" t="inlineStr">
        <is>
          <t>Not reported</t>
        </is>
      </c>
      <c r="AQ5" s="39" t="inlineStr">
        <is>
          <t>Not reported: SSA statistical tables do not split SSNs by citizenship or show EAB counts; only official split found is GAO-04-12 for FY2002 (4.23M citizens / 1.34M noncitizens; ~89% of citizen SSNs via EAB).</t>
        </is>
      </c>
    </row>
    <row r="6" ht="15" customHeight="1" s="24">
      <c r="A6" s="23" t="n">
        <v>2009</v>
      </c>
      <c r="B6" s="36" t="n">
        <v>306771529</v>
      </c>
      <c r="C6" s="36" t="n">
        <v>307006556</v>
      </c>
      <c r="D6" s="36" t="n">
        <v>285335719</v>
      </c>
      <c r="E6" s="36" t="n">
        <v>21670837</v>
      </c>
      <c r="F6" s="36" t="n">
        <v>213020665</v>
      </c>
      <c r="G6" s="40">
        <f>IF(AND(ISNUMBER(D6),ISNUMBER(D5)),D6-D5,"")</f>
        <v/>
      </c>
      <c r="H6" s="41">
        <f>IF(AND(ISNUMBER(D6),ISNUMBER(D5)),(D6-D5)/D5,"")</f>
        <v/>
      </c>
      <c r="J6" s="23" t="inlineStr">
        <is>
          <t>Not reported</t>
        </is>
      </c>
      <c r="K6" s="23" t="inlineStr">
        <is>
          <t>Not reported</t>
        </is>
      </c>
      <c r="L6" s="23" t="inlineStr">
        <is>
          <t>Not reported</t>
        </is>
      </c>
      <c r="N6" s="23" t="inlineStr">
        <is>
          <t>Not reported</t>
        </is>
      </c>
      <c r="O6" s="23" t="inlineStr">
        <is>
          <t>Not reported</t>
        </is>
      </c>
      <c r="P6" s="37" t="n"/>
      <c r="R6" s="36" t="n">
        <v>743720</v>
      </c>
      <c r="S6" s="36" t="n">
        <v>570440</v>
      </c>
      <c r="T6" s="40">
        <f>IF(AND(ISNUMBER(R6),ISNUMBER(R5)),R6-R5,"")</f>
        <v/>
      </c>
      <c r="V6" s="23" t="inlineStr">
        <is>
          <t>Not reported</t>
        </is>
      </c>
      <c r="W6" s="37" t="n"/>
      <c r="Y6" s="23" t="inlineStr">
        <is>
          <t>Not reported</t>
        </is>
      </c>
      <c r="Z6" s="23" t="inlineStr">
        <is>
          <t>Not reported</t>
        </is>
      </c>
      <c r="AA6" s="23" t="inlineStr">
        <is>
          <t>Not reported</t>
        </is>
      </c>
      <c r="AB6" s="23" t="inlineStr">
        <is>
          <t>Not reported</t>
        </is>
      </c>
      <c r="AC6" s="23" t="inlineStr">
        <is>
          <t>Not reported</t>
        </is>
      </c>
      <c r="AD6" s="23" t="inlineStr">
        <is>
          <t>Not reported</t>
        </is>
      </c>
      <c r="AE6" s="23" t="inlineStr">
        <is>
          <t>Not reported</t>
        </is>
      </c>
      <c r="AF6" s="23" t="inlineStr">
        <is>
          <t>Not reported</t>
        </is>
      </c>
      <c r="AG6" s="23" t="inlineStr">
        <is>
          <t>Not reported</t>
        </is>
      </c>
      <c r="AH6" s="23" t="inlineStr">
        <is>
          <t>Not reported</t>
        </is>
      </c>
      <c r="AJ6" s="36" t="n">
        <v>4130665</v>
      </c>
      <c r="AK6" s="23" t="inlineStr">
        <is>
          <t>Final</t>
        </is>
      </c>
      <c r="AL6" s="36" t="n">
        <v>2437163</v>
      </c>
      <c r="AM6" s="23" t="inlineStr">
        <is>
          <t>Final</t>
        </is>
      </c>
      <c r="AN6" s="36" t="n">
        <v>5548</v>
      </c>
      <c r="AO6" s="40">
        <f>IF(AND(ISNUMBER(AN6),ISNUMBER(AN5)),AN6-AN5,"")</f>
        <v/>
      </c>
      <c r="AP6" s="23" t="inlineStr">
        <is>
          <t>Not reported</t>
        </is>
      </c>
      <c r="AQ6" s="39" t="inlineStr">
        <is>
          <t>Not reported: SSA statistical tables do not split SSNs by citizenship or show EAB counts; only official split found is GAO-04-12 for FY2002 (4.23M citizens / 1.34M noncitizens; ~89% of citizen SSNs via EAB).</t>
        </is>
      </c>
      <c r="AR6" s="39" t="inlineStr">
        <is>
          <t>EAVS/CPS: Not reported (odd year; surveys are biennial for federal general elections).</t>
        </is>
      </c>
    </row>
    <row r="7" ht="15" customHeight="1" s="24">
      <c r="A7" s="23" t="n">
        <v>2010</v>
      </c>
      <c r="B7" s="36" t="n">
        <v>309378227</v>
      </c>
      <c r="C7" s="36" t="n">
        <v>309349689</v>
      </c>
      <c r="D7" s="36" t="n">
        <v>286869917</v>
      </c>
      <c r="E7" s="36" t="n">
        <v>22479772</v>
      </c>
      <c r="F7" s="36" t="n">
        <v>214916459</v>
      </c>
      <c r="G7" s="40">
        <f>IF(AND(ISNUMBER(D7),ISNUMBER(D6)),D7-D6,"")</f>
        <v/>
      </c>
      <c r="H7" s="41">
        <f>IF(AND(ISNUMBER(D7),ISNUMBER(D6)),(D7-D6)/D6,"")</f>
        <v/>
      </c>
      <c r="J7" s="36" t="n">
        <v>186874157</v>
      </c>
      <c r="K7" s="23" t="inlineStr">
        <is>
          <t>Not reported</t>
        </is>
      </c>
      <c r="L7" s="23" t="inlineStr">
        <is>
          <t>Not reported</t>
        </is>
      </c>
      <c r="M7" s="39" t="inlineStr">
        <is>
          <t>EAC NVRA 2009-10 report. 2012 NVRA summary table shows 186,282,492 for 2010 (see Discrepancies).</t>
        </is>
      </c>
      <c r="N7" s="36" t="n">
        <v>210800</v>
      </c>
      <c r="O7" s="36" t="n">
        <v>137263</v>
      </c>
      <c r="P7" s="40">
        <f>IF(AND(ISNUMBER(J7),ISNUMBER(J5)),J7-J5,"")</f>
        <v/>
      </c>
      <c r="Q7" s="23" t="inlineStr">
        <is>
          <t>No cause documented in source pulled.</t>
        </is>
      </c>
      <c r="R7" s="36" t="n">
        <v>619910</v>
      </c>
      <c r="S7" s="36" t="n">
        <v>710540</v>
      </c>
      <c r="T7" s="40">
        <f>IF(AND(ISNUMBER(R7),ISNUMBER(R6)),R7-R6,"")</f>
        <v/>
      </c>
      <c r="V7" s="23" t="inlineStr">
        <is>
          <t>Not reported</t>
        </is>
      </c>
      <c r="W7" s="40">
        <f>IF(AND(ISNUMBER(V7),ISNUMBER(V5)),V7-V5,"")</f>
        <v/>
      </c>
      <c r="X7" s="23" t="inlineStr">
        <is>
          <t>~14.4 million (rounded, NVRA 2009-10)</t>
        </is>
      </c>
      <c r="Y7" s="23" t="inlineStr">
        <is>
          <t>Not reported</t>
        </is>
      </c>
      <c r="Z7" s="23" t="inlineStr">
        <is>
          <t>Not reported</t>
        </is>
      </c>
      <c r="AA7" s="23" t="inlineStr">
        <is>
          <t>Not reported</t>
        </is>
      </c>
      <c r="AB7" s="23" t="inlineStr">
        <is>
          <t>Not reported</t>
        </is>
      </c>
      <c r="AC7" s="23" t="inlineStr">
        <is>
          <t>Not reported</t>
        </is>
      </c>
      <c r="AD7" s="23" t="inlineStr">
        <is>
          <t>Not reported</t>
        </is>
      </c>
      <c r="AE7" s="23" t="inlineStr">
        <is>
          <t>Not reported</t>
        </is>
      </c>
      <c r="AF7" s="23" t="inlineStr">
        <is>
          <t>Not reported</t>
        </is>
      </c>
      <c r="AG7" s="23" t="inlineStr">
        <is>
          <t>Not reported</t>
        </is>
      </c>
      <c r="AH7" s="23" t="inlineStr">
        <is>
          <t>Not reported</t>
        </is>
      </c>
      <c r="AI7" s="39" t="inlineStr">
        <is>
          <t>&gt;15 million (rounded): moved ~3.8M, died ~3.0M, failure 6.1M, felony 371,414</t>
        </is>
      </c>
      <c r="AJ7" s="36" t="n">
        <v>3999386</v>
      </c>
      <c r="AK7" s="23" t="inlineStr">
        <is>
          <t>Final</t>
        </is>
      </c>
      <c r="AL7" s="36" t="n">
        <v>2468435</v>
      </c>
      <c r="AM7" s="23" t="inlineStr">
        <is>
          <t>Final</t>
        </is>
      </c>
      <c r="AN7" s="36" t="n">
        <v>5442</v>
      </c>
      <c r="AO7" s="40">
        <f>IF(AND(ISNUMBER(AN7),ISNUMBER(AN6)),AN7-AN6,"")</f>
        <v/>
      </c>
      <c r="AP7" s="23" t="inlineStr">
        <is>
          <t>Not reported</t>
        </is>
      </c>
      <c r="AQ7" s="39" t="inlineStr">
        <is>
          <t>Not reported: SSA statistical tables do not split SSNs by citizenship or show EAB counts; only official split found is GAO-04-12 for FY2002 (4.23M citizens / 1.34M noncitizens; ~89% of citizen SSNs via EAB).</t>
        </is>
      </c>
    </row>
    <row r="8" ht="15" customHeight="1" s="24">
      <c r="A8" s="23" t="n">
        <v>2011</v>
      </c>
      <c r="B8" s="36" t="n">
        <v>311839461</v>
      </c>
      <c r="C8" s="36" t="n">
        <v>311591919</v>
      </c>
      <c r="D8" s="36" t="n">
        <v>289354251</v>
      </c>
      <c r="E8" s="36" t="n">
        <v>22237668</v>
      </c>
      <c r="F8" s="36" t="n">
        <v>217462618</v>
      </c>
      <c r="G8" s="40">
        <f>IF(AND(ISNUMBER(D8),ISNUMBER(D7)),D8-D7,"")</f>
        <v/>
      </c>
      <c r="H8" s="41">
        <f>IF(AND(ISNUMBER(D8),ISNUMBER(D7)),(D8-D7)/D7,"")</f>
        <v/>
      </c>
      <c r="J8" s="23" t="inlineStr">
        <is>
          <t>Not reported</t>
        </is>
      </c>
      <c r="K8" s="23" t="inlineStr">
        <is>
          <t>Not reported</t>
        </is>
      </c>
      <c r="L8" s="23" t="inlineStr">
        <is>
          <t>Not reported</t>
        </is>
      </c>
      <c r="N8" s="23" t="inlineStr">
        <is>
          <t>Not reported</t>
        </is>
      </c>
      <c r="O8" s="23" t="inlineStr">
        <is>
          <t>Not reported</t>
        </is>
      </c>
      <c r="P8" s="37" t="n"/>
      <c r="R8" s="36" t="n">
        <v>694190</v>
      </c>
      <c r="S8" s="36" t="n">
        <v>756010</v>
      </c>
      <c r="T8" s="40">
        <f>IF(AND(ISNUMBER(R8),ISNUMBER(R7)),R8-R7,"")</f>
        <v/>
      </c>
      <c r="V8" s="23" t="inlineStr">
        <is>
          <t>Not reported</t>
        </is>
      </c>
      <c r="W8" s="37" t="n"/>
      <c r="Y8" s="23" t="inlineStr">
        <is>
          <t>Not reported</t>
        </is>
      </c>
      <c r="Z8" s="23" t="inlineStr">
        <is>
          <t>Not reported</t>
        </is>
      </c>
      <c r="AA8" s="23" t="inlineStr">
        <is>
          <t>Not reported</t>
        </is>
      </c>
      <c r="AB8" s="23" t="inlineStr">
        <is>
          <t>Not reported</t>
        </is>
      </c>
      <c r="AC8" s="23" t="inlineStr">
        <is>
          <t>Not reported</t>
        </is>
      </c>
      <c r="AD8" s="23" t="inlineStr">
        <is>
          <t>Not reported</t>
        </is>
      </c>
      <c r="AE8" s="23" t="inlineStr">
        <is>
          <t>Not reported</t>
        </is>
      </c>
      <c r="AF8" s="23" t="inlineStr">
        <is>
          <t>Not reported</t>
        </is>
      </c>
      <c r="AG8" s="23" t="inlineStr">
        <is>
          <t>Not reported</t>
        </is>
      </c>
      <c r="AH8" s="23" t="inlineStr">
        <is>
          <t>Not reported</t>
        </is>
      </c>
      <c r="AJ8" s="36" t="n">
        <v>3953590</v>
      </c>
      <c r="AK8" s="23" t="inlineStr">
        <is>
          <t>Final</t>
        </is>
      </c>
      <c r="AL8" s="36" t="n">
        <v>2515458</v>
      </c>
      <c r="AM8" s="23" t="inlineStr">
        <is>
          <t>Final</t>
        </is>
      </c>
      <c r="AN8" s="36" t="n">
        <v>5354</v>
      </c>
      <c r="AO8" s="40">
        <f>IF(AND(ISNUMBER(AN8),ISNUMBER(AN7)),AN8-AN7,"")</f>
        <v/>
      </c>
      <c r="AP8" s="23" t="inlineStr">
        <is>
          <t>Not reported</t>
        </is>
      </c>
      <c r="AQ8" s="39" t="inlineStr">
        <is>
          <t>Not reported: SSA statistical tables do not split SSNs by citizenship or show EAB counts; only official split found is GAO-04-12 for FY2002 (4.23M citizens / 1.34M noncitizens; ~89% of citizen SSNs via EAB).</t>
        </is>
      </c>
      <c r="AR8" s="39" t="inlineStr">
        <is>
          <t>EAVS/CPS: Not reported (odd year; surveys are biennial for federal general elections).</t>
        </is>
      </c>
    </row>
    <row r="9" ht="15" customHeight="1" s="24">
      <c r="A9" s="23" t="n">
        <v>2012</v>
      </c>
      <c r="B9" s="36" t="n">
        <v>314339099</v>
      </c>
      <c r="C9" s="36" t="n">
        <v>313914040</v>
      </c>
      <c r="D9" s="36" t="n">
        <v>291775619</v>
      </c>
      <c r="E9" s="36" t="n">
        <v>22138421</v>
      </c>
      <c r="F9" s="36" t="n">
        <v>220008145</v>
      </c>
      <c r="G9" s="40">
        <f>IF(AND(ISNUMBER(D9),ISNUMBER(D8)),D9-D8,"")</f>
        <v/>
      </c>
      <c r="H9" s="41">
        <f>IF(AND(ISNUMBER(D9),ISNUMBER(D8)),(D9-D8)/D8,"")</f>
        <v/>
      </c>
      <c r="J9" s="36" t="n">
        <v>194198928</v>
      </c>
      <c r="K9" s="23" t="inlineStr">
        <is>
          <t>Not reported</t>
        </is>
      </c>
      <c r="L9" s="23" t="inlineStr">
        <is>
          <t>Not reported</t>
        </is>
      </c>
      <c r="M9" s="39" t="inlineStr">
        <is>
          <t>EAC NVRA 2011-12 report text. Same report's summary table shows 193,585,443 (see Discrepancies).</t>
        </is>
      </c>
      <c r="N9" s="36" t="n">
        <v>215081</v>
      </c>
      <c r="O9" s="36" t="n">
        <v>153157</v>
      </c>
      <c r="P9" s="40">
        <f>IF(AND(ISNUMBER(J9),ISNUMBER(J7)),J9-J7,"")</f>
        <v/>
      </c>
      <c r="Q9" s="39" t="inlineStr">
        <is>
          <t>No cause documented in source pulled. Presidential-election year.</t>
        </is>
      </c>
      <c r="R9" s="36" t="n">
        <v>757430</v>
      </c>
      <c r="S9" s="36" t="n">
        <v>899160</v>
      </c>
      <c r="T9" s="40">
        <f>IF(AND(ISNUMBER(R9),ISNUMBER(R8)),R9-R8,"")</f>
        <v/>
      </c>
      <c r="V9" s="23" t="inlineStr">
        <is>
          <t>Not reported</t>
        </is>
      </c>
      <c r="W9" s="40">
        <f>IF(AND(ISNUMBER(V9),ISNUMBER(V7)),V9-V7,"")</f>
        <v/>
      </c>
      <c r="X9" s="23" t="inlineStr">
        <is>
          <t>23.8 million (rounded, NVRA 2011-12)</t>
        </is>
      </c>
      <c r="Y9" s="23" t="inlineStr">
        <is>
          <t>Not reported</t>
        </is>
      </c>
      <c r="Z9" s="23" t="inlineStr">
        <is>
          <t>Not reported</t>
        </is>
      </c>
      <c r="AA9" s="23" t="inlineStr">
        <is>
          <t>Not reported</t>
        </is>
      </c>
      <c r="AB9" s="23" t="inlineStr">
        <is>
          <t>Not reported</t>
        </is>
      </c>
      <c r="AC9" s="23" t="inlineStr">
        <is>
          <t>Not reported</t>
        </is>
      </c>
      <c r="AD9" s="23" t="inlineStr">
        <is>
          <t>Not reported</t>
        </is>
      </c>
      <c r="AE9" s="23" t="inlineStr">
        <is>
          <t>Not reported</t>
        </is>
      </c>
      <c r="AF9" s="23" t="inlineStr">
        <is>
          <t>Not reported</t>
        </is>
      </c>
      <c r="AG9" s="23" t="inlineStr">
        <is>
          <t>Not reported</t>
        </is>
      </c>
      <c r="AH9" s="23" t="inlineStr">
        <is>
          <t>Not reported</t>
        </is>
      </c>
      <c r="AI9" s="39" t="inlineStr">
        <is>
          <t>~13.7 million (rounded): moved &gt;3.7M, died ~3.0M, failure 4.1M, felony 308,797</t>
        </is>
      </c>
      <c r="AJ9" s="36" t="n">
        <v>3952841</v>
      </c>
      <c r="AK9" s="23" t="inlineStr">
        <is>
          <t>Final</t>
        </is>
      </c>
      <c r="AL9" s="36" t="n">
        <v>2543279</v>
      </c>
      <c r="AM9" s="23" t="inlineStr">
        <is>
          <t>Final</t>
        </is>
      </c>
      <c r="AN9" s="36" t="n">
        <v>5490</v>
      </c>
      <c r="AO9" s="40">
        <f>IF(AND(ISNUMBER(AN9),ISNUMBER(AN8)),AN9-AN8,"")</f>
        <v/>
      </c>
      <c r="AP9" s="23" t="inlineStr">
        <is>
          <t>Not reported</t>
        </is>
      </c>
      <c r="AQ9" s="39" t="inlineStr">
        <is>
          <t>Not reported: SSA statistical tables do not split SSNs by citizenship or show EAB counts; only official split found is GAO-04-12 for FY2002 (4.23M citizens / 1.34M noncitizens; ~89% of citizen SSNs via EAB).</t>
        </is>
      </c>
    </row>
    <row r="10" ht="15" customHeight="1" s="24">
      <c r="A10" s="23" t="n">
        <v>2013</v>
      </c>
      <c r="B10" s="36" t="n">
        <v>316726282</v>
      </c>
      <c r="C10" s="36" t="n">
        <v>316128839</v>
      </c>
      <c r="D10" s="36" t="n">
        <v>294075483</v>
      </c>
      <c r="E10" s="36" t="n">
        <v>22053356</v>
      </c>
      <c r="F10" s="36" t="n">
        <v>222363928</v>
      </c>
      <c r="G10" s="40">
        <f>IF(AND(ISNUMBER(D10),ISNUMBER(D9)),D10-D9,"")</f>
        <v/>
      </c>
      <c r="H10" s="41">
        <f>IF(AND(ISNUMBER(D10),ISNUMBER(D9)),(D10-D9)/D9,"")</f>
        <v/>
      </c>
      <c r="J10" s="23" t="inlineStr">
        <is>
          <t>Not reported</t>
        </is>
      </c>
      <c r="K10" s="23" t="inlineStr">
        <is>
          <t>Not reported</t>
        </is>
      </c>
      <c r="L10" s="23" t="inlineStr">
        <is>
          <t>Not reported</t>
        </is>
      </c>
      <c r="N10" s="23" t="inlineStr">
        <is>
          <t>Not reported</t>
        </is>
      </c>
      <c r="O10" s="23" t="inlineStr">
        <is>
          <t>Not reported</t>
        </is>
      </c>
      <c r="P10" s="37" t="n"/>
      <c r="R10" s="36" t="n">
        <v>779930</v>
      </c>
      <c r="S10" s="36" t="n">
        <v>772620</v>
      </c>
      <c r="T10" s="40">
        <f>IF(AND(ISNUMBER(R10),ISNUMBER(R9)),R10-R9,"")</f>
        <v/>
      </c>
      <c r="V10" s="23" t="inlineStr">
        <is>
          <t>Not reported</t>
        </is>
      </c>
      <c r="W10" s="37" t="n"/>
      <c r="Y10" s="23" t="inlineStr">
        <is>
          <t>Not reported</t>
        </is>
      </c>
      <c r="Z10" s="23" t="inlineStr">
        <is>
          <t>Not reported</t>
        </is>
      </c>
      <c r="AA10" s="23" t="inlineStr">
        <is>
          <t>Not reported</t>
        </is>
      </c>
      <c r="AB10" s="23" t="inlineStr">
        <is>
          <t>Not reported</t>
        </is>
      </c>
      <c r="AC10" s="23" t="inlineStr">
        <is>
          <t>Not reported</t>
        </is>
      </c>
      <c r="AD10" s="23" t="inlineStr">
        <is>
          <t>Not reported</t>
        </is>
      </c>
      <c r="AE10" s="23" t="inlineStr">
        <is>
          <t>Not reported</t>
        </is>
      </c>
      <c r="AF10" s="23" t="inlineStr">
        <is>
          <t>Not reported</t>
        </is>
      </c>
      <c r="AG10" s="23" t="inlineStr">
        <is>
          <t>Not reported</t>
        </is>
      </c>
      <c r="AH10" s="23" t="inlineStr">
        <is>
          <t>Not reported</t>
        </is>
      </c>
      <c r="AJ10" s="36" t="n">
        <v>3932181</v>
      </c>
      <c r="AK10" s="23" t="inlineStr">
        <is>
          <t>Final</t>
        </is>
      </c>
      <c r="AL10" s="36" t="n">
        <v>2596993</v>
      </c>
      <c r="AM10" s="23" t="inlineStr">
        <is>
          <t>Final</t>
        </is>
      </c>
      <c r="AN10" s="36" t="n">
        <v>5762</v>
      </c>
      <c r="AO10" s="40">
        <f>IF(AND(ISNUMBER(AN10),ISNUMBER(AN9)),AN10-AN9,"")</f>
        <v/>
      </c>
      <c r="AP10" s="23" t="inlineStr">
        <is>
          <t>Not reported</t>
        </is>
      </c>
      <c r="AQ10" s="39" t="inlineStr">
        <is>
          <t>Not reported: SSA statistical tables do not split SSNs by citizenship or show EAB counts; only official split found is GAO-04-12 for FY2002 (4.23M citizens / 1.34M noncitizens; ~89% of citizen SSNs via EAB).</t>
        </is>
      </c>
      <c r="AR10" s="39" t="inlineStr">
        <is>
          <t>EAVS/CPS: Not reported (odd year; surveys are biennial for federal general elections).</t>
        </is>
      </c>
    </row>
    <row r="11" ht="15" customHeight="1" s="24">
      <c r="A11" s="23" t="n">
        <v>2014</v>
      </c>
      <c r="B11" s="36" t="n">
        <v>319257560</v>
      </c>
      <c r="C11" s="36" t="n">
        <v>318857056</v>
      </c>
      <c r="D11" s="36" t="n">
        <v>296450000</v>
      </c>
      <c r="E11" s="36" t="n">
        <v>22407056</v>
      </c>
      <c r="F11" s="36" t="n">
        <v>224744860</v>
      </c>
      <c r="G11" s="40">
        <f>IF(AND(ISNUMBER(D11),ISNUMBER(D10)),D11-D10,"")</f>
        <v/>
      </c>
      <c r="H11" s="41">
        <f>IF(AND(ISNUMBER(D11),ISNUMBER(D10)),(D11-D10)/D10,"")</f>
        <v/>
      </c>
      <c r="J11" s="36" t="n">
        <v>190669639</v>
      </c>
      <c r="K11" s="36" t="n">
        <v>173518745</v>
      </c>
      <c r="L11" s="36" t="n">
        <v>23051454</v>
      </c>
      <c r="M11" s="39" t="inlineStr">
        <is>
          <t>As shown in the 2018 EAVS report's prior-year table: 'reported' total 190,669,639; active+inactive 196,570,199. Some states reported active-only in 2014.</t>
        </is>
      </c>
      <c r="N11" s="36" t="n">
        <v>219941</v>
      </c>
      <c r="O11" s="36" t="n">
        <v>142166</v>
      </c>
      <c r="P11" s="40">
        <f>IF(AND(ISNUMBER(J11),ISNUMBER(J9)),J11-J9,"")</f>
        <v/>
      </c>
      <c r="Q11" s="39" t="inlineStr">
        <is>
          <t>Not comparable: some states reported active registrants only in 2014 (2018 EAVS prior-year table shows reported 190.7M vs active+inactive 196.6M).</t>
        </is>
      </c>
      <c r="R11" s="36" t="n">
        <v>653420</v>
      </c>
      <c r="S11" s="36" t="n">
        <v>773820</v>
      </c>
      <c r="T11" s="40">
        <f>IF(AND(ISNUMBER(R11),ISNUMBER(R10)),R11-R10,"")</f>
        <v/>
      </c>
      <c r="V11" s="23" t="inlineStr">
        <is>
          <t>Not reported</t>
        </is>
      </c>
      <c r="W11" s="40">
        <f>IF(AND(ISNUMBER(V11),ISNUMBER(V9)),V11-V9,"")</f>
        <v/>
      </c>
      <c r="X11" s="39" t="inlineStr">
        <is>
          <t>16.6 million (rounded, 2014 EAVS narrative)</t>
        </is>
      </c>
      <c r="Y11" s="23" t="inlineStr">
        <is>
          <t>Not reported</t>
        </is>
      </c>
      <c r="Z11" s="23" t="inlineStr">
        <is>
          <t>Not reported</t>
        </is>
      </c>
      <c r="AA11" s="23" t="inlineStr">
        <is>
          <t>Not reported</t>
        </is>
      </c>
      <c r="AB11" s="23" t="inlineStr">
        <is>
          <t>Not reported</t>
        </is>
      </c>
      <c r="AC11" s="23" t="inlineStr">
        <is>
          <t>Not reported</t>
        </is>
      </c>
      <c r="AD11" s="23" t="inlineStr">
        <is>
          <t>Not reported</t>
        </is>
      </c>
      <c r="AE11" s="23" t="inlineStr">
        <is>
          <t>Not reported</t>
        </is>
      </c>
      <c r="AF11" s="23" t="inlineStr">
        <is>
          <t>Not reported</t>
        </is>
      </c>
      <c r="AG11" s="23" t="inlineStr">
        <is>
          <t>Not reported</t>
        </is>
      </c>
      <c r="AH11" s="23" t="inlineStr">
        <is>
          <t>Not reported</t>
        </is>
      </c>
      <c r="AI11" s="39" t="inlineStr">
        <is>
          <t>&gt;14.8 million (rounded): moved &gt;4.6M, died &gt;2.7M, failure 5.2M, felony 313,416</t>
        </is>
      </c>
      <c r="AJ11" s="36" t="n">
        <v>3988076</v>
      </c>
      <c r="AK11" s="23" t="inlineStr">
        <is>
          <t>Final</t>
        </is>
      </c>
      <c r="AL11" s="36" t="n">
        <v>2626418</v>
      </c>
      <c r="AM11" s="23" t="inlineStr">
        <is>
          <t>Final</t>
        </is>
      </c>
      <c r="AN11" s="36" t="n">
        <v>5652</v>
      </c>
      <c r="AO11" s="40">
        <f>IF(AND(ISNUMBER(AN11),ISNUMBER(AN10)),AN11-AN10,"")</f>
        <v/>
      </c>
      <c r="AP11" s="23" t="inlineStr">
        <is>
          <t>Not reported</t>
        </is>
      </c>
      <c r="AQ11" s="39" t="inlineStr">
        <is>
          <t>Not reported: SSA statistical tables do not split SSNs by citizenship or show EAB counts; only official split found is GAO-04-12 for FY2002 (4.23M citizens / 1.34M noncitizens; ~89% of citizen SSNs via EAB).</t>
        </is>
      </c>
    </row>
    <row r="12" ht="15" customHeight="1" s="24">
      <c r="A12" s="23" t="n">
        <v>2015</v>
      </c>
      <c r="B12" s="36" t="n">
        <v>321815121</v>
      </c>
      <c r="C12" s="36" t="n">
        <v>321418821</v>
      </c>
      <c r="D12" s="36" t="n">
        <v>298825552</v>
      </c>
      <c r="E12" s="36" t="n">
        <v>22593269</v>
      </c>
      <c r="F12" s="36" t="n">
        <v>227019486</v>
      </c>
      <c r="G12" s="40">
        <f>IF(AND(ISNUMBER(D12),ISNUMBER(D11)),D12-D11,"")</f>
        <v/>
      </c>
      <c r="H12" s="41">
        <f>IF(AND(ISNUMBER(D12),ISNUMBER(D11)),(D12-D11)/D11,"")</f>
        <v/>
      </c>
      <c r="J12" s="23" t="inlineStr">
        <is>
          <t>Not reported</t>
        </is>
      </c>
      <c r="K12" s="23" t="inlineStr">
        <is>
          <t>Not reported</t>
        </is>
      </c>
      <c r="L12" s="23" t="inlineStr">
        <is>
          <t>Not reported</t>
        </is>
      </c>
      <c r="N12" s="23" t="inlineStr">
        <is>
          <t>Not reported</t>
        </is>
      </c>
      <c r="O12" s="23" t="inlineStr">
        <is>
          <t>Not reported</t>
        </is>
      </c>
      <c r="P12" s="37" t="n"/>
      <c r="R12" s="36" t="n">
        <v>730260</v>
      </c>
      <c r="S12" s="36" t="n">
        <v>783060</v>
      </c>
      <c r="T12" s="40">
        <f>IF(AND(ISNUMBER(R12),ISNUMBER(R11)),R12-R11,"")</f>
        <v/>
      </c>
      <c r="V12" s="23" t="inlineStr">
        <is>
          <t>Not reported</t>
        </is>
      </c>
      <c r="W12" s="37" t="n"/>
      <c r="Y12" s="23" t="inlineStr">
        <is>
          <t>Not reported</t>
        </is>
      </c>
      <c r="Z12" s="23" t="inlineStr">
        <is>
          <t>Not reported</t>
        </is>
      </c>
      <c r="AA12" s="23" t="inlineStr">
        <is>
          <t>Not reported</t>
        </is>
      </c>
      <c r="AB12" s="23" t="inlineStr">
        <is>
          <t>Not reported</t>
        </is>
      </c>
      <c r="AC12" s="23" t="inlineStr">
        <is>
          <t>Not reported</t>
        </is>
      </c>
      <c r="AD12" s="23" t="inlineStr">
        <is>
          <t>Not reported</t>
        </is>
      </c>
      <c r="AE12" s="23" t="inlineStr">
        <is>
          <t>Not reported</t>
        </is>
      </c>
      <c r="AF12" s="23" t="inlineStr">
        <is>
          <t>Not reported</t>
        </is>
      </c>
      <c r="AG12" s="23" t="inlineStr">
        <is>
          <t>Not reported</t>
        </is>
      </c>
      <c r="AH12" s="23" t="inlineStr">
        <is>
          <t>Not reported</t>
        </is>
      </c>
      <c r="AJ12" s="36" t="n">
        <v>3978497</v>
      </c>
      <c r="AK12" s="23" t="inlineStr">
        <is>
          <t>Final</t>
        </is>
      </c>
      <c r="AL12" s="36" t="n">
        <v>2712630</v>
      </c>
      <c r="AM12" s="23" t="inlineStr">
        <is>
          <t>Final</t>
        </is>
      </c>
      <c r="AN12" s="36" t="n">
        <v>5844</v>
      </c>
      <c r="AO12" s="40">
        <f>IF(AND(ISNUMBER(AN12),ISNUMBER(AN11)),AN12-AN11,"")</f>
        <v/>
      </c>
      <c r="AP12" s="42" t="n">
        <v>73.40000000000001</v>
      </c>
      <c r="AQ12" s="39" t="inlineStr">
        <is>
          <t>Not reported: SSA statistical tables do not split SSNs by citizenship or show EAB counts; only official split found is GAO-04-12 for FY2002 (4.23M citizens / 1.34M noncitizens; ~89% of citizen SSNs via EAB).</t>
        </is>
      </c>
      <c r="AR12" s="39" t="inlineStr">
        <is>
          <t>EAVS/CPS: Not reported (odd year; surveys are biennial for federal general elections).</t>
        </is>
      </c>
    </row>
    <row r="13" ht="15" customHeight="1" s="24">
      <c r="A13" s="23" t="n">
        <v>2016</v>
      </c>
      <c r="B13" s="36" t="n">
        <v>324353340</v>
      </c>
      <c r="C13" s="36" t="n">
        <v>323127515</v>
      </c>
      <c r="D13" s="36" t="n">
        <v>300626542</v>
      </c>
      <c r="E13" s="36" t="n">
        <v>22500973</v>
      </c>
      <c r="F13" s="36" t="n">
        <v>228849669</v>
      </c>
      <c r="G13" s="40">
        <f>IF(AND(ISNUMBER(D13),ISNUMBER(D12)),D13-D12,"")</f>
        <v/>
      </c>
      <c r="H13" s="41">
        <f>IF(AND(ISNUMBER(D13),ISNUMBER(D12)),(D13-D12)/D12,"")</f>
        <v/>
      </c>
      <c r="J13" s="36" t="n">
        <v>214109360</v>
      </c>
      <c r="K13" s="36" t="n">
        <v>185714229</v>
      </c>
      <c r="L13" s="36" t="n">
        <v>18629063</v>
      </c>
      <c r="M13" s="39" t="inlineStr">
        <is>
          <t>2016 EAVS Comprehensive Report (Table 3 shows 214,109,367; see Discrepancies).</t>
        </is>
      </c>
      <c r="N13" s="36" t="n">
        <v>224059</v>
      </c>
      <c r="O13" s="36" t="n">
        <v>157596</v>
      </c>
      <c r="P13" s="40">
        <f>IF(AND(ISNUMBER(J13),ISNUMBER(J11)),J13-J11,"")</f>
        <v/>
      </c>
      <c r="Q13" s="39" t="inlineStr">
        <is>
          <t>No cause documented in source pulled. Presidential-election year.</t>
        </is>
      </c>
      <c r="R13" s="36" t="n">
        <v>753060</v>
      </c>
      <c r="S13" s="36" t="n">
        <v>972150</v>
      </c>
      <c r="T13" s="40">
        <f>IF(AND(ISNUMBER(R13),ISNUMBER(R12)),R13-R12,"")</f>
        <v/>
      </c>
      <c r="V13" s="36" t="n">
        <v>28935330</v>
      </c>
      <c r="W13" s="40">
        <f>IF(AND(ISNUMBER(V13),ISNUMBER(V11)),V13-V11,"")</f>
        <v/>
      </c>
      <c r="Y13" s="36" t="n">
        <v>16696470</v>
      </c>
      <c r="Z13" s="36" t="n">
        <v>5188806</v>
      </c>
      <c r="AA13" s="36" t="n">
        <v>4110047</v>
      </c>
      <c r="AB13" s="36" t="n">
        <v>4358065</v>
      </c>
      <c r="AC13" s="36" t="n">
        <v>334253</v>
      </c>
      <c r="AD13" s="36" t="n">
        <v>299717</v>
      </c>
      <c r="AE13" s="36" t="n">
        <v>10644</v>
      </c>
      <c r="AF13" s="23" t="inlineStr">
        <is>
          <t>Not reported</t>
        </is>
      </c>
      <c r="AG13" s="36" t="n">
        <v>1347664</v>
      </c>
      <c r="AH13" s="36" t="n">
        <v>1047274</v>
      </c>
      <c r="AJ13" s="36" t="n">
        <v>3945875</v>
      </c>
      <c r="AK13" s="23" t="inlineStr">
        <is>
          <t>Final</t>
        </is>
      </c>
      <c r="AL13" s="36" t="n">
        <v>2744248</v>
      </c>
      <c r="AM13" s="23" t="inlineStr">
        <is>
          <t>Final</t>
        </is>
      </c>
      <c r="AN13" s="36" t="n">
        <v>5945</v>
      </c>
      <c r="AO13" s="40">
        <f>IF(AND(ISNUMBER(AN13),ISNUMBER(AN12)),AN13-AN12,"")</f>
        <v/>
      </c>
      <c r="AP13" s="23" t="inlineStr">
        <is>
          <t>Not reported</t>
        </is>
      </c>
      <c r="AQ13" s="39" t="inlineStr">
        <is>
          <t>Not reported: SSA statistical tables do not split SSNs by citizenship or show EAB counts; only official split found is GAO-04-12 for FY2002 (4.23M citizens / 1.34M noncitizens; ~89% of citizen SSNs via EAB).</t>
        </is>
      </c>
    </row>
    <row r="14" ht="15" customHeight="1" s="24">
      <c r="A14" s="23" t="n">
        <v>2017</v>
      </c>
      <c r="B14" s="36" t="n">
        <v>326608609</v>
      </c>
      <c r="C14" s="36" t="n">
        <v>325719178</v>
      </c>
      <c r="D14" s="36" t="n">
        <v>303142055</v>
      </c>
      <c r="E14" s="36" t="n">
        <v>22577123</v>
      </c>
      <c r="F14" s="36" t="n">
        <v>231416670</v>
      </c>
      <c r="G14" s="40">
        <f>IF(AND(ISNUMBER(D14),ISNUMBER(D13)),D14-D13,"")</f>
        <v/>
      </c>
      <c r="H14" s="41">
        <f>IF(AND(ISNUMBER(D14),ISNUMBER(D13)),(D14-D13)/D13,"")</f>
        <v/>
      </c>
      <c r="J14" s="23" t="inlineStr">
        <is>
          <t>Not reported</t>
        </is>
      </c>
      <c r="K14" s="23" t="inlineStr">
        <is>
          <t>Not reported</t>
        </is>
      </c>
      <c r="L14" s="23" t="inlineStr">
        <is>
          <t>Not reported</t>
        </is>
      </c>
      <c r="N14" s="23" t="inlineStr">
        <is>
          <t>Not reported</t>
        </is>
      </c>
      <c r="O14" s="23" t="inlineStr">
        <is>
          <t>Not reported</t>
        </is>
      </c>
      <c r="P14" s="37" t="n"/>
      <c r="R14" s="36" t="n">
        <v>707270</v>
      </c>
      <c r="S14" s="36" t="n">
        <v>986850</v>
      </c>
      <c r="T14" s="40">
        <f>IF(AND(ISNUMBER(R14),ISNUMBER(R13)),R14-R13,"")</f>
        <v/>
      </c>
      <c r="V14" s="23" t="inlineStr">
        <is>
          <t>Not reported</t>
        </is>
      </c>
      <c r="W14" s="37" t="n"/>
      <c r="Y14" s="23" t="inlineStr">
        <is>
          <t>Not reported</t>
        </is>
      </c>
      <c r="Z14" s="23" t="inlineStr">
        <is>
          <t>Not reported</t>
        </is>
      </c>
      <c r="AA14" s="23" t="inlineStr">
        <is>
          <t>Not reported</t>
        </is>
      </c>
      <c r="AB14" s="23" t="inlineStr">
        <is>
          <t>Not reported</t>
        </is>
      </c>
      <c r="AC14" s="23" t="inlineStr">
        <is>
          <t>Not reported</t>
        </is>
      </c>
      <c r="AD14" s="23" t="inlineStr">
        <is>
          <t>Not reported</t>
        </is>
      </c>
      <c r="AE14" s="23" t="inlineStr">
        <is>
          <t>Not reported</t>
        </is>
      </c>
      <c r="AF14" s="23" t="inlineStr">
        <is>
          <t>Not reported</t>
        </is>
      </c>
      <c r="AG14" s="23" t="inlineStr">
        <is>
          <t>Not reported</t>
        </is>
      </c>
      <c r="AH14" s="23" t="inlineStr">
        <is>
          <t>Not reported</t>
        </is>
      </c>
      <c r="AJ14" s="36" t="n">
        <v>3855500</v>
      </c>
      <c r="AK14" s="23" t="inlineStr">
        <is>
          <t>Final</t>
        </is>
      </c>
      <c r="AL14" s="36" t="n">
        <v>2813503</v>
      </c>
      <c r="AM14" s="23" t="inlineStr">
        <is>
          <t>Final</t>
        </is>
      </c>
      <c r="AN14" s="36" t="n">
        <v>5776</v>
      </c>
      <c r="AO14" s="40">
        <f>IF(AND(ISNUMBER(AN14),ISNUMBER(AN13)),AN14-AN13,"")</f>
        <v/>
      </c>
      <c r="AP14" s="23" t="inlineStr">
        <is>
          <t>Not reported</t>
        </is>
      </c>
      <c r="AQ14" s="39" t="inlineStr">
        <is>
          <t>Not reported: SSA statistical tables do not split SSNs by citizenship or show EAB counts; only official split found is GAO-04-12 for FY2002 (4.23M citizens / 1.34M noncitizens; ~89% of citizen SSNs via EAB).</t>
        </is>
      </c>
      <c r="AR14" s="39" t="inlineStr">
        <is>
          <t>EAVS/CPS: Not reported (odd year; surveys are biennial for federal general elections).</t>
        </is>
      </c>
    </row>
    <row r="15" ht="15" customHeight="1" s="24">
      <c r="A15" s="23" t="n">
        <v>2018</v>
      </c>
      <c r="B15" s="36" t="n">
        <v>328529577</v>
      </c>
      <c r="C15" s="36" t="n">
        <v>327167439</v>
      </c>
      <c r="D15" s="36" t="n">
        <v>305068455</v>
      </c>
      <c r="E15" s="36" t="n">
        <v>22098984</v>
      </c>
      <c r="F15" s="36" t="n">
        <v>233565291</v>
      </c>
      <c r="G15" s="40">
        <f>IF(AND(ISNUMBER(D15),ISNUMBER(D14)),D15-D14,"")</f>
        <v/>
      </c>
      <c r="H15" s="41">
        <f>IF(AND(ISNUMBER(D15),ISNUMBER(D14)),(D15-D14)/D14,"")</f>
        <v/>
      </c>
      <c r="J15" s="36" t="n">
        <v>211665577</v>
      </c>
      <c r="K15" s="36" t="n">
        <v>190662485</v>
      </c>
      <c r="L15" s="36" t="n">
        <v>21164394</v>
      </c>
      <c r="M15" s="39" t="inlineStr">
        <is>
          <t>2018 EAVS report (active+inactive 211,826,879). 2020 report shows 211,601,918 for 2018 (see Discrepancies).</t>
        </is>
      </c>
      <c r="N15" s="36" t="n">
        <v>228832</v>
      </c>
      <c r="O15" s="36" t="n">
        <v>153066</v>
      </c>
      <c r="P15" s="40">
        <f>IF(AND(ISNUMBER(J15),ISNUMBER(J13)),J15-J13,"")</f>
        <v/>
      </c>
      <c r="Q15" s="23" t="inlineStr">
        <is>
          <t>No cause documented in source pulled.</t>
        </is>
      </c>
      <c r="R15" s="36" t="n">
        <v>761900</v>
      </c>
      <c r="S15" s="36" t="n">
        <v>837170</v>
      </c>
      <c r="T15" s="40">
        <f>IF(AND(ISNUMBER(R15),ISNUMBER(R14)),R15-R14,"")</f>
        <v/>
      </c>
      <c r="V15" s="36" t="n">
        <v>20872886</v>
      </c>
      <c r="W15" s="40">
        <f>IF(AND(ISNUMBER(V15),ISNUMBER(V13)),V15-V13,"")</f>
        <v/>
      </c>
      <c r="Y15" s="36" t="n">
        <v>17300470</v>
      </c>
      <c r="Z15" s="36" t="n">
        <v>4268463</v>
      </c>
      <c r="AA15" s="36" t="n">
        <v>3730617</v>
      </c>
      <c r="AB15" s="36" t="n">
        <v>6062095</v>
      </c>
      <c r="AC15" s="36" t="n">
        <v>393735</v>
      </c>
      <c r="AD15" s="36" t="n">
        <v>489084</v>
      </c>
      <c r="AE15" s="36" t="n">
        <v>9569</v>
      </c>
      <c r="AF15" s="23" t="inlineStr">
        <is>
          <t>Not reported</t>
        </is>
      </c>
      <c r="AG15" s="36" t="n">
        <v>1243759</v>
      </c>
      <c r="AH15" s="36" t="n">
        <v>1103148</v>
      </c>
      <c r="AJ15" s="36" t="n">
        <v>3791712</v>
      </c>
      <c r="AK15" s="23" t="inlineStr">
        <is>
          <t>Final</t>
        </is>
      </c>
      <c r="AL15" s="36" t="n">
        <v>2839205</v>
      </c>
      <c r="AM15" s="23" t="inlineStr">
        <is>
          <t>Final</t>
        </is>
      </c>
      <c r="AN15" s="36" t="n">
        <v>5566</v>
      </c>
      <c r="AO15" s="40">
        <f>IF(AND(ISNUMBER(AN15),ISNUMBER(AN14)),AN15-AN14,"")</f>
        <v/>
      </c>
      <c r="AP15" s="23" t="inlineStr">
        <is>
          <t>Not reported</t>
        </is>
      </c>
      <c r="AQ15" s="39" t="inlineStr">
        <is>
          <t>Not reported: SSA statistical tables do not split SSNs by citizenship or show EAB counts; only official split found is GAO-04-12 for FY2002 (4.23M citizens / 1.34M noncitizens; ~89% of citizen SSNs via EAB).</t>
        </is>
      </c>
    </row>
    <row r="16" ht="15" customHeight="1" s="24">
      <c r="A16" s="23" t="n">
        <v>2019</v>
      </c>
      <c r="B16" s="36" t="n">
        <v>330226227</v>
      </c>
      <c r="C16" s="36" t="n">
        <v>328239523</v>
      </c>
      <c r="D16" s="36" t="n">
        <v>306489539</v>
      </c>
      <c r="E16" s="36" t="n">
        <v>21749984</v>
      </c>
      <c r="F16" s="36" t="n">
        <v>235418734</v>
      </c>
      <c r="G16" s="40">
        <f>IF(AND(ISNUMBER(D16),ISNUMBER(D15)),D16-D15,"")</f>
        <v/>
      </c>
      <c r="H16" s="41">
        <f>IF(AND(ISNUMBER(D16),ISNUMBER(D15)),(D16-D15)/D15,"")</f>
        <v/>
      </c>
      <c r="J16" s="23" t="inlineStr">
        <is>
          <t>Not reported</t>
        </is>
      </c>
      <c r="K16" s="23" t="inlineStr">
        <is>
          <t>Not reported</t>
        </is>
      </c>
      <c r="L16" s="23" t="inlineStr">
        <is>
          <t>Not reported</t>
        </is>
      </c>
      <c r="N16" s="23" t="inlineStr">
        <is>
          <t>Not reported</t>
        </is>
      </c>
      <c r="O16" s="23" t="inlineStr">
        <is>
          <t>Not reported</t>
        </is>
      </c>
      <c r="P16" s="37" t="n"/>
      <c r="R16" s="36" t="n">
        <v>843590</v>
      </c>
      <c r="S16" s="36" t="n">
        <v>830560</v>
      </c>
      <c r="T16" s="40">
        <f>IF(AND(ISNUMBER(R16),ISNUMBER(R15)),R16-R15,"")</f>
        <v/>
      </c>
      <c r="V16" s="23" t="inlineStr">
        <is>
          <t>Not reported</t>
        </is>
      </c>
      <c r="W16" s="37" t="n"/>
      <c r="Y16" s="23" t="inlineStr">
        <is>
          <t>Not reported</t>
        </is>
      </c>
      <c r="Z16" s="23" t="inlineStr">
        <is>
          <t>Not reported</t>
        </is>
      </c>
      <c r="AA16" s="23" t="inlineStr">
        <is>
          <t>Not reported</t>
        </is>
      </c>
      <c r="AB16" s="23" t="inlineStr">
        <is>
          <t>Not reported</t>
        </is>
      </c>
      <c r="AC16" s="23" t="inlineStr">
        <is>
          <t>Not reported</t>
        </is>
      </c>
      <c r="AD16" s="23" t="inlineStr">
        <is>
          <t>Not reported</t>
        </is>
      </c>
      <c r="AE16" s="23" t="inlineStr">
        <is>
          <t>Not reported</t>
        </is>
      </c>
      <c r="AF16" s="23" t="inlineStr">
        <is>
          <t>Not reported</t>
        </is>
      </c>
      <c r="AG16" s="23" t="inlineStr">
        <is>
          <t>Not reported</t>
        </is>
      </c>
      <c r="AH16" s="23" t="inlineStr">
        <is>
          <t>Not reported</t>
        </is>
      </c>
      <c r="AJ16" s="36" t="n">
        <v>3747540</v>
      </c>
      <c r="AK16" s="23" t="inlineStr">
        <is>
          <t>Final</t>
        </is>
      </c>
      <c r="AL16" s="36" t="n">
        <v>2854838</v>
      </c>
      <c r="AM16" s="23" t="inlineStr">
        <is>
          <t>Final</t>
        </is>
      </c>
      <c r="AN16" s="36" t="n">
        <v>5403</v>
      </c>
      <c r="AO16" s="40">
        <f>IF(AND(ISNUMBER(AN16),ISNUMBER(AN15)),AN16-AN15,"")</f>
        <v/>
      </c>
      <c r="AP16" s="23" t="inlineStr">
        <is>
          <t>Not reported</t>
        </is>
      </c>
      <c r="AQ16" s="39" t="inlineStr">
        <is>
          <t>Not reported: SSA statistical tables do not split SSNs by citizenship or show EAB counts; only official split found is GAO-04-12 for FY2002 (4.23M citizens / 1.34M noncitizens; ~89% of citizen SSNs via EAB).</t>
        </is>
      </c>
      <c r="AR16" s="39" t="inlineStr">
        <is>
          <t>EAVS/CPS: Not reported (odd year; surveys are biennial for federal general elections).</t>
        </is>
      </c>
    </row>
    <row r="17" ht="15" customHeight="1" s="24">
      <c r="A17" s="23" t="n">
        <v>2020</v>
      </c>
      <c r="B17" s="36" t="n">
        <v>331578104</v>
      </c>
      <c r="C17" s="36" t="n">
        <v>329484119</v>
      </c>
      <c r="D17" s="36" t="n">
        <v>309278120</v>
      </c>
      <c r="E17" s="36" t="n">
        <v>20205999</v>
      </c>
      <c r="F17" s="23" t="inlineStr">
        <is>
          <t>Not reported</t>
        </is>
      </c>
      <c r="G17" s="37" t="inlineStr">
        <is>
          <t>Not computed: not comparable</t>
        </is>
      </c>
      <c r="H17" s="38" t="inlineStr">
        <is>
          <t>Not computed: not comparable</t>
        </is>
      </c>
      <c r="I17" s="39" t="inlineStr">
        <is>
          <t>2020 = ACS experimental 1-year table XK200501; Census says it should not be compared with other years. No 2020 1-year CVAP table (B05003/B29001) was released.</t>
        </is>
      </c>
      <c r="J17" s="36" t="n">
        <v>228004364</v>
      </c>
      <c r="K17" s="36" t="n">
        <v>209441338</v>
      </c>
      <c r="L17" s="36" t="n">
        <v>18523963</v>
      </c>
      <c r="M17" s="23" t="inlineStr">
        <is>
          <t>2020 EAVS report.</t>
        </is>
      </c>
      <c r="N17" s="36" t="n">
        <v>231593</v>
      </c>
      <c r="O17" s="36" t="n">
        <v>168308</v>
      </c>
      <c r="P17" s="40">
        <f>IF(AND(ISNUMBER(J17),ISNUMBER(J15)),J17-J15,"")</f>
        <v/>
      </c>
      <c r="Q17" s="39" t="inlineStr">
        <is>
          <t>No cause documented in source pulled. Presidential-election year; EAVS shows 33.4M new valid registrations.</t>
        </is>
      </c>
      <c r="R17" s="36" t="n">
        <v>628250</v>
      </c>
      <c r="S17" s="36" t="n">
        <v>967760</v>
      </c>
      <c r="T17" s="40">
        <f>IF(AND(ISNUMBER(R17),ISNUMBER(R16)),R17-R16,"")</f>
        <v/>
      </c>
      <c r="U17" s="39" t="inlineStr">
        <is>
          <t>Drop to 628,250: USCIS suspended in-person services/oath ceremonies Mar-Jun 2020 due to COVID-19 (DHS flow reporting; not re-verified from box).</t>
        </is>
      </c>
      <c r="V17" s="36" t="n">
        <v>33437005</v>
      </c>
      <c r="W17" s="40">
        <f>IF(AND(ISNUMBER(V17),ISNUMBER(V15)),V17-V15,"")</f>
        <v/>
      </c>
      <c r="Y17" s="36" t="n">
        <v>18781054</v>
      </c>
      <c r="Z17" s="36" t="n">
        <v>5342509</v>
      </c>
      <c r="AA17" s="36" t="n">
        <v>4020596</v>
      </c>
      <c r="AB17" s="36" t="n">
        <v>5984924</v>
      </c>
      <c r="AC17" s="36" t="n">
        <v>269439</v>
      </c>
      <c r="AD17" s="36" t="n">
        <v>582352</v>
      </c>
      <c r="AE17" s="36" t="n">
        <v>9643</v>
      </c>
      <c r="AF17" s="23" t="inlineStr">
        <is>
          <t>Not reported</t>
        </is>
      </c>
      <c r="AG17" s="36" t="n">
        <v>1592211</v>
      </c>
      <c r="AH17" s="36" t="n">
        <v>979380</v>
      </c>
      <c r="AJ17" s="36" t="n">
        <v>3613647</v>
      </c>
      <c r="AK17" s="23" t="inlineStr">
        <is>
          <t>Final</t>
        </is>
      </c>
      <c r="AL17" s="36" t="n">
        <v>3383729</v>
      </c>
      <c r="AM17" s="23" t="inlineStr">
        <is>
          <t>Final</t>
        </is>
      </c>
      <c r="AN17" s="36" t="n">
        <v>4461</v>
      </c>
      <c r="AO17" s="40">
        <f>IF(AND(ISNUMBER(AN17),ISNUMBER(AN16)),AN17-AN16,"")</f>
        <v/>
      </c>
      <c r="AP17" s="42" t="n">
        <v>83.90000000000001</v>
      </c>
      <c r="AQ17" s="39" t="inlineStr">
        <is>
          <t>Not reported: SSA statistical tables do not split SSNs by citizenship or show EAB counts; only official split found is GAO-04-12 for FY2002 (4.23M citizens / 1.34M noncitizens; ~89% of citizen SSNs via EAB).</t>
        </is>
      </c>
      <c r="AR17" s="39" t="inlineStr">
        <is>
          <t>ACS CVAP 2020: Not reported (no experimental CVAP table).</t>
        </is>
      </c>
    </row>
    <row r="18" ht="15" customHeight="1" s="24">
      <c r="A18" s="23" t="n">
        <v>2021</v>
      </c>
      <c r="B18" s="36" t="n">
        <v>332100166</v>
      </c>
      <c r="C18" s="36" t="n">
        <v>331893745</v>
      </c>
      <c r="D18" s="36" t="n">
        <v>310667725</v>
      </c>
      <c r="E18" s="36" t="n">
        <v>21226020</v>
      </c>
      <c r="F18" s="36" t="n">
        <v>239035960</v>
      </c>
      <c r="G18" s="37" t="inlineStr">
        <is>
          <t>Not computed: not comparable</t>
        </is>
      </c>
      <c r="H18" s="38" t="inlineStr">
        <is>
          <t>Not computed: not comparable</t>
        </is>
      </c>
      <c r="J18" s="23" t="inlineStr">
        <is>
          <t>Not reported</t>
        </is>
      </c>
      <c r="K18" s="23" t="inlineStr">
        <is>
          <t>Not reported</t>
        </is>
      </c>
      <c r="L18" s="23" t="inlineStr">
        <is>
          <t>Not reported</t>
        </is>
      </c>
      <c r="N18" s="23" t="inlineStr">
        <is>
          <t>Not reported</t>
        </is>
      </c>
      <c r="O18" s="23" t="inlineStr">
        <is>
          <t>Not reported</t>
        </is>
      </c>
      <c r="P18" s="37" t="n"/>
      <c r="R18" s="36" t="n">
        <v>813860</v>
      </c>
      <c r="S18" s="36" t="n">
        <v>789120</v>
      </c>
      <c r="T18" s="40">
        <f>IF(AND(ISNUMBER(R18),ISNUMBER(R17)),R18-R17,"")</f>
        <v/>
      </c>
      <c r="U18" s="23" t="inlineStr">
        <is>
          <t>Rebound as oath ceremonies resumed.</t>
        </is>
      </c>
      <c r="V18" s="23" t="inlineStr">
        <is>
          <t>Not reported</t>
        </is>
      </c>
      <c r="W18" s="37" t="n"/>
      <c r="Y18" s="23" t="inlineStr">
        <is>
          <t>Not reported</t>
        </is>
      </c>
      <c r="Z18" s="23" t="inlineStr">
        <is>
          <t>Not reported</t>
        </is>
      </c>
      <c r="AA18" s="23" t="inlineStr">
        <is>
          <t>Not reported</t>
        </is>
      </c>
      <c r="AB18" s="23" t="inlineStr">
        <is>
          <t>Not reported</t>
        </is>
      </c>
      <c r="AC18" s="23" t="inlineStr">
        <is>
          <t>Not reported</t>
        </is>
      </c>
      <c r="AD18" s="23" t="inlineStr">
        <is>
          <t>Not reported</t>
        </is>
      </c>
      <c r="AE18" s="23" t="inlineStr">
        <is>
          <t>Not reported</t>
        </is>
      </c>
      <c r="AF18" s="23" t="inlineStr">
        <is>
          <t>Not reported</t>
        </is>
      </c>
      <c r="AG18" s="23" t="inlineStr">
        <is>
          <t>Not reported</t>
        </is>
      </c>
      <c r="AH18" s="23" t="inlineStr">
        <is>
          <t>Not reported</t>
        </is>
      </c>
      <c r="AJ18" s="36" t="n">
        <v>3664292</v>
      </c>
      <c r="AK18" s="23" t="inlineStr">
        <is>
          <t>Final</t>
        </is>
      </c>
      <c r="AL18" s="36" t="n">
        <v>3464231</v>
      </c>
      <c r="AM18" s="23" t="inlineStr">
        <is>
          <t>Final</t>
        </is>
      </c>
      <c r="AN18" s="36" t="n">
        <v>4934</v>
      </c>
      <c r="AO18" s="40">
        <f>IF(AND(ISNUMBER(AN18),ISNUMBER(AN17)),AN18-AN17,"")</f>
        <v/>
      </c>
      <c r="AP18" s="42" t="n">
        <v>79</v>
      </c>
      <c r="AQ18" s="39" t="inlineStr">
        <is>
          <t>Not reported: SSA statistical tables do not split SSNs by citizenship or show EAB counts; only official split found is GAO-04-12 for FY2002 (4.23M citizens / 1.34M noncitizens; ~89% of citizen SSNs via EAB).</t>
        </is>
      </c>
      <c r="AR18" s="39" t="inlineStr">
        <is>
          <t>EAVS/CPS: Not reported (odd year; surveys are biennial for federal general elections).</t>
        </is>
      </c>
    </row>
    <row r="19" ht="15" customHeight="1" s="24">
      <c r="A19" s="23" t="n">
        <v>2022</v>
      </c>
      <c r="B19" s="36" t="n">
        <v>333996304</v>
      </c>
      <c r="C19" s="36" t="n">
        <v>333287562</v>
      </c>
      <c r="D19" s="36" t="n">
        <v>311614516</v>
      </c>
      <c r="E19" s="36" t="n">
        <v>21673046</v>
      </c>
      <c r="F19" s="36" t="n">
        <v>241228116</v>
      </c>
      <c r="G19" s="40">
        <f>IF(AND(ISNUMBER(D19),ISNUMBER(D18)),D19-D18,"")</f>
        <v/>
      </c>
      <c r="H19" s="41">
        <f>IF(AND(ISNUMBER(D19),ISNUMBER(D18)),(D19-D18)/D18,"")</f>
        <v/>
      </c>
      <c r="J19" s="36" t="n">
        <v>226339980</v>
      </c>
      <c r="K19" s="36" t="n">
        <v>203660564</v>
      </c>
      <c r="L19" s="36" t="n">
        <v>22794555</v>
      </c>
      <c r="M19" s="23" t="inlineStr">
        <is>
          <t>2022 EAVS report.</t>
        </is>
      </c>
      <c r="N19" s="36" t="n">
        <v>233546</v>
      </c>
      <c r="O19" s="36" t="n">
        <v>161422</v>
      </c>
      <c r="P19" s="40">
        <f>IF(AND(ISNUMBER(J19),ISNUMBER(J17)),J19-J17,"")</f>
        <v/>
      </c>
      <c r="Q19" s="23" t="inlineStr">
        <is>
          <t>No cause documented in source pulled.</t>
        </is>
      </c>
      <c r="R19" s="36" t="n">
        <v>969380</v>
      </c>
      <c r="S19" s="36" t="n">
        <v>781080</v>
      </c>
      <c r="T19" s="40">
        <f>IF(AND(ISNUMBER(R19),ISNUMBER(R18)),R19-R18,"")</f>
        <v/>
      </c>
      <c r="U19" s="39" t="inlineStr">
        <is>
          <t>969,380, highest since FY2008; USCIS backlog-reduction efforts (DHS/USCIS statements; not re-verified from box).</t>
        </is>
      </c>
      <c r="V19" s="36" t="n">
        <v>22810030</v>
      </c>
      <c r="W19" s="40">
        <f>IF(AND(ISNUMBER(V19),ISNUMBER(V17)),V19-V17,"")</f>
        <v/>
      </c>
      <c r="Y19" s="36" t="n">
        <v>19260000</v>
      </c>
      <c r="Z19" s="36" t="n">
        <v>5117961</v>
      </c>
      <c r="AA19" s="36" t="n">
        <v>4898625</v>
      </c>
      <c r="AB19" s="36" t="n">
        <v>4776706</v>
      </c>
      <c r="AC19" s="36" t="n">
        <v>240887</v>
      </c>
      <c r="AD19" s="36" t="n">
        <v>758405</v>
      </c>
      <c r="AE19" s="36" t="n">
        <v>10637</v>
      </c>
      <c r="AF19" s="23" t="inlineStr">
        <is>
          <t>Not reported</t>
        </is>
      </c>
      <c r="AG19" s="36" t="n">
        <v>2324178</v>
      </c>
      <c r="AH19" s="36" t="n">
        <v>1132601</v>
      </c>
      <c r="AJ19" s="36" t="n">
        <v>3667758</v>
      </c>
      <c r="AK19" s="23" t="inlineStr">
        <is>
          <t>Final</t>
        </is>
      </c>
      <c r="AL19" s="36" t="n">
        <v>3279857</v>
      </c>
      <c r="AM19" s="23" t="inlineStr">
        <is>
          <t>Final</t>
        </is>
      </c>
      <c r="AN19" s="36" t="n">
        <v>5975</v>
      </c>
      <c r="AO19" s="40">
        <f>IF(AND(ISNUMBER(AN19),ISNUMBER(AN18)),AN19-AN18,"")</f>
        <v/>
      </c>
      <c r="AP19" s="42" t="n">
        <v>67.3</v>
      </c>
      <c r="AQ19" s="39" t="inlineStr">
        <is>
          <t>Not reported: SSA statistical tables do not split SSNs by citizenship or show EAB counts; only official split found is GAO-04-12 for FY2002 (4.23M citizens / 1.34M noncitizens; ~89% of citizen SSNs via EAB).</t>
        </is>
      </c>
    </row>
    <row r="20" ht="15" customHeight="1" s="24">
      <c r="A20" s="23" t="n">
        <v>2023</v>
      </c>
      <c r="B20" s="36" t="n">
        <v>336755052</v>
      </c>
      <c r="C20" s="36" t="n">
        <v>334914896</v>
      </c>
      <c r="D20" s="36" t="n">
        <v>312053551</v>
      </c>
      <c r="E20" s="36" t="n">
        <v>22861345</v>
      </c>
      <c r="F20" s="36" t="n">
        <v>241601029</v>
      </c>
      <c r="G20" s="40">
        <f>IF(AND(ISNUMBER(D20),ISNUMBER(D19)),D20-D19,"")</f>
        <v/>
      </c>
      <c r="H20" s="41">
        <f>IF(AND(ISNUMBER(D20),ISNUMBER(D19)),(D20-D19)/D19,"")</f>
        <v/>
      </c>
      <c r="J20" s="23" t="inlineStr">
        <is>
          <t>Not reported</t>
        </is>
      </c>
      <c r="K20" s="23" t="inlineStr">
        <is>
          <t>Not reported</t>
        </is>
      </c>
      <c r="L20" s="23" t="inlineStr">
        <is>
          <t>Not reported</t>
        </is>
      </c>
      <c r="N20" s="23" t="inlineStr">
        <is>
          <t>Not reported</t>
        </is>
      </c>
      <c r="O20" s="23" t="inlineStr">
        <is>
          <t>Not reported</t>
        </is>
      </c>
      <c r="P20" s="37" t="n"/>
      <c r="R20" s="36" t="n">
        <v>878460</v>
      </c>
      <c r="S20" s="36" t="n">
        <v>827610</v>
      </c>
      <c r="T20" s="40">
        <f>IF(AND(ISNUMBER(R20),ISNUMBER(R19)),R20-R19,"")</f>
        <v/>
      </c>
      <c r="V20" s="23" t="inlineStr">
        <is>
          <t>Not reported</t>
        </is>
      </c>
      <c r="W20" s="37" t="n"/>
      <c r="Y20" s="23" t="inlineStr">
        <is>
          <t>Not reported</t>
        </is>
      </c>
      <c r="Z20" s="23" t="inlineStr">
        <is>
          <t>Not reported</t>
        </is>
      </c>
      <c r="AA20" s="23" t="inlineStr">
        <is>
          <t>Not reported</t>
        </is>
      </c>
      <c r="AB20" s="23" t="inlineStr">
        <is>
          <t>Not reported</t>
        </is>
      </c>
      <c r="AC20" s="23" t="inlineStr">
        <is>
          <t>Not reported</t>
        </is>
      </c>
      <c r="AD20" s="23" t="inlineStr">
        <is>
          <t>Not reported</t>
        </is>
      </c>
      <c r="AE20" s="23" t="inlineStr">
        <is>
          <t>Not reported</t>
        </is>
      </c>
      <c r="AF20" s="23" t="inlineStr">
        <is>
          <t>Not reported</t>
        </is>
      </c>
      <c r="AG20" s="23" t="inlineStr">
        <is>
          <t>Not reported</t>
        </is>
      </c>
      <c r="AH20" s="23" t="inlineStr">
        <is>
          <t>Not reported</t>
        </is>
      </c>
      <c r="AJ20" s="36" t="n">
        <v>3596017</v>
      </c>
      <c r="AK20" s="23" t="inlineStr">
        <is>
          <t>Final</t>
        </is>
      </c>
      <c r="AL20" s="36" t="n">
        <v>3090964</v>
      </c>
      <c r="AM20" s="23" t="inlineStr">
        <is>
          <t>Final</t>
        </is>
      </c>
      <c r="AN20" s="36" t="n">
        <v>6909</v>
      </c>
      <c r="AO20" s="40">
        <f>IF(AND(ISNUMBER(AN20),ISNUMBER(AN19)),AN20-AN19,"")</f>
        <v/>
      </c>
      <c r="AP20" s="42" t="n">
        <v>59.8</v>
      </c>
      <c r="AQ20" s="39" t="inlineStr">
        <is>
          <t>Not reported: SSA statistical tables do not split SSNs by citizenship or show EAB counts; only official split found is GAO-04-12 for FY2002 (4.23M citizens / 1.34M noncitizens; ~89% of citizen SSNs via EAB).</t>
        </is>
      </c>
      <c r="AR20" s="39" t="inlineStr">
        <is>
          <t>EAVS/CPS: Not reported (odd year; surveys are biennial for federal general elections).</t>
        </is>
      </c>
    </row>
    <row r="21" ht="15" customHeight="1" s="24">
      <c r="A21" s="23" t="n">
        <v>2024</v>
      </c>
      <c r="B21" s="36" t="n">
        <v>340003797</v>
      </c>
      <c r="C21" s="36" t="n">
        <v>340110990</v>
      </c>
      <c r="D21" s="36" t="n">
        <v>315714107</v>
      </c>
      <c r="E21" s="36" t="n">
        <v>24396883</v>
      </c>
      <c r="F21" s="36" t="n">
        <v>245275126</v>
      </c>
      <c r="G21" s="40">
        <f>IF(AND(ISNUMBER(D21),ISNUMBER(D20)),D21-D20,"")</f>
        <v/>
      </c>
      <c r="H21" s="41">
        <f>IF(AND(ISNUMBER(D21),ISNUMBER(D20)),(D21-D20)/D20,"")</f>
        <v/>
      </c>
      <c r="J21" s="36" t="n">
        <v>234504358</v>
      </c>
      <c r="K21" s="36" t="n">
        <v>211144275</v>
      </c>
      <c r="L21" s="36" t="n">
        <v>23184185</v>
      </c>
      <c r="M21" s="39" t="inlineStr">
        <is>
          <t>2024 EAVS report (Errata v2 Feb 2026 did not revise these totals).</t>
        </is>
      </c>
      <c r="N21" s="36" t="n">
        <v>236138</v>
      </c>
      <c r="O21" s="36" t="n">
        <v>173854</v>
      </c>
      <c r="P21" s="40">
        <f>IF(AND(ISNUMBER(J21),ISNUMBER(J19)),J21-J19,"")</f>
        <v/>
      </c>
      <c r="Q21" s="39" t="inlineStr">
        <is>
          <t>No cause documented in source pulled. Presidential-election year.</t>
        </is>
      </c>
      <c r="R21" s="36" t="n">
        <v>818570</v>
      </c>
      <c r="S21" s="36" t="n">
        <v>994130</v>
      </c>
      <c r="T21" s="40">
        <f>IF(AND(ISNUMBER(R21),ISNUMBER(R20)),R21-R20,"")</f>
        <v/>
      </c>
      <c r="V21" s="36" t="n">
        <v>26185294</v>
      </c>
      <c r="W21" s="40">
        <f>IF(AND(ISNUMBER(V21),ISNUMBER(V19)),V21-V19,"")</f>
        <v/>
      </c>
      <c r="Y21" s="36" t="n">
        <v>21298175</v>
      </c>
      <c r="Z21" s="36" t="n">
        <v>6504112</v>
      </c>
      <c r="AA21" s="36" t="n">
        <v>4482207</v>
      </c>
      <c r="AB21" s="36" t="n">
        <v>6693317</v>
      </c>
      <c r="AC21" s="36" t="n">
        <v>293862</v>
      </c>
      <c r="AD21" s="36" t="n">
        <v>494917</v>
      </c>
      <c r="AE21" s="36" t="n">
        <v>13382</v>
      </c>
      <c r="AF21" s="36" t="n">
        <v>1175148</v>
      </c>
      <c r="AG21" s="36" t="n">
        <v>650030</v>
      </c>
      <c r="AH21" s="36" t="n">
        <v>1002042</v>
      </c>
      <c r="AI21" s="39" t="inlineStr">
        <is>
          <t>2024 Errata v2 revises: moved 6,504,140; deceased 4,576,275; felony 296,581; mental incompetence 13,354; not categorized 894,413 (total not restated). Duplicate category (1,175,148) new in 2024.</t>
        </is>
      </c>
      <c r="AJ21" s="36" t="n">
        <v>3628934</v>
      </c>
      <c r="AK21" s="23" t="inlineStr">
        <is>
          <t>Final</t>
        </is>
      </c>
      <c r="AL21" s="36" t="n">
        <v>3072666</v>
      </c>
      <c r="AM21" s="23" t="inlineStr">
        <is>
          <t>Final</t>
        </is>
      </c>
      <c r="AN21" s="36" t="n">
        <v>7470</v>
      </c>
      <c r="AO21" s="40">
        <f>IF(AND(ISNUMBER(AN21),ISNUMBER(AN20)),AN21-AN20,"")</f>
        <v/>
      </c>
      <c r="AP21" s="42" t="n">
        <v>56.1</v>
      </c>
      <c r="AQ21" s="39" t="inlineStr">
        <is>
          <t>Not reported: SSA statistical tables do not split SSNs by citizenship or show EAB counts; only official split found is GAO-04-12 for FY2002 (4.23M citizens / 1.34M noncitizens; ~89% of citizen SSNs via EAB).</t>
        </is>
      </c>
    </row>
    <row r="22" ht="15" customHeight="1" s="24">
      <c r="A22" s="23" t="n">
        <v>2025</v>
      </c>
      <c r="B22" s="36" t="n">
        <v>341784857</v>
      </c>
      <c r="C22" s="23" t="inlineStr">
        <is>
          <t>Not reported</t>
        </is>
      </c>
      <c r="D22" s="23" t="inlineStr">
        <is>
          <t>Not reported</t>
        </is>
      </c>
      <c r="E22" s="23" t="inlineStr">
        <is>
          <t>Not reported</t>
        </is>
      </c>
      <c r="F22" s="23" t="inlineStr">
        <is>
          <t>Not reported</t>
        </is>
      </c>
      <c r="G22" s="40">
        <f>IF(AND(ISNUMBER(D22),ISNUMBER(D21)),D22-D21,"")</f>
        <v/>
      </c>
      <c r="H22" s="41">
        <f>IF(AND(ISNUMBER(D22),ISNUMBER(D21)),(D22-D21)/D21,"")</f>
        <v/>
      </c>
      <c r="I22" s="39" t="inlineStr">
        <is>
          <t>Not reported: 2025 ACS 1-year not yet released (www2.census.gov 2025 summary-file directory empty as of Sep 24, 2026).</t>
        </is>
      </c>
      <c r="J22" s="23" t="inlineStr">
        <is>
          <t>Not reported</t>
        </is>
      </c>
      <c r="K22" s="23" t="inlineStr">
        <is>
          <t>Not reported</t>
        </is>
      </c>
      <c r="L22" s="23" t="inlineStr">
        <is>
          <t>Not reported</t>
        </is>
      </c>
      <c r="N22" s="23" t="inlineStr">
        <is>
          <t>Not reported</t>
        </is>
      </c>
      <c r="O22" s="23" t="inlineStr">
        <is>
          <t>Not reported</t>
        </is>
      </c>
      <c r="P22" s="37" t="n"/>
      <c r="R22" s="23" t="inlineStr">
        <is>
          <t>Not reported</t>
        </is>
      </c>
      <c r="S22" s="23" t="inlineStr">
        <is>
          <t>Not reported</t>
        </is>
      </c>
      <c r="T22" s="40">
        <f>IF(AND(ISNUMBER(R22),ISNUMBER(R21)),R22-R21,"")</f>
        <v/>
      </c>
      <c r="U22" s="39" t="inlineStr">
        <is>
          <t>Not reported: FY2025 not yet in the DHS Yearbook (latest table FY2024).</t>
        </is>
      </c>
      <c r="V22" s="23" t="inlineStr">
        <is>
          <t>Not reported</t>
        </is>
      </c>
      <c r="W22" s="37" t="n"/>
      <c r="Y22" s="23" t="inlineStr">
        <is>
          <t>Not reported</t>
        </is>
      </c>
      <c r="Z22" s="23" t="inlineStr">
        <is>
          <t>Not reported</t>
        </is>
      </c>
      <c r="AA22" s="23" t="inlineStr">
        <is>
          <t>Not reported</t>
        </is>
      </c>
      <c r="AB22" s="23" t="inlineStr">
        <is>
          <t>Not reported</t>
        </is>
      </c>
      <c r="AC22" s="23" t="inlineStr">
        <is>
          <t>Not reported</t>
        </is>
      </c>
      <c r="AD22" s="23" t="inlineStr">
        <is>
          <t>Not reported</t>
        </is>
      </c>
      <c r="AE22" s="23" t="inlineStr">
        <is>
          <t>Not reported</t>
        </is>
      </c>
      <c r="AF22" s="23" t="inlineStr">
        <is>
          <t>Not reported</t>
        </is>
      </c>
      <c r="AG22" s="23" t="inlineStr">
        <is>
          <t>Not reported</t>
        </is>
      </c>
      <c r="AH22" s="23" t="inlineStr">
        <is>
          <t>Not reported</t>
        </is>
      </c>
      <c r="AJ22" s="36" t="n">
        <v>3606400</v>
      </c>
      <c r="AK22" s="23" t="inlineStr">
        <is>
          <t>PROVISIONAL (VSRR No. 43)</t>
        </is>
      </c>
      <c r="AL22" s="36" t="n">
        <v>3094593</v>
      </c>
      <c r="AM22" s="23" t="inlineStr">
        <is>
          <t>PROVISIONAL (VSRR provisional 2025)</t>
        </is>
      </c>
      <c r="AN22" s="23" t="inlineStr">
        <is>
          <t>Not reported</t>
        </is>
      </c>
      <c r="AO22" s="40">
        <f>IF(AND(ISNUMBER(AN22),ISNUMBER(AN21)),AN22-AN21,"")</f>
        <v/>
      </c>
      <c r="AP22" s="23" t="inlineStr">
        <is>
          <t>Not reported</t>
        </is>
      </c>
      <c r="AQ22" s="39" t="inlineStr">
        <is>
          <t>Not reported: SSA statistical tables do not split SSNs by citizenship or show EAB counts; only official split found is GAO-04-12 for FY2002 (4.23M citizens / 1.34M noncitizens; ~89% of citizen SSNs via EAB).</t>
        </is>
      </c>
      <c r="AR22" s="39" t="inlineStr">
        <is>
          <t>ACS: Not reported: 2025 ACS 1-year not yet released (www2.census.gov 2025 summary-file directory empty as of Sep 24, 2026). EAVS/CPS: Not reported (odd year; surveys are biennial for federal general elections). EAVS 2026 and CPS 2026 not yet collected; DHS FY2025 naturalizations and SSA 2025 SSNs not yet published.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3" min="1" max="1"/>
    <col width="140" customWidth="1" style="23" min="2" max="2"/>
  </cols>
  <sheetData>
    <row r="1" ht="60" customHeight="1" s="24">
      <c r="A1" s="35" t="inlineStr">
        <is>
          <t>Term</t>
        </is>
      </c>
      <c r="B1" s="35" t="inlineStr">
        <is>
          <t>Definition / rule</t>
        </is>
      </c>
    </row>
    <row r="2" ht="15" customHeight="1" s="24">
      <c r="A2" s="23" t="inlineStr">
        <is>
          <t>Rule</t>
        </is>
      </c>
      <c r="B2" s="39" t="inlineStr">
        <is>
          <t>Raw published numbers only. The only arithmetic in this workbook is year-over-year / cycle-over-cycle differences (green columns, Excel formulas) and the one sum-only Biden-period row on the Humanitarian sheet that was specifically requested. Nothing is interpolated, imputed, adjusted, averaged or reconciled.</t>
        </is>
      </c>
    </row>
    <row r="3" ht="15" customHeight="1" s="24">
      <c r="A3" s="23" t="inlineStr">
        <is>
          <t>ACS citizens</t>
        </is>
      </c>
      <c r="B3" s="39" t="inlineStr">
        <is>
          <t>ACS B05001 'U.S. citizen' = native-born + born in PR/Island Areas + born abroad to US parents + naturalized. Survey estimate with margin of error (not shown). 2005 excludes group quarters. 2020 figures are experimental and not comparable.</t>
        </is>
      </c>
    </row>
    <row r="4" ht="15" customHeight="1" s="24">
      <c r="A4" s="23" t="inlineStr">
        <is>
          <t>CVAP</t>
        </is>
      </c>
      <c r="B4" s="39" t="inlineStr">
        <is>
          <t>Citizen voting-age population (citizens 18+), ACS B29001 (2009+) / B05003 (earlier). EAVS reports quote CVAP from ACS, sometimes a different vintage (see Discrepancies).</t>
        </is>
      </c>
    </row>
    <row r="5" ht="15" customHeight="1" s="24">
      <c r="A5" s="23" t="inlineStr">
        <is>
          <t>PEP</t>
        </is>
      </c>
      <c r="B5" s="39" t="inlineStr">
        <is>
          <t>Census Population Estimates Program July 1 resident population. Intercensal series for 2005-2019; Vintage 2025 for 2020-2025. PEP and ACS totals differ by design.</t>
        </is>
      </c>
    </row>
    <row r="6" ht="15" customHeight="1" s="24">
      <c r="A6" s="23" t="inlineStr">
        <is>
          <t>EAVS registered</t>
        </is>
      </c>
      <c r="B6" s="39" t="inlineStr">
        <is>
          <t>Election Administration and Voting Survey (EAC), biennial; total = active + inactive as reported by states at close of registration for the November federal election. Some states report differently (e.g., North Dakota has no registration; 2014 some states active-only).</t>
        </is>
      </c>
    </row>
    <row r="7" ht="15" customHeight="1" s="24">
      <c r="A7" s="23" t="inlineStr">
        <is>
          <t>Active/inactive</t>
        </is>
      </c>
      <c r="B7" s="39" t="inlineStr">
        <is>
          <t>Inactive = registrants sent an NVRA 8(d)(2) confirmation notice who have not responded; they remain eligible to vote and cannot be removed until they fail to respond AND do not vote in two consecutive federal general elections (52 U.S.C. 20507(d)).</t>
        </is>
      </c>
    </row>
    <row r="8" ht="15" customHeight="1" s="24">
      <c r="A8" s="23" t="inlineStr">
        <is>
          <t>CPS registered</t>
        </is>
      </c>
      <c r="B8" s="39" t="inlineStr">
        <is>
          <t>Census Current Population Survey November supplement: self-reported registration of citizens 18+, in thousands. Self-reports run higher than administrative data would imply; CPS and EAVS are not directly comparable.</t>
        </is>
      </c>
    </row>
    <row r="9" ht="15" customHeight="1" s="24">
      <c r="A9" s="23" t="inlineStr">
        <is>
          <t>Registration by citizenship type</t>
        </is>
      </c>
      <c r="B9" s="39" t="inlineStr">
        <is>
          <t>No administrative count of registered voters by native-born vs naturalized status exists; voter files do not record how citizenship was acquired. The only breakdown is the CPS self-report (Registration by method sheet, CPS section).</t>
        </is>
      </c>
    </row>
    <row r="10" ht="15" customHeight="1" s="24">
      <c r="A10" s="23" t="inlineStr">
        <is>
          <t>New valid registrations</t>
        </is>
      </c>
      <c r="B10" s="39" t="inlineStr">
        <is>
          <t>EAVS count of applications that added a new registrant (excludes duplicates, updates, invalid/rejected). Category names changed across cycles; see Registration by method sheet for exact labels.</t>
        </is>
      </c>
    </row>
    <row r="11" ht="15" customHeight="1" s="24">
      <c r="A11" s="23" t="inlineStr">
        <is>
          <t>Removals</t>
        </is>
      </c>
      <c r="B11" s="39" t="inlineStr">
        <is>
          <t>EAVS 'removed from voter lists' by reason. 'Failure to return confirmation notice' = NVRA 8(d)(1)(B) removal after notice and two federal general elections.</t>
        </is>
      </c>
    </row>
    <row r="12" ht="15" customHeight="1" s="24">
      <c r="A12" s="23" t="inlineStr">
        <is>
          <t>NVRA 90-day rule</t>
        </is>
      </c>
      <c r="B12" s="39" t="inlineStr">
        <is>
          <t>52 U.S.C. 20507(c)(2)(A): states must complete any program to SYSTEMATICALLY remove ineligible voters no later than 90 days before a federal primary or general election (does not bar removals at the registrant's request, for death, criminal conviction or mental incapacity per state law, or individualized removals). Courts are split on whether systematic noncitizen removals fall under the 90-day rule (e.g., Arcia v. Florida SOS, 11th Cir. 2014; Beals v. VCIR, SCOTUS stay Oct 30, 2024; RNC v. Mi Familia Vota cert petition No. 25-1017 noted by DOJ in No. 26A308).</t>
        </is>
      </c>
    </row>
    <row r="13" ht="15" customHeight="1" s="24">
      <c r="A13" s="23" t="inlineStr">
        <is>
          <t>NVRA notice-and-wait</t>
        </is>
      </c>
      <c r="B13" s="39" t="inlineStr">
        <is>
          <t>52 U.S.C. 20507(d): a registrant may not be removed on grounds of change of residence unless they confirm in writing or fail to respond to a forwardable notice and do not vote/appear in the period through the second federal general election after the notice.</t>
        </is>
      </c>
    </row>
    <row r="14" ht="15" customHeight="1" s="24">
      <c r="A14" s="23" t="inlineStr">
        <is>
          <t>List-maintenance cost</t>
        </is>
      </c>
      <c r="B14" s="39" t="inlineStr">
        <is>
          <t>Not reported: no official national figure for the cost of voter-list maintenance was found in EAC or GAO sources reviewed.</t>
        </is>
      </c>
    </row>
    <row r="15" ht="15" customHeight="1" s="24">
      <c r="A15" s="23" t="inlineStr">
        <is>
          <t>CDC births/deaths</t>
        </is>
      </c>
      <c r="B15" s="39" t="inlineStr">
        <is>
          <t>NCHS final counts of registered births/deaths occurring in the US (residents and nonresidents per NCHS convention for the national total). 2025 values are PROVISIONAL and will change.</t>
        </is>
      </c>
    </row>
    <row r="16" ht="15" customHeight="1" s="24">
      <c r="A16" s="23" t="inlineStr">
        <is>
          <t>SSNs issued</t>
        </is>
      </c>
      <c r="B16" s="39" t="inlineStr">
        <is>
          <t>SSA original SSNs issued (thousands), calendar year per SSA tables. SSA does not publish a citizen/noncitizen split or Enumeration-at-Birth counts in its annual statistical tables.</t>
        </is>
      </c>
    </row>
    <row r="17" ht="15" customHeight="1" s="24">
      <c r="A17" s="23" t="inlineStr">
        <is>
          <t>Naturalizations</t>
        </is>
      </c>
      <c r="B17" s="39" t="inlineStr">
        <is>
          <t>DHS OHSS Yearbook Table 21, fiscal year (Oct 1-Sep 30). Persons naturalized, and N-400 applications filed.</t>
        </is>
      </c>
    </row>
    <row r="18" ht="15" customHeight="1" s="24">
      <c r="A18" s="23" t="inlineStr">
        <is>
          <t>Fiscal vs calendar</t>
        </is>
      </c>
      <c r="B18" s="39" t="inlineStr">
        <is>
          <t>DHS, SSI (December counts), SNAP (FY) and humanitarian data are fiscal-year or point-in-time; ACS/PEP/CDC/SSA SSN are calendar-year. Columns are labeled.</t>
        </is>
      </c>
    </row>
    <row r="19" ht="15" customHeight="1" s="24">
      <c r="A19" s="23" t="inlineStr">
        <is>
          <t>Times</t>
        </is>
      </c>
      <c r="B19" s="39" t="inlineStr">
        <is>
          <t>All times in America/Denver (MT) unless a source date is quoted as-is.</t>
        </is>
      </c>
    </row>
    <row r="20" ht="15" customHeight="1" s="24">
      <c r="A20" s="23" t="inlineStr">
        <is>
          <t>Labels</t>
        </is>
      </c>
      <c r="B20" s="39" t="inlineStr">
        <is>
          <t>Fact-check labels follow SwampForce rules only: Proven false / Rated misleading / Unsupported / Accurate.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0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60" customWidth="1" style="23" min="2" max="2"/>
    <col width="80" customWidth="1" style="23" min="3" max="3"/>
    <col width="40" customWidth="1" style="23" min="4" max="4"/>
    <col width="50" customWidth="1" style="23" min="5" max="5"/>
  </cols>
  <sheetData>
    <row r="1" ht="60" customHeight="1" s="24">
      <c r="A1" s="35" t="inlineStr">
        <is>
          <t>ID</t>
        </is>
      </c>
      <c r="B1" s="35" t="inlineStr">
        <is>
          <t>Source / table</t>
        </is>
      </c>
      <c r="C1" s="35" t="inlineStr">
        <is>
          <t>Exact URL</t>
        </is>
      </c>
      <c r="D1" s="35" t="inlineStr">
        <is>
          <t>Used for</t>
        </is>
      </c>
      <c r="E1" s="35" t="inlineStr">
        <is>
          <t>URL check (Sep 24, 2026)</t>
        </is>
      </c>
    </row>
    <row r="2" ht="15" customHeight="1" s="24">
      <c r="A2" s="23" t="inlineStr">
        <is>
          <t>ACS-2021-24</t>
        </is>
      </c>
      <c r="B2" s="39" t="inlineStr">
        <is>
          <t>ACS 1-year table-based summary files B05001/B05003/B29001, 2021-2024 (US GEO_ID 0100000US). Replace {Y} with year and table.</t>
        </is>
      </c>
      <c r="C2" s="39" t="inlineStr">
        <is>
          <t>https://www2.census.gov/programs-surveys/acs/summary_file/2024/table-based-SF/data/1YRData/acsdt1y2024-b05001.dat</t>
        </is>
      </c>
      <c r="D2" s="39" t="inlineStr">
        <is>
          <t>Main: citizens, noncitizens, CVAP 2021-24</t>
        </is>
      </c>
      <c r="E2" s="23" t="inlineStr">
        <is>
          <t>Loads (curl HTTP 206, Sep 24, 2026)</t>
        </is>
      </c>
    </row>
    <row r="3" ht="15" customHeight="1" s="24">
      <c r="A3" s="23" t="inlineStr">
        <is>
          <t>ACS-2021-24b</t>
        </is>
      </c>
      <c r="B3" s="39" t="inlineStr">
        <is>
          <t>ACS 2024 B05003 (sex by age by nativity/citizenship; CVAP)</t>
        </is>
      </c>
      <c r="C3" s="39" t="inlineStr">
        <is>
          <t>https://www2.census.gov/programs-surveys/acs/summary_file/2024/table-based-SF/data/1YRData/acsdt1y2024-b05003.dat</t>
        </is>
      </c>
      <c r="D3" s="23" t="inlineStr">
        <is>
          <t>CVAP</t>
        </is>
      </c>
      <c r="E3" s="23" t="inlineStr">
        <is>
          <t>Loads (curl HTTP 206, Sep 24, 2026)</t>
        </is>
      </c>
    </row>
    <row r="4" ht="15" customHeight="1" s="24">
      <c r="A4" s="23" t="inlineStr">
        <is>
          <t>ACS-2021-24c</t>
        </is>
      </c>
      <c r="B4" s="23" t="inlineStr">
        <is>
          <t>ACS 2024 B29001 (CVAP)</t>
        </is>
      </c>
      <c r="C4" s="39" t="inlineStr">
        <is>
          <t>https://www2.census.gov/programs-surveys/acs/summary_file/2024/table-based-SF/data/1YRData/acsdt1y2024-b29001.dat</t>
        </is>
      </c>
      <c r="D4" s="23" t="inlineStr">
        <is>
          <t>CVAP</t>
        </is>
      </c>
      <c r="E4" s="23" t="inlineStr">
        <is>
          <t>Loads (curl HTTP 206, Sep 24, 2026)</t>
        </is>
      </c>
    </row>
    <row r="5" ht="15" customHeight="1" s="24">
      <c r="A5" s="23" t="inlineStr">
        <is>
          <t>ACS-2019</t>
        </is>
      </c>
      <c r="B5" s="39" t="inlineStr">
        <is>
          <t>ACS 2019 1-year sequence-file (example: seq 0009 = B05001/B05003; seq 0178 = B29001). 2009-2019 use .../{Y}/data/1_year_seq_by_state/UnitedStates/{Y}1us{seq}000.zip</t>
        </is>
      </c>
      <c r="C5" s="39" t="inlineStr">
        <is>
          <t>https://www2.census.gov/programs-surveys/acs/summary_file/2019/data/1_year_seq_by_state/UnitedStates/20191us0009000.zip</t>
        </is>
      </c>
      <c r="D5" s="23" t="inlineStr">
        <is>
          <t>Main 2009-2019</t>
        </is>
      </c>
      <c r="E5" s="23" t="inlineStr">
        <is>
          <t>Loads (curl HTTP 206, Sep 24, 2026)</t>
        </is>
      </c>
    </row>
    <row r="6" ht="15" customHeight="1" s="24">
      <c r="A6" s="23" t="inlineStr">
        <is>
          <t>ACS-2008</t>
        </is>
      </c>
      <c r="B6" s="39" t="inlineStr">
        <is>
          <t>ACS 2008 1-year sequence file (2007-2008 pattern .../{Y}/data/1_year/UnitedStates/)</t>
        </is>
      </c>
      <c r="C6" s="39" t="inlineStr">
        <is>
          <t>https://www2.census.gov/programs-surveys/acs/summary_file/2008/data/1_year/UnitedStates/20081us0009000.zip</t>
        </is>
      </c>
      <c r="D6" s="23" t="inlineStr">
        <is>
          <t>Main 2007-2008</t>
        </is>
      </c>
      <c r="E6" s="23" t="inlineStr">
        <is>
          <t>Loads (curl HTTP 206, Sep 24, 2026)</t>
        </is>
      </c>
    </row>
    <row r="7" ht="15" customHeight="1" s="24">
      <c r="A7" s="23" t="inlineStr">
        <is>
          <t>ACS-2006</t>
        </is>
      </c>
      <c r="B7" s="23" t="inlineStr">
        <is>
          <t>ACS 2006 summary file</t>
        </is>
      </c>
      <c r="C7" s="39" t="inlineStr">
        <is>
          <t>https://www2.census.gov/programs-surveys/acs/summary_file/2006/data/UnitedStates/20061us0009000.zip</t>
        </is>
      </c>
      <c r="D7" s="23" t="inlineStr">
        <is>
          <t>Main 2006</t>
        </is>
      </c>
      <c r="E7" s="23" t="inlineStr">
        <is>
          <t>Loads (curl HTTP 206, Sep 24, 2026)</t>
        </is>
      </c>
    </row>
    <row r="8" ht="15" customHeight="1" s="24">
      <c r="A8" s="23" t="inlineStr">
        <is>
          <t>ACS-2005</t>
        </is>
      </c>
      <c r="B8" s="39" t="inlineStr">
        <is>
          <t>ACS 2005 summary file (household population only)</t>
        </is>
      </c>
      <c r="C8" s="39" t="inlineStr">
        <is>
          <t>https://www2.census.gov/programs-surveys/acs/summary_file/2005/data/0UnitedStates/us0000011.2005-1yr.zip</t>
        </is>
      </c>
      <c r="D8" s="23" t="inlineStr">
        <is>
          <t>Main 2005</t>
        </is>
      </c>
      <c r="E8" s="23" t="inlineStr">
        <is>
          <t>Loads (curl HTTP 206, Sep 24, 2026)</t>
        </is>
      </c>
    </row>
    <row r="9" ht="15" customHeight="1" s="24">
      <c r="A9" s="23" t="inlineStr">
        <is>
          <t>ACS-2020X</t>
        </is>
      </c>
      <c r="B9" s="39" t="inlineStr">
        <is>
          <t>ACS 2020 experimental 1-year table XK200501 (citizenship), US and states</t>
        </is>
      </c>
      <c r="C9" s="39" t="inlineStr">
        <is>
          <t>https://www2.census.gov/programs-surveys/acs/experimental/2020/data/XK200501.xlsx</t>
        </is>
      </c>
      <c r="D9" s="23" t="inlineStr">
        <is>
          <t>Main 2020</t>
        </is>
      </c>
      <c r="E9" s="23" t="inlineStr">
        <is>
          <t>Loads (curl HTTP 206, Sep 24, 2026)</t>
        </is>
      </c>
    </row>
    <row r="10" ht="15" customHeight="1" s="24">
      <c r="A10" s="23" t="inlineStr">
        <is>
          <t>PEP-2000s</t>
        </is>
      </c>
      <c r="B10" s="39" t="inlineStr">
        <is>
          <t>Census intercensal national totals 2000-2010</t>
        </is>
      </c>
      <c r="C10" s="39" t="inlineStr">
        <is>
          <t>https://www2.census.gov/programs-surveys/popest/datasets/2000-2010/intercensal/national/us-est00int-tot.csv</t>
        </is>
      </c>
      <c r="D10" s="23" t="inlineStr">
        <is>
          <t>PEP 2005-2009</t>
        </is>
      </c>
      <c r="E10" s="23" t="inlineStr">
        <is>
          <t>Loads (curl HTTP 206, Sep 24, 2026)</t>
        </is>
      </c>
    </row>
    <row r="11" ht="15" customHeight="1" s="24">
      <c r="A11" s="23" t="inlineStr">
        <is>
          <t>PEP-2010s</t>
        </is>
      </c>
      <c r="B11" s="39" t="inlineStr">
        <is>
          <t>Census intercensal national age/sex 2010-2020 (SEX=0, AGE=999 rows)</t>
        </is>
      </c>
      <c r="C11" s="39" t="inlineStr">
        <is>
          <t>https://www2.census.gov/programs-surveys/popest/datasets/2010-2020/intercensal/national/asrh/nc-est2020int-agesex-res.csv</t>
        </is>
      </c>
      <c r="D11" s="23" t="inlineStr">
        <is>
          <t>PEP 2010-2019</t>
        </is>
      </c>
      <c r="E11" s="23" t="inlineStr">
        <is>
          <t>Loads (curl HTTP 206, Sep 24, 2026)</t>
        </is>
      </c>
    </row>
    <row r="12" ht="15" customHeight="1" s="24">
      <c r="A12" s="23" t="inlineStr">
        <is>
          <t>PEP-2020s</t>
        </is>
      </c>
      <c r="B12" s="39" t="inlineStr">
        <is>
          <t>Census Vintage 2025 state/national totals (NST-EST2025-ALLDATA)</t>
        </is>
      </c>
      <c r="C12" s="39" t="inlineStr">
        <is>
          <t>https://www2.census.gov/programs-surveys/popest/datasets/2020-2025/state/totals/NST-EST2025-ALLDATA.csv</t>
        </is>
      </c>
      <c r="D12" s="23" t="inlineStr">
        <is>
          <t>PEP 2020-2025 US</t>
        </is>
      </c>
      <c r="E12" s="23" t="inlineStr">
        <is>
          <t>Loads (curl HTTP 206, Sep 24, 2026)</t>
        </is>
      </c>
    </row>
    <row r="13" ht="15" customHeight="1" s="24">
      <c r="A13" s="23" t="inlineStr">
        <is>
          <t>CPS-2024</t>
        </is>
      </c>
      <c r="B13" s="39" t="inlineStr">
        <is>
          <t>CPS Voting &amp; Registration Supplement 2024, Table 4a (state) and Table 11 (nativity)</t>
        </is>
      </c>
      <c r="C13" s="39" t="inlineStr">
        <is>
          <t>https://www2.census.gov/programs-surveys/cps/tables/p20/587/vote04a_2024.xlsx</t>
        </is>
      </c>
      <c r="D13" s="23" t="inlineStr">
        <is>
          <t>CPS registration 2024</t>
        </is>
      </c>
      <c r="E13" s="23" t="inlineStr">
        <is>
          <t>Loads (curl HTTP 206, Sep 24, 2026)</t>
        </is>
      </c>
    </row>
    <row r="14" ht="15" customHeight="1" s="24">
      <c r="A14" s="23" t="inlineStr">
        <is>
          <t>CPS-2024-11</t>
        </is>
      </c>
      <c r="B14" s="39" t="inlineStr">
        <is>
          <t>CPS 2024 Table 11 (native vs naturalized)</t>
        </is>
      </c>
      <c r="C14" s="39" t="inlineStr">
        <is>
          <t>https://www2.census.gov/programs-surveys/cps/tables/p20/587/vote11_2024.xlsx</t>
        </is>
      </c>
      <c r="D14" s="23" t="inlineStr">
        <is>
          <t>CPS nativity 2024</t>
        </is>
      </c>
      <c r="E14" s="23" t="inlineStr">
        <is>
          <t>Loads (curl HTTP 206, Sep 24, 2026)</t>
        </is>
      </c>
    </row>
    <row r="15" ht="15" customHeight="1" s="24">
      <c r="A15" s="23" t="inlineStr">
        <is>
          <t>CPS-2022</t>
        </is>
      </c>
      <c r="B15" s="23" t="inlineStr">
        <is>
          <t>CPS 2022 Table 4a</t>
        </is>
      </c>
      <c r="C15" s="39" t="inlineStr">
        <is>
          <t>https://www2.census.gov/programs-surveys/cps/tables/p20/586/vote04a_2022.xlsx</t>
        </is>
      </c>
      <c r="D15" s="23" t="inlineStr">
        <is>
          <t>CPS 2022</t>
        </is>
      </c>
      <c r="E15" s="23" t="inlineStr">
        <is>
          <t>Loads (curl HTTP 206, Sep 24, 2026)</t>
        </is>
      </c>
    </row>
    <row r="16" ht="15" customHeight="1" s="24">
      <c r="A16" s="23" t="inlineStr">
        <is>
          <t>CPS-2022-11</t>
        </is>
      </c>
      <c r="B16" s="23" t="inlineStr">
        <is>
          <t>CPS 2022 Table 11</t>
        </is>
      </c>
      <c r="C16" s="39" t="inlineStr">
        <is>
          <t>https://www2.census.gov/programs-surveys/cps/tables/p20/586/vote11_2022.xlsx</t>
        </is>
      </c>
      <c r="D16" s="23" t="inlineStr">
        <is>
          <t>CPS 2022</t>
        </is>
      </c>
      <c r="E16" s="23" t="inlineStr">
        <is>
          <t>Loads (curl HTTP 206, Sep 24, 2026)</t>
        </is>
      </c>
    </row>
    <row r="17" ht="15" customHeight="1" s="24">
      <c r="A17" s="23" t="inlineStr">
        <is>
          <t>CPS-2012</t>
        </is>
      </c>
      <c r="B17" s="23" t="inlineStr">
        <is>
          <t>CPS 2012 Table 4a</t>
        </is>
      </c>
      <c r="C17" s="39" t="inlineStr">
        <is>
          <t>https://www2.census.gov/programs-surveys/cps/tables/p20/568/table04a.xls</t>
        </is>
      </c>
      <c r="D17" s="23" t="inlineStr">
        <is>
          <t>CPS 2012</t>
        </is>
      </c>
      <c r="E17" s="23" t="inlineStr">
        <is>
          <t>Loads (curl HTTP 206, Sep 24, 2026)</t>
        </is>
      </c>
    </row>
    <row r="18" ht="15" customHeight="1" s="24">
      <c r="A18" s="23" t="inlineStr">
        <is>
          <t>CPS-2010</t>
        </is>
      </c>
      <c r="B18" s="23" t="inlineStr">
        <is>
          <t>CPS 2010 Table 4a</t>
        </is>
      </c>
      <c r="C18" s="39" t="inlineStr">
        <is>
          <t>https://www2.census.gov/programs-surveys/cps/tables/p20/voting-registration-2010-election/table4a_2010.xls</t>
        </is>
      </c>
      <c r="D18" s="23" t="inlineStr">
        <is>
          <t>CPS 2010</t>
        </is>
      </c>
      <c r="E18" s="23" t="inlineStr">
        <is>
          <t>Loads (curl HTTP 206, Sep 24, 2026)</t>
        </is>
      </c>
    </row>
    <row r="19" ht="15" customHeight="1" s="24">
      <c r="A19" s="23" t="inlineStr">
        <is>
          <t>CPS-2008</t>
        </is>
      </c>
      <c r="B19" s="23" t="inlineStr">
        <is>
          <t>CPS 2008 Table 4a</t>
        </is>
      </c>
      <c r="C19" s="39" t="inlineStr">
        <is>
          <t>https://www2.census.gov/programs-surveys/cps/tables/p20/562-rv/table-04a.xls</t>
        </is>
      </c>
      <c r="D19" s="23" t="inlineStr">
        <is>
          <t>CPS 2008</t>
        </is>
      </c>
      <c r="E19" s="23" t="inlineStr">
        <is>
          <t>Loads (curl HTTP 206, Sep 24, 2026)</t>
        </is>
      </c>
    </row>
    <row r="20" ht="15" customHeight="1" s="24">
      <c r="A20" s="23" t="inlineStr">
        <is>
          <t>CPS-2006</t>
        </is>
      </c>
      <c r="B20" s="23" t="inlineStr">
        <is>
          <t>CPS 2006 Table 4a</t>
        </is>
      </c>
      <c r="C20" s="39" t="inlineStr">
        <is>
          <t>https://www2.census.gov/programs-surveys/cps/tables/p20/557/tab04a.xls</t>
        </is>
      </c>
      <c r="D20" s="23" t="inlineStr">
        <is>
          <t>CPS 2006</t>
        </is>
      </c>
      <c r="E20" s="23" t="inlineStr">
        <is>
          <t>Loads (curl HTTP 206, Sep 24, 2026)</t>
        </is>
      </c>
    </row>
    <row r="21" ht="15" customHeight="1" s="24">
      <c r="A21" s="23" t="inlineStr">
        <is>
          <t>CPS-dir</t>
        </is>
      </c>
      <c r="B21" s="39" t="inlineStr">
        <is>
          <t>CPS P20 table directories for 2014 (577/), 2016 (580/), 2018 (583/), 2020 (585/)</t>
        </is>
      </c>
      <c r="C21" s="39" t="inlineStr">
        <is>
          <t>https://www2.census.gov/programs-surveys/cps/tables/p20/585/</t>
        </is>
      </c>
      <c r="D21" s="23" t="inlineStr">
        <is>
          <t>CPS 2014-2020</t>
        </is>
      </c>
      <c r="E21" s="23" t="inlineStr">
        <is>
          <t>Loads (curl HTTP 200, Sep 24, 2026)</t>
        </is>
      </c>
    </row>
    <row r="22" ht="15" customHeight="1" s="24">
      <c r="A22" s="23" t="inlineStr">
        <is>
          <t>EAVS-2024</t>
        </is>
      </c>
      <c r="B22" s="23" t="inlineStr">
        <is>
          <t>EAC 2024 EAVS Comprehensive Report</t>
        </is>
      </c>
      <c r="C22" s="39" t="inlineStr">
        <is>
          <t>https://www.eac.gov/sites/default/files/2025-07/2024_EAVS_Report_508.pdf</t>
        </is>
      </c>
      <c r="D22" s="23" t="inlineStr">
        <is>
          <t>EAVS 2024 US</t>
        </is>
      </c>
      <c r="E22" s="23" t="inlineStr">
        <is>
          <t>Loads (curl HTTP 206, Sep 24, 2026)</t>
        </is>
      </c>
    </row>
    <row r="23" ht="15" customHeight="1" s="24">
      <c r="A23" s="23" t="inlineStr">
        <is>
          <t>EAVS-2024E</t>
        </is>
      </c>
      <c r="B23" s="23" t="inlineStr">
        <is>
          <t>EAC Errata Note 2024 EAVS v2 (Feb 2026)</t>
        </is>
      </c>
      <c r="C23" s="39" t="inlineStr">
        <is>
          <t>https://www.eac.gov/sites/default/files/2026-02/Errata_Note_2024_EAVS_v2.pdf</t>
        </is>
      </c>
      <c r="D23" s="23" t="inlineStr">
        <is>
          <t>2024 revisions</t>
        </is>
      </c>
      <c r="E23" s="23" t="inlineStr">
        <is>
          <t>Loads (curl HTTP 206, Sep 24, 2026)</t>
        </is>
      </c>
    </row>
    <row r="24" ht="15" customHeight="1" s="24">
      <c r="A24" s="23" t="inlineStr">
        <is>
          <t>EAVS-2022</t>
        </is>
      </c>
      <c r="B24" s="23" t="inlineStr">
        <is>
          <t>EAC 2022 EAVS Comprehensive Report</t>
        </is>
      </c>
      <c r="C24" s="39" t="inlineStr">
        <is>
          <t>https://www.eac.gov/sites/default/files/2024-11/2022_EAVS_Report_508c.pdf</t>
        </is>
      </c>
      <c r="D24" s="23" t="inlineStr">
        <is>
          <t>EAVS 2022</t>
        </is>
      </c>
      <c r="E24" s="23" t="inlineStr">
        <is>
          <t>Loads (curl HTTP 206, Sep 24, 2026)</t>
        </is>
      </c>
    </row>
    <row r="25" ht="15" customHeight="1" s="24">
      <c r="A25" s="23" t="inlineStr">
        <is>
          <t>EAVS-2020</t>
        </is>
      </c>
      <c r="B25" s="23" t="inlineStr">
        <is>
          <t>EAC 2020 EAVS Comprehensive Report</t>
        </is>
      </c>
      <c r="C25" s="39" t="inlineStr">
        <is>
          <t>https://www.eac.gov/sites/default/files/document_library/files/2020_EAVS_Report_Final_508c.pdf</t>
        </is>
      </c>
      <c r="D25" s="23" t="inlineStr">
        <is>
          <t>EAVS 2020</t>
        </is>
      </c>
      <c r="E25" s="23" t="inlineStr">
        <is>
          <t>Loads (curl HTTP 206, Sep 24, 2026)</t>
        </is>
      </c>
    </row>
    <row r="26" ht="15" customHeight="1" s="24">
      <c r="A26" s="23" t="inlineStr">
        <is>
          <t>EAVS-2018</t>
        </is>
      </c>
      <c r="B26" s="23" t="inlineStr">
        <is>
          <t>EAC 2018 EAVS Comprehensive Report</t>
        </is>
      </c>
      <c r="C26" s="39" t="inlineStr">
        <is>
          <t>https://www.eac.gov/sites/default/files/eac_assets/1/6/2018_EAVS_Report.pdf</t>
        </is>
      </c>
      <c r="D26" s="23" t="inlineStr">
        <is>
          <t>EAVS 2018</t>
        </is>
      </c>
      <c r="E26" s="23" t="inlineStr">
        <is>
          <t>Loads (curl HTTP 206, Sep 24, 2026)</t>
        </is>
      </c>
    </row>
    <row r="27" ht="15" customHeight="1" s="24">
      <c r="A27" s="23" t="inlineStr">
        <is>
          <t>EAVS-2018A</t>
        </is>
      </c>
      <c r="B27" s="39" t="inlineStr">
        <is>
          <t>EAC 2018 EAVS descriptive tables appendix (xlsx)</t>
        </is>
      </c>
      <c r="C27" s="39" t="inlineStr">
        <is>
          <t>https://www.eac.gov/sites/default/files/eac_assets/1/6/2018_EAVS_and_Policy_Survey_Online_Appendices_-_Descriptive_Tables.xlsx</t>
        </is>
      </c>
      <c r="D27" s="23" t="inlineStr">
        <is>
          <t>EAVS 2018 detail</t>
        </is>
      </c>
      <c r="E27" s="23" t="inlineStr">
        <is>
          <t>Loads (curl HTTP 206, Sep 24, 2026)</t>
        </is>
      </c>
    </row>
    <row r="28" ht="15" customHeight="1" s="24">
      <c r="A28" s="23" t="inlineStr">
        <is>
          <t>EAVS-2016</t>
        </is>
      </c>
      <c r="B28" s="23" t="inlineStr">
        <is>
          <t>EAC 2016 EAVS Comprehensive Report</t>
        </is>
      </c>
      <c r="C28" s="39" t="inlineStr">
        <is>
          <t>https://www.eac.gov/sites/default/files/eac_assets/1/6/2016_EAVS_Comprehensive_Report.pdf</t>
        </is>
      </c>
      <c r="D28" s="23" t="inlineStr">
        <is>
          <t>EAVS 2016</t>
        </is>
      </c>
      <c r="E28" s="23" t="inlineStr">
        <is>
          <t>Loads (curl HTTP 206, Sep 24, 2026)</t>
        </is>
      </c>
    </row>
    <row r="29" ht="15" customHeight="1" s="24">
      <c r="A29" s="23" t="inlineStr">
        <is>
          <t>EAVS-2014</t>
        </is>
      </c>
      <c r="B29" s="23" t="inlineStr">
        <is>
          <t>EAC 2014 EAVS Comprehensive Report</t>
        </is>
      </c>
      <c r="C29" s="39" t="inlineStr">
        <is>
          <t>https://www.eac.gov/sites/default/files/eac_assets/1/1/2014_EAC_EAVS_Comprehensive_Report_508_Compliant.pdf</t>
        </is>
      </c>
      <c r="D29" s="23" t="inlineStr">
        <is>
          <t>EAVS 2014</t>
        </is>
      </c>
      <c r="E29" s="23" t="inlineStr">
        <is>
          <t>Loads (curl HTTP 206, Sep 24, 2026)</t>
        </is>
      </c>
    </row>
    <row r="30" ht="15" customHeight="1" s="24">
      <c r="A30" s="23" t="inlineStr">
        <is>
          <t>NVRA-2012</t>
        </is>
      </c>
      <c r="B30" s="23" t="inlineStr">
        <is>
          <t>EAC NVRA Report 2011-2012</t>
        </is>
      </c>
      <c r="C30" s="39" t="inlineStr">
        <is>
          <t>https://www.eac.gov/sites/default/files/eac_assets/1/28/EAC_NVRA%20Report_lowres.pdf</t>
        </is>
      </c>
      <c r="D30" s="23" t="inlineStr">
        <is>
          <t>Registration 2012</t>
        </is>
      </c>
      <c r="E30" s="23" t="inlineStr">
        <is>
          <t>Loads (curl HTTP 206, Sep 24, 2026)</t>
        </is>
      </c>
    </row>
    <row r="31" ht="15" customHeight="1" s="24">
      <c r="A31" s="23" t="inlineStr">
        <is>
          <t>NVRA-2010</t>
        </is>
      </c>
      <c r="B31" s="23" t="inlineStr">
        <is>
          <t>EAC NVRA Report 2009-2010</t>
        </is>
      </c>
      <c r="C31" s="39" t="inlineStr">
        <is>
          <t>https://www.eac.gov/sites/default/files/eac_assets/1/28/2010%20NVRA%20FINAL%20REPORT.pdf</t>
        </is>
      </c>
      <c r="D31" s="23" t="inlineStr">
        <is>
          <t>Registration 2010</t>
        </is>
      </c>
      <c r="E31" s="23" t="inlineStr">
        <is>
          <t>Loads (curl HTTP 206, Sep 24, 2026)</t>
        </is>
      </c>
    </row>
    <row r="32" ht="15" customHeight="1" s="24">
      <c r="A32" s="23" t="inlineStr">
        <is>
          <t>NVRA-2008</t>
        </is>
      </c>
      <c r="B32" s="23" t="inlineStr">
        <is>
          <t>EAC NVRA Report 2007-2008</t>
        </is>
      </c>
      <c r="C32" s="39" t="inlineStr">
        <is>
          <t>https://www.eac.gov/sites/default/files/eac_assets/1/6/The%20Impact%20of%20the%20National%20Voter%20Registration%20Act%20on%20Federal%20Elections%202007-2008.pdf</t>
        </is>
      </c>
      <c r="D32" s="23" t="inlineStr">
        <is>
          <t>Registration 2008</t>
        </is>
      </c>
      <c r="E32" s="23" t="inlineStr">
        <is>
          <t>Loads (curl HTTP 206, Sep 24, 2026)</t>
        </is>
      </c>
    </row>
    <row r="33" ht="15" customHeight="1" s="24">
      <c r="A33" s="23" t="inlineStr">
        <is>
          <t>NVRA-2006</t>
        </is>
      </c>
      <c r="B33" s="23" t="inlineStr">
        <is>
          <t>EAC NVRA Reports and Data Sets 2005-2006</t>
        </is>
      </c>
      <c r="C33" s="39" t="inlineStr">
        <is>
          <t>https://www.eac.gov/sites/default/files/eac_assets/1/1/NVRA%20Reports%20and%20Data%20Sets%202006-2005.pdf</t>
        </is>
      </c>
      <c r="D33" s="23" t="inlineStr">
        <is>
          <t>Registration 2006</t>
        </is>
      </c>
      <c r="E33" s="23" t="inlineStr">
        <is>
          <t>Loads (curl HTTP 206, Sep 24, 2026)</t>
        </is>
      </c>
    </row>
    <row r="34" ht="15" customHeight="1" s="24">
      <c r="A34" s="23" t="inlineStr">
        <is>
          <t>EAVS-2006</t>
        </is>
      </c>
      <c r="B34" s="23" t="inlineStr">
        <is>
          <t>EAC 2006 EAVS Report (all chapters)</t>
        </is>
      </c>
      <c r="C34" s="39" t="inlineStr">
        <is>
          <t>https://www.eac.gov/sites/default/files/eac_assets/1/6/2006_EAVS_Report_(All_Chapters).pdf</t>
        </is>
      </c>
      <c r="D34" s="23" t="inlineStr">
        <is>
          <t>2006 totals</t>
        </is>
      </c>
      <c r="E34" s="23" t="inlineStr">
        <is>
          <t>Loads (curl HTTP 206, Sep 24, 2026)</t>
        </is>
      </c>
    </row>
    <row r="35" ht="15" customHeight="1" s="24">
      <c r="A35" s="23" t="inlineStr">
        <is>
          <t>DHS-NAT</t>
        </is>
      </c>
      <c r="B35" s="39" t="inlineStr">
        <is>
          <t>DHS OHSS Yearbook FY2024 naturalization tables (Table 21)</t>
        </is>
      </c>
      <c r="C35" s="39" t="inlineStr">
        <is>
          <t>https://ohss.dhs.gov/system/files/2026-06/2026_0604_ohss_yearbook_naturalizations_fy2024.xlsx</t>
        </is>
      </c>
      <c r="D35" s="23" t="inlineStr">
        <is>
          <t>Naturalizations FY2005-2024</t>
        </is>
      </c>
      <c r="E35" s="23" t="inlineStr">
        <is>
          <t>Loads (curl HTTP 206, Sep 24, 2026)</t>
        </is>
      </c>
    </row>
    <row r="36" ht="15" customHeight="1" s="24">
      <c r="A36" s="23" t="inlineStr">
        <is>
          <t>DHS-REF</t>
        </is>
      </c>
      <c r="B36" s="39" t="inlineStr">
        <is>
          <t>DHS OHSS Yearbook FY2024 refugee tables (Table 13)</t>
        </is>
      </c>
      <c r="C36" s="39" t="inlineStr">
        <is>
          <t>https://ohss.dhs.gov/system/files/2025-08/2025_0812_ohss_yearbook_refugees_fy2024.xlsx</t>
        </is>
      </c>
      <c r="D36" s="23" t="inlineStr">
        <is>
          <t>Refugee arrivals</t>
        </is>
      </c>
      <c r="E36" s="23" t="inlineStr">
        <is>
          <t>Loads (curl HTTP 206, Sep 24, 2026)</t>
        </is>
      </c>
    </row>
    <row r="37" ht="15" customHeight="1" s="24">
      <c r="A37" s="23" t="inlineStr">
        <is>
          <t>DHS-ASY</t>
        </is>
      </c>
      <c r="B37" s="39" t="inlineStr">
        <is>
          <t>DHS OHSS Yearbook FY2024 asylee tables (Table 16)</t>
        </is>
      </c>
      <c r="C37" s="39" t="inlineStr">
        <is>
          <t>https://ohss.dhs.gov/system/files/2026-08/2026_0805_ohss_yearbook_asylees_fy2024.xlsx</t>
        </is>
      </c>
      <c r="D37" s="23" t="inlineStr">
        <is>
          <t>Asylum grants</t>
        </is>
      </c>
      <c r="E37" s="23" t="inlineStr">
        <is>
          <t>Loads (curl HTTP 206, Sep 24, 2026)</t>
        </is>
      </c>
    </row>
    <row r="38" ht="15" customHeight="1" s="24">
      <c r="A38" s="23" t="inlineStr">
        <is>
          <t>CDC-BIRTHS-API</t>
        </is>
      </c>
      <c r="B38" s="39" t="inlineStr">
        <is>
          <t>NCHS births dataset (data.cdc.gov e6fc-ccez)</t>
        </is>
      </c>
      <c r="C38" s="39" t="inlineStr">
        <is>
          <t>https://data.cdc.gov/resource/e6fc-ccez.json</t>
        </is>
      </c>
      <c r="D38" s="23" t="inlineStr">
        <is>
          <t>Births 2005-2018</t>
        </is>
      </c>
      <c r="E38" s="23" t="inlineStr">
        <is>
          <t>Loads (curl HTTP 200, Sep 24, 2026)</t>
        </is>
      </c>
    </row>
    <row r="39" ht="15" customHeight="1" s="24">
      <c r="A39" s="23" t="inlineStr">
        <is>
          <t>CDC-NVSR75-2</t>
        </is>
      </c>
      <c r="B39" s="39" t="inlineStr">
        <is>
          <t>NVSR Vol 75 No 2, Births: Final Data for 2024 (Jun 9, 2026) - CDC Stacks record</t>
        </is>
      </c>
      <c r="C39" s="23" t="inlineStr">
        <is>
          <t>https://stacks.cdc.gov/view/cdc/252440</t>
        </is>
      </c>
      <c r="D39" s="23" t="inlineStr">
        <is>
          <t>Births 2019-2024</t>
        </is>
      </c>
      <c r="E39" s="39" t="inlineStr">
        <is>
          <t>NOT verified from box: HTTP 403 (site blocks the box); figure taken from search-index/text copy - re-check manually</t>
        </is>
      </c>
    </row>
    <row r="40" ht="15" customHeight="1" s="24">
      <c r="A40" s="23" t="inlineStr">
        <is>
          <t>CDC-VSRR43</t>
        </is>
      </c>
      <c r="B40" s="39" t="inlineStr">
        <is>
          <t>VSRR No. 43, Births: Provisional Data for 2025 (Apr 2026)</t>
        </is>
      </c>
      <c r="C40" s="39" t="inlineStr">
        <is>
          <t>https://www.cdc.gov/nchs/data/vsrr/vsrr043.pdf</t>
        </is>
      </c>
      <c r="D40" s="39" t="inlineStr">
        <is>
          <t>Births 2025 provisional (cdc.gov returns 403 to the box; figure confirmed via search index only)</t>
        </is>
      </c>
      <c r="E40" s="39" t="inlineStr">
        <is>
          <t>NOT verified from box: HTTP 403 (site blocks the box); figure taken from search-index/text copy - re-check manually</t>
        </is>
      </c>
    </row>
    <row r="41" ht="15" customHeight="1" s="24">
      <c r="A41" s="23" t="inlineStr">
        <is>
          <t>CDC-DEATHS-API</t>
        </is>
      </c>
      <c r="B41" s="39" t="inlineStr">
        <is>
          <t>NCHS leading causes of death dataset (data.cdc.gov bi63-dtpu), All causes, United States</t>
        </is>
      </c>
      <c r="C41" s="39" t="inlineStr">
        <is>
          <t>https://data.cdc.gov/resource/bi63-dtpu.json</t>
        </is>
      </c>
      <c r="D41" s="23" t="inlineStr">
        <is>
          <t>Deaths 2005-2017</t>
        </is>
      </c>
      <c r="E41" s="23" t="inlineStr">
        <is>
          <t>Loads (curl HTTP 200, Sep 24, 2026)</t>
        </is>
      </c>
    </row>
    <row r="42" ht="15" customHeight="1" s="24">
      <c r="A42" s="23" t="inlineStr">
        <is>
          <t>CDC-DB548</t>
        </is>
      </c>
      <c r="B42" s="39" t="inlineStr">
        <is>
          <t>NCHS Data Brief 548, Mortality in the United States 2024 (govinfo mirror)</t>
        </is>
      </c>
      <c r="C42" s="39" t="inlineStr">
        <is>
          <t>https://www.govinfo.gov/content/pkg/GOVPUB-HE20_6200-PURL-gpo252909/pdf/GOVPUB-HE20_6200-PURL-gpo252909.pdf</t>
        </is>
      </c>
      <c r="D42" s="23" t="inlineStr">
        <is>
          <t>Deaths 2024</t>
        </is>
      </c>
      <c r="E42" s="23" t="inlineStr">
        <is>
          <t>Loads (curl HTTP 206, Sep 24, 2026)</t>
        </is>
      </c>
    </row>
    <row r="43" ht="15" customHeight="1" s="24">
      <c r="A43" s="23" t="inlineStr">
        <is>
          <t>CDC-DB492</t>
        </is>
      </c>
      <c r="B43" s="39" t="inlineStr">
        <is>
          <t>NCHS Data Brief 492, Mortality 2022 (govinfo mirror)</t>
        </is>
      </c>
      <c r="C43" s="39" t="inlineStr">
        <is>
          <t>https://www.govinfo.gov/content/pkg/GOVPUB-HE20_6200-PURL-gpo224125/pdf/GOVPUB-HE20_6200-PURL-gpo224125.pdf</t>
        </is>
      </c>
      <c r="D43" s="23" t="inlineStr">
        <is>
          <t>Deaths 2022</t>
        </is>
      </c>
      <c r="E43" s="23" t="inlineStr">
        <is>
          <t>Loads (curl HTTP 206, Sep 24, 2026)</t>
        </is>
      </c>
    </row>
    <row r="44" ht="15" customHeight="1" s="24">
      <c r="A44" s="23" t="inlineStr">
        <is>
          <t>CDC-DB521</t>
        </is>
      </c>
      <c r="B44" s="39" t="inlineStr">
        <is>
          <t>NCHS Data Brief 521, Mortality 2023 (CDC Stacks)</t>
        </is>
      </c>
      <c r="C44" s="39" t="inlineStr">
        <is>
          <t>https://stacks.cdc.gov/view/cdc/170564/cdc_170564_DS1.pdf</t>
        </is>
      </c>
      <c r="D44" s="23" t="inlineStr">
        <is>
          <t>Deaths 2023</t>
        </is>
      </c>
      <c r="E44" s="39" t="inlineStr">
        <is>
          <t>NOT verified from box: HTTP 403 (site blocks the box); figure taken from search-index/text copy - re-check manually</t>
        </is>
      </c>
    </row>
    <row r="45" ht="15" customHeight="1" s="24">
      <c r="A45" s="23" t="inlineStr">
        <is>
          <t>CDC-DBS</t>
        </is>
      </c>
      <c r="B45" s="39" t="inlineStr">
        <is>
          <t>NCHS Data Briefs 355 (2018), 395 (2019), 427 (2020), 456 (2021): https://www.cdc.gov/nchs/products/databriefs/db{N}.htm</t>
        </is>
      </c>
      <c r="C45" s="39" t="inlineStr">
        <is>
          <t>https://www.cdc.gov/nchs/products/databriefs/db456.htm</t>
        </is>
      </c>
      <c r="D45" s="39" t="inlineStr">
        <is>
          <t>Deaths 2018-2021 (cdc.gov 403 from box; unverifiable from box)</t>
        </is>
      </c>
      <c r="E45" s="39" t="inlineStr">
        <is>
          <t>NOT verified from box: HTTP 403 (site blocks the box); figure taken from search-index/text copy - re-check manually</t>
        </is>
      </c>
    </row>
    <row r="46" ht="15" customHeight="1" s="24">
      <c r="A46" s="23" t="inlineStr">
        <is>
          <t>CDC-PROV25</t>
        </is>
      </c>
      <c r="B46" s="39" t="inlineStr">
        <is>
          <t>Mortality in the United States: Provisional Data, 2025 (VSRR, ~Jul 2026; NCBI NBK623755)</t>
        </is>
      </c>
      <c r="C46" s="39" t="inlineStr">
        <is>
          <t>https://www.ncbi.nlm.nih.gov/books/NBK623755/</t>
        </is>
      </c>
      <c r="D46" s="39" t="inlineStr">
        <is>
          <t>Deaths 2025 provisional (403 from box; from search index)</t>
        </is>
      </c>
      <c r="E46" s="23" t="inlineStr">
        <is>
          <t>Loads (curl HTTP 200, Sep 24, 2026)</t>
        </is>
      </c>
    </row>
    <row r="47" ht="15" customHeight="1" s="24">
      <c r="A47" s="23" t="inlineStr">
        <is>
          <t>SSA-4B1</t>
        </is>
      </c>
      <c r="B47" s="39" t="inlineStr">
        <is>
          <t>SSA Annual Statistical Supplement 2020, Table 4.B1 (SSNs issued)</t>
        </is>
      </c>
      <c r="C47" s="39" t="inlineStr">
        <is>
          <t>https://www.ssa.gov/policy/docs/statcomps/supplement/2020/4b.html</t>
        </is>
      </c>
      <c r="D47" s="23" t="inlineStr">
        <is>
          <t>SSNs 2005-2019</t>
        </is>
      </c>
      <c r="E47" s="39" t="inlineStr">
        <is>
          <t>Loads via WebFetch; curl from box returns HTTP 403 (bot block)</t>
        </is>
      </c>
    </row>
    <row r="48" ht="15" customHeight="1" s="24">
      <c r="A48" s="23" t="inlineStr">
        <is>
          <t>SSA-2F</t>
        </is>
      </c>
      <c r="B48" s="39" t="inlineStr">
        <is>
          <t>SSA Annual Statistical Supplement 2025, Table 2.F12 (SSNs issued, by age)</t>
        </is>
      </c>
      <c r="C48" s="39" t="inlineStr">
        <is>
          <t>https://www.ssa.gov/policy/docs/statcomps/supplement/2025/2f.html</t>
        </is>
      </c>
      <c r="D48" s="23" t="inlineStr">
        <is>
          <t>SSNs 2020-2024</t>
        </is>
      </c>
      <c r="E48" s="39" t="inlineStr">
        <is>
          <t>Loads via WebFetch; curl from box returns HTTP 403 (bot block)</t>
        </is>
      </c>
    </row>
    <row r="49" ht="15" customHeight="1" s="24">
      <c r="A49" s="23" t="inlineStr">
        <is>
          <t>GAO-04-12</t>
        </is>
      </c>
      <c r="B49" s="39" t="inlineStr">
        <is>
          <t>GAO-04-12 SSA enumeration (FY2002 citizen/noncitizen split)</t>
        </is>
      </c>
      <c r="C49" s="23" t="inlineStr">
        <is>
          <t>https://www.gao.gov/assets/gao-04-12.pdf</t>
        </is>
      </c>
      <c r="D49" s="39" t="inlineStr">
        <is>
          <t>Only official citizen/noncitizen SSN split found</t>
        </is>
      </c>
      <c r="E49" s="39" t="inlineStr">
        <is>
          <t>NOT verified from box: HTTP 403 (site blocks the box); figure taken from search-index/text copy - re-check manually</t>
        </is>
      </c>
    </row>
    <row r="50" ht="15" customHeight="1" s="24">
      <c r="A50" s="23" t="inlineStr">
        <is>
          <t>SSA-SSI-NC</t>
        </is>
      </c>
      <c r="B50" s="39" t="inlineStr">
        <is>
          <t>SSA SSI Annual Statistical Report 2024, Noncitizens (Tables 29-33)</t>
        </is>
      </c>
      <c r="C50" s="39" t="inlineStr">
        <is>
          <t>https://www.ssa.gov/policy/docs/statcomps/ssi_asr/2024/sect05.html</t>
        </is>
      </c>
      <c r="D50" s="23" t="inlineStr">
        <is>
          <t>SSI noncitizen recipients 2005-2024</t>
        </is>
      </c>
      <c r="E50" s="39" t="inlineStr">
        <is>
          <t>Loads via WebFetch; curl from box returns HTTP 403 (bot block)</t>
        </is>
      </c>
    </row>
    <row r="51" ht="15" customHeight="1" s="24">
      <c r="A51" s="23" t="inlineStr">
        <is>
          <t>FNS-SNAP23</t>
        </is>
      </c>
      <c r="B51" s="39" t="inlineStr">
        <is>
          <t>USDA FNS Characteristics of SNAP Households FY2023 (Table A.23 / B.16)</t>
        </is>
      </c>
      <c r="C51" s="39" t="inlineStr">
        <is>
          <t>https://fns-prod.azureedge.us/sites/default/files/resource-files/snap-FY23-Characteristics-Report.pdf</t>
        </is>
      </c>
      <c r="D51" s="23" t="inlineStr">
        <is>
          <t>SNAP participants by citizenship FY2023</t>
        </is>
      </c>
      <c r="E51" s="23" t="inlineStr">
        <is>
          <t>Loads (curl HTTP 206, Sep 24, 2026)</t>
        </is>
      </c>
    </row>
    <row r="52" ht="15" customHeight="1" s="24">
      <c r="A52" s="23" t="inlineStr">
        <is>
          <t>CBO-EMED</t>
        </is>
      </c>
      <c r="B52" s="39" t="inlineStr">
        <is>
          <t>CBO letter to Rep. Arrington on Emergency Medicaid spending (Oct 2, 2024)</t>
        </is>
      </c>
      <c r="C52" s="39" t="inlineStr">
        <is>
          <t>https://www.cbo.gov/system/files/2024-10/Arrington_Letter_EmergencyMedicaid_Immigration_final.pdf</t>
        </is>
      </c>
      <c r="D52" s="39" t="inlineStr">
        <is>
          <t>Emergency Medicaid FY2017-2023 (cbo.gov returned 403/500 to the box)</t>
        </is>
      </c>
      <c r="E52" s="39" t="inlineStr">
        <is>
          <t>NOT verified from box: HTTP 403 (site blocks the box); figure taken from search-index/text copy - re-check manually</t>
        </is>
      </c>
    </row>
    <row r="53" ht="15" customHeight="1" s="24">
      <c r="A53" s="23" t="inlineStr">
        <is>
          <t>KFF-EMED</t>
        </is>
      </c>
      <c r="B53" s="39" t="inlineStr">
        <is>
          <t>KFF Quick Take on CBO Emergency Medicaid figures (Oct 4, 2024)</t>
        </is>
      </c>
      <c r="C53" s="39" t="inlineStr">
        <is>
          <t>https://www.kff.org/quick-insights/less-than-1-of-total-medicaid-spending-goes-to-emergency-care-for-noncitizen-immigrants/</t>
        </is>
      </c>
      <c r="D53" s="23" t="inlineStr">
        <is>
          <t>Corroborates $3.8B FY2023</t>
        </is>
      </c>
      <c r="E53" s="23" t="inlineStr">
        <is>
          <t>Loads (curl HTTP 200, Sep 24, 2026)</t>
        </is>
      </c>
    </row>
    <row r="54" ht="15" customHeight="1" s="24">
      <c r="A54" s="23" t="inlineStr">
        <is>
          <t>EO14248</t>
        </is>
      </c>
      <c r="B54" s="39" t="inlineStr">
        <is>
          <t>Executive Order 14248, 90 FR 14005 (Mar 28, 2025)</t>
        </is>
      </c>
      <c r="C54" s="39" t="inlineStr">
        <is>
          <t>https://www.govinfo.gov/content/pkg/FR-2025-03-28/pdf/2025-05523.pdf</t>
        </is>
      </c>
      <c r="D54" s="23" t="inlineStr">
        <is>
          <t>Harris claim / federal actions</t>
        </is>
      </c>
      <c r="E54" s="23" t="inlineStr">
        <is>
          <t>Loads (curl HTTP 206, Sep 24, 2026)</t>
        </is>
      </c>
    </row>
    <row r="55" ht="15" customHeight="1" s="24">
      <c r="A55" s="23" t="inlineStr">
        <is>
          <t>LULAC-217</t>
        </is>
      </c>
      <c r="B55" s="39" t="inlineStr">
        <is>
          <t>LULAC v. EOP, D.D.C. 25-cv-946, Oct 31, 2025 order (ECF 217)</t>
        </is>
      </c>
      <c r="C55" s="39" t="inlineStr">
        <is>
          <t>https://assets.aclu.org/live/uploads/2025/10/217-Order-Granting-MSJ.pdf</t>
        </is>
      </c>
      <c r="D55" s="23" t="inlineStr">
        <is>
          <t>EO 14248 ruling</t>
        </is>
      </c>
      <c r="E55" s="23" t="inlineStr">
        <is>
          <t>Loads (curl HTTP 206, Sep 24, 2026)</t>
        </is>
      </c>
    </row>
    <row r="56" ht="15" customHeight="1" s="24">
      <c r="A56" s="23" t="inlineStr">
        <is>
          <t>LULAC-235</t>
        </is>
      </c>
      <c r="B56" s="39" t="inlineStr">
        <is>
          <t>LULAC v. EOP, Jan 30, 2026 order (ECF 235)</t>
        </is>
      </c>
      <c r="C56" s="39" t="inlineStr">
        <is>
          <t>https://storage.courtlistener.com/recap/gov.uscourts.dcd.279032/gov.uscourts.dcd.279032.235.0_1.pdf</t>
        </is>
      </c>
      <c r="D56" s="23" t="inlineStr">
        <is>
          <t>EO 14248 ruling</t>
        </is>
      </c>
      <c r="E56" s="23" t="inlineStr">
        <is>
          <t>Loads (curl HTTP 206, Sep 24, 2026)</t>
        </is>
      </c>
    </row>
    <row r="57" ht="15" customHeight="1" s="24">
      <c r="A57" s="23" t="inlineStr">
        <is>
          <t>SCOTUS-26A124</t>
        </is>
      </c>
      <c r="B57" s="39" t="inlineStr">
        <is>
          <t>Trump v. California, No. 26A124 (Aug 24, 2026)</t>
        </is>
      </c>
      <c r="C57" s="39" t="inlineStr">
        <is>
          <t>https://www.supremecourt.gov/opinions/25pdf/26a124_hgci.pdf</t>
        </is>
      </c>
      <c r="D57" s="23" t="inlineStr">
        <is>
          <t>EO 14399 stay</t>
        </is>
      </c>
      <c r="E57" s="23" t="inlineStr">
        <is>
          <t>Loads (curl HTTP 206, Sep 24, 2026)</t>
        </is>
      </c>
    </row>
    <row r="58" ht="15" customHeight="1" s="24">
      <c r="A58" s="23" t="inlineStr">
        <is>
          <t>LWV-ORDER</t>
        </is>
      </c>
      <c r="B58" s="39" t="inlineStr">
        <is>
          <t>League of Women Voters v. DHS, D.D.C. 25-cv-3501, Jun 22, 2026 order</t>
        </is>
      </c>
      <c r="C58" s="39" t="inlineStr">
        <is>
          <t>https://epic.org/wp-content/uploads/2026/06/LWV-ordr.pdf</t>
        </is>
      </c>
      <c r="D58" s="23" t="inlineStr">
        <is>
          <t>SAVE vacatur</t>
        </is>
      </c>
      <c r="E58" s="23" t="inlineStr">
        <is>
          <t>Loads (curl HTTP 206, Sep 24, 2026)</t>
        </is>
      </c>
    </row>
    <row r="59" ht="15" customHeight="1" s="24">
      <c r="A59" s="23" t="inlineStr">
        <is>
          <t>LWV-OP</t>
        </is>
      </c>
      <c r="B59" s="23" t="inlineStr">
        <is>
          <t>LWV v. DHS memorandum opinion (Jun 2026)</t>
        </is>
      </c>
      <c r="C59" s="39" t="inlineStr">
        <is>
          <t>https://www.lwv.org/sites/default/files/2026-06/LWV%20v.%20DHS%20Mem%20Op.pdf</t>
        </is>
      </c>
      <c r="D59" s="23" t="inlineStr">
        <is>
          <t>SAVE vacatur</t>
        </is>
      </c>
      <c r="E59" s="23" t="inlineStr">
        <is>
          <t>Loads (curl HTTP 206, Sep 24, 2026)</t>
        </is>
      </c>
    </row>
    <row r="60" ht="15" customHeight="1" s="24">
      <c r="A60" s="23" t="inlineStr">
        <is>
          <t>SCOTUS-26A308</t>
        </is>
      </c>
      <c r="B60" s="39" t="inlineStr">
        <is>
          <t>DHS v. League of Women Voters, No. 26A308 stay application (Sep 8, 2026)</t>
        </is>
      </c>
      <c r="C60" s="39" t="inlineStr">
        <is>
          <t>https://www.supremecourt.gov/DocketPDF/26/26A308/423264/20260908101245314_DHS%20v%20League%20of%20Women%20Voters%20Stay%20Application.pdf</t>
        </is>
      </c>
      <c r="D60" s="39" t="inlineStr">
        <is>
          <t>SAVE figures (65M verified; 28,635 flagged)</t>
        </is>
      </c>
      <c r="E60" s="23" t="inlineStr">
        <is>
          <t>Loads (curl HTTP 206, Sep 24, 2026)</t>
        </is>
      </c>
    </row>
    <row r="61" ht="15" customHeight="1" s="24">
      <c r="A61" s="23" t="inlineStr">
        <is>
          <t>NCSL-LISTS</t>
        </is>
      </c>
      <c r="B61" s="39" t="inlineStr">
        <is>
          <t>NCSL, Federal requests for statewide voter lists (updated Sep 15, 2026)</t>
        </is>
      </c>
      <c r="C61" s="39" t="inlineStr">
        <is>
          <t>https://www.ncsl.org/elections-and-campaigns/federal-requests-for-statewide-voter-lists</t>
        </is>
      </c>
      <c r="D61" s="23" t="inlineStr">
        <is>
          <t>DOJ voter-list suits</t>
        </is>
      </c>
      <c r="E61" s="23" t="inlineStr">
        <is>
          <t>Loads (curl HTTP 200, Sep 24, 2026)</t>
        </is>
      </c>
    </row>
    <row r="62" ht="15" customHeight="1" s="24">
      <c r="A62" s="23" t="inlineStr">
        <is>
          <t>UW-TRACKER</t>
        </is>
      </c>
      <c r="B62" s="39" t="inlineStr">
        <is>
          <t>UW State Democracy Research Initiative tracker of DOJ voter-data suits</t>
        </is>
      </c>
      <c r="C62" s="39" t="inlineStr">
        <is>
          <t>https://statedemocracy.law.wisc.edu/our-work/tracker-doj-lawsuits-seeking-states-sensitive-voter-data</t>
        </is>
      </c>
      <c r="D62" s="23" t="inlineStr">
        <is>
          <t>DOJ suits</t>
        </is>
      </c>
      <c r="E62" s="23" t="inlineStr">
        <is>
          <t>Loads (curl HTTP 200, Sep 24, 2026)</t>
        </is>
      </c>
    </row>
    <row r="63" ht="15" customHeight="1" s="24">
      <c r="A63" s="23" t="inlineStr">
        <is>
          <t>TX-SOS-2026</t>
        </is>
      </c>
      <c r="B63" s="39" t="inlineStr">
        <is>
          <t>Texas SOS news release Sep 15, 2026 (SAVE results)</t>
        </is>
      </c>
      <c r="C63" s="39" t="inlineStr">
        <is>
          <t>https://www.sos.texas.gov/about/newsreleases/2026/091526.shtml</t>
        </is>
      </c>
      <c r="D63" s="23" t="inlineStr">
        <is>
          <t>Texas SAVE referrals</t>
        </is>
      </c>
      <c r="E63" s="23" t="inlineStr">
        <is>
          <t>Loads (curl HTTP 206, Sep 24, 2026)</t>
        </is>
      </c>
    </row>
    <row r="64" ht="15" customHeight="1" s="24">
      <c r="A64" s="23" t="inlineStr">
        <is>
          <t>PADILLA-WB</t>
        </is>
      </c>
      <c r="B64" s="39" t="inlineStr">
        <is>
          <t>Sens. Padilla/Schumer release on DHS whistleblower (Sep 14, 2026)</t>
        </is>
      </c>
      <c r="C64" s="39" t="inlineStr">
        <is>
          <t>https://www.padilla.senate.gov/newsroom/press-releases/padilla-schumer-announce-dhs-whistleblower-report-revealing-trump-administration-directed-officers-to-break-state-laws-in-voter-fraud-hunt/</t>
        </is>
      </c>
      <c r="D64" s="23" t="inlineStr">
        <is>
          <t>USCIS voter initiative allegations</t>
        </is>
      </c>
      <c r="E64" s="23" t="inlineStr">
        <is>
          <t>Loads (curl HTTP 200, Sep 24, 2026)</t>
        </is>
      </c>
    </row>
    <row r="65" ht="15" customHeight="1" s="24">
      <c r="A65" s="23" t="inlineStr">
        <is>
          <t>DOJ-16</t>
        </is>
      </c>
      <c r="B65" s="39" t="inlineStr">
        <is>
          <t>DOJ OPA release 26-1082, 16 charged (Sep 18, 2026)</t>
        </is>
      </c>
      <c r="C65" s="39" t="inlineStr">
        <is>
          <t>https://www.justice.gov/opa/pr/department-justice-charges-16-individuals-illegal-voting-and-related-election-crimes</t>
        </is>
      </c>
      <c r="D65" s="23" t="inlineStr">
        <is>
          <t>Prosecutions</t>
        </is>
      </c>
      <c r="E65" s="39" t="inlineStr">
        <is>
          <t>Loads via WebFetch; curl from box returns HTTP 401 (bot block)</t>
        </is>
      </c>
    </row>
    <row r="66" ht="15" customHeight="1" s="24">
      <c r="A66" s="23" t="inlineStr">
        <is>
          <t>PBS-AP-160</t>
        </is>
      </c>
      <c r="B66" s="39" t="inlineStr">
        <is>
          <t>AP via PBS, 160 arrests / 70 charged (Sep 23, 2026)</t>
        </is>
      </c>
      <c r="C66" s="39" t="inlineStr">
        <is>
          <t>https://www.pbs.org/newshour/politics/trumps-focus-on-noncitizen-voting-has-led-to-160-arrests-that-shows-its-rare-experts-say</t>
        </is>
      </c>
      <c r="D66" s="23" t="inlineStr">
        <is>
          <t>Prosecution totals</t>
        </is>
      </c>
      <c r="E66" s="23" t="inlineStr">
        <is>
          <t>Loads (curl HTTP 200, Sep 24, 2026)</t>
        </is>
      </c>
    </row>
    <row r="67" ht="15" customHeight="1" s="24">
      <c r="A67" s="23" t="inlineStr">
        <is>
          <t>CBS-HARRIS</t>
        </is>
      </c>
      <c r="B67" s="39" t="inlineStr">
        <is>
          <t>AP via CBS Detroit, Harris campaigns with El-Sayed (Sep 23, 2026)</t>
        </is>
      </c>
      <c r="C67" s="39" t="inlineStr">
        <is>
          <t>https://www.cbsnews.com/detroit/news/harris-el-sayed-michigan-senate-campaign/</t>
        </is>
      </c>
      <c r="D67" s="23" t="inlineStr">
        <is>
          <t>Harris event</t>
        </is>
      </c>
      <c r="E67" s="39" t="inlineStr">
        <is>
          <t>Loads via WebFetch; curl from box returns HTTP 406 (bot block)</t>
        </is>
      </c>
    </row>
    <row r="68" ht="15" customHeight="1" s="24">
      <c r="A68" s="23" t="inlineStr">
        <is>
          <t>TOWNHALL-HARRIS</t>
        </is>
      </c>
      <c r="B68" s="39" t="inlineStr">
        <is>
          <t>Townhall transcription of Harris clip (Sep 23, 2026)</t>
        </is>
      </c>
      <c r="C68" s="39" t="inlineStr">
        <is>
          <t>https://townhall.com/news/amy-curtis/2026/09/23/kamala-harris-removing-ineligible-voters-is-cheating-n2683440</t>
        </is>
      </c>
      <c r="D68" s="23" t="inlineStr">
        <is>
          <t>Harris quote (secondary)</t>
        </is>
      </c>
      <c r="E68" s="23" t="inlineStr">
        <is>
          <t>Loads (curl HTTP 200, Sep 24, 2026)</t>
        </is>
      </c>
    </row>
    <row r="69" ht="15" customHeight="1" s="24">
      <c r="A69" s="23" t="inlineStr">
        <is>
          <t>BELTWAY-HARRIS</t>
        </is>
      </c>
      <c r="B69" s="39" t="inlineStr">
        <is>
          <t>Beltway Report transcription of Harris clip</t>
        </is>
      </c>
      <c r="C69" s="39" t="inlineStr">
        <is>
          <t>https://thebeltwayreport.com/2026/09/kamala-harris-campaigns-in-detroit-calls-voter-roll-purges-cheating/</t>
        </is>
      </c>
      <c r="D69" s="23" t="inlineStr">
        <is>
          <t>Harris quote (secondary)</t>
        </is>
      </c>
      <c r="E69" s="23" t="inlineStr">
        <is>
          <t>Loads (curl HTTP 200, Sep 24, 2026)</t>
        </is>
      </c>
    </row>
    <row r="70" ht="15" customHeight="1" s="24">
      <c r="A70" s="23" t="inlineStr">
        <is>
          <t>FOXBIZ-HARRIS</t>
        </is>
      </c>
      <c r="B70" s="39" t="inlineStr">
        <is>
          <t>Fox Business video page, Harris fireside chat in Detroit (full event)</t>
        </is>
      </c>
      <c r="C70" s="39" t="inlineStr">
        <is>
          <t>https://www.foxbusiness.com/video/6405446700112</t>
        </is>
      </c>
      <c r="D70" s="39" t="inlineStr">
        <is>
          <t>Harris video (could not be played/transcribed from box)</t>
        </is>
      </c>
      <c r="E70" s="23" t="inlineStr">
        <is>
          <t>Loads (curl HTTP 206, Sep 24, 2026)</t>
        </is>
      </c>
    </row>
    <row r="71" ht="15" customHeight="1" s="24">
      <c r="A71" s="23" t="inlineStr">
        <is>
          <t>HR22-STATUS</t>
        </is>
      </c>
      <c r="B71" s="39" t="inlineStr">
        <is>
          <t>H.R. 22 (SAVE Act) bill status XML (govinfo)</t>
        </is>
      </c>
      <c r="C71" s="39" t="inlineStr">
        <is>
          <t>https://www.govinfo.gov/bulkdata/BILLSTATUS/119/hr/BILLSTATUS-119hr22.xml</t>
        </is>
      </c>
      <c r="D71" s="23" t="inlineStr">
        <is>
          <t>SAVE Act status</t>
        </is>
      </c>
      <c r="E71" s="23" t="inlineStr">
        <is>
          <t>Loads (curl HTTP 200, Sep 24, 2026)</t>
        </is>
      </c>
    </row>
    <row r="72" ht="15" customHeight="1" s="24">
      <c r="A72" s="23" t="inlineStr">
        <is>
          <t>HR22-TEXT</t>
        </is>
      </c>
      <c r="B72" s="23" t="inlineStr">
        <is>
          <t>H.R. 22 engrossed in House (text)</t>
        </is>
      </c>
      <c r="C72" s="39" t="inlineStr">
        <is>
          <t>https://www.govinfo.gov/content/pkg/BILLS-119hr22eh/html/BILLS-119hr22eh.htm</t>
        </is>
      </c>
      <c r="D72" s="23" t="inlineStr">
        <is>
          <t>SAVE Act text</t>
        </is>
      </c>
      <c r="E72" s="23" t="inlineStr">
        <is>
          <t>Loads (curl HTTP 200, Sep 24, 2026)</t>
        </is>
      </c>
    </row>
    <row r="73" ht="15" customHeight="1" s="24">
      <c r="A73" s="23" t="inlineStr">
        <is>
          <t>S1383-STATUS</t>
        </is>
      </c>
      <c r="B73" s="39" t="inlineStr">
        <is>
          <t>S. 1383 bill status XML (vehicle for SAVE America Act House amendment)</t>
        </is>
      </c>
      <c r="C73" s="39" t="inlineStr">
        <is>
          <t>https://www.govinfo.gov/bulkdata/BILLSTATUS/119/s/BILLSTATUS-119s1383.xml</t>
        </is>
      </c>
      <c r="D73" s="23" t="inlineStr">
        <is>
          <t>SAVE America Act status</t>
        </is>
      </c>
      <c r="E73" s="23" t="inlineStr">
        <is>
          <t>Loads (curl HTTP 200, Sep 24, 2026)</t>
        </is>
      </c>
    </row>
    <row r="74" ht="15" customHeight="1" s="24">
      <c r="A74" s="23" t="inlineStr">
        <is>
          <t>S1383-TEXT</t>
        </is>
      </c>
      <c r="B74" s="39" t="inlineStr">
        <is>
          <t>S. 1383 engrossed House amendment (SAVE America Act text)</t>
        </is>
      </c>
      <c r="C74" s="39" t="inlineStr">
        <is>
          <t>https://www.govinfo.gov/content/pkg/BILLS-119s1383eah/html/BILLS-119s1383eah.htm</t>
        </is>
      </c>
      <c r="D74" s="23" t="inlineStr">
        <is>
          <t>SAVE America Act text</t>
        </is>
      </c>
      <c r="E74" s="23" t="inlineStr">
        <is>
          <t>Loads (curl HTTP 200, Sep 24, 2026)</t>
        </is>
      </c>
    </row>
    <row r="75" ht="15" customHeight="1" s="24">
      <c r="A75" s="23" t="inlineStr">
        <is>
          <t>HR7296-STATUS</t>
        </is>
      </c>
      <c r="B75" s="39" t="inlineStr">
        <is>
          <t>H.R. 7296 SAVE America Act bill status (introduced version; referred only)</t>
        </is>
      </c>
      <c r="C75" s="39" t="inlineStr">
        <is>
          <t>https://www.govinfo.gov/bulkdata/BILLSTATUS/119/hr/BILLSTATUS-119hr7296.xml</t>
        </is>
      </c>
      <c r="D75" s="23" t="inlineStr">
        <is>
          <t>SAVE America Act status</t>
        </is>
      </c>
      <c r="E75" s="23" t="inlineStr">
        <is>
          <t>Loads (curl HTTP 200, Sep 24, 2026)</t>
        </is>
      </c>
    </row>
    <row r="76" ht="15" customHeight="1" s="24">
      <c r="A76" s="23" t="inlineStr">
        <is>
          <t>HOUSE-ROLL69</t>
        </is>
      </c>
      <c r="B76" s="39" t="inlineStr">
        <is>
          <t>House Clerk roll call 69 (Feb 11, 2026), S. 1383 passage 218-213</t>
        </is>
      </c>
      <c r="C76" s="39" t="inlineStr">
        <is>
          <t>https://clerk.house.gov/evs/2026/roll069.xml</t>
        </is>
      </c>
      <c r="D76" s="23" t="inlineStr">
        <is>
          <t>SAVE America Act vote</t>
        </is>
      </c>
      <c r="E76" s="23" t="inlineStr">
        <is>
          <t>Loads (curl HTTP 206, Sep 24, 2026)</t>
        </is>
      </c>
    </row>
    <row r="77" ht="15" customHeight="1" s="24">
      <c r="A77" s="23" t="inlineStr">
        <is>
          <t>ROLLCALL-SAVE</t>
        </is>
      </c>
      <c r="B77" s="39" t="inlineStr">
        <is>
          <t>Roll Call, House passes revamped citizenship and voter ID bill (Feb 11, 2026)</t>
        </is>
      </c>
      <c r="C77" s="39" t="inlineStr">
        <is>
          <t>https://rollcall.com/2026/02/11/house-passes-revamped-citizenship-voter-id-bill/</t>
        </is>
      </c>
      <c r="D77" s="23" t="inlineStr">
        <is>
          <t>SAVE America Act context</t>
        </is>
      </c>
      <c r="E77" s="23" t="inlineStr">
        <is>
          <t>Loads (curl HTTP 200, Sep 24, 2026)</t>
        </is>
      </c>
    </row>
    <row r="78" ht="15" customHeight="1" s="24">
      <c r="A78" s="23" t="inlineStr">
        <is>
          <t>CO-SOS-2013</t>
        </is>
      </c>
      <c r="B78" s="39" t="inlineStr">
        <is>
          <t>Colorado SOS release Jul 1, 2013: 155 noncitizen voters referred</t>
        </is>
      </c>
      <c r="C78" s="39" t="inlineStr">
        <is>
          <t>https://www.sos.state.co.us/pubs/newsRoom/pressReleases/2013/PR20130701NoncitizenVoters.html</t>
        </is>
      </c>
      <c r="D78" s="23" t="inlineStr">
        <is>
          <t>Colorado referrals</t>
        </is>
      </c>
      <c r="E78" s="23" t="inlineStr">
        <is>
          <t>Loads (curl HTTP 206, Sep 24, 2026)</t>
        </is>
      </c>
    </row>
    <row r="79" ht="15" customHeight="1" s="24">
      <c r="A79" s="23" t="inlineStr">
        <is>
          <t>CBS-CO-2022</t>
        </is>
      </c>
      <c r="B79" s="39" t="inlineStr">
        <is>
          <t>AP via CBS Colorado, 30,000 noncitizens got registration mailer (Oct 2022)</t>
        </is>
      </c>
      <c r="C79" s="39" t="inlineStr">
        <is>
          <t>https://www.cbsnews.com/colorado/news/colorado-30000-noncitizens-vote-registration-mailer/</t>
        </is>
      </c>
      <c r="D79" s="23" t="inlineStr">
        <is>
          <t>Griswold postcard</t>
        </is>
      </c>
      <c r="E79" s="39" t="inlineStr">
        <is>
          <t>Loads via WebFetch; curl from box returns HTTP 406 (bot block)</t>
        </is>
      </c>
    </row>
    <row r="80" ht="15" customHeight="1" s="24">
      <c r="A80" s="23" t="inlineStr">
        <is>
          <t>AFP-CO-2022</t>
        </is>
      </c>
      <c r="B80" s="39" t="inlineStr">
        <is>
          <t>AFP Fact Check on Colorado mailer (Oct 13, 2022)</t>
        </is>
      </c>
      <c r="C80" s="39" t="inlineStr">
        <is>
          <t>https://factcheck.afp.com/doc.afp.com.32LA24U</t>
        </is>
      </c>
      <c r="D80" s="23" t="inlineStr">
        <is>
          <t>Griswold postcard</t>
        </is>
      </c>
      <c r="E80" s="39" t="inlineStr">
        <is>
          <t>Loads via WebFetch; curl from box returns HTTP 403 (bot block)</t>
        </is>
      </c>
    </row>
    <row r="81" ht="15" customHeight="1" s="24">
      <c r="A81" s="23" t="inlineStr">
        <is>
          <t>JW-CO-113</t>
        </is>
      </c>
      <c r="B81" s="39" t="inlineStr">
        <is>
          <t>Judicial Watch v. Griswold, D. Colo. 20-cv-02992, ECF 113 order (Feb 27, 2024)</t>
        </is>
      </c>
      <c r="C81" s="39" t="inlineStr">
        <is>
          <t>https://storage.courtlistener.com/recap/gov.uscourts.cod.201356/gov.uscourts.cod.201356.113.0.pdf</t>
        </is>
      </c>
      <c r="D81" s="23" t="inlineStr">
        <is>
          <t>JW Colorado figures</t>
        </is>
      </c>
      <c r="E81" s="23" t="inlineStr">
        <is>
          <t>Loads (curl HTTP 206, Sep 24, 2026)</t>
        </is>
      </c>
    </row>
    <row r="82" ht="15" customHeight="1" s="24">
      <c r="A82" s="23" t="inlineStr">
        <is>
          <t>JW-CO-105</t>
        </is>
      </c>
      <c r="B82" s="39" t="inlineStr">
        <is>
          <t>Judicial Watch v. Griswold notice of dismissal &amp; settlement (Mar 30, 2023)</t>
        </is>
      </c>
      <c r="C82" s="39" t="inlineStr">
        <is>
          <t>https://www.democracydocket.com/wp-content/uploads/2020/11/105-2-notice-of-dismissal-and-settlement-agreementpdf.pdf</t>
        </is>
      </c>
      <c r="D82" s="23" t="inlineStr">
        <is>
          <t>JW Colorado settlement</t>
        </is>
      </c>
      <c r="E82" s="23" t="inlineStr">
        <is>
          <t>Loads (curl HTTP 206, Sep 24, 2026)</t>
        </is>
      </c>
    </row>
    <row r="83" ht="15" customHeight="1" s="24">
      <c r="A83" s="23" t="inlineStr">
        <is>
          <t>JW-LA</t>
        </is>
      </c>
      <c r="B83" s="39" t="inlineStr">
        <is>
          <t>Judicial Watch v. Logan, C.D. Cal. 2:17-cv-08948, settlement agreement (Jan 2019)</t>
        </is>
      </c>
      <c r="C83" s="39" t="inlineStr">
        <is>
          <t>https://www.judicialwatch.org/wp-content/uploads/2019/01/JW-v-Logan-California-NVRA-settlement-08948.pdf</t>
        </is>
      </c>
      <c r="D83" s="23" t="inlineStr">
        <is>
          <t>JW LA County</t>
        </is>
      </c>
      <c r="E83" s="23" t="inlineStr">
        <is>
          <t>Loads (curl HTTP 206, Sep 24, 2026)</t>
        </is>
      </c>
    </row>
    <row r="84" ht="15" customHeight="1" s="24">
      <c r="A84" s="23" t="inlineStr">
        <is>
          <t>JW-LA-PR</t>
        </is>
      </c>
      <c r="B84" s="39" t="inlineStr">
        <is>
          <t>Judicial Watch press release on LA settlement</t>
        </is>
      </c>
      <c r="C84" s="39" t="inlineStr">
        <is>
          <t>https://www.judicialwatch.org/california-and-los-angeles-county-to-remove-1-5-million-inactive-voters-from-voter-rolls-settle-judicial-watch-federal-lawsuit/</t>
        </is>
      </c>
      <c r="D84" s="23" t="inlineStr">
        <is>
          <t>JW claim</t>
        </is>
      </c>
      <c r="E84" s="23" t="inlineStr">
        <is>
          <t>Loads (curl HTTP 200, Sep 24, 2026)</t>
        </is>
      </c>
    </row>
    <row r="85" ht="15" customHeight="1" s="24">
      <c r="A85" s="23" t="inlineStr">
        <is>
          <t>JW-KY</t>
        </is>
      </c>
      <c r="B85" s="39" t="inlineStr">
        <is>
          <t>Judicial Watch v. Grimes, E.D. Ky. 3:17-cv-94 (Clearinghouse record)</t>
        </is>
      </c>
      <c r="C85" s="23" t="inlineStr">
        <is>
          <t>https://clearinghouse.net/case/43775/</t>
        </is>
      </c>
      <c r="D85" s="23" t="inlineStr">
        <is>
          <t>JW Kentucky consent judgment</t>
        </is>
      </c>
      <c r="E85" s="23" t="inlineStr">
        <is>
          <t>Loads (curl HTTP 200, Sep 24, 2026)</t>
        </is>
      </c>
    </row>
    <row r="86" ht="15" customHeight="1" s="24">
      <c r="A86" s="23" t="inlineStr">
        <is>
          <t>JW-NC</t>
        </is>
      </c>
      <c r="B86" s="39" t="inlineStr">
        <is>
          <t>Judicial Watch press release, NC settlement (430,000 inactive removed)</t>
        </is>
      </c>
      <c r="C86" s="39" t="inlineStr">
        <is>
          <t>https://www.judicialwatch.org/north-carolina-voter-rolls-lawsuit/</t>
        </is>
      </c>
      <c r="D86" s="23" t="inlineStr">
        <is>
          <t>JW North Carolina</t>
        </is>
      </c>
      <c r="E86" s="23" t="inlineStr">
        <is>
          <t>Loads (curl HTTP 200, Sep 24, 2026)</t>
        </is>
      </c>
    </row>
    <row r="87" ht="15" customHeight="1" s="24">
      <c r="A87" s="23" t="inlineStr">
        <is>
          <t>JW-CO-372</t>
        </is>
      </c>
      <c r="B87" s="39" t="inlineStr">
        <is>
          <t>Judicial Watch press release, Colorado removes 372,000 inactive voters</t>
        </is>
      </c>
      <c r="C87" s="39" t="inlineStr">
        <is>
          <t>https://www.judicialwatch.org/colorado-removes-372000-inactive-voters-from-its-rolls-after-lawsuit/</t>
        </is>
      </c>
      <c r="D87" s="23" t="inlineStr">
        <is>
          <t>JW claim Colorado</t>
        </is>
      </c>
      <c r="E87" s="23" t="inlineStr">
        <is>
          <t>Loads (curl HTTP 200, Sep 24, 2026)</t>
        </is>
      </c>
    </row>
    <row r="88" ht="15" customHeight="1" s="24">
      <c r="A88" s="23" t="inlineStr">
        <is>
          <t>NJ-GOV-0721</t>
        </is>
      </c>
      <c r="B88" s="39" t="inlineStr">
        <is>
          <t>NJ Governor statement Jul 21, 2026 (MVC software error, ~6,600)</t>
        </is>
      </c>
      <c r="C88" s="39" t="inlineStr">
        <is>
          <t>https://www.nj.gov/governor/news/2026/20260721a.shtml</t>
        </is>
      </c>
      <c r="D88" s="23" t="inlineStr">
        <is>
          <t>New Jersey</t>
        </is>
      </c>
      <c r="E88" s="23" t="inlineStr">
        <is>
          <t>Loads (curl HTTP 200, Sep 24, 2026)</t>
        </is>
      </c>
    </row>
    <row r="89" ht="15" customHeight="1" s="24">
      <c r="A89" s="23" t="inlineStr">
        <is>
          <t>NJ-GOV-0819</t>
        </is>
      </c>
      <c r="B89" s="39" t="inlineStr">
        <is>
          <t>NJ Governor update Aug 19, 2026 (5,100 deleted; 1,450 rejected; ~340 voted; ~220 review)</t>
        </is>
      </c>
      <c r="C89" s="39" t="inlineStr">
        <is>
          <t>https://www.nj.gov/governor/news/2026/20260819a.shtml</t>
        </is>
      </c>
      <c r="D89" s="23" t="inlineStr">
        <is>
          <t>New Jersey</t>
        </is>
      </c>
      <c r="E89" s="23" t="inlineStr">
        <is>
          <t>Loads (curl HTTP 200, Sep 24, 2026)</t>
        </is>
      </c>
    </row>
    <row r="90" ht="15" customHeight="1" s="24">
      <c r="A90" s="23" t="inlineStr">
        <is>
          <t>REUTERS-30K</t>
        </is>
      </c>
      <c r="B90" s="39" t="inlineStr">
        <is>
          <t>Reuters via USA Today, states may have added 30,000+ self-declared noncitizens since 2000 (Sep 23, 2026)</t>
        </is>
      </c>
      <c r="C90" s="39" t="inlineStr">
        <is>
          <t>https://www.usatoday.com/story/news/politics/elections/2026/09/23/30000-noncitizens-may-have-been-added-to-voter-rolls/91907784007/</t>
        </is>
      </c>
      <c r="D90" s="23" t="inlineStr">
        <is>
          <t>Item I</t>
        </is>
      </c>
      <c r="E90" s="23" t="inlineStr">
        <is>
          <t>Loads (curl HTTP 206, Sep 24, 2026)</t>
        </is>
      </c>
    </row>
    <row r="91" ht="15" customHeight="1" s="24">
      <c r="A91" s="23" t="inlineStr">
        <is>
          <t>GA-2024</t>
        </is>
      </c>
      <c r="B91" s="39" t="inlineStr">
        <is>
          <t>Georgia SOS citizenship audit statement copy (Oct 23, 2024)</t>
        </is>
      </c>
      <c r="C91" s="39" t="inlineStr">
        <is>
          <t>https://justthenews.com/sites/default/files/2024-10/FILE_7419.pdf</t>
        </is>
      </c>
      <c r="D91" s="23" t="inlineStr">
        <is>
          <t>Georgia audit</t>
        </is>
      </c>
      <c r="E91" s="23" t="inlineStr">
        <is>
          <t>Loads (curl HTTP 206, Sep 24, 2026)</t>
        </is>
      </c>
    </row>
    <row r="92" ht="15" customHeight="1" s="24">
      <c r="A92" s="23" t="inlineStr">
        <is>
          <t>TX-GOV-2024</t>
        </is>
      </c>
      <c r="B92" s="39" t="inlineStr">
        <is>
          <t>Texas Governor release Aug 26, 2024 (6,500 potential noncitizens removed)</t>
        </is>
      </c>
      <c r="C92" s="39" t="inlineStr">
        <is>
          <t>https://gov.texas.gov/news/post/governor-abbott-announces-over-1-million-ineligible-voters-removed-from-voter-rolls</t>
        </is>
      </c>
      <c r="D92" s="23" t="inlineStr">
        <is>
          <t>Texas 2024</t>
        </is>
      </c>
      <c r="E92" s="23" t="inlineStr">
        <is>
          <t>Loads (curl HTTP 200, Sep 24, 2026)</t>
        </is>
      </c>
    </row>
    <row r="93" ht="15" customHeight="1" s="24">
      <c r="A93" s="23" t="inlineStr">
        <is>
          <t>TXTRIB-2024</t>
        </is>
      </c>
      <c r="B93" s="39" t="inlineStr">
        <is>
          <t>Texas Tribune/Votebeat Oct 15, 2024 (581 identified as noncitizens)</t>
        </is>
      </c>
      <c r="C93" s="39" t="inlineStr">
        <is>
          <t>https://www.texastribune.org/2024/10/15/texas-noncitizen-voter-roll-removal-included-americans/</t>
        </is>
      </c>
      <c r="D93" s="23" t="inlineStr">
        <is>
          <t>Texas discrepancy</t>
        </is>
      </c>
      <c r="E93" s="23" t="inlineStr">
        <is>
          <t>Loads (curl HTTP 200, Sep 24, 2026)</t>
        </is>
      </c>
    </row>
    <row r="94" ht="15" customHeight="1" s="24">
      <c r="A94" s="23" t="inlineStr">
        <is>
          <t>VA-ELECT-2024</t>
        </is>
      </c>
      <c r="B94" s="39" t="inlineStr">
        <is>
          <t>Virginia ELECT 2024 Annual List Maintenance Report</t>
        </is>
      </c>
      <c r="C94" s="39" t="inlineStr">
        <is>
          <t>https://www.elections.virginia.gov/media/formswarehouse/maintenance-reports/2024-Annual-List-Maintenance-Report.pdf</t>
        </is>
      </c>
      <c r="D94" s="23" t="inlineStr">
        <is>
          <t>Virginia</t>
        </is>
      </c>
      <c r="E94" s="23" t="inlineStr">
        <is>
          <t>Loads (curl HTTP 200, Sep 24, 2026)</t>
        </is>
      </c>
    </row>
    <row r="95" ht="15" customHeight="1" s="24">
      <c r="A95" s="23" t="inlineStr">
        <is>
          <t>OH-SOS-2025</t>
        </is>
      </c>
      <c r="B95" s="39" t="inlineStr">
        <is>
          <t>Ohio SOS release Jun 3, 2025 (30 referred)</t>
        </is>
      </c>
      <c r="C95" s="39" t="inlineStr">
        <is>
          <t>https://www.ohiosos.gov/media-center/press-releases/2025/2025-06-03/</t>
        </is>
      </c>
      <c r="D95" s="23" t="inlineStr">
        <is>
          <t>Ohio</t>
        </is>
      </c>
      <c r="E95" s="23" t="inlineStr">
        <is>
          <t>Loads (curl HTTP 200, Sep 24, 2026)</t>
        </is>
      </c>
    </row>
    <row r="96" ht="15" customHeight="1" s="24">
      <c r="A96" s="23" t="inlineStr">
        <is>
          <t>LA-ILLUM-2025</t>
        </is>
      </c>
      <c r="B96" s="39" t="inlineStr">
        <is>
          <t>Louisiana Illuminator Sep 4, 2025 (390 noncitizens; 79 voted)</t>
        </is>
      </c>
      <c r="C96" s="39" t="inlineStr">
        <is>
          <t>https://lailluminator.com/2025/09/04/louisiana-election-investigation-finds-79-noncitizens-have-voted-since-1980s/</t>
        </is>
      </c>
      <c r="D96" s="23" t="inlineStr">
        <is>
          <t>Louisiana</t>
        </is>
      </c>
      <c r="E96" s="23" t="inlineStr">
        <is>
          <t>Loads (curl HTTP 200, Sep 24, 2026)</t>
        </is>
      </c>
    </row>
    <row r="97" ht="15" customHeight="1" s="24">
      <c r="A97" s="23" t="inlineStr">
        <is>
          <t>CHNV-FR</t>
        </is>
      </c>
      <c r="B97" s="39" t="inlineStr">
        <is>
          <t>DHS, Termination of CHNV parole processes, 90 FR 13611 (Mar 25, 2025)</t>
        </is>
      </c>
      <c r="C97" s="39" t="inlineStr">
        <is>
          <t>https://www.govinfo.gov/content/pkg/FR-2025-03-25/html/2025-05128.htm</t>
        </is>
      </c>
      <c r="D97" s="23" t="inlineStr">
        <is>
          <t>CHNV ~532,000</t>
        </is>
      </c>
      <c r="E97" s="23" t="inlineStr">
        <is>
          <t>Loads (curl HTTP 200, Sep 24, 2026)</t>
        </is>
      </c>
    </row>
    <row r="98" ht="15" customHeight="1" s="24">
      <c r="A98" s="23" t="inlineStr">
        <is>
          <t>CBP-DEC24</t>
        </is>
      </c>
      <c r="B98" s="39" t="inlineStr">
        <is>
          <t>CBP December 2024 monthly update (CBP One 936,500; CHNV arrivals by nationality)</t>
        </is>
      </c>
      <c r="C98" s="39" t="inlineStr">
        <is>
          <t>https://www.cbp.gov/newsroom/national-media-release/cbp-releases-december-2024-monthly-update</t>
        </is>
      </c>
      <c r="D98" s="23" t="inlineStr">
        <is>
          <t>Parole</t>
        </is>
      </c>
      <c r="E98" s="23" t="inlineStr">
        <is>
          <t>Loads (curl HTTP 200, Sep 24, 2026)</t>
        </is>
      </c>
    </row>
    <row r="99" ht="15" customHeight="1" s="24">
      <c r="A99" s="23" t="inlineStr">
        <is>
          <t>CBP-JAN25</t>
        </is>
      </c>
      <c r="B99" s="39" t="inlineStr">
        <is>
          <t>CBP January 2025 monthly update (CBP One scheduling ended Jan 20, 2025)</t>
        </is>
      </c>
      <c r="C99" s="39" t="inlineStr">
        <is>
          <t>https://www.cbp.gov/newsroom/national-media-release/cbp-releases-january-2025-monthly-update</t>
        </is>
      </c>
      <c r="D99" s="23" t="inlineStr">
        <is>
          <t>Parole</t>
        </is>
      </c>
      <c r="E99" s="23" t="inlineStr">
        <is>
          <t>Loads (curl HTTP 200, Sep 24, 2026)</t>
        </is>
      </c>
    </row>
    <row r="100" ht="15" customHeight="1" s="24">
      <c r="A100" s="23" t="inlineStr">
        <is>
          <t>USCIS-DACA</t>
        </is>
      </c>
      <c r="B100" s="39" t="inlineStr">
        <is>
          <t>USCIS Active DACA recipients as of Jun 30, 2026</t>
        </is>
      </c>
      <c r="C100" s="39" t="inlineStr">
        <is>
          <t>https://www.uscis.gov/sites/default/files/document/data/active_daca_recipients_fy2026_q3_v1.xlsx</t>
        </is>
      </c>
      <c r="D100" s="23" t="inlineStr">
        <is>
          <t>DACA</t>
        </is>
      </c>
      <c r="E100" s="23" t="inlineStr">
        <is>
          <t>Loads (curl HTTP 206, Sep 24, 2026)</t>
        </is>
      </c>
    </row>
    <row r="101" ht="15" customHeight="1" s="24">
      <c r="A101" s="23" t="inlineStr">
        <is>
          <t>USCIS-I765</t>
        </is>
      </c>
      <c r="B101" s="39" t="inlineStr">
        <is>
          <t>USCIS I-765 receipts/approvals by eligibility category, FY2026 Q3 (quarterly only)</t>
        </is>
      </c>
      <c r="C101" s="39" t="inlineStr">
        <is>
          <t>https://www.uscis.gov/sites/default/files/document/data/i765_application_for_employment_fy2026_q3_v1.xlsx</t>
        </is>
      </c>
      <c r="D101" s="23" t="inlineStr">
        <is>
          <t>EAD (quarterly)</t>
        </is>
      </c>
      <c r="E101" s="23" t="inlineStr">
        <is>
          <t>Loads (curl HTTP 206, Sep 24, 2026)</t>
        </is>
      </c>
    </row>
    <row r="102" ht="15" customHeight="1" s="24">
      <c r="A102" s="23" t="inlineStr">
        <is>
          <t>NVRA-8</t>
        </is>
      </c>
      <c r="B102" s="23" t="inlineStr">
        <is>
          <t>52 U.S.C. 20507 (NVRA section 8)</t>
        </is>
      </c>
      <c r="C102" s="39" t="inlineStr">
        <is>
          <t>https://www.law.cornell.edu/uscode/text/52/20507</t>
        </is>
      </c>
      <c r="D102" s="23" t="inlineStr">
        <is>
          <t>List maintenance rules</t>
        </is>
      </c>
      <c r="E102" s="23" t="inlineStr">
        <is>
          <t>Loads (curl HTTP 206, Sep 24, 2026)</t>
        </is>
      </c>
    </row>
    <row r="103" ht="15" customHeight="1" s="24">
      <c r="A103" s="23" t="inlineStr">
        <is>
          <t>USC-611</t>
        </is>
      </c>
      <c r="B103" s="23" t="inlineStr">
        <is>
          <t>18 U.S.C. 611</t>
        </is>
      </c>
      <c r="C103" s="39" t="inlineStr">
        <is>
          <t>https://www.law.cornell.edu/uscode/text/18/611</t>
        </is>
      </c>
      <c r="D103" s="23" t="inlineStr">
        <is>
          <t>Noncitizen voting ban</t>
        </is>
      </c>
      <c r="E103" s="23" t="inlineStr">
        <is>
          <t>Loads (curl HTTP 206, Sep 24, 2026)</t>
        </is>
      </c>
    </row>
    <row r="104" ht="15" customHeight="1" s="24">
      <c r="A104" s="23" t="inlineStr">
        <is>
          <t>USC-1015</t>
        </is>
      </c>
      <c r="B104" s="23" t="inlineStr">
        <is>
          <t>18 U.S.C. 1015</t>
        </is>
      </c>
      <c r="C104" s="39" t="inlineStr">
        <is>
          <t>https://www.law.cornell.edu/uscode/text/18/1015</t>
        </is>
      </c>
      <c r="D104" s="23" t="inlineStr">
        <is>
          <t>False citizenship claim</t>
        </is>
      </c>
      <c r="E104" s="23" t="inlineStr">
        <is>
          <t>Loads (curl HTTP 206, Sep 24, 2026)</t>
        </is>
      </c>
    </row>
    <row r="105" ht="15" customHeight="1" s="24">
      <c r="A105" s="23" t="inlineStr">
        <is>
          <t>USC-20511</t>
        </is>
      </c>
      <c r="B105" s="23" t="inlineStr">
        <is>
          <t>52 U.S.C. 20511</t>
        </is>
      </c>
      <c r="C105" s="39" t="inlineStr">
        <is>
          <t>https://www.law.cornell.edu/uscode/text/52/20511</t>
        </is>
      </c>
      <c r="D105" s="23" t="inlineStr">
        <is>
          <t>NVRA criminal penalties</t>
        </is>
      </c>
      <c r="E105" s="23" t="inlineStr">
        <is>
          <t>Loads (curl HTTP 206, Sep 24, 2026)</t>
        </is>
      </c>
    </row>
    <row r="106" ht="15" customHeight="1" s="24">
      <c r="A106" s="23" t="inlineStr">
        <is>
          <t>USC-21083</t>
        </is>
      </c>
      <c r="B106" s="39" t="inlineStr">
        <is>
          <t>52 U.S.C. 21083 (HAVA computerized list; DL/SSN4 verification)</t>
        </is>
      </c>
      <c r="C106" s="39" t="inlineStr">
        <is>
          <t>https://www.law.cornell.edu/uscode/text/52/21083</t>
        </is>
      </c>
      <c r="D106" s="23" t="inlineStr">
        <is>
          <t>HAVA verification</t>
        </is>
      </c>
      <c r="E106" s="23" t="inlineStr">
        <is>
          <t>Loads (curl HTTP 206, Sep 24, 2026)</t>
        </is>
      </c>
    </row>
    <row r="107" ht="15" customHeight="1" s="24">
      <c r="A107" s="23" t="inlineStr">
        <is>
          <t>USC-1611</t>
        </is>
      </c>
      <c r="B107" s="23" t="inlineStr">
        <is>
          <t>8 U.S.C. 1611 (PRWORA)</t>
        </is>
      </c>
      <c r="C107" s="39" t="inlineStr">
        <is>
          <t>https://www.law.cornell.edu/uscode/text/8/1611</t>
        </is>
      </c>
      <c r="D107" s="23" t="inlineStr">
        <is>
          <t>Benefit eligibility</t>
        </is>
      </c>
      <c r="E107" s="23" t="inlineStr">
        <is>
          <t>Loads (curl HTTP 206, Sep 24, 2026)</t>
        </is>
      </c>
    </row>
    <row r="108" ht="15" customHeight="1" s="24"/>
    <row r="109" ht="15" customHeight="1" s="24"/>
    <row r="110"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0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23" min="1" max="1"/>
    <col width="16" customWidth="1" style="23" min="2" max="2"/>
    <col width="48" customWidth="1" style="23" min="3" max="3"/>
    <col width="22" customWidth="1" style="23" min="4" max="4"/>
    <col width="16" customWidth="1" style="23" min="5" max="5"/>
  </cols>
  <sheetData>
    <row r="1" ht="60" customHeight="1" s="24">
      <c r="A1" s="35" t="inlineStr">
        <is>
          <t>Geography</t>
        </is>
      </c>
      <c r="B1" s="35" t="inlineStr">
        <is>
          <t>Election year</t>
        </is>
      </c>
      <c r="C1" s="35" t="inlineStr">
        <is>
          <t>EAVS category (label as published that cycle)</t>
        </is>
      </c>
      <c r="D1" s="35" t="inlineStr">
        <is>
          <t>Count (as published)</t>
        </is>
      </c>
      <c r="E1" s="35" t="inlineStr">
        <is>
          <t>Source ID</t>
        </is>
      </c>
    </row>
    <row r="2" ht="15" customHeight="1" s="24">
      <c r="A2" s="23" t="inlineStr">
        <is>
          <t>US</t>
        </is>
      </c>
      <c r="B2" s="36" t="n">
        <v>2024</v>
      </c>
      <c r="C2" s="23" t="inlineStr">
        <is>
          <t>Transactions received (total)</t>
        </is>
      </c>
      <c r="D2" s="36" t="n">
        <v>103512313</v>
      </c>
      <c r="E2" s="23" t="inlineStr">
        <is>
          <t>EAVS-2024</t>
        </is>
      </c>
    </row>
    <row r="3" ht="15" customHeight="1" s="24">
      <c r="A3" s="23" t="inlineStr">
        <is>
          <t>US</t>
        </is>
      </c>
      <c r="B3" s="36" t="n">
        <v>2024</v>
      </c>
      <c r="C3" s="23" t="inlineStr">
        <is>
          <t>Mail/email/fax</t>
        </is>
      </c>
      <c r="D3" s="36" t="n">
        <v>8565489</v>
      </c>
      <c r="E3" s="23" t="inlineStr">
        <is>
          <t>EAVS-2024</t>
        </is>
      </c>
    </row>
    <row r="4" ht="15" customHeight="1" s="24">
      <c r="A4" s="23" t="inlineStr">
        <is>
          <t>US</t>
        </is>
      </c>
      <c r="B4" s="36" t="n">
        <v>2024</v>
      </c>
      <c r="C4" s="23" t="inlineStr">
        <is>
          <t>In person at election office</t>
        </is>
      </c>
      <c r="D4" s="36" t="n">
        <v>6209202</v>
      </c>
      <c r="E4" s="23" t="inlineStr">
        <is>
          <t>EAVS-2024</t>
        </is>
      </c>
    </row>
    <row r="5" ht="15" customHeight="1" s="24">
      <c r="A5" s="23" t="inlineStr">
        <is>
          <t>US</t>
        </is>
      </c>
      <c r="B5" s="36" t="n">
        <v>2024</v>
      </c>
      <c r="C5" s="23" t="inlineStr">
        <is>
          <t>Online</t>
        </is>
      </c>
      <c r="D5" s="36" t="n">
        <v>14424190</v>
      </c>
      <c r="E5" s="23" t="inlineStr">
        <is>
          <t>EAVS-2024</t>
        </is>
      </c>
    </row>
    <row r="6" ht="15" customHeight="1" s="24">
      <c r="A6" s="23" t="inlineStr">
        <is>
          <t>US</t>
        </is>
      </c>
      <c r="B6" s="36" t="n">
        <v>2024</v>
      </c>
      <c r="C6" s="23" t="inlineStr">
        <is>
          <t>Automatic voter registration (AVR)</t>
        </is>
      </c>
      <c r="D6" s="36" t="n">
        <v>26099956</v>
      </c>
      <c r="E6" s="23" t="inlineStr">
        <is>
          <t>EAVS-2024</t>
        </is>
      </c>
    </row>
    <row r="7" ht="15" customHeight="1" s="24">
      <c r="A7" s="23" t="inlineStr">
        <is>
          <t>US</t>
        </is>
      </c>
      <c r="B7" s="36" t="n">
        <v>2024</v>
      </c>
      <c r="C7" s="23" t="inlineStr">
        <is>
          <t>Motor vehicle offices (non-AVR)</t>
        </is>
      </c>
      <c r="D7" s="36" t="n">
        <v>31829586</v>
      </c>
      <c r="E7" s="23" t="inlineStr">
        <is>
          <t>EAVS-2024</t>
        </is>
      </c>
    </row>
    <row r="8" ht="15" customHeight="1" s="24">
      <c r="A8" s="23" t="inlineStr">
        <is>
          <t>US</t>
        </is>
      </c>
      <c r="B8" s="36" t="n">
        <v>2024</v>
      </c>
      <c r="C8" s="23" t="inlineStr">
        <is>
          <t>Public assistance offices</t>
        </is>
      </c>
      <c r="D8" s="36" t="n">
        <v>996390</v>
      </c>
      <c r="E8" s="23" t="inlineStr">
        <is>
          <t>EAVS-2024</t>
        </is>
      </c>
    </row>
    <row r="9" ht="15" customHeight="1" s="24">
      <c r="A9" s="23" t="inlineStr">
        <is>
          <t>US</t>
        </is>
      </c>
      <c r="B9" s="36" t="n">
        <v>2024</v>
      </c>
      <c r="C9" s="23" t="inlineStr">
        <is>
          <t>Disability services offices</t>
        </is>
      </c>
      <c r="D9" s="36" t="n">
        <v>65038</v>
      </c>
      <c r="E9" s="23" t="inlineStr">
        <is>
          <t>EAVS-2024</t>
        </is>
      </c>
    </row>
    <row r="10" ht="15" customHeight="1" s="24">
      <c r="A10" s="23" t="inlineStr">
        <is>
          <t>US</t>
        </is>
      </c>
      <c r="B10" s="36" t="n">
        <v>2024</v>
      </c>
      <c r="C10" s="23" t="inlineStr">
        <is>
          <t>Armed forces recruitment offices</t>
        </is>
      </c>
      <c r="D10" s="36" t="n">
        <v>50961</v>
      </c>
      <c r="E10" s="23" t="inlineStr">
        <is>
          <t>EAVS-2024</t>
        </is>
      </c>
    </row>
    <row r="11" ht="15" customHeight="1" s="24">
      <c r="A11" s="23" t="inlineStr">
        <is>
          <t>US</t>
        </is>
      </c>
      <c r="B11" s="36" t="n">
        <v>2024</v>
      </c>
      <c r="C11" s="23" t="inlineStr">
        <is>
          <t>Other state agencies</t>
        </is>
      </c>
      <c r="D11" s="36" t="n">
        <v>1869606</v>
      </c>
      <c r="E11" s="23" t="inlineStr">
        <is>
          <t>EAVS-2024</t>
        </is>
      </c>
    </row>
    <row r="12" ht="15" customHeight="1" s="24">
      <c r="A12" s="23" t="inlineStr">
        <is>
          <t>US</t>
        </is>
      </c>
      <c r="B12" s="36" t="n">
        <v>2024</v>
      </c>
      <c r="C12" s="23" t="inlineStr">
        <is>
          <t>Registration drives</t>
        </is>
      </c>
      <c r="D12" s="36" t="n">
        <v>2104177</v>
      </c>
      <c r="E12" s="23" t="inlineStr">
        <is>
          <t>EAVS-2024</t>
        </is>
      </c>
    </row>
    <row r="13" ht="15" customHeight="1" s="24">
      <c r="A13" s="23" t="inlineStr">
        <is>
          <t>US</t>
        </is>
      </c>
      <c r="B13" s="36" t="n">
        <v>2024</v>
      </c>
      <c r="C13" s="23" t="inlineStr">
        <is>
          <t>Polling places / same-day</t>
        </is>
      </c>
      <c r="D13" s="36" t="n">
        <v>2246241</v>
      </c>
      <c r="E13" s="23" t="inlineStr">
        <is>
          <t>EAVS-2024</t>
        </is>
      </c>
    </row>
    <row r="14" ht="15" customHeight="1" s="24">
      <c r="A14" s="23" t="inlineStr">
        <is>
          <t>US</t>
        </is>
      </c>
      <c r="B14" s="36" t="n">
        <v>2024</v>
      </c>
      <c r="C14" s="23" t="inlineStr">
        <is>
          <t>Other</t>
        </is>
      </c>
      <c r="D14" s="36" t="n">
        <v>7709087</v>
      </c>
      <c r="E14" s="23" t="inlineStr">
        <is>
          <t>EAVS-2024</t>
        </is>
      </c>
    </row>
    <row r="15" ht="15" customHeight="1" s="24">
      <c r="A15" s="23" t="inlineStr">
        <is>
          <t>US</t>
        </is>
      </c>
      <c r="B15" s="36" t="n">
        <v>2024</v>
      </c>
      <c r="C15" s="23" t="inlineStr">
        <is>
          <t>Not categorized</t>
        </is>
      </c>
      <c r="D15" s="36" t="n">
        <v>1342390</v>
      </c>
      <c r="E15" s="23" t="inlineStr">
        <is>
          <t>EAVS-2024</t>
        </is>
      </c>
    </row>
    <row r="16" ht="15" customHeight="1" s="24">
      <c r="A16" s="23" t="inlineStr">
        <is>
          <t>US</t>
        </is>
      </c>
      <c r="B16" s="36" t="n">
        <v>2022</v>
      </c>
      <c r="C16" s="23" t="inlineStr">
        <is>
          <t>Applications received (total)</t>
        </is>
      </c>
      <c r="D16" s="36" t="n">
        <v>80764222</v>
      </c>
      <c r="E16" s="23" t="inlineStr">
        <is>
          <t>EAVS-2022</t>
        </is>
      </c>
    </row>
    <row r="17" ht="15" customHeight="1" s="24">
      <c r="A17" s="23" t="inlineStr">
        <is>
          <t>US</t>
        </is>
      </c>
      <c r="B17" s="36" t="n">
        <v>2022</v>
      </c>
      <c r="C17" s="23" t="inlineStr">
        <is>
          <t>Mail/email/fax</t>
        </is>
      </c>
      <c r="D17" s="36" t="n">
        <v>7340458</v>
      </c>
      <c r="E17" s="23" t="inlineStr">
        <is>
          <t>EAVS-2022</t>
        </is>
      </c>
    </row>
    <row r="18" ht="15" customHeight="1" s="24">
      <c r="A18" s="23" t="inlineStr">
        <is>
          <t>US</t>
        </is>
      </c>
      <c r="B18" s="36" t="n">
        <v>2022</v>
      </c>
      <c r="C18" s="23" t="inlineStr">
        <is>
          <t>In person</t>
        </is>
      </c>
      <c r="D18" s="36" t="n">
        <v>4566735</v>
      </c>
      <c r="E18" s="23" t="inlineStr">
        <is>
          <t>EAVS-2022</t>
        </is>
      </c>
    </row>
    <row r="19" ht="15" customHeight="1" s="24">
      <c r="A19" s="23" t="inlineStr">
        <is>
          <t>US</t>
        </is>
      </c>
      <c r="B19" s="36" t="n">
        <v>2022</v>
      </c>
      <c r="C19" s="23" t="inlineStr">
        <is>
          <t>Online</t>
        </is>
      </c>
      <c r="D19" s="36" t="n">
        <v>10822001</v>
      </c>
      <c r="E19" s="23" t="inlineStr">
        <is>
          <t>EAVS-2022</t>
        </is>
      </c>
    </row>
    <row r="20" ht="15" customHeight="1" s="24">
      <c r="A20" s="23" t="inlineStr">
        <is>
          <t>US</t>
        </is>
      </c>
      <c r="B20" s="36" t="n">
        <v>2022</v>
      </c>
      <c r="C20" s="23" t="inlineStr">
        <is>
          <t>Motor vehicle offices</t>
        </is>
      </c>
      <c r="D20" s="36" t="n">
        <v>44051378</v>
      </c>
      <c r="E20" s="23" t="inlineStr">
        <is>
          <t>EAVS-2022</t>
        </is>
      </c>
    </row>
    <row r="21" ht="15" customHeight="1" s="24">
      <c r="A21" s="23" t="inlineStr">
        <is>
          <t>US</t>
        </is>
      </c>
      <c r="B21" s="36" t="n">
        <v>2022</v>
      </c>
      <c r="C21" s="23" t="inlineStr">
        <is>
          <t>Public assistance</t>
        </is>
      </c>
      <c r="D21" s="36" t="n">
        <v>1113307</v>
      </c>
      <c r="E21" s="23" t="inlineStr">
        <is>
          <t>EAVS-2022</t>
        </is>
      </c>
    </row>
    <row r="22" ht="15" customHeight="1" s="24">
      <c r="A22" s="23" t="inlineStr">
        <is>
          <t>US</t>
        </is>
      </c>
      <c r="B22" s="36" t="n">
        <v>2022</v>
      </c>
      <c r="C22" s="23" t="inlineStr">
        <is>
          <t>Disability services</t>
        </is>
      </c>
      <c r="D22" s="36" t="n">
        <v>82698</v>
      </c>
      <c r="E22" s="23" t="inlineStr">
        <is>
          <t>EAVS-2022</t>
        </is>
      </c>
    </row>
    <row r="23" ht="15" customHeight="1" s="24">
      <c r="A23" s="23" t="inlineStr">
        <is>
          <t>US</t>
        </is>
      </c>
      <c r="B23" s="36" t="n">
        <v>2022</v>
      </c>
      <c r="C23" s="23" t="inlineStr">
        <is>
          <t>Armed forces</t>
        </is>
      </c>
      <c r="D23" s="36" t="n">
        <v>33554</v>
      </c>
      <c r="E23" s="23" t="inlineStr">
        <is>
          <t>EAVS-2022</t>
        </is>
      </c>
    </row>
    <row r="24" ht="15" customHeight="1" s="24">
      <c r="A24" s="23" t="inlineStr">
        <is>
          <t>US</t>
        </is>
      </c>
      <c r="B24" s="36" t="n">
        <v>2022</v>
      </c>
      <c r="C24" s="23" t="inlineStr">
        <is>
          <t>Other state agencies</t>
        </is>
      </c>
      <c r="D24" s="36" t="n">
        <v>1622543</v>
      </c>
      <c r="E24" s="23" t="inlineStr">
        <is>
          <t>EAVS-2022</t>
        </is>
      </c>
    </row>
    <row r="25" ht="15" customHeight="1" s="24">
      <c r="A25" s="23" t="inlineStr">
        <is>
          <t>US</t>
        </is>
      </c>
      <c r="B25" s="36" t="n">
        <v>2022</v>
      </c>
      <c r="C25" s="23" t="inlineStr">
        <is>
          <t>Registration drives</t>
        </is>
      </c>
      <c r="D25" s="36" t="n">
        <v>1200404</v>
      </c>
      <c r="E25" s="23" t="inlineStr">
        <is>
          <t>EAVS-2022</t>
        </is>
      </c>
    </row>
    <row r="26" ht="15" customHeight="1" s="24">
      <c r="A26" s="23" t="inlineStr">
        <is>
          <t>US</t>
        </is>
      </c>
      <c r="B26" s="36" t="n">
        <v>2022</v>
      </c>
      <c r="C26" s="23" t="inlineStr">
        <is>
          <t>Other</t>
        </is>
      </c>
      <c r="D26" s="36" t="n">
        <v>7585847</v>
      </c>
      <c r="E26" s="23" t="inlineStr">
        <is>
          <t>EAVS-2022</t>
        </is>
      </c>
    </row>
    <row r="27" ht="15" customHeight="1" s="24">
      <c r="A27" s="23" t="inlineStr">
        <is>
          <t>US</t>
        </is>
      </c>
      <c r="B27" s="36" t="n">
        <v>2022</v>
      </c>
      <c r="C27" s="23" t="inlineStr">
        <is>
          <t>Not categorized</t>
        </is>
      </c>
      <c r="D27" s="36" t="n">
        <v>2664163</v>
      </c>
      <c r="E27" s="23" t="inlineStr">
        <is>
          <t>EAVS-2022</t>
        </is>
      </c>
    </row>
    <row r="28" ht="15" customHeight="1" s="24">
      <c r="A28" s="23" t="inlineStr">
        <is>
          <t>US</t>
        </is>
      </c>
      <c r="B28" s="36" t="n">
        <v>2020</v>
      </c>
      <c r="C28" s="23" t="inlineStr">
        <is>
          <t>Applications received (total)</t>
        </is>
      </c>
      <c r="D28" s="36" t="n">
        <v>103701513</v>
      </c>
      <c r="E28" s="23" t="inlineStr">
        <is>
          <t>EAVS-2020</t>
        </is>
      </c>
    </row>
    <row r="29" ht="15" customHeight="1" s="24">
      <c r="A29" s="23" t="inlineStr">
        <is>
          <t>US</t>
        </is>
      </c>
      <c r="B29" s="36" t="n">
        <v>2020</v>
      </c>
      <c r="C29" s="23" t="inlineStr">
        <is>
          <t>Mail/email/fax</t>
        </is>
      </c>
      <c r="D29" s="36" t="n">
        <v>13253501</v>
      </c>
      <c r="E29" s="23" t="inlineStr">
        <is>
          <t>EAVS-2020</t>
        </is>
      </c>
    </row>
    <row r="30" ht="15" customHeight="1" s="24">
      <c r="A30" s="23" t="inlineStr">
        <is>
          <t>US</t>
        </is>
      </c>
      <c r="B30" s="36" t="n">
        <v>2020</v>
      </c>
      <c r="C30" s="23" t="inlineStr">
        <is>
          <t>In person</t>
        </is>
      </c>
      <c r="D30" s="36" t="n">
        <v>8605537</v>
      </c>
      <c r="E30" s="23" t="inlineStr">
        <is>
          <t>EAVS-2020</t>
        </is>
      </c>
    </row>
    <row r="31" ht="15" customHeight="1" s="24">
      <c r="A31" s="23" t="inlineStr">
        <is>
          <t>US</t>
        </is>
      </c>
      <c r="B31" s="36" t="n">
        <v>2020</v>
      </c>
      <c r="C31" s="23" t="inlineStr">
        <is>
          <t>Online</t>
        </is>
      </c>
      <c r="D31" s="36" t="n">
        <v>27681700</v>
      </c>
      <c r="E31" s="23" t="inlineStr">
        <is>
          <t>EAVS-2020</t>
        </is>
      </c>
    </row>
    <row r="32" ht="15" customHeight="1" s="24">
      <c r="A32" s="23" t="inlineStr">
        <is>
          <t>US</t>
        </is>
      </c>
      <c r="B32" s="36" t="n">
        <v>2020</v>
      </c>
      <c r="C32" s="23" t="inlineStr">
        <is>
          <t>Motor vehicle offices</t>
        </is>
      </c>
      <c r="D32" s="36" t="n">
        <v>39705812</v>
      </c>
      <c r="E32" s="23" t="inlineStr">
        <is>
          <t>EAVS-2020</t>
        </is>
      </c>
    </row>
    <row r="33" ht="15" customHeight="1" s="24">
      <c r="A33" s="23" t="inlineStr">
        <is>
          <t>US</t>
        </is>
      </c>
      <c r="B33" s="36" t="n">
        <v>2020</v>
      </c>
      <c r="C33" s="23" t="inlineStr">
        <is>
          <t>Public assistance</t>
        </is>
      </c>
      <c r="D33" s="36" t="n">
        <v>1548664</v>
      </c>
      <c r="E33" s="23" t="inlineStr">
        <is>
          <t>EAVS-2020</t>
        </is>
      </c>
    </row>
    <row r="34" ht="15" customHeight="1" s="24">
      <c r="A34" s="23" t="inlineStr">
        <is>
          <t>US</t>
        </is>
      </c>
      <c r="B34" s="36" t="n">
        <v>2020</v>
      </c>
      <c r="C34" s="23" t="inlineStr">
        <is>
          <t>Disability services</t>
        </is>
      </c>
      <c r="D34" s="36" t="n">
        <v>129186</v>
      </c>
      <c r="E34" s="23" t="inlineStr">
        <is>
          <t>EAVS-2020</t>
        </is>
      </c>
    </row>
    <row r="35" ht="15" customHeight="1" s="24">
      <c r="A35" s="23" t="inlineStr">
        <is>
          <t>US</t>
        </is>
      </c>
      <c r="B35" s="36" t="n">
        <v>2020</v>
      </c>
      <c r="C35" s="23" t="inlineStr">
        <is>
          <t>Armed forces</t>
        </is>
      </c>
      <c r="D35" s="36" t="n">
        <v>67899</v>
      </c>
      <c r="E35" s="23" t="inlineStr">
        <is>
          <t>EAVS-2020</t>
        </is>
      </c>
    </row>
    <row r="36" ht="15" customHeight="1" s="24">
      <c r="A36" s="23" t="inlineStr">
        <is>
          <t>US</t>
        </is>
      </c>
      <c r="B36" s="36" t="n">
        <v>2020</v>
      </c>
      <c r="C36" s="23" t="inlineStr">
        <is>
          <t>Other state agencies</t>
        </is>
      </c>
      <c r="D36" s="36" t="n">
        <v>2264124</v>
      </c>
      <c r="E36" s="23" t="inlineStr">
        <is>
          <t>EAVS-2020</t>
        </is>
      </c>
    </row>
    <row r="37" ht="15" customHeight="1" s="24">
      <c r="A37" s="23" t="inlineStr">
        <is>
          <t>US</t>
        </is>
      </c>
      <c r="B37" s="36" t="n">
        <v>2020</v>
      </c>
      <c r="C37" s="23" t="inlineStr">
        <is>
          <t>Registration drives</t>
        </is>
      </c>
      <c r="D37" s="36" t="n">
        <v>1740471</v>
      </c>
      <c r="E37" s="23" t="inlineStr">
        <is>
          <t>EAVS-2020</t>
        </is>
      </c>
    </row>
    <row r="38" ht="15" customHeight="1" s="24">
      <c r="A38" s="23" t="inlineStr">
        <is>
          <t>US</t>
        </is>
      </c>
      <c r="B38" s="36" t="n">
        <v>2020</v>
      </c>
      <c r="C38" s="23" t="inlineStr">
        <is>
          <t>Other</t>
        </is>
      </c>
      <c r="D38" s="36" t="n">
        <v>7496129</v>
      </c>
      <c r="E38" s="23" t="inlineStr">
        <is>
          <t>EAVS-2020</t>
        </is>
      </c>
    </row>
    <row r="39" ht="15" customHeight="1" s="24">
      <c r="A39" s="23" t="inlineStr">
        <is>
          <t>US</t>
        </is>
      </c>
      <c r="B39" s="36" t="n">
        <v>2020</v>
      </c>
      <c r="C39" s="23" t="inlineStr">
        <is>
          <t>Not categorized</t>
        </is>
      </c>
      <c r="D39" s="36" t="n">
        <v>1208490</v>
      </c>
      <c r="E39" s="23" t="inlineStr">
        <is>
          <t>EAVS-2020</t>
        </is>
      </c>
    </row>
    <row r="40" ht="15" customHeight="1" s="24">
      <c r="A40" s="23" t="inlineStr">
        <is>
          <t>US</t>
        </is>
      </c>
      <c r="B40" s="36" t="n">
        <v>2018</v>
      </c>
      <c r="C40" s="23" t="inlineStr">
        <is>
          <t>Applications received (total)</t>
        </is>
      </c>
      <c r="D40" s="36" t="n">
        <v>79854972</v>
      </c>
      <c r="E40" s="23" t="inlineStr">
        <is>
          <t>EAVS-2018</t>
        </is>
      </c>
    </row>
    <row r="41" ht="15" customHeight="1" s="24">
      <c r="A41" s="23" t="inlineStr">
        <is>
          <t>US</t>
        </is>
      </c>
      <c r="B41" s="36" t="n">
        <v>2018</v>
      </c>
      <c r="C41" s="23" t="inlineStr">
        <is>
          <t>Mail/email/fax</t>
        </is>
      </c>
      <c r="D41" s="36" t="n">
        <v>9050646</v>
      </c>
      <c r="E41" s="23" t="inlineStr">
        <is>
          <t>EAVS-2018</t>
        </is>
      </c>
    </row>
    <row r="42" ht="15" customHeight="1" s="24">
      <c r="A42" s="23" t="inlineStr">
        <is>
          <t>US</t>
        </is>
      </c>
      <c r="B42" s="36" t="n">
        <v>2018</v>
      </c>
      <c r="C42" s="23" t="inlineStr">
        <is>
          <t>In person</t>
        </is>
      </c>
      <c r="D42" s="36" t="n">
        <v>6996437</v>
      </c>
      <c r="E42" s="23" t="inlineStr">
        <is>
          <t>EAVS-2018</t>
        </is>
      </c>
    </row>
    <row r="43" ht="15" customHeight="1" s="24">
      <c r="A43" s="23" t="inlineStr">
        <is>
          <t>US</t>
        </is>
      </c>
      <c r="B43" s="36" t="n">
        <v>2018</v>
      </c>
      <c r="C43" s="23" t="inlineStr">
        <is>
          <t>Online</t>
        </is>
      </c>
      <c r="D43" s="36" t="n">
        <v>11253404</v>
      </c>
      <c r="E43" s="23" t="inlineStr">
        <is>
          <t>EAVS-2018</t>
        </is>
      </c>
    </row>
    <row r="44" ht="15" customHeight="1" s="24">
      <c r="A44" s="23" t="inlineStr">
        <is>
          <t>US</t>
        </is>
      </c>
      <c r="B44" s="36" t="n">
        <v>2018</v>
      </c>
      <c r="C44" s="23" t="inlineStr">
        <is>
          <t>Motor vehicle offices</t>
        </is>
      </c>
      <c r="D44" s="36" t="n">
        <v>35330384</v>
      </c>
      <c r="E44" s="23" t="inlineStr">
        <is>
          <t>EAVS-2018</t>
        </is>
      </c>
    </row>
    <row r="45" ht="15" customHeight="1" s="24">
      <c r="A45" s="23" t="inlineStr">
        <is>
          <t>US</t>
        </is>
      </c>
      <c r="B45" s="36" t="n">
        <v>2018</v>
      </c>
      <c r="C45" s="23" t="inlineStr">
        <is>
          <t>Public assistance</t>
        </is>
      </c>
      <c r="D45" s="36" t="n">
        <v>1626156</v>
      </c>
      <c r="E45" s="23" t="inlineStr">
        <is>
          <t>EAVS-2018</t>
        </is>
      </c>
    </row>
    <row r="46" ht="15" customHeight="1" s="24">
      <c r="A46" s="23" t="inlineStr">
        <is>
          <t>US</t>
        </is>
      </c>
      <c r="B46" s="36" t="n">
        <v>2018</v>
      </c>
      <c r="C46" s="23" t="inlineStr">
        <is>
          <t>Disability services</t>
        </is>
      </c>
      <c r="D46" s="36" t="n">
        <v>96107</v>
      </c>
      <c r="E46" s="23" t="inlineStr">
        <is>
          <t>EAVS-2018</t>
        </is>
      </c>
    </row>
    <row r="47" ht="15" customHeight="1" s="24">
      <c r="A47" s="23" t="inlineStr">
        <is>
          <t>US</t>
        </is>
      </c>
      <c r="B47" s="36" t="n">
        <v>2018</v>
      </c>
      <c r="C47" s="23" t="inlineStr">
        <is>
          <t>Armed forces</t>
        </is>
      </c>
      <c r="D47" s="36" t="n">
        <v>65737</v>
      </c>
      <c r="E47" s="23" t="inlineStr">
        <is>
          <t>EAVS-2018</t>
        </is>
      </c>
    </row>
    <row r="48" ht="15" customHeight="1" s="24">
      <c r="A48" s="23" t="inlineStr">
        <is>
          <t>US</t>
        </is>
      </c>
      <c r="B48" s="36" t="n">
        <v>2018</v>
      </c>
      <c r="C48" s="23" t="inlineStr">
        <is>
          <t>Other state agencies</t>
        </is>
      </c>
      <c r="D48" s="36" t="n">
        <v>1657593</v>
      </c>
      <c r="E48" s="23" t="inlineStr">
        <is>
          <t>EAVS-2018</t>
        </is>
      </c>
    </row>
    <row r="49" ht="15" customHeight="1" s="24">
      <c r="A49" s="23" t="inlineStr">
        <is>
          <t>US</t>
        </is>
      </c>
      <c r="B49" s="36" t="n">
        <v>2018</v>
      </c>
      <c r="C49" s="23" t="inlineStr">
        <is>
          <t>Registration drives</t>
        </is>
      </c>
      <c r="D49" s="36" t="n">
        <v>2215034</v>
      </c>
      <c r="E49" s="23" t="inlineStr">
        <is>
          <t>EAVS-2018</t>
        </is>
      </c>
    </row>
    <row r="50" ht="15" customHeight="1" s="24">
      <c r="A50" s="23" t="inlineStr">
        <is>
          <t>US</t>
        </is>
      </c>
      <c r="B50" s="36" t="n">
        <v>2018</v>
      </c>
      <c r="C50" s="23" t="inlineStr">
        <is>
          <t>Other</t>
        </is>
      </c>
      <c r="D50" s="36" t="n">
        <v>5133476</v>
      </c>
      <c r="E50" s="23" t="inlineStr">
        <is>
          <t>EAVS-2018</t>
        </is>
      </c>
    </row>
    <row r="51" ht="15" customHeight="1" s="24">
      <c r="A51" s="23" t="inlineStr">
        <is>
          <t>US</t>
        </is>
      </c>
      <c r="B51" s="36" t="n">
        <v>2018</v>
      </c>
      <c r="C51" s="23" t="inlineStr">
        <is>
          <t>Not categorized</t>
        </is>
      </c>
      <c r="D51" s="36" t="n">
        <v>6940105</v>
      </c>
      <c r="E51" s="23" t="inlineStr">
        <is>
          <t>EAVS-2018</t>
        </is>
      </c>
    </row>
    <row r="52" ht="15" customHeight="1" s="24">
      <c r="A52" s="23" t="inlineStr">
        <is>
          <t>US</t>
        </is>
      </c>
      <c r="B52" s="36" t="n">
        <v>2016</v>
      </c>
      <c r="C52" s="23" t="inlineStr">
        <is>
          <t>Applications received (total)</t>
        </is>
      </c>
      <c r="D52" s="36" t="n">
        <v>77516596</v>
      </c>
      <c r="E52" s="23" t="inlineStr">
        <is>
          <t>EAVS-2016</t>
        </is>
      </c>
    </row>
    <row r="53" ht="15" customHeight="1" s="24">
      <c r="A53" s="23" t="inlineStr">
        <is>
          <t>US</t>
        </is>
      </c>
      <c r="B53" s="36" t="n">
        <v>2016</v>
      </c>
      <c r="C53" s="23" t="inlineStr">
        <is>
          <t>By mail</t>
        </is>
      </c>
      <c r="D53" s="36" t="n">
        <v>13407280</v>
      </c>
      <c r="E53" s="23" t="inlineStr">
        <is>
          <t>EAVS-2016</t>
        </is>
      </c>
    </row>
    <row r="54" ht="15" customHeight="1" s="24">
      <c r="A54" s="23" t="inlineStr">
        <is>
          <t>US</t>
        </is>
      </c>
      <c r="B54" s="36" t="n">
        <v>2016</v>
      </c>
      <c r="C54" s="23" t="inlineStr">
        <is>
          <t>In person</t>
        </is>
      </c>
      <c r="D54" s="36" t="n">
        <v>9424298</v>
      </c>
      <c r="E54" s="23" t="inlineStr">
        <is>
          <t>EAVS-2016</t>
        </is>
      </c>
    </row>
    <row r="55" ht="15" customHeight="1" s="24">
      <c r="A55" s="23" t="inlineStr">
        <is>
          <t>US</t>
        </is>
      </c>
      <c r="B55" s="36" t="n">
        <v>2016</v>
      </c>
      <c r="C55" s="23" t="inlineStr">
        <is>
          <t>Internet</t>
        </is>
      </c>
      <c r="D55" s="36" t="n">
        <v>13485127</v>
      </c>
      <c r="E55" s="23" t="inlineStr">
        <is>
          <t>EAVS-2016</t>
        </is>
      </c>
    </row>
    <row r="56" ht="15" customHeight="1" s="24">
      <c r="A56" s="23" t="inlineStr">
        <is>
          <t>US</t>
        </is>
      </c>
      <c r="B56" s="36" t="n">
        <v>2016</v>
      </c>
      <c r="C56" s="23" t="inlineStr">
        <is>
          <t>Motor vehicle offices (DMV)</t>
        </is>
      </c>
      <c r="D56" s="36" t="n">
        <v>25373246</v>
      </c>
      <c r="E56" s="23" t="inlineStr">
        <is>
          <t>EAVS-2016</t>
        </is>
      </c>
    </row>
    <row r="57" ht="15" customHeight="1" s="24">
      <c r="A57" s="23" t="inlineStr">
        <is>
          <t>US</t>
        </is>
      </c>
      <c r="B57" s="36" t="n">
        <v>2016</v>
      </c>
      <c r="C57" s="23" t="inlineStr">
        <is>
          <t>Public assistance</t>
        </is>
      </c>
      <c r="D57" s="36" t="n">
        <v>2042557</v>
      </c>
      <c r="E57" s="23" t="inlineStr">
        <is>
          <t>EAVS-2016</t>
        </is>
      </c>
    </row>
    <row r="58" ht="15" customHeight="1" s="24">
      <c r="A58" s="23" t="inlineStr">
        <is>
          <t>US</t>
        </is>
      </c>
      <c r="B58" s="36" t="n">
        <v>2016</v>
      </c>
      <c r="C58" s="23" t="inlineStr">
        <is>
          <t>Disability services</t>
        </is>
      </c>
      <c r="D58" s="36" t="n">
        <v>164733</v>
      </c>
      <c r="E58" s="23" t="inlineStr">
        <is>
          <t>EAVS-2016</t>
        </is>
      </c>
    </row>
    <row r="59" ht="15" customHeight="1" s="24">
      <c r="A59" s="23" t="inlineStr">
        <is>
          <t>US</t>
        </is>
      </c>
      <c r="B59" s="36" t="n">
        <v>2016</v>
      </c>
      <c r="C59" s="23" t="inlineStr">
        <is>
          <t>Armed forces</t>
        </is>
      </c>
      <c r="D59" s="36" t="n">
        <v>100184</v>
      </c>
      <c r="E59" s="23" t="inlineStr">
        <is>
          <t>EAVS-2016</t>
        </is>
      </c>
    </row>
    <row r="60" ht="15" customHeight="1" s="24">
      <c r="A60" s="23" t="inlineStr">
        <is>
          <t>US</t>
        </is>
      </c>
      <c r="B60" s="36" t="n">
        <v>2016</v>
      </c>
      <c r="C60" s="23" t="inlineStr">
        <is>
          <t>Other state agencies</t>
        </is>
      </c>
      <c r="D60" s="36" t="n">
        <v>1644701</v>
      </c>
      <c r="E60" s="23" t="inlineStr">
        <is>
          <t>EAVS-2016</t>
        </is>
      </c>
    </row>
    <row r="61" ht="15" customHeight="1" s="24">
      <c r="A61" s="23" t="inlineStr">
        <is>
          <t>US</t>
        </is>
      </c>
      <c r="B61" s="36" t="n">
        <v>2016</v>
      </c>
      <c r="C61" s="23" t="inlineStr">
        <is>
          <t>Registration drives</t>
        </is>
      </c>
      <c r="D61" s="36" t="n">
        <v>2604814</v>
      </c>
      <c r="E61" s="23" t="inlineStr">
        <is>
          <t>EAVS-2016</t>
        </is>
      </c>
    </row>
    <row r="62" ht="15" customHeight="1" s="24">
      <c r="A62" s="23" t="inlineStr">
        <is>
          <t>US</t>
        </is>
      </c>
      <c r="B62" s="36" t="n">
        <v>2016</v>
      </c>
      <c r="C62" s="23" t="inlineStr">
        <is>
          <t>Other</t>
        </is>
      </c>
      <c r="D62" s="36" t="n">
        <v>5270517</v>
      </c>
      <c r="E62" s="23" t="inlineStr">
        <is>
          <t>EAVS-2016</t>
        </is>
      </c>
    </row>
    <row r="63" ht="15" customHeight="1" s="24">
      <c r="A63" s="23" t="inlineStr">
        <is>
          <t>US</t>
        </is>
      </c>
      <c r="B63" s="36" t="n">
        <v>2016</v>
      </c>
      <c r="C63" s="23" t="inlineStr">
        <is>
          <t>Not categorized</t>
        </is>
      </c>
      <c r="D63" s="36" t="n">
        <v>3999139</v>
      </c>
      <c r="E63" s="23" t="inlineStr">
        <is>
          <t>EAVS-2016</t>
        </is>
      </c>
    </row>
    <row r="64" ht="15" customHeight="1" s="24">
      <c r="A64" s="23" t="inlineStr">
        <is>
          <t>US</t>
        </is>
      </c>
      <c r="B64" s="36" t="n">
        <v>2014</v>
      </c>
      <c r="C64" s="23" t="inlineStr">
        <is>
          <t>Applications (rounded narrative)</t>
        </is>
      </c>
      <c r="D64" s="23" t="inlineStr">
        <is>
          <t>~49.4 million</t>
        </is>
      </c>
      <c r="E64" s="23" t="inlineStr">
        <is>
          <t>EAVS-2014</t>
        </is>
      </c>
    </row>
    <row r="65" ht="15" customHeight="1" s="24">
      <c r="A65" s="23" t="inlineStr">
        <is>
          <t>US</t>
        </is>
      </c>
      <c r="B65" s="36" t="n">
        <v>2014</v>
      </c>
      <c r="C65" s="23" t="inlineStr">
        <is>
          <t>Motor vehicle (rounded)</t>
        </is>
      </c>
      <c r="D65" s="23" t="inlineStr">
        <is>
          <t>~17.5 million</t>
        </is>
      </c>
      <c r="E65" s="23" t="inlineStr">
        <is>
          <t>EAVS-2014</t>
        </is>
      </c>
    </row>
    <row r="66" ht="15" customHeight="1" s="24">
      <c r="A66" s="23" t="inlineStr">
        <is>
          <t>US</t>
        </is>
      </c>
      <c r="B66" s="36" t="n">
        <v>2014</v>
      </c>
      <c r="C66" s="23" t="inlineStr">
        <is>
          <t>Mail (rounded)</t>
        </is>
      </c>
      <c r="D66" s="23" t="inlineStr">
        <is>
          <t>~7.8 million</t>
        </is>
      </c>
      <c r="E66" s="23" t="inlineStr">
        <is>
          <t>EAVS-2014</t>
        </is>
      </c>
    </row>
    <row r="67" ht="15" customHeight="1" s="24">
      <c r="A67" s="23" t="inlineStr">
        <is>
          <t>US</t>
        </is>
      </c>
      <c r="B67" s="36" t="n">
        <v>2014</v>
      </c>
      <c r="C67" s="23" t="inlineStr">
        <is>
          <t>In person (rounded)</t>
        </is>
      </c>
      <c r="D67" s="23" t="inlineStr">
        <is>
          <t>~5.5 million</t>
        </is>
      </c>
      <c r="E67" s="23" t="inlineStr">
        <is>
          <t>EAVS-2014</t>
        </is>
      </c>
    </row>
    <row r="68" ht="15" customHeight="1" s="24">
      <c r="A68" s="23" t="inlineStr">
        <is>
          <t>US</t>
        </is>
      </c>
      <c r="B68" s="36" t="n">
        <v>2012</v>
      </c>
      <c r="C68" s="23" t="inlineStr">
        <is>
          <t>Forms (rounded narrative)</t>
        </is>
      </c>
      <c r="D68" s="23" t="inlineStr">
        <is>
          <t>&gt;62.5 million</t>
        </is>
      </c>
      <c r="E68" s="23" t="inlineStr">
        <is>
          <t>NVRA-2012</t>
        </is>
      </c>
    </row>
    <row r="69" ht="15" customHeight="1" s="24">
      <c r="A69" s="23" t="inlineStr">
        <is>
          <t>US</t>
        </is>
      </c>
      <c r="B69" s="36" t="n">
        <v>2012</v>
      </c>
      <c r="C69" s="23" t="inlineStr">
        <is>
          <t>Motor vehicle (rounded)</t>
        </is>
      </c>
      <c r="D69" s="23" t="inlineStr">
        <is>
          <t>~20.3 million</t>
        </is>
      </c>
      <c r="E69" s="23" t="inlineStr">
        <is>
          <t>NVRA-2012</t>
        </is>
      </c>
    </row>
    <row r="70" ht="15" customHeight="1" s="24">
      <c r="A70" s="23" t="inlineStr">
        <is>
          <t>US</t>
        </is>
      </c>
      <c r="B70" s="36" t="n">
        <v>2012</v>
      </c>
      <c r="C70" s="23" t="inlineStr">
        <is>
          <t>Mail (rounded)</t>
        </is>
      </c>
      <c r="D70" s="23" t="inlineStr">
        <is>
          <t>~14.6 million</t>
        </is>
      </c>
      <c r="E70" s="23" t="inlineStr">
        <is>
          <t>NVRA-2012</t>
        </is>
      </c>
    </row>
    <row r="71" ht="15" customHeight="1" s="24">
      <c r="A71" s="23" t="inlineStr">
        <is>
          <t>US</t>
        </is>
      </c>
      <c r="B71" s="36" t="n">
        <v>2012</v>
      </c>
      <c r="C71" s="23" t="inlineStr">
        <is>
          <t>In person (rounded)</t>
        </is>
      </c>
      <c r="D71" s="23" t="inlineStr">
        <is>
          <t>~10.3 million</t>
        </is>
      </c>
      <c r="E71" s="23" t="inlineStr">
        <is>
          <t>NVRA-2012</t>
        </is>
      </c>
    </row>
    <row r="72" ht="15" customHeight="1" s="24">
      <c r="A72" s="23" t="inlineStr">
        <is>
          <t>US</t>
        </is>
      </c>
      <c r="B72" s="36" t="n">
        <v>2012</v>
      </c>
      <c r="C72" s="23" t="inlineStr">
        <is>
          <t>Internet</t>
        </is>
      </c>
      <c r="D72" s="36" t="n">
        <v>3329216</v>
      </c>
      <c r="E72" s="23" t="inlineStr">
        <is>
          <t>NVRA-2012</t>
        </is>
      </c>
    </row>
    <row r="73" ht="15" customHeight="1" s="24">
      <c r="A73" s="23" t="inlineStr">
        <is>
          <t>US</t>
        </is>
      </c>
      <c r="B73" s="36" t="n">
        <v>2010</v>
      </c>
      <c r="C73" s="23" t="inlineStr">
        <is>
          <t>Forms (rounded)</t>
        </is>
      </c>
      <c r="D73" s="23" t="inlineStr">
        <is>
          <t>~45.5 million</t>
        </is>
      </c>
      <c r="E73" s="23" t="inlineStr">
        <is>
          <t>NVRA-2010</t>
        </is>
      </c>
    </row>
    <row r="74" ht="15" customHeight="1" s="24">
      <c r="A74" s="23" t="inlineStr">
        <is>
          <t>US</t>
        </is>
      </c>
      <c r="B74" s="36" t="n">
        <v>2010</v>
      </c>
      <c r="C74" s="23" t="inlineStr">
        <is>
          <t>Motor vehicle (rounded)</t>
        </is>
      </c>
      <c r="D74" s="23" t="inlineStr">
        <is>
          <t>~16.9 million</t>
        </is>
      </c>
      <c r="E74" s="23" t="inlineStr">
        <is>
          <t>NVRA-2010</t>
        </is>
      </c>
    </row>
    <row r="75" ht="15" customHeight="1" s="24">
      <c r="A75" s="23" t="inlineStr">
        <is>
          <t>US</t>
        </is>
      </c>
      <c r="B75" s="36" t="n">
        <v>2010</v>
      </c>
      <c r="C75" s="23" t="inlineStr">
        <is>
          <t>Mail (rounded)</t>
        </is>
      </c>
      <c r="D75" s="23" t="inlineStr">
        <is>
          <t>9.5 million</t>
        </is>
      </c>
      <c r="E75" s="23" t="inlineStr">
        <is>
          <t>NVRA-2010</t>
        </is>
      </c>
    </row>
    <row r="76" ht="15" customHeight="1" s="24">
      <c r="A76" s="23" t="inlineStr">
        <is>
          <t>US</t>
        </is>
      </c>
      <c r="B76" s="36" t="n">
        <v>2010</v>
      </c>
      <c r="C76" s="23" t="inlineStr">
        <is>
          <t>In person (rounded)</t>
        </is>
      </c>
      <c r="D76" s="23" t="inlineStr">
        <is>
          <t>6.6 million</t>
        </is>
      </c>
      <c r="E76" s="23" t="inlineStr">
        <is>
          <t>NVRA-2010</t>
        </is>
      </c>
    </row>
    <row r="77" ht="15" customHeight="1" s="24">
      <c r="A77" s="23" t="inlineStr">
        <is>
          <t>US</t>
        </is>
      </c>
      <c r="B77" s="36" t="n">
        <v>2010</v>
      </c>
      <c r="C77" s="23" t="inlineStr">
        <is>
          <t>Internet</t>
        </is>
      </c>
      <c r="D77" s="36" t="n">
        <v>768211</v>
      </c>
      <c r="E77" s="23" t="inlineStr">
        <is>
          <t>NVRA-2010</t>
        </is>
      </c>
    </row>
    <row r="78" ht="15" customHeight="1" s="24">
      <c r="A78" s="23" t="inlineStr">
        <is>
          <t>US</t>
        </is>
      </c>
      <c r="B78" s="36" t="n">
        <v>2008</v>
      </c>
      <c r="C78" s="23" t="inlineStr">
        <is>
          <t>Forms (rounded)</t>
        </is>
      </c>
      <c r="D78" s="23" t="inlineStr">
        <is>
          <t>&gt;60.3 million</t>
        </is>
      </c>
      <c r="E78" s="23" t="inlineStr">
        <is>
          <t>NVRA-2008</t>
        </is>
      </c>
    </row>
    <row r="79" ht="15" customHeight="1" s="24">
      <c r="A79" s="23" t="inlineStr">
        <is>
          <t>US</t>
        </is>
      </c>
      <c r="B79" s="36" t="n">
        <v>2008</v>
      </c>
      <c r="C79" s="23" t="inlineStr">
        <is>
          <t>Motor vehicle (rounded)</t>
        </is>
      </c>
      <c r="D79" s="23" t="inlineStr">
        <is>
          <t>&gt;18.1 million</t>
        </is>
      </c>
      <c r="E79" s="23" t="inlineStr">
        <is>
          <t>NVRA-2008</t>
        </is>
      </c>
    </row>
    <row r="80" ht="15" customHeight="1" s="24">
      <c r="A80" s="23" t="inlineStr">
        <is>
          <t>US</t>
        </is>
      </c>
      <c r="B80" s="36" t="n">
        <v>2008</v>
      </c>
      <c r="C80" s="23" t="inlineStr">
        <is>
          <t>Mail (rounded)</t>
        </is>
      </c>
      <c r="D80" s="23" t="inlineStr">
        <is>
          <t>17.4 million</t>
        </is>
      </c>
      <c r="E80" s="23" t="inlineStr">
        <is>
          <t>NVRA-2008</t>
        </is>
      </c>
    </row>
    <row r="81" ht="15" customHeight="1" s="24">
      <c r="A81" s="23" t="inlineStr">
        <is>
          <t>US</t>
        </is>
      </c>
      <c r="B81" s="36" t="n">
        <v>2008</v>
      </c>
      <c r="C81" s="23" t="inlineStr">
        <is>
          <t>In person (rounded)</t>
        </is>
      </c>
      <c r="D81" s="23" t="inlineStr">
        <is>
          <t>9 million</t>
        </is>
      </c>
      <c r="E81" s="23" t="inlineStr">
        <is>
          <t>NVRA-2008</t>
        </is>
      </c>
    </row>
    <row r="82" ht="15" customHeight="1" s="24">
      <c r="A82" s="23" t="inlineStr">
        <is>
          <t>US</t>
        </is>
      </c>
      <c r="B82" s="36" t="n">
        <v>2008</v>
      </c>
      <c r="C82" s="23" t="inlineStr">
        <is>
          <t>Internet (rounded)</t>
        </is>
      </c>
      <c r="D82" s="23" t="inlineStr">
        <is>
          <t>~700,000</t>
        </is>
      </c>
      <c r="E82" s="23" t="inlineStr">
        <is>
          <t>NVRA-2008</t>
        </is>
      </c>
    </row>
    <row r="83" ht="15" customHeight="1" s="24">
      <c r="A83" s="23" t="inlineStr">
        <is>
          <t>US</t>
        </is>
      </c>
      <c r="B83" s="36" t="n">
        <v>2006</v>
      </c>
      <c r="C83" s="23" t="inlineStr">
        <is>
          <t>Applications (rounded)</t>
        </is>
      </c>
      <c r="D83" s="23" t="inlineStr">
        <is>
          <t>36.3 million</t>
        </is>
      </c>
      <c r="E83" s="23" t="inlineStr">
        <is>
          <t>NVRA-2006</t>
        </is>
      </c>
    </row>
    <row r="84" ht="15" customHeight="1" s="24">
      <c r="A84" s="23" t="inlineStr">
        <is>
          <t>US</t>
        </is>
      </c>
      <c r="B84" s="36" t="n">
        <v>2006</v>
      </c>
      <c r="C84" s="23" t="inlineStr">
        <is>
          <t>Mail (rounded)</t>
        </is>
      </c>
      <c r="D84" s="23" t="inlineStr">
        <is>
          <t>8.2 million</t>
        </is>
      </c>
      <c r="E84" s="23" t="inlineStr">
        <is>
          <t>NVRA-2006</t>
        </is>
      </c>
    </row>
    <row r="85" ht="15" customHeight="1" s="24">
      <c r="A85" s="23" t="inlineStr">
        <is>
          <t>US</t>
        </is>
      </c>
      <c r="B85" s="36" t="n">
        <v>2006</v>
      </c>
      <c r="C85" s="23" t="inlineStr">
        <is>
          <t>In person (rounded)</t>
        </is>
      </c>
      <c r="D85" s="23" t="inlineStr">
        <is>
          <t>7.1 million</t>
        </is>
      </c>
      <c r="E85" s="23" t="inlineStr">
        <is>
          <t>NVRA-2006</t>
        </is>
      </c>
    </row>
    <row r="86" ht="15" customHeight="1" s="24">
      <c r="A86" s="23" t="inlineStr">
        <is>
          <t>US</t>
        </is>
      </c>
      <c r="B86" s="36" t="n">
        <v>2006</v>
      </c>
      <c r="C86" s="23" t="inlineStr">
        <is>
          <t>Motor vehicle (rounded)</t>
        </is>
      </c>
      <c r="D86" s="23" t="inlineStr">
        <is>
          <t>~16.6 million</t>
        </is>
      </c>
      <c r="E86" s="23" t="inlineStr">
        <is>
          <t>NVRA-2006</t>
        </is>
      </c>
    </row>
    <row r="87" ht="15" customHeight="1" s="24"/>
    <row r="88" ht="15" customHeight="1" s="24">
      <c r="A88" s="39" t="inlineStr">
        <is>
          <t>CPS: native-born vs naturalized citizens (thousands; self-reported)</t>
        </is>
      </c>
    </row>
    <row r="89" ht="15" customHeight="1" s="24">
      <c r="A89" s="23" t="inlineStr">
        <is>
          <t>Year</t>
        </is>
      </c>
      <c r="B89" s="23" t="inlineStr">
        <is>
          <t>Native-born citizens 18+</t>
        </is>
      </c>
      <c r="C89" s="23" t="inlineStr">
        <is>
          <t>Native-born registered</t>
        </is>
      </c>
      <c r="D89" s="23" t="inlineStr">
        <is>
          <t>Naturalized citizens 18+</t>
        </is>
      </c>
      <c r="E89" s="23" t="inlineStr">
        <is>
          <t>Naturalized registered</t>
        </is>
      </c>
    </row>
    <row r="90" ht="15" customHeight="1" s="24">
      <c r="A90" s="23" t="n">
        <v>2006</v>
      </c>
      <c r="B90" s="36" t="n">
        <v>187132</v>
      </c>
      <c r="C90" s="36" t="n">
        <v>128282</v>
      </c>
      <c r="D90" s="36" t="n">
        <v>13941</v>
      </c>
      <c r="E90" s="36" t="n">
        <v>7565</v>
      </c>
    </row>
    <row r="91" ht="15" customHeight="1" s="24">
      <c r="A91" s="23" t="n">
        <v>2008</v>
      </c>
      <c r="B91" s="36" t="n">
        <v>190683</v>
      </c>
      <c r="C91" s="36" t="n">
        <v>137001</v>
      </c>
      <c r="D91" s="36" t="n">
        <v>15390</v>
      </c>
      <c r="E91" s="36" t="n">
        <v>9310</v>
      </c>
    </row>
    <row r="92" ht="15" customHeight="1" s="24">
      <c r="A92" s="23" t="n">
        <v>2010</v>
      </c>
      <c r="B92" s="36" t="n">
        <v>193897</v>
      </c>
      <c r="C92" s="36" t="n">
        <v>128098</v>
      </c>
      <c r="D92" s="36" t="n">
        <v>16903</v>
      </c>
      <c r="E92" s="36" t="n">
        <v>9165</v>
      </c>
    </row>
    <row r="93" ht="15" customHeight="1" s="24">
      <c r="A93" s="23" t="n">
        <v>2012</v>
      </c>
      <c r="B93" s="36" t="n">
        <v>197756</v>
      </c>
      <c r="C93" s="36" t="n">
        <v>142404</v>
      </c>
      <c r="D93" s="36" t="n">
        <v>17325</v>
      </c>
      <c r="E93" s="36" t="n">
        <v>10753</v>
      </c>
    </row>
    <row r="94" ht="15" customHeight="1" s="24">
      <c r="A94" s="23" t="n">
        <v>2014</v>
      </c>
      <c r="B94" s="36" t="n">
        <v>200605</v>
      </c>
      <c r="C94" s="36" t="n">
        <v>131359</v>
      </c>
      <c r="D94" s="36" t="n">
        <v>19336</v>
      </c>
      <c r="E94" s="36" t="n">
        <v>10807</v>
      </c>
    </row>
    <row r="95" ht="15" customHeight="1" s="24">
      <c r="A95" s="23" t="n">
        <v>2016</v>
      </c>
      <c r="B95" s="36" t="n">
        <v>204212</v>
      </c>
      <c r="C95" s="36" t="n">
        <v>145351</v>
      </c>
      <c r="D95" s="36" t="n">
        <v>19847</v>
      </c>
      <c r="E95" s="36" t="n">
        <v>12245</v>
      </c>
    </row>
    <row r="96" ht="15" customHeight="1" s="24">
      <c r="A96" s="23" t="n">
        <v>2018</v>
      </c>
      <c r="B96" s="36" t="n">
        <v>207022</v>
      </c>
      <c r="C96" s="36" t="n">
        <v>140377</v>
      </c>
      <c r="D96" s="36" t="n">
        <v>21810</v>
      </c>
      <c r="E96" s="36" t="n">
        <v>12689</v>
      </c>
    </row>
    <row r="97" ht="15" customHeight="1" s="24">
      <c r="A97" s="23" t="n">
        <v>2020</v>
      </c>
      <c r="B97" s="36" t="n">
        <v>210083</v>
      </c>
      <c r="C97" s="36" t="n">
        <v>154035</v>
      </c>
      <c r="D97" s="36" t="n">
        <v>21509</v>
      </c>
      <c r="E97" s="36" t="n">
        <v>14273</v>
      </c>
    </row>
    <row r="98" ht="15" customHeight="1" s="24">
      <c r="A98" s="23" t="n">
        <v>2022</v>
      </c>
      <c r="B98" s="36" t="n">
        <v>209835</v>
      </c>
      <c r="C98" s="36" t="n">
        <v>146950</v>
      </c>
      <c r="D98" s="36" t="n">
        <v>23711</v>
      </c>
      <c r="E98" s="36" t="n">
        <v>14473</v>
      </c>
    </row>
    <row r="99" ht="15" customHeight="1" s="24">
      <c r="A99" s="23" t="n">
        <v>2024</v>
      </c>
      <c r="B99" s="36" t="n">
        <v>212399</v>
      </c>
      <c r="C99" s="36" t="n">
        <v>157935</v>
      </c>
      <c r="D99" s="36" t="n">
        <v>23739</v>
      </c>
      <c r="E99" s="36" t="n">
        <v>15919</v>
      </c>
    </row>
    <row r="100" ht="15" customHeight="1" s="24">
      <c r="A100" s="23" t="inlineStr">
        <is>
          <t>Note</t>
        </is>
      </c>
      <c r="B100" s="39" t="inlineStr">
        <is>
          <t>CPS Table 11 (Table 13 in 2006/2008). No administrative count of registrants by citizenship type exists.</t>
        </is>
      </c>
    </row>
    <row r="101" ht="15" customHeight="1" s="24"/>
    <row r="102" ht="15" customHeight="1" s="24"/>
    <row r="103" ht="15" customHeight="1" s="24"/>
    <row r="104" ht="15" customHeight="1" s="24"/>
    <row r="105" ht="15" customHeight="1" s="24"/>
    <row r="106" ht="15" customHeight="1" s="24"/>
    <row r="107" ht="15" customHeight="1" s="24"/>
    <row r="108" ht="15" customHeight="1" s="24"/>
    <row r="109" ht="15" customHeight="1" s="24"/>
    <row r="110" ht="15" customHeight="1" s="24"/>
    <row r="111" ht="15" customHeight="1" s="24"/>
    <row r="112" ht="15" customHeight="1" s="24"/>
    <row r="113" ht="15" customHeight="1" s="24"/>
    <row r="114" ht="15" customHeight="1" s="24"/>
    <row r="115" ht="15" customHeight="1" s="24"/>
    <row r="116" ht="15" customHeight="1" s="24"/>
    <row r="117" ht="15" customHeight="1" s="24"/>
    <row r="118" ht="15" customHeight="1" s="24"/>
    <row r="119" ht="15" customHeight="1" s="24"/>
    <row r="120" ht="15" customHeight="1" s="24"/>
    <row r="121" ht="15" customHeight="1" s="24"/>
    <row r="122" ht="15" customHeight="1" s="24"/>
    <row r="123" ht="15" customHeight="1" s="24"/>
    <row r="124" ht="15" customHeight="1" s="24"/>
    <row r="125" ht="15" customHeight="1" s="24"/>
    <row r="126" ht="15" customHeight="1" s="24"/>
    <row r="127" ht="15" customHeight="1" s="24"/>
    <row r="128" ht="15" customHeight="1" s="24"/>
    <row r="129" ht="15" customHeight="1" s="24"/>
    <row r="130" ht="15" customHeight="1" s="24"/>
    <row r="131" ht="15" customHeight="1" s="24"/>
    <row r="132" ht="15" customHeight="1" s="24"/>
    <row r="133" ht="15" customHeight="1" s="24"/>
    <row r="134" ht="15" customHeight="1" s="24"/>
    <row r="135" ht="15" customHeight="1" s="24"/>
    <row r="136" ht="15" customHeight="1" s="24"/>
    <row r="137" ht="15" customHeight="1" s="24"/>
    <row r="138" ht="15" customHeight="1" s="24"/>
    <row r="139" ht="15" customHeight="1" s="24"/>
    <row r="140" ht="15" customHeight="1" s="24"/>
    <row r="141" ht="15" customHeight="1" s="24"/>
    <row r="142" ht="15" customHeight="1" s="24"/>
    <row r="143" ht="15" customHeight="1" s="24"/>
    <row r="144" ht="15" customHeight="1" s="24"/>
    <row r="145" ht="15" customHeight="1" s="24"/>
    <row r="147" ht="15" customHeight="1" s="24"/>
    <row r="148" ht="15" customHeight="1" s="24"/>
    <row r="149" ht="15" customHeight="1" s="24"/>
    <row r="150" ht="15" customHeight="1" s="24"/>
    <row r="151" ht="15" customHeight="1" s="24"/>
    <row r="152" ht="15" customHeight="1" s="24"/>
    <row r="153" ht="15" customHeight="1" s="24"/>
    <row r="154" ht="15" customHeight="1" s="24"/>
    <row r="155" ht="15" customHeight="1" s="24"/>
    <row r="156" ht="15" customHeight="1" s="24"/>
    <row r="157" ht="15" customHeight="1" s="24"/>
    <row r="158" ht="15" customHeight="1" s="24"/>
    <row r="159"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50" customWidth="1" style="23" min="2" max="2"/>
    <col width="16" customWidth="1" style="23" min="3" max="3"/>
    <col width="24" customWidth="1" style="23" min="4" max="4"/>
    <col width="16" customWidth="1" style="23" min="5" max="8"/>
    <col width="70" customWidth="1" style="23" min="9" max="9"/>
  </cols>
  <sheetData>
    <row r="1" ht="60" customHeight="1" s="24">
      <c r="A1" s="35" t="inlineStr">
        <is>
          <t>Program</t>
        </is>
      </c>
      <c r="B1" s="35" t="inlineStr">
        <is>
          <t>Population (eligible vs ineligible kept separate)</t>
        </is>
      </c>
      <c r="C1" s="35" t="inlineStr">
        <is>
          <t>Period</t>
        </is>
      </c>
      <c r="D1" s="35" t="inlineStr">
        <is>
          <t>Number / amount (as published)</t>
        </is>
      </c>
      <c r="E1" s="35" t="inlineStr">
        <is>
          <t>% of all recipients</t>
        </is>
      </c>
      <c r="F1" s="35" t="inlineStr">
        <is>
          <t>Aged (SSI)</t>
        </is>
      </c>
      <c r="G1" s="35" t="inlineStr">
        <is>
          <t>Blind &amp; disabled (SSI)</t>
        </is>
      </c>
      <c r="H1" s="35" t="inlineStr">
        <is>
          <t>Source ID</t>
        </is>
      </c>
      <c r="I1" s="35" t="inlineStr">
        <is>
          <t>Notes</t>
        </is>
      </c>
    </row>
    <row r="2" ht="15" customHeight="1" s="24">
      <c r="A2" s="23" t="inlineStr">
        <is>
          <t>SSI</t>
        </is>
      </c>
      <c r="B2" s="39" t="inlineStr">
        <is>
          <t>Lawfully present/qualified noncitizens meeting PRWORA exceptions (eligible)</t>
        </is>
      </c>
      <c r="C2" s="23" t="inlineStr">
        <is>
          <t>Dec 2005</t>
        </is>
      </c>
      <c r="D2" s="36" t="n">
        <v>680397</v>
      </c>
      <c r="E2" s="42" t="n">
        <v>9.6</v>
      </c>
      <c r="F2" s="36" t="n">
        <v>344166</v>
      </c>
      <c r="G2" s="36" t="n">
        <v>336231</v>
      </c>
      <c r="H2" s="23" t="inlineStr">
        <is>
          <t>SSA-SSI-NC</t>
        </is>
      </c>
      <c r="I2" s="39" t="inlineStr">
        <is>
          <t>Table 29. Noncitizen recipients total / % of all SSI / aged / blind &amp; disabled.</t>
        </is>
      </c>
    </row>
    <row r="3" ht="15" customHeight="1" s="24">
      <c r="A3" s="23" t="inlineStr">
        <is>
          <t>SSI</t>
        </is>
      </c>
      <c r="B3" s="39" t="inlineStr">
        <is>
          <t>Lawfully present/qualified noncitizens meeting PRWORA exceptions (eligible)</t>
        </is>
      </c>
      <c r="C3" s="23" t="inlineStr">
        <is>
          <t>Dec 2006</t>
        </is>
      </c>
      <c r="D3" s="36" t="n">
        <v>674250</v>
      </c>
      <c r="E3" s="42" t="n">
        <v>9.300000000000001</v>
      </c>
      <c r="F3" s="36" t="n">
        <v>339073</v>
      </c>
      <c r="G3" s="36" t="n">
        <v>335177</v>
      </c>
      <c r="H3" s="23" t="inlineStr">
        <is>
          <t>SSA-SSI-NC</t>
        </is>
      </c>
      <c r="I3" s="39" t="inlineStr">
        <is>
          <t>Table 29. Noncitizen recipients total / % of all SSI / aged / blind &amp; disabled.</t>
        </is>
      </c>
    </row>
    <row r="4" ht="15" customHeight="1" s="24">
      <c r="A4" s="23" t="inlineStr">
        <is>
          <t>SSI</t>
        </is>
      </c>
      <c r="B4" s="39" t="inlineStr">
        <is>
          <t>Lawfully present/qualified noncitizens meeting PRWORA exceptions (eligible)</t>
        </is>
      </c>
      <c r="C4" s="23" t="inlineStr">
        <is>
          <t>Dec 2007</t>
        </is>
      </c>
      <c r="D4" s="36" t="n">
        <v>663210</v>
      </c>
      <c r="E4" s="42" t="n">
        <v>9</v>
      </c>
      <c r="F4" s="36" t="n">
        <v>330665</v>
      </c>
      <c r="G4" s="36" t="n">
        <v>332545</v>
      </c>
      <c r="H4" s="23" t="inlineStr">
        <is>
          <t>SSA-SSI-NC</t>
        </is>
      </c>
      <c r="I4" s="39" t="inlineStr">
        <is>
          <t>Table 29. Noncitizen recipients total / % of all SSI / aged / blind &amp; disabled.</t>
        </is>
      </c>
    </row>
    <row r="5" ht="15" customHeight="1" s="24">
      <c r="A5" s="23" t="inlineStr">
        <is>
          <t>SSI</t>
        </is>
      </c>
      <c r="B5" s="39" t="inlineStr">
        <is>
          <t>Lawfully present/qualified noncitizens meeting PRWORA exceptions (eligible)</t>
        </is>
      </c>
      <c r="C5" s="23" t="inlineStr">
        <is>
          <t>Dec 2008</t>
        </is>
      </c>
      <c r="D5" s="36" t="n">
        <v>655988</v>
      </c>
      <c r="E5" s="42" t="n">
        <v>8.699999999999999</v>
      </c>
      <c r="F5" s="36" t="n">
        <v>324271</v>
      </c>
      <c r="G5" s="36" t="n">
        <v>331717</v>
      </c>
      <c r="H5" s="23" t="inlineStr">
        <is>
          <t>SSA-SSI-NC</t>
        </is>
      </c>
      <c r="I5" s="39" t="inlineStr">
        <is>
          <t>Table 29. Noncitizen recipients total / % of all SSI / aged / blind &amp; disabled.</t>
        </is>
      </c>
    </row>
    <row r="6" ht="15" customHeight="1" s="24">
      <c r="A6" s="23" t="inlineStr">
        <is>
          <t>SSI</t>
        </is>
      </c>
      <c r="B6" s="39" t="inlineStr">
        <is>
          <t>Lawfully present/qualified noncitizens meeting PRWORA exceptions (eligible)</t>
        </is>
      </c>
      <c r="C6" s="23" t="inlineStr">
        <is>
          <t>Dec 2009</t>
        </is>
      </c>
      <c r="D6" s="36" t="n">
        <v>644966</v>
      </c>
      <c r="E6" s="42" t="n">
        <v>8.4</v>
      </c>
      <c r="F6" s="36" t="n">
        <v>316216</v>
      </c>
      <c r="G6" s="36" t="n">
        <v>328750</v>
      </c>
      <c r="H6" s="23" t="inlineStr">
        <is>
          <t>SSA-SSI-NC</t>
        </is>
      </c>
      <c r="I6" s="39" t="inlineStr">
        <is>
          <t>Table 29. Noncitizen recipients total / % of all SSI / aged / blind &amp; disabled.</t>
        </is>
      </c>
    </row>
    <row r="7" ht="15" customHeight="1" s="24">
      <c r="A7" s="23" t="inlineStr">
        <is>
          <t>SSI</t>
        </is>
      </c>
      <c r="B7" s="39" t="inlineStr">
        <is>
          <t>Lawfully present/qualified noncitizens meeting PRWORA exceptions (eligible)</t>
        </is>
      </c>
      <c r="C7" s="23" t="inlineStr">
        <is>
          <t>Dec 2010</t>
        </is>
      </c>
      <c r="D7" s="36" t="n">
        <v>627271</v>
      </c>
      <c r="E7" s="42" t="n">
        <v>7.9</v>
      </c>
      <c r="F7" s="36" t="n">
        <v>303457</v>
      </c>
      <c r="G7" s="36" t="n">
        <v>323814</v>
      </c>
      <c r="H7" s="23" t="inlineStr">
        <is>
          <t>SSA-SSI-NC</t>
        </is>
      </c>
      <c r="I7" s="39" t="inlineStr">
        <is>
          <t>Table 29. Noncitizen recipients total / % of all SSI / aged / blind &amp; disabled.</t>
        </is>
      </c>
    </row>
    <row r="8" ht="15" customHeight="1" s="24">
      <c r="A8" s="23" t="inlineStr">
        <is>
          <t>SSI</t>
        </is>
      </c>
      <c r="B8" s="39" t="inlineStr">
        <is>
          <t>Lawfully present/qualified noncitizens meeting PRWORA exceptions (eligible)</t>
        </is>
      </c>
      <c r="C8" s="23" t="inlineStr">
        <is>
          <t>Dec 2011</t>
        </is>
      </c>
      <c r="D8" s="36" t="n">
        <v>604908</v>
      </c>
      <c r="E8" s="42" t="n">
        <v>7.5</v>
      </c>
      <c r="F8" s="36" t="n">
        <v>290275</v>
      </c>
      <c r="G8" s="36" t="n">
        <v>314633</v>
      </c>
      <c r="H8" s="23" t="inlineStr">
        <is>
          <t>SSA-SSI-NC</t>
        </is>
      </c>
      <c r="I8" s="39" t="inlineStr">
        <is>
          <t>Table 29. Noncitizen recipients total / % of all SSI / aged / blind &amp; disabled.</t>
        </is>
      </c>
    </row>
    <row r="9" ht="15" customHeight="1" s="24">
      <c r="A9" s="23" t="inlineStr">
        <is>
          <t>SSI</t>
        </is>
      </c>
      <c r="B9" s="39" t="inlineStr">
        <is>
          <t>Lawfully present/qualified noncitizens meeting PRWORA exceptions (eligible)</t>
        </is>
      </c>
      <c r="C9" s="23" t="inlineStr">
        <is>
          <t>Dec 2012</t>
        </is>
      </c>
      <c r="D9" s="36" t="n">
        <v>582345</v>
      </c>
      <c r="E9" s="42" t="n">
        <v>7</v>
      </c>
      <c r="F9" s="36" t="n">
        <v>273500</v>
      </c>
      <c r="G9" s="36" t="n">
        <v>308845</v>
      </c>
      <c r="H9" s="23" t="inlineStr">
        <is>
          <t>SSA-SSI-NC</t>
        </is>
      </c>
      <c r="I9" s="39" t="inlineStr">
        <is>
          <t>Table 29. Noncitizen recipients total / % of all SSI / aged / blind &amp; disabled.</t>
        </is>
      </c>
    </row>
    <row r="10" ht="15" customHeight="1" s="24">
      <c r="A10" s="23" t="inlineStr">
        <is>
          <t>SSI</t>
        </is>
      </c>
      <c r="B10" s="39" t="inlineStr">
        <is>
          <t>Lawfully present/qualified noncitizens meeting PRWORA exceptions (eligible)</t>
        </is>
      </c>
      <c r="C10" s="23" t="inlineStr">
        <is>
          <t>Dec 2013</t>
        </is>
      </c>
      <c r="D10" s="36" t="n">
        <v>562423</v>
      </c>
      <c r="E10" s="42" t="n">
        <v>6.7</v>
      </c>
      <c r="F10" s="36" t="n">
        <v>261280</v>
      </c>
      <c r="G10" s="36" t="n">
        <v>301143</v>
      </c>
      <c r="H10" s="23" t="inlineStr">
        <is>
          <t>SSA-SSI-NC</t>
        </is>
      </c>
      <c r="I10" s="39" t="inlineStr">
        <is>
          <t>Table 29. Noncitizen recipients total / % of all SSI / aged / blind &amp; disabled.</t>
        </is>
      </c>
    </row>
    <row r="11" ht="15" customHeight="1" s="24">
      <c r="A11" s="23" t="inlineStr">
        <is>
          <t>SSI</t>
        </is>
      </c>
      <c r="B11" s="39" t="inlineStr">
        <is>
          <t>Lawfully present/qualified noncitizens meeting PRWORA exceptions (eligible)</t>
        </is>
      </c>
      <c r="C11" s="23" t="inlineStr">
        <is>
          <t>Dec 2014</t>
        </is>
      </c>
      <c r="D11" s="36" t="n">
        <v>540121</v>
      </c>
      <c r="E11" s="42" t="n">
        <v>6.5</v>
      </c>
      <c r="F11" s="36" t="n">
        <v>253104</v>
      </c>
      <c r="G11" s="36" t="n">
        <v>287017</v>
      </c>
      <c r="H11" s="23" t="inlineStr">
        <is>
          <t>SSA-SSI-NC</t>
        </is>
      </c>
      <c r="I11" s="39" t="inlineStr">
        <is>
          <t>Table 29. Noncitizen recipients total / % of all SSI / aged / blind &amp; disabled.</t>
        </is>
      </c>
    </row>
    <row r="12" ht="15" customHeight="1" s="24">
      <c r="A12" s="23" t="inlineStr">
        <is>
          <t>SSI</t>
        </is>
      </c>
      <c r="B12" s="39" t="inlineStr">
        <is>
          <t>Lawfully present/qualified noncitizens meeting PRWORA exceptions (eligible)</t>
        </is>
      </c>
      <c r="C12" s="23" t="inlineStr">
        <is>
          <t>Dec 2015</t>
        </is>
      </c>
      <c r="D12" s="36" t="n">
        <v>525595</v>
      </c>
      <c r="E12" s="42" t="n">
        <v>6.3</v>
      </c>
      <c r="F12" s="36" t="n">
        <v>248119</v>
      </c>
      <c r="G12" s="36" t="n">
        <v>277476</v>
      </c>
      <c r="H12" s="23" t="inlineStr">
        <is>
          <t>SSA-SSI-NC</t>
        </is>
      </c>
      <c r="I12" s="39" t="inlineStr">
        <is>
          <t>Table 29. Noncitizen recipients total / % of all SSI / aged / blind &amp; disabled.</t>
        </is>
      </c>
    </row>
    <row r="13" ht="15" customHeight="1" s="24">
      <c r="A13" s="23" t="inlineStr">
        <is>
          <t>SSI</t>
        </is>
      </c>
      <c r="B13" s="39" t="inlineStr">
        <is>
          <t>Lawfully present/qualified noncitizens meeting PRWORA exceptions (eligible)</t>
        </is>
      </c>
      <c r="C13" s="23" t="inlineStr">
        <is>
          <t>Dec 2016</t>
        </is>
      </c>
      <c r="D13" s="36" t="n">
        <v>507229</v>
      </c>
      <c r="E13" s="42" t="n">
        <v>6.1</v>
      </c>
      <c r="F13" s="36" t="n">
        <v>241383</v>
      </c>
      <c r="G13" s="36" t="n">
        <v>265846</v>
      </c>
      <c r="H13" s="23" t="inlineStr">
        <is>
          <t>SSA-SSI-NC</t>
        </is>
      </c>
      <c r="I13" s="39" t="inlineStr">
        <is>
          <t>Table 29. Noncitizen recipients total / % of all SSI / aged / blind &amp; disabled.</t>
        </is>
      </c>
    </row>
    <row r="14" ht="15" customHeight="1" s="24">
      <c r="A14" s="23" t="inlineStr">
        <is>
          <t>SSI</t>
        </is>
      </c>
      <c r="B14" s="39" t="inlineStr">
        <is>
          <t>Lawfully present/qualified noncitizens meeting PRWORA exceptions (eligible)</t>
        </is>
      </c>
      <c r="C14" s="23" t="inlineStr">
        <is>
          <t>Dec 2017</t>
        </is>
      </c>
      <c r="D14" s="36" t="n">
        <v>492642</v>
      </c>
      <c r="E14" s="42" t="n">
        <v>6</v>
      </c>
      <c r="F14" s="36" t="n">
        <v>236010</v>
      </c>
      <c r="G14" s="36" t="n">
        <v>256632</v>
      </c>
      <c r="H14" s="23" t="inlineStr">
        <is>
          <t>SSA-SSI-NC</t>
        </is>
      </c>
      <c r="I14" s="39" t="inlineStr">
        <is>
          <t>Table 29. Noncitizen recipients total / % of all SSI / aged / blind &amp; disabled.</t>
        </is>
      </c>
    </row>
    <row r="15" ht="15" customHeight="1" s="24">
      <c r="A15" s="23" t="inlineStr">
        <is>
          <t>SSI</t>
        </is>
      </c>
      <c r="B15" s="39" t="inlineStr">
        <is>
          <t>Lawfully present/qualified noncitizens meeting PRWORA exceptions (eligible)</t>
        </is>
      </c>
      <c r="C15" s="23" t="inlineStr">
        <is>
          <t>Dec 2018</t>
        </is>
      </c>
      <c r="D15" s="36" t="n">
        <v>463411</v>
      </c>
      <c r="E15" s="42" t="n">
        <v>5.7</v>
      </c>
      <c r="F15" s="36" t="n">
        <v>220798</v>
      </c>
      <c r="G15" s="36" t="n">
        <v>242613</v>
      </c>
      <c r="H15" s="23" t="inlineStr">
        <is>
          <t>SSA-SSI-NC</t>
        </is>
      </c>
      <c r="I15" s="39" t="inlineStr">
        <is>
          <t>Table 29. Noncitizen recipients total / % of all SSI / aged / blind &amp; disabled.</t>
        </is>
      </c>
    </row>
    <row r="16" ht="15" customHeight="1" s="24">
      <c r="A16" s="23" t="inlineStr">
        <is>
          <t>SSI</t>
        </is>
      </c>
      <c r="B16" s="39" t="inlineStr">
        <is>
          <t>Lawfully present/qualified noncitizens meeting PRWORA exceptions (eligible)</t>
        </is>
      </c>
      <c r="C16" s="23" t="inlineStr">
        <is>
          <t>Dec 2019</t>
        </is>
      </c>
      <c r="D16" s="36" t="n">
        <v>430352</v>
      </c>
      <c r="E16" s="42" t="n">
        <v>5.3</v>
      </c>
      <c r="F16" s="36" t="n">
        <v>205351</v>
      </c>
      <c r="G16" s="36" t="n">
        <v>225001</v>
      </c>
      <c r="H16" s="23" t="inlineStr">
        <is>
          <t>SSA-SSI-NC</t>
        </is>
      </c>
      <c r="I16" s="39" t="inlineStr">
        <is>
          <t>Table 29. Noncitizen recipients total / % of all SSI / aged / blind &amp; disabled.</t>
        </is>
      </c>
    </row>
    <row r="17" ht="15" customHeight="1" s="24">
      <c r="A17" s="23" t="inlineStr">
        <is>
          <t>SSI</t>
        </is>
      </c>
      <c r="B17" s="39" t="inlineStr">
        <is>
          <t>Lawfully present/qualified noncitizens meeting PRWORA exceptions (eligible)</t>
        </is>
      </c>
      <c r="C17" s="23" t="inlineStr">
        <is>
          <t>Dec 2020</t>
        </is>
      </c>
      <c r="D17" s="36" t="n">
        <v>397447</v>
      </c>
      <c r="E17" s="42" t="n">
        <v>5</v>
      </c>
      <c r="F17" s="36" t="n">
        <v>189539</v>
      </c>
      <c r="G17" s="36" t="n">
        <v>207908</v>
      </c>
      <c r="H17" s="23" t="inlineStr">
        <is>
          <t>SSA-SSI-NC</t>
        </is>
      </c>
      <c r="I17" s="39" t="inlineStr">
        <is>
          <t>Table 29. Noncitizen recipients total / % of all SSI / aged / blind &amp; disabled.</t>
        </is>
      </c>
    </row>
    <row r="18" ht="15" customHeight="1" s="24">
      <c r="A18" s="23" t="inlineStr">
        <is>
          <t>SSI</t>
        </is>
      </c>
      <c r="B18" s="39" t="inlineStr">
        <is>
          <t>Lawfully present/qualified noncitizens meeting PRWORA exceptions (eligible)</t>
        </is>
      </c>
      <c r="C18" s="23" t="inlineStr">
        <is>
          <t>Dec 2021</t>
        </is>
      </c>
      <c r="D18" s="36" t="n">
        <v>365714</v>
      </c>
      <c r="E18" s="42" t="n">
        <v>4.8</v>
      </c>
      <c r="F18" s="36" t="n">
        <v>176625</v>
      </c>
      <c r="G18" s="36" t="n">
        <v>189089</v>
      </c>
      <c r="H18" s="23" t="inlineStr">
        <is>
          <t>SSA-SSI-NC</t>
        </is>
      </c>
      <c r="I18" s="39" t="inlineStr">
        <is>
          <t>Table 29. Noncitizen recipients total / % of all SSI / aged / blind &amp; disabled.</t>
        </is>
      </c>
    </row>
    <row r="19" ht="15" customHeight="1" s="24">
      <c r="A19" s="23" t="inlineStr">
        <is>
          <t>SSI</t>
        </is>
      </c>
      <c r="B19" s="39" t="inlineStr">
        <is>
          <t>Lawfully present/qualified noncitizens meeting PRWORA exceptions (eligible)</t>
        </is>
      </c>
      <c r="C19" s="23" t="inlineStr">
        <is>
          <t>Dec 2022</t>
        </is>
      </c>
      <c r="D19" s="36" t="n">
        <v>342890</v>
      </c>
      <c r="E19" s="42" t="n">
        <v>4.5</v>
      </c>
      <c r="F19" s="36" t="n">
        <v>169443</v>
      </c>
      <c r="G19" s="36" t="n">
        <v>173447</v>
      </c>
      <c r="H19" s="23" t="inlineStr">
        <is>
          <t>SSA-SSI-NC</t>
        </is>
      </c>
      <c r="I19" s="39" t="inlineStr">
        <is>
          <t>Table 29. Noncitizen recipients total / % of all SSI / aged / blind &amp; disabled.</t>
        </is>
      </c>
    </row>
    <row r="20" ht="15" customHeight="1" s="24">
      <c r="A20" s="23" t="inlineStr">
        <is>
          <t>SSI</t>
        </is>
      </c>
      <c r="B20" s="39" t="inlineStr">
        <is>
          <t>Lawfully present/qualified noncitizens meeting PRWORA exceptions (eligible)</t>
        </is>
      </c>
      <c r="C20" s="23" t="inlineStr">
        <is>
          <t>Dec 2023</t>
        </is>
      </c>
      <c r="D20" s="36" t="n">
        <v>324723</v>
      </c>
      <c r="E20" s="42" t="n">
        <v>4.4</v>
      </c>
      <c r="F20" s="36" t="n">
        <v>166514</v>
      </c>
      <c r="G20" s="36" t="n">
        <v>158209</v>
      </c>
      <c r="H20" s="23" t="inlineStr">
        <is>
          <t>SSA-SSI-NC</t>
        </is>
      </c>
      <c r="I20" s="39" t="inlineStr">
        <is>
          <t>Table 29. Noncitizen recipients total / % of all SSI / aged / blind &amp; disabled.</t>
        </is>
      </c>
    </row>
    <row r="21" ht="15" customHeight="1" s="24">
      <c r="A21" s="23" t="inlineStr">
        <is>
          <t>SSI</t>
        </is>
      </c>
      <c r="B21" s="39" t="inlineStr">
        <is>
          <t>Lawfully present/qualified noncitizens meeting PRWORA exceptions (eligible)</t>
        </is>
      </c>
      <c r="C21" s="23" t="inlineStr">
        <is>
          <t>Dec 2024</t>
        </is>
      </c>
      <c r="D21" s="36" t="n">
        <v>319391</v>
      </c>
      <c r="E21" s="42" t="n">
        <v>4.3</v>
      </c>
      <c r="F21" s="36" t="n">
        <v>169351</v>
      </c>
      <c r="G21" s="36" t="n">
        <v>150040</v>
      </c>
      <c r="H21" s="23" t="inlineStr">
        <is>
          <t>SSA-SSI-NC</t>
        </is>
      </c>
      <c r="I21" s="39" t="inlineStr">
        <is>
          <t>Table 29. Noncitizen recipients total / % of all SSI / aged / blind &amp; disabled.</t>
        </is>
      </c>
    </row>
    <row r="22" ht="15" customHeight="1" s="24">
      <c r="A22" s="23" t="inlineStr">
        <is>
          <t>SNAP</t>
        </is>
      </c>
      <c r="B22" s="39" t="inlineStr">
        <is>
          <t>Refugees (incl. asylees, stay of deportation) - eligible</t>
        </is>
      </c>
      <c r="C22" s="23" t="inlineStr">
        <is>
          <t>FY2023 avg month</t>
        </is>
      </c>
      <c r="D22" s="36" t="n">
        <v>434000</v>
      </c>
      <c r="E22" s="42" t="n">
        <v>1.1</v>
      </c>
      <c r="H22" s="23" t="inlineStr">
        <is>
          <t>FNS-SNAP23</t>
        </is>
      </c>
      <c r="I22" s="39" t="inlineStr">
        <is>
          <t>Table A.23: 434 thousand participants (1.1% of participants). Weighted QC sample estimate.</t>
        </is>
      </c>
    </row>
    <row r="23" ht="15" customHeight="1" s="24">
      <c r="A23" s="23" t="inlineStr">
        <is>
          <t>SNAP</t>
        </is>
      </c>
      <c r="B23" s="39" t="inlineStr">
        <is>
          <t>Other noncitizens (LPRs and other eligible noncitizens) - eligible</t>
        </is>
      </c>
      <c r="C23" s="23" t="inlineStr">
        <is>
          <t>FY2023 avg month</t>
        </is>
      </c>
      <c r="D23" s="36" t="n">
        <v>1330000</v>
      </c>
      <c r="E23" s="42" t="n">
        <v>3.3</v>
      </c>
      <c r="H23" s="23" t="inlineStr">
        <is>
          <t>FNS-SNAP23</t>
        </is>
      </c>
      <c r="I23" s="23" t="inlineStr">
        <is>
          <t>Table A.23: 1,330 thousand (3.3%).</t>
        </is>
      </c>
    </row>
    <row r="24" ht="15" customHeight="1" s="24">
      <c r="A24" s="23" t="inlineStr">
        <is>
          <t>SNAP</t>
        </is>
      </c>
      <c r="B24" s="39" t="inlineStr">
        <is>
          <t>Naturalized citizens (citizens, shown for context)</t>
        </is>
      </c>
      <c r="C24" s="23" t="inlineStr">
        <is>
          <t>FY2023 avg month</t>
        </is>
      </c>
      <c r="D24" s="36" t="n">
        <v>2470000</v>
      </c>
      <c r="E24" s="42" t="n">
        <v>6.2</v>
      </c>
      <c r="H24" s="23" t="inlineStr">
        <is>
          <t>FNS-SNAP23</t>
        </is>
      </c>
      <c r="I24" s="23" t="inlineStr">
        <is>
          <t>Table A.23.</t>
        </is>
      </c>
    </row>
    <row r="25" ht="15" customHeight="1" s="24">
      <c r="A25" s="23" t="inlineStr">
        <is>
          <t>SNAP</t>
        </is>
      </c>
      <c r="B25" s="39" t="inlineStr">
        <is>
          <t>Citizen children living with noncitizen adults</t>
        </is>
      </c>
      <c r="C25" s="23" t="inlineStr">
        <is>
          <t>FY2023 avg month</t>
        </is>
      </c>
      <c r="D25" s="36" t="n">
        <v>2488000</v>
      </c>
      <c r="E25" s="42" t="n">
        <v>6.2</v>
      </c>
      <c r="H25" s="23" t="inlineStr">
        <is>
          <t>FNS-SNAP23</t>
        </is>
      </c>
      <c r="I25" s="39" t="inlineStr">
        <is>
          <t>Table A.23; noncitizen adults may be outside the SNAP household.</t>
        </is>
      </c>
    </row>
    <row r="26" ht="15" customHeight="1" s="24">
      <c r="A26" s="23" t="inlineStr">
        <is>
          <t>SNAP</t>
        </is>
      </c>
      <c r="B26" s="23" t="inlineStr">
        <is>
          <t>Earlier fiscal years</t>
        </is>
      </c>
      <c r="C26" s="23" t="inlineStr">
        <is>
          <t>FY2005-FY2022</t>
        </is>
      </c>
      <c r="D26" s="23" t="inlineStr">
        <is>
          <t>Not compiled</t>
        </is>
      </c>
      <c r="H26" s="23" t="inlineStr">
        <is>
          <t>FNS characteristics reports</t>
        </is>
      </c>
      <c r="I26" s="39" t="inlineStr">
        <is>
          <t>Not reported here: the same table exists in each annual FNS Characteristics report but was not extracted in this pass.</t>
        </is>
      </c>
    </row>
    <row r="27" ht="15" customHeight="1" s="24">
      <c r="A27" s="23" t="inlineStr">
        <is>
          <t>Emergency Medicaid</t>
        </is>
      </c>
      <c r="B27" s="39" t="inlineStr">
        <is>
          <t>Emergency services for people otherwise Medicaid-eligible but lacking qualifying status (undocumented AND lawfully present within 5-year bar)</t>
        </is>
      </c>
      <c r="C27" s="23" t="inlineStr">
        <is>
          <t>FY2023</t>
        </is>
      </c>
      <c r="D27" s="39" t="inlineStr">
        <is>
          <t>$3.775 billion (federal $2.746B + state $1.029B)</t>
        </is>
      </c>
      <c r="H27" s="23" t="inlineStr">
        <is>
          <t>CBO-EMED; KFF-EMED</t>
        </is>
      </c>
      <c r="I27" s="39" t="inlineStr">
        <is>
          <t>CBO (Form CMS-64). CBO PDF returned 403 to the box; figures from search index, corroborated by KFF ($3.8B, 0.4% of Medicaid). FY2017-2023 total $26.554B (CBO).</t>
        </is>
      </c>
    </row>
    <row r="28" ht="15" customHeight="1" s="24">
      <c r="A28" s="23" t="inlineStr">
        <is>
          <t>Medicaid/CHIP</t>
        </is>
      </c>
      <c r="B28" s="39" t="inlineStr">
        <is>
          <t>Noncitizen enrollees by status (national)</t>
        </is>
      </c>
      <c r="C28" s="23" t="inlineStr">
        <is>
          <t>any</t>
        </is>
      </c>
      <c r="D28" s="23" t="inlineStr">
        <is>
          <t>Not reported</t>
        </is>
      </c>
      <c r="H28" s="23" t="inlineStr">
        <is>
          <t>—</t>
        </is>
      </c>
      <c r="I28" s="39" t="inlineStr">
        <is>
          <t>CMS does not publish a routine national count of Medicaid/CHIP enrollees by immigration status in the sources checked.</t>
        </is>
      </c>
    </row>
    <row r="29" ht="15" customHeight="1" s="24">
      <c r="A29" s="23" t="inlineStr">
        <is>
          <t>Improper payments</t>
        </is>
      </c>
      <c r="B29" s="39" t="inlineStr">
        <is>
          <t>Payments to ineligible noncitizens specifically</t>
        </is>
      </c>
      <c r="C29" s="23" t="inlineStr">
        <is>
          <t>any</t>
        </is>
      </c>
      <c r="D29" s="23" t="inlineStr">
        <is>
          <t>Not reported</t>
        </is>
      </c>
      <c r="H29" s="23" t="inlineStr">
        <is>
          <t>GAO/PaymentAccuracy</t>
        </is>
      </c>
      <c r="I29" s="39" t="inlineStr">
        <is>
          <t>No GAO, CBO or HHS-OIG estimate isolating improper payments to ineligible noncitizens was found; government-wide improper-payment estimates are not broken out by citizenship.</t>
        </is>
      </c>
    </row>
    <row r="30" ht="15" customHeight="1" s="24">
      <c r="A30" s="23" t="inlineStr">
        <is>
          <t>Law</t>
        </is>
      </c>
      <c r="B30" s="23" t="inlineStr">
        <is>
          <t>PRWORA 8 U.S.C. 1611-1613</t>
        </is>
      </c>
      <c r="C30" s="23" t="inlineStr">
        <is>
          <t>—</t>
        </is>
      </c>
      <c r="D30" s="23" t="inlineStr">
        <is>
          <t>—</t>
        </is>
      </c>
      <c r="H30" s="23" t="inlineStr">
        <is>
          <t>USC-1611</t>
        </is>
      </c>
      <c r="I30" s="39" t="inlineStr">
        <is>
          <t>1611: noncitizens who are not 'qualified aliens' are ineligible for federal public benefits (exceptions incl. emergency Medicaid). 1612: limits SSI/SNAP for qualified aliens (exceptions: refugees/asylees for set periods, LPRs with 40 quarters, veterans/military). 1613: 5-year bar on federal means-tested benefits for qualified aliens entering on/after Aug 22, 1996.</t>
        </is>
      </c>
    </row>
    <row r="31"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3" min="1" max="1"/>
    <col width="16" customWidth="1" style="23" min="2" max="2"/>
    <col width="40" customWidth="1" style="23" min="3" max="3"/>
    <col width="16" customWidth="1" style="23" min="4" max="5"/>
    <col width="22" customWidth="1" style="23" min="6" max="6"/>
    <col width="16" customWidth="1" style="23" min="7" max="7"/>
    <col width="80" customWidth="1" style="23" min="8" max="8"/>
    <col width="16" customWidth="1" style="23" min="9" max="9"/>
  </cols>
  <sheetData>
    <row r="1" ht="60" customHeight="1" s="24">
      <c r="A1" s="35" t="inlineStr">
        <is>
          <t>Jurisdiction / office</t>
        </is>
      </c>
      <c r="B1" s="35" t="inlineStr">
        <is>
          <t>Date</t>
        </is>
      </c>
      <c r="C1" s="35" t="inlineStr">
        <is>
          <t>What was counted</t>
        </is>
      </c>
      <c r="D1" s="35" t="inlineStr">
        <is>
          <t>Number found / flagged</t>
        </is>
      </c>
      <c r="E1" s="35" t="inlineStr">
        <is>
          <t>Number removed</t>
        </is>
      </c>
      <c r="F1" s="35" t="inlineStr">
        <is>
          <t>Number referred for prosecution</t>
        </is>
      </c>
      <c r="G1" s="35" t="inlineStr">
        <is>
          <t>Roll size</t>
        </is>
      </c>
      <c r="H1" s="35" t="inlineStr">
        <is>
          <t>Details</t>
        </is>
      </c>
      <c r="I1" s="35" t="inlineStr">
        <is>
          <t>Source ID</t>
        </is>
      </c>
    </row>
    <row r="2" ht="15" customHeight="1" s="24">
      <c r="A2" s="23" t="inlineStr">
        <is>
          <t>Colorado (SOS Gessler)</t>
        </is>
      </c>
      <c r="B2" s="23" t="inlineStr">
        <is>
          <t>Jul 1, 2013</t>
        </is>
      </c>
      <c r="C2" s="39" t="inlineStr">
        <is>
          <t>Registrants who showed green-card-equivalent at DMV and were flagged by DHS SAVE</t>
        </is>
      </c>
      <c r="F2" s="36" t="n">
        <v>155</v>
      </c>
      <c r="G2" s="23" t="inlineStr">
        <is>
          <t>~3.5M (2012 EAVS: 3,651,091)</t>
        </is>
      </c>
      <c r="H2" s="39" t="inlineStr">
        <is>
          <t>155 referred to 15 district attorneys. Arapahoe County DA later charged 4 (Denver Post, Nov 22, 2013); outcomes mixed.</t>
        </is>
      </c>
      <c r="I2" s="23" t="inlineStr">
        <is>
          <t>CO-SOS-2013</t>
        </is>
      </c>
    </row>
    <row r="3" ht="15" customHeight="1" s="24">
      <c r="A3" s="23" t="inlineStr">
        <is>
          <t>Georgia (SOS citizenship audit)</t>
        </is>
      </c>
      <c r="B3" s="23" t="inlineStr">
        <is>
          <t>Oct 23, 2024</t>
        </is>
      </c>
      <c r="C3" s="23" t="inlineStr">
        <is>
          <t>Noncitizens found on rolls</t>
        </is>
      </c>
      <c r="D3" s="36" t="n">
        <v>20</v>
      </c>
      <c r="E3" s="36" t="n">
        <v>20</v>
      </c>
      <c r="F3" s="36" t="n">
        <v>20</v>
      </c>
      <c r="G3" s="23" t="inlineStr">
        <is>
          <t>~8.2 million</t>
        </is>
      </c>
      <c r="H3" s="39" t="inlineStr">
        <is>
          <t>All 20 canceled and referred; 9 had voted; 156 need further review.</t>
        </is>
      </c>
      <c r="I3" s="23" t="inlineStr">
        <is>
          <t>GA-2024</t>
        </is>
      </c>
    </row>
    <row r="4" ht="15" customHeight="1" s="24">
      <c r="A4" s="23" t="inlineStr">
        <is>
          <t>Texas (Governor)</t>
        </is>
      </c>
      <c r="B4" s="23" t="inlineStr">
        <is>
          <t>Aug 26, 2024</t>
        </is>
      </c>
      <c r="C4" s="23" t="inlineStr">
        <is>
          <t>'Potential noncitizens' removed</t>
        </is>
      </c>
      <c r="E4" s="36" t="n">
        <v>6500</v>
      </c>
      <c r="F4" s="36" t="n">
        <v>1930</v>
      </c>
      <c r="G4" s="23" t="inlineStr">
        <is>
          <t>~18 million</t>
        </is>
      </c>
      <c r="H4" s="39" t="inlineStr">
        <is>
          <t>Governor: over 6,500 removed; ~1,930 with voting history referred. Texas Tribune: only 581 identified as noncitizens; ~5,900 removed for not responding to notices (see Discrepancies).</t>
        </is>
      </c>
      <c r="I4" s="23" t="inlineStr">
        <is>
          <t>TX-GOV-2024; TXTRIB-2024</t>
        </is>
      </c>
    </row>
    <row r="5" ht="15" customHeight="1" s="24">
      <c r="A5" s="23" t="inlineStr">
        <is>
          <t>Texas (SOS, federal SAVE run)</t>
        </is>
      </c>
      <c r="B5" s="23" t="inlineStr">
        <is>
          <t>Sep 15, 2026</t>
        </is>
      </c>
      <c r="C5" s="39" t="inlineStr">
        <is>
          <t>Potential noncitizens flagged by SAVE out of 18M registrants</t>
        </is>
      </c>
      <c r="D5" s="36" t="n">
        <v>2724</v>
      </c>
      <c r="E5" s="23" t="inlineStr">
        <is>
          <t>Not reported (county-level)</t>
        </is>
      </c>
      <c r="F5" s="36" t="n">
        <v>117</v>
      </c>
      <c r="G5" s="23" t="inlineStr">
        <is>
          <t>~18 million</t>
        </is>
      </c>
      <c r="H5" s="39" t="inlineStr">
        <is>
          <t>2,724 referred to county registrars; 578 later demonstrated citizenship (506 because passport data was added to SAVE after the run) - counties told to reinstate if removed; 117 referred to AG. 7 charged federally mid-Sep 2026 (AP).</t>
        </is>
      </c>
      <c r="I5" s="23" t="inlineStr">
        <is>
          <t>TX-SOS-2026; PBS-AP-160</t>
        </is>
      </c>
    </row>
    <row r="6" ht="15" customHeight="1" s="24">
      <c r="A6" s="23" t="inlineStr">
        <is>
          <t>Virginia (ELECT / EO 35)</t>
        </is>
      </c>
      <c r="B6" s="23" t="inlineStr">
        <is>
          <t>Aug 7, 2024</t>
        </is>
      </c>
      <c r="C6" s="39" t="inlineStr">
        <is>
          <t>Registrations canceled as noncitizens via DMV data, Jan 2022-Jul 2024</t>
        </is>
      </c>
      <c r="E6" s="36" t="n">
        <v>6303</v>
      </c>
      <c r="G6" s="23" t="inlineStr">
        <is>
          <t>~6 million</t>
        </is>
      </c>
      <c r="H6" s="39" t="inlineStr">
        <is>
          <t>Governor's figure. Reuters (Sep 2026): &gt;4,500 self-identified noncitizens on rolls in 2025 per annual ELECT reports (includes some later citizens and people removed).</t>
        </is>
      </c>
      <c r="I6" s="23" t="inlineStr">
        <is>
          <t>VA-ELECT-2024; REUTERS-30K</t>
        </is>
      </c>
    </row>
    <row r="7" ht="15" customHeight="1" s="24">
      <c r="A7" s="23" t="inlineStr">
        <is>
          <t>Ohio (SOS)</t>
        </is>
      </c>
      <c r="B7" s="23" t="inlineStr">
        <is>
          <t>Aug 2024</t>
        </is>
      </c>
      <c r="C7" s="23" t="inlineStr">
        <is>
          <t>Noncitizen registrations referred</t>
        </is>
      </c>
      <c r="D7" s="36" t="n">
        <v>597</v>
      </c>
      <c r="F7" s="36" t="n">
        <v>597</v>
      </c>
      <c r="G7" s="23" t="inlineStr">
        <is>
          <t>~8 million</t>
        </is>
      </c>
      <c r="H7" s="39" t="inlineStr">
        <is>
          <t>459 registered only, 138 voted. Earlier referrals: 148 (2022), 117 (2021), 354 (2019).</t>
        </is>
      </c>
      <c r="I7" s="23" t="inlineStr">
        <is>
          <t>OH-SOS-2025 (and prior SOS releases)</t>
        </is>
      </c>
    </row>
    <row r="8" ht="15" customHeight="1" s="24">
      <c r="A8" s="23" t="inlineStr">
        <is>
          <t>Ohio (SOS)</t>
        </is>
      </c>
      <c r="B8" s="23" t="inlineStr">
        <is>
          <t>Jun 3, 2025</t>
        </is>
      </c>
      <c r="C8" s="23" t="inlineStr">
        <is>
          <t>Noncitizen registrations referred</t>
        </is>
      </c>
      <c r="D8" s="36" t="n">
        <v>30</v>
      </c>
      <c r="F8" s="36" t="n">
        <v>30</v>
      </c>
      <c r="G8" s="23" t="inlineStr">
        <is>
          <t>~8 million</t>
        </is>
      </c>
      <c r="I8" s="23" t="inlineStr">
        <is>
          <t>OH-SOS-2025</t>
        </is>
      </c>
    </row>
    <row r="9" ht="15" customHeight="1" s="24">
      <c r="A9" s="23" t="inlineStr">
        <is>
          <t>Ohio (SOS)</t>
        </is>
      </c>
      <c r="B9" s="23" t="inlineStr">
        <is>
          <t>Oct 2025</t>
        </is>
      </c>
      <c r="C9" s="23" t="inlineStr">
        <is>
          <t>Referred to US DOJ</t>
        </is>
      </c>
      <c r="D9" s="36" t="n">
        <v>1084</v>
      </c>
      <c r="F9" s="36" t="n">
        <v>1084</v>
      </c>
      <c r="G9" s="23" t="inlineStr">
        <is>
          <t>~8 million</t>
        </is>
      </c>
      <c r="H9" s="39" t="inlineStr">
        <is>
          <t>Includes 167 alleged federal voters (secondary source; not verified from primary).</t>
        </is>
      </c>
      <c r="I9" s="23" t="inlineStr">
        <is>
          <t>secondary</t>
        </is>
      </c>
    </row>
    <row r="10" ht="15" customHeight="1" s="24">
      <c r="A10" s="23" t="inlineStr">
        <is>
          <t>Louisiana (SOS)</t>
        </is>
      </c>
      <c r="B10" s="23" t="inlineStr">
        <is>
          <t>Sep 4, 2025</t>
        </is>
      </c>
      <c r="C10" s="23" t="inlineStr">
        <is>
          <t>Suspected noncitizens via SAVE</t>
        </is>
      </c>
      <c r="D10" s="36" t="n">
        <v>390</v>
      </c>
      <c r="G10" s="23" t="inlineStr">
        <is>
          <t>~2.9 million</t>
        </is>
      </c>
      <c r="H10" s="39" t="inlineStr">
        <is>
          <t>79 had voted at some point since the 1980s.</t>
        </is>
      </c>
      <c r="I10" s="23" t="inlineStr">
        <is>
          <t>LA-ILLUM-2025</t>
        </is>
      </c>
    </row>
    <row r="11" ht="15" customHeight="1" s="24">
      <c r="A11" s="23" t="inlineStr">
        <is>
          <t>Iowa (SOS)</t>
        </is>
      </c>
      <c r="B11" s="23" t="inlineStr">
        <is>
          <t>Oct 2024 -&gt; 2025</t>
        </is>
      </c>
      <c r="C11" s="23" t="inlineStr">
        <is>
          <t>Self-reported noncitizens (DOT) on rolls</t>
        </is>
      </c>
      <c r="D11" s="36" t="n">
        <v>277</v>
      </c>
      <c r="G11" s="23" t="inlineStr">
        <is>
          <t>1.6M voted in 2024</t>
        </is>
      </c>
      <c r="H11" s="39" t="inlineStr">
        <is>
          <t>Initial announcement &gt;2,000; revised to 277; 35 cast counted ballots in 2024 (Reuters).</t>
        </is>
      </c>
      <c r="I11" s="23" t="inlineStr">
        <is>
          <t>REUTERS-30K</t>
        </is>
      </c>
    </row>
    <row r="12" ht="15" customHeight="1" s="24">
      <c r="A12" s="23" t="inlineStr">
        <is>
          <t>New Jersey (Governor)</t>
        </is>
      </c>
      <c r="B12" s="23" t="inlineStr">
        <is>
          <t>Jul 21 &amp; Aug 19, 2026</t>
        </is>
      </c>
      <c r="C12" s="39" t="inlineStr">
        <is>
          <t>People who answered 'not a citizen' at MVC but were registered by a software error, Jun 2023-Jun 2024</t>
        </is>
      </c>
      <c r="D12" s="36" t="n">
        <v>6600</v>
      </c>
      <c r="E12" s="36" t="n">
        <v>5100</v>
      </c>
      <c r="F12" s="39" t="inlineStr">
        <is>
          <t>~1,450 to counties; ~220 voters referred for review</t>
        </is>
      </c>
      <c r="G12" s="23" t="inlineStr">
        <is>
          <t>Not reported in release</t>
        </is>
      </c>
      <c r="H12" s="39" t="inlineStr">
        <is>
          <t>~5,100 deleted; ~1,450 set to 'rejected' pending county review; ~340 newly registered via error voted; ~220 affected who voted had separate registrations/attestations and are under review.</t>
        </is>
      </c>
      <c r="I12" s="23" t="inlineStr">
        <is>
          <t>NJ-GOV-0721; NJ-GOV-0819</t>
        </is>
      </c>
    </row>
    <row r="13" ht="15" customHeight="1" s="24">
      <c r="A13" s="23" t="inlineStr">
        <is>
          <t>California (DMV)</t>
        </is>
      </c>
      <c r="B13" s="23" t="inlineStr">
        <is>
          <t>2018</t>
        </is>
      </c>
      <c r="C13" s="39" t="inlineStr">
        <is>
          <t>Noncitizens registered by DMV processing error</t>
        </is>
      </c>
      <c r="D13" s="36" t="n">
        <v>1500</v>
      </c>
      <c r="G13" s="23" t="inlineStr">
        <is>
          <t>~19 million</t>
        </is>
      </c>
      <c r="H13" s="39" t="inlineStr">
        <is>
          <t>'As many as 1,500' per media reports; state did not confirm to Reuters.</t>
        </is>
      </c>
      <c r="I13" s="23" t="inlineStr">
        <is>
          <t>REUTERS-30K</t>
        </is>
      </c>
    </row>
    <row r="14" ht="15" customHeight="1" s="24">
      <c r="A14" s="23" t="inlineStr">
        <is>
          <t>National: SAVE bulk checks (DHS)</t>
        </is>
      </c>
      <c r="B14" s="23" t="inlineStr">
        <is>
          <t>May 2025-2026</t>
        </is>
      </c>
      <c r="C14" s="39" t="inlineStr">
        <is>
          <t>Potential non-US citizens flagged on state lists (not confirmed)</t>
        </is>
      </c>
      <c r="D14" s="36" t="n">
        <v>28635</v>
      </c>
      <c r="E14" s="23" t="inlineStr">
        <is>
          <t>Not reported</t>
        </is>
      </c>
      <c r="F14" s="23" t="inlineStr">
        <is>
          <t>Not reported</t>
        </is>
      </c>
      <c r="G14" s="23" t="inlineStr">
        <is>
          <t>65M+ verified, 26 states</t>
        </is>
      </c>
      <c r="H14" s="39" t="inlineStr">
        <is>
          <t>Government figure in SCOTUS No. 26A308. DHS: a SAVE response changes no voter's status; only states cancel. SAVE modified system vacated Jun 22, 2026 (LWV v. DHS); stay denied (D.D.C. Jul 8; D.C. Cir. Sep 4); SCOTUS application pending.</t>
        </is>
      </c>
      <c r="I14" s="23" t="inlineStr">
        <is>
          <t>SCOTUS-26A308; LWV-ORDER</t>
        </is>
      </c>
    </row>
    <row r="15" ht="15" customHeight="1" s="24">
      <c r="A15" s="23" t="inlineStr">
        <is>
          <t>National: DOJ prosecutions</t>
        </is>
      </c>
      <c r="B15" s="23" t="inlineStr">
        <is>
          <t>Jan 2025-Sep 2026</t>
        </is>
      </c>
      <c r="C15" s="39" t="inlineStr">
        <is>
          <t>Defendants charged with unlawful voting/registration offenses</t>
        </is>
      </c>
      <c r="F15" s="36" t="n">
        <v>70</v>
      </c>
      <c r="G15" s="23" t="inlineStr">
        <is>
          <t>211M+ active</t>
        </is>
      </c>
      <c r="H15" s="39" t="inlineStr">
        <is>
          <t>DOJ: 70 charged. HSI: ~1,600 voter-fraud cases, 160 arrests (many for related offenses).</t>
        </is>
      </c>
      <c r="I15" s="23" t="inlineStr">
        <is>
          <t>PBS-AP-160; DOJ-16</t>
        </is>
      </c>
    </row>
    <row r="16" ht="15" customHeight="1" s="24">
      <c r="A16" s="23" t="inlineStr">
        <is>
          <t>National: Reuters compilation</t>
        </is>
      </c>
      <c r="B16" s="23" t="inlineStr">
        <is>
          <t>2000-2026</t>
        </is>
      </c>
      <c r="C16" s="39" t="inlineStr">
        <is>
          <t>Self-declared noncitizens added to rolls by state processing errors (12 states)</t>
        </is>
      </c>
      <c r="D16" s="36" t="n">
        <v>30000</v>
      </c>
      <c r="G16" s="23" t="inlineStr">
        <is>
          <t>170M+ registered</t>
        </is>
      </c>
      <c r="H16" s="39" t="inlineStr">
        <is>
          <t>'May have added more than 30,000'; number who voted not determined.</t>
        </is>
      </c>
      <c r="I16" s="23" t="inlineStr">
        <is>
          <t>REUTERS-30K</t>
        </is>
      </c>
    </row>
    <row r="18" ht="15" customHeight="1" s="24">
      <c r="A18" s="23" t="inlineStr">
        <is>
          <t>NVRA 52 U.S.C. 20507</t>
        </is>
      </c>
      <c r="C18" s="23" t="inlineStr">
        <is>
          <t>Systematic removal programs must end 90 days before federal elections (20507(c)(2)(A)); change-of-address removals require notice and a two-federal-election wait (20507(d)). Removal for noncitizenship is not a listed NVRA ground; states rely on state law and 'never eligible' reasoning; courts split on whether the 90-day rule applies. List-maintenance cost: Not reported (no official national figure found).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6" customWidth="1" style="23" min="1" max="1"/>
    <col width="34" customWidth="1" style="23" min="2" max="2"/>
    <col width="26" customWidth="1" style="23" min="3" max="3"/>
    <col width="34" customWidth="1" style="23" min="4" max="5"/>
    <col width="70" customWidth="1" style="23" min="6" max="6"/>
  </cols>
  <sheetData>
    <row r="1" ht="60" customHeight="1" s="24">
      <c r="A1" s="35" t="inlineStr">
        <is>
          <t>Item</t>
        </is>
      </c>
      <c r="B1" s="35" t="inlineStr">
        <is>
          <t>Source A</t>
        </is>
      </c>
      <c r="C1" s="35" t="inlineStr">
        <is>
          <t>Value A</t>
        </is>
      </c>
      <c r="D1" s="35" t="inlineStr">
        <is>
          <t>Source B</t>
        </is>
      </c>
      <c r="E1" s="35" t="inlineStr">
        <is>
          <t>Value B</t>
        </is>
      </c>
      <c r="F1" s="35" t="inlineStr">
        <is>
          <t>Explanation (no reconciliation performed)</t>
        </is>
      </c>
    </row>
    <row r="2" ht="15" customHeight="1" s="24">
      <c r="A2" s="23" t="inlineStr">
        <is>
          <t>US registered voters 2024</t>
        </is>
      </c>
      <c r="B2" s="23" t="inlineStr">
        <is>
          <t>EAVS 2024 total registered</t>
        </is>
      </c>
      <c r="C2" s="36" t="n">
        <v>234504358</v>
      </c>
      <c r="D2" s="39" t="inlineStr">
        <is>
          <t>CPS Nov 2024 self-reported registered citizens</t>
        </is>
      </c>
      <c r="E2" s="36" t="n">
        <v>173854000</v>
      </c>
      <c r="F2" s="39" t="inlineStr">
        <is>
          <t>Different concepts: EAVS counts records incl. inactive and people who moved/died but not yet removed; CPS is a household survey of self-reported registration (thousands).</t>
        </is>
      </c>
    </row>
    <row r="3" ht="15" customHeight="1" s="24">
      <c r="A3" s="23" t="inlineStr">
        <is>
          <t>US registered voters 2022</t>
        </is>
      </c>
      <c r="B3" s="23" t="inlineStr">
        <is>
          <t>EAVS 2022</t>
        </is>
      </c>
      <c r="C3" s="36" t="n">
        <v>226339980</v>
      </c>
      <c r="D3" s="23" t="inlineStr">
        <is>
          <t>CPS 2022</t>
        </is>
      </c>
      <c r="E3" s="36" t="n">
        <v>161422000</v>
      </c>
      <c r="F3" s="23" t="inlineStr">
        <is>
          <t>Same as above.</t>
        </is>
      </c>
    </row>
    <row r="4" ht="15" customHeight="1" s="24">
      <c r="A4" s="23" t="inlineStr">
        <is>
          <t>US registered voters 2020</t>
        </is>
      </c>
      <c r="B4" s="23" t="inlineStr">
        <is>
          <t>EAVS 2020</t>
        </is>
      </c>
      <c r="C4" s="36" t="n">
        <v>228004364</v>
      </c>
      <c r="D4" s="23" t="inlineStr">
        <is>
          <t>CPS 2020</t>
        </is>
      </c>
      <c r="E4" s="36" t="n">
        <v>168308000</v>
      </c>
      <c r="F4" s="23" t="inlineStr">
        <is>
          <t>Same as above.</t>
        </is>
      </c>
    </row>
    <row r="5" ht="15" customHeight="1" s="24">
      <c r="A5" s="23" t="inlineStr">
        <is>
          <t>2018 registered total</t>
        </is>
      </c>
      <c r="B5" s="23" t="inlineStr">
        <is>
          <t>2018 EAVS report</t>
        </is>
      </c>
      <c r="C5" s="36" t="n">
        <v>211665577</v>
      </c>
      <c r="D5" s="23" t="inlineStr">
        <is>
          <t>2020 EAVS report prior-year value</t>
        </is>
      </c>
      <c r="E5" s="36" t="n">
        <v>211601918</v>
      </c>
      <c r="F5" s="39" t="inlineStr">
        <is>
          <t>Revised/reporting difference between reports.</t>
        </is>
      </c>
    </row>
    <row r="6" ht="15" customHeight="1" s="24">
      <c r="A6" s="23" t="inlineStr">
        <is>
          <t>2016 registered total</t>
        </is>
      </c>
      <c r="B6" s="23" t="inlineStr">
        <is>
          <t>2016 EAVS narrative</t>
        </is>
      </c>
      <c r="C6" s="36" t="n">
        <v>214109360</v>
      </c>
      <c r="D6" s="23" t="inlineStr">
        <is>
          <t>2016 EAVS Table 3 / 2020 report</t>
        </is>
      </c>
      <c r="E6" s="36" t="n">
        <v>214109367</v>
      </c>
      <c r="F6" s="23" t="inlineStr">
        <is>
          <t>Difference of 7.</t>
        </is>
      </c>
    </row>
    <row r="7" ht="15" customHeight="1" s="24">
      <c r="A7" s="23" t="inlineStr">
        <is>
          <t>2022 CVAP used by EAC</t>
        </is>
      </c>
      <c r="B7" s="23" t="inlineStr">
        <is>
          <t>2022 EAVS report (ACS 2021)</t>
        </is>
      </c>
      <c r="C7" s="36" t="n">
        <v>239035960</v>
      </c>
      <c r="D7" s="23" t="inlineStr">
        <is>
          <t>2024 EAVS report's 2022 value</t>
        </is>
      </c>
      <c r="E7" s="36" t="n">
        <v>241710190</v>
      </c>
      <c r="F7" s="23" t="inlineStr">
        <is>
          <t>Different ACS vintage.</t>
        </is>
      </c>
    </row>
    <row r="8" ht="15" customHeight="1" s="24">
      <c r="A8" s="23" t="inlineStr">
        <is>
          <t>2006 registered total</t>
        </is>
      </c>
      <c r="B8" s="23" t="inlineStr">
        <is>
          <t>2006 EAVS report TOTAL row</t>
        </is>
      </c>
      <c r="C8" s="36" t="n">
        <v>172805006</v>
      </c>
      <c r="D8" s="23" t="inlineStr">
        <is>
          <t>2012 NVRA summary table (2006)</t>
        </is>
      </c>
      <c r="E8" s="36" t="n">
        <v>172251706</v>
      </c>
      <c r="F8" s="23" t="inlineStr">
        <is>
          <t>NVRA 2005-06 narrative: '172.8 million'.</t>
        </is>
      </c>
    </row>
    <row r="9" ht="15" customHeight="1" s="24">
      <c r="A9" s="23" t="inlineStr">
        <is>
          <t>2008 registered total</t>
        </is>
      </c>
      <c r="B9" s="23" t="inlineStr">
        <is>
          <t>EAC NVRA 2007-08 report</t>
        </is>
      </c>
      <c r="C9" s="36" t="n">
        <v>189844867</v>
      </c>
      <c r="D9" s="23" t="inlineStr">
        <is>
          <t>EAVS 2008 summary text</t>
        </is>
      </c>
      <c r="E9" s="23" t="inlineStr">
        <is>
          <t>more than 190 million</t>
        </is>
      </c>
    </row>
    <row r="10" ht="15" customHeight="1" s="24">
      <c r="A10" s="23" t="inlineStr">
        <is>
          <t>2010 registered total</t>
        </is>
      </c>
      <c r="B10" s="23" t="inlineStr">
        <is>
          <t>EAC NVRA 2009-10 report</t>
        </is>
      </c>
      <c r="C10" s="36" t="n">
        <v>186874157</v>
      </c>
      <c r="D10" s="23" t="inlineStr">
        <is>
          <t>2012 NVRA summary table (2010)</t>
        </is>
      </c>
      <c r="E10" s="36" t="n">
        <v>186282492</v>
      </c>
    </row>
    <row r="11" ht="15" customHeight="1" s="24">
      <c r="A11" s="23" t="inlineStr">
        <is>
          <t>2012 registered total</t>
        </is>
      </c>
      <c r="B11" s="23" t="inlineStr">
        <is>
          <t>2012 NVRA report text</t>
        </is>
      </c>
      <c r="C11" s="36" t="n">
        <v>194198928</v>
      </c>
      <c r="D11" s="23" t="inlineStr">
        <is>
          <t>Same report summary table</t>
        </is>
      </c>
      <c r="E11" s="36" t="n">
        <v>193585443</v>
      </c>
    </row>
    <row r="12" ht="15" customHeight="1" s="24">
      <c r="A12" s="23" t="inlineStr">
        <is>
          <t>2024 removals: deceased</t>
        </is>
      </c>
      <c r="B12" s="23" t="inlineStr">
        <is>
          <t>2024 EAVS report</t>
        </is>
      </c>
      <c r="C12" s="36" t="n">
        <v>4482207</v>
      </c>
      <c r="D12" s="23" t="inlineStr">
        <is>
          <t>Errata v2 (Feb 2026)</t>
        </is>
      </c>
      <c r="E12" s="36" t="n">
        <v>4576275</v>
      </c>
    </row>
    <row r="13" ht="15" customHeight="1" s="24">
      <c r="A13" s="23" t="inlineStr">
        <is>
          <t>2024 removals: moved</t>
        </is>
      </c>
      <c r="B13" s="23" t="inlineStr">
        <is>
          <t>2024 EAVS report</t>
        </is>
      </c>
      <c r="C13" s="36" t="n">
        <v>6504112</v>
      </c>
      <c r="D13" s="23" t="inlineStr">
        <is>
          <t>Errata v2</t>
        </is>
      </c>
      <c r="E13" s="36" t="n">
        <v>6504140</v>
      </c>
    </row>
    <row r="14" ht="15" customHeight="1" s="24">
      <c r="A14" s="23" t="inlineStr">
        <is>
          <t>2024 removals: felony</t>
        </is>
      </c>
      <c r="B14" s="23" t="inlineStr">
        <is>
          <t>2024 EAVS report</t>
        </is>
      </c>
      <c r="C14" s="36" t="n">
        <v>293862</v>
      </c>
      <c r="D14" s="23" t="inlineStr">
        <is>
          <t>Errata v2</t>
        </is>
      </c>
      <c r="E14" s="36" t="n">
        <v>296581</v>
      </c>
    </row>
    <row r="15" ht="15" customHeight="1" s="24">
      <c r="A15" s="23" t="inlineStr">
        <is>
          <t>2024 removals: mental incompetence</t>
        </is>
      </c>
      <c r="B15" s="23" t="inlineStr">
        <is>
          <t>2024 EAVS report</t>
        </is>
      </c>
      <c r="C15" s="36" t="n">
        <v>13382</v>
      </c>
      <c r="D15" s="23" t="inlineStr">
        <is>
          <t>Errata v2</t>
        </is>
      </c>
      <c r="E15" s="36" t="n">
        <v>13354</v>
      </c>
    </row>
    <row r="16" ht="15" customHeight="1" s="24">
      <c r="A16" s="23" t="inlineStr">
        <is>
          <t>2024 removals: not categorized</t>
        </is>
      </c>
      <c r="B16" s="23" t="inlineStr">
        <is>
          <t>2024 EAVS report</t>
        </is>
      </c>
      <c r="C16" s="36" t="n">
        <v>1002042</v>
      </c>
      <c r="D16" s="23" t="inlineStr">
        <is>
          <t>Errata v2</t>
        </is>
      </c>
      <c r="E16" s="36" t="n">
        <v>894413</v>
      </c>
    </row>
    <row r="17" ht="15" customHeight="1" s="24">
      <c r="A17" s="23" t="inlineStr">
        <is>
          <t>2024 confirmation notices</t>
        </is>
      </c>
      <c r="B17" s="23" t="inlineStr">
        <is>
          <t>2024 EAVS report</t>
        </is>
      </c>
      <c r="C17" s="36" t="n">
        <v>39670903</v>
      </c>
      <c r="D17" s="23" t="inlineStr">
        <is>
          <t>Errata v2</t>
        </is>
      </c>
      <c r="E17" s="36" t="n">
        <v>38803086</v>
      </c>
    </row>
    <row r="18" ht="15" customHeight="1" s="24">
      <c r="A18" s="23" t="inlineStr">
        <is>
          <t>Texas 2024 noncitizen removals</t>
        </is>
      </c>
      <c r="B18" s="23" t="inlineStr">
        <is>
          <t>Gov. Abbott release (Aug 26, 2024)</t>
        </is>
      </c>
      <c r="C18" s="39" t="inlineStr">
        <is>
          <t>over 6,500 'potential noncitizens' removed</t>
        </is>
      </c>
      <c r="D18" s="39" t="inlineStr">
        <is>
          <t>Texas Tribune/Votebeat records (Oct 15, 2024)</t>
        </is>
      </c>
      <c r="E18" s="39" t="inlineStr">
        <is>
          <t>581 identified as noncitizens; ~5,900 removed for not responding</t>
        </is>
      </c>
      <c r="F18" s="39" t="inlineStr">
        <is>
          <t>Most removals were for non-response to notices, not confirmed noncitizenship.</t>
        </is>
      </c>
    </row>
    <row r="19" ht="15" customHeight="1" s="24">
      <c r="A19" s="23" t="inlineStr">
        <is>
          <t>Texas 2025-26 SAVE</t>
        </is>
      </c>
      <c r="B19" s="23" t="inlineStr">
        <is>
          <t>SAVE flags</t>
        </is>
      </c>
      <c r="C19" s="36" t="n">
        <v>2724</v>
      </c>
      <c r="D19" s="23" t="inlineStr">
        <is>
          <t>Later shown to be citizens</t>
        </is>
      </c>
      <c r="E19" s="36" t="n">
        <v>578</v>
      </c>
      <c r="F19" s="39" t="inlineStr">
        <is>
          <t>506 because passport data was added to SAVE after the run.</t>
        </is>
      </c>
    </row>
    <row r="20" ht="15" customHeight="1" s="24">
      <c r="A20" s="23" t="inlineStr">
        <is>
          <t>SAVE national flags vs confirmed</t>
        </is>
      </c>
      <c r="B20" s="23" t="inlineStr">
        <is>
          <t>DHS: potential noncitizens flagged</t>
        </is>
      </c>
      <c r="C20" s="36" t="n">
        <v>28635</v>
      </c>
      <c r="D20" s="39" t="inlineStr">
        <is>
          <t>State-confirmed noncitizen removals nationally</t>
        </is>
      </c>
      <c r="E20" s="23" t="inlineStr">
        <is>
          <t>Not reported</t>
        </is>
      </c>
      <c r="F20" s="39" t="inlineStr">
        <is>
          <t>DHS says SAVE changes no voter's status; confirmation/removal is by states.</t>
        </is>
      </c>
    </row>
    <row r="21" ht="15" customHeight="1" s="24">
      <c r="A21" s="23" t="inlineStr">
        <is>
          <t>Iowa 2024</t>
        </is>
      </c>
      <c r="B21" s="23" t="inlineStr">
        <is>
          <t>Initial state announcement</t>
        </is>
      </c>
      <c r="C21" s="23" t="inlineStr">
        <is>
          <t>&gt;2,000</t>
        </is>
      </c>
      <c r="D21" s="23" t="inlineStr">
        <is>
          <t>Revised count</t>
        </is>
      </c>
      <c r="E21" s="36" t="n">
        <v>277</v>
      </c>
      <c r="F21" s="23" t="inlineStr">
        <is>
          <t>35 counted ballots in 2024 (Reuters).</t>
        </is>
      </c>
    </row>
    <row r="22" ht="15" customHeight="1" s="24">
      <c r="A22" s="39" t="inlineStr">
        <is>
          <t>Colorado JW case: 8(d)(1)(B) removals Nov 2020-Nov 2022</t>
        </is>
      </c>
      <c r="B22" s="23" t="inlineStr">
        <is>
          <t>Discovery data (Secretary)</t>
        </is>
      </c>
      <c r="C22" s="36" t="n">
        <v>306303</v>
      </c>
      <c r="D22" s="23" t="inlineStr">
        <is>
          <t>Settlement data (per JW motion, ECF 113)</t>
        </is>
      </c>
      <c r="E22" s="36" t="n">
        <v>101607</v>
      </c>
      <c r="F22" s="39" t="inlineStr">
        <is>
          <t>Secretary said discovery figure erroneously included all removals. EAVS 2022 Colorado 'failure to respond to confirmation' removals = 161,607 (period: close of 2020 to close of 2022 registration).</t>
        </is>
      </c>
    </row>
    <row r="23" ht="15" customHeight="1" s="24">
      <c r="A23" s="23" t="inlineStr">
        <is>
          <t>LA County JW settlement (2019)</t>
        </is>
      </c>
      <c r="B23" s="23" t="inlineStr">
        <is>
          <t>Judicial Watch headline</t>
        </is>
      </c>
      <c r="C23" s="23" t="inlineStr">
        <is>
          <t>'to remove 1.5 million inactive voters'</t>
        </is>
      </c>
      <c r="D23" s="23" t="inlineStr">
        <is>
          <t>Settlement text</t>
        </is>
      </c>
      <c r="E23" s="39" t="inlineStr">
        <is>
          <t>~1,565,000 registrations on inactive file; cancellation only for non-responders after NVRA notice and required elections</t>
        </is>
      </c>
      <c r="F23" s="39" t="inlineStr">
        <is>
          <t>Settlement did not order immediate removal of all inactive registrations.</t>
        </is>
      </c>
    </row>
    <row r="24" ht="15" customHeight="1" s="24">
      <c r="A24" s="23" t="inlineStr">
        <is>
          <t>Colorado JW press claim</t>
        </is>
      </c>
      <c r="B24" s="23" t="inlineStr">
        <is>
          <t>Judicial Watch</t>
        </is>
      </c>
      <c r="C24" s="39" t="inlineStr">
        <is>
          <t>372,000 inactive voters removed since 2023 settlement</t>
        </is>
      </c>
      <c r="D24" s="23" t="inlineStr">
        <is>
          <t>Colorado SOS / EAVS</t>
        </is>
      </c>
      <c r="E24" s="39" t="inlineStr">
        <is>
          <t>EAVS 2024 Colorado removals total 389,334 (all reasons, 2022-24 cycle); 160,239 for failure to respond</t>
        </is>
      </c>
      <c r="F24" s="39" t="inlineStr">
        <is>
          <t>Not directly comparable periods/categories.</t>
        </is>
      </c>
    </row>
    <row r="25" ht="15" customHeight="1" s="24">
      <c r="A25" s="23" t="inlineStr">
        <is>
          <t>North Carolina JW</t>
        </is>
      </c>
      <c r="B25" s="23" t="inlineStr">
        <is>
          <t>Judicial Watch</t>
        </is>
      </c>
      <c r="C25" s="23" t="inlineStr">
        <is>
          <t>'over 430,000 inactive names removed'</t>
        </is>
      </c>
      <c r="D25" s="23" t="inlineStr">
        <is>
          <t>NC State Board figure</t>
        </is>
      </c>
      <c r="E25" s="39" t="inlineStr">
        <is>
          <t>Not verified from primary record in this pass</t>
        </is>
      </c>
    </row>
    <row r="26" ht="15" customHeight="1" s="24">
      <c r="A26" s="23" t="inlineStr">
        <is>
          <t>Emergency Medicaid FY2023</t>
        </is>
      </c>
      <c r="B26" s="23" t="inlineStr">
        <is>
          <t>CBO (per search index)</t>
        </is>
      </c>
      <c r="C26" s="23" t="inlineStr">
        <is>
          <t>$3.775 billion</t>
        </is>
      </c>
      <c r="D26" s="23" t="inlineStr">
        <is>
          <t>KFF summary of CBO</t>
        </is>
      </c>
      <c r="E26" s="23" t="inlineStr">
        <is>
          <t>$3.8 billion</t>
        </is>
      </c>
      <c r="F26" s="23" t="inlineStr">
        <is>
          <t>Rounding.</t>
        </is>
      </c>
    </row>
    <row r="27" ht="15" customHeight="1" s="24">
      <c r="A27" s="23" t="inlineStr">
        <is>
          <t>Refugee arrivals FY2024</t>
        </is>
      </c>
      <c r="B27" s="23" t="inlineStr">
        <is>
          <t>DHS Yearbook</t>
        </is>
      </c>
      <c r="C27" s="36" t="n">
        <v>100060</v>
      </c>
      <c r="D27" s="23" t="inlineStr">
        <is>
          <t>—</t>
        </is>
      </c>
      <c r="E27" s="23" t="inlineStr">
        <is>
          <t>—</t>
        </is>
      </c>
      <c r="F27" s="23" t="inlineStr">
        <is>
          <t>No conflicting official figure found.</t>
        </is>
      </c>
    </row>
    <row r="28" ht="15" customHeight="1" s="24">
      <c r="A28" s="23" t="inlineStr">
        <is>
          <t>ACS vs PEP population 2024</t>
        </is>
      </c>
      <c r="B28" s="23" t="inlineStr">
        <is>
          <t>ACS total</t>
        </is>
      </c>
      <c r="C28" s="36" t="n">
        <v>340110990</v>
      </c>
      <c r="D28" s="23" t="inlineStr">
        <is>
          <t>PEP July 1, 2024</t>
        </is>
      </c>
      <c r="E28" s="36" t="n">
        <v>340003797</v>
      </c>
      <c r="F28" s="39" t="inlineStr">
        <is>
          <t>Different methods (survey vs demographic estimate).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3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5"/>
    <col width="22" customWidth="1" style="23" min="6" max="9"/>
    <col width="16" customWidth="1" style="23" min="10" max="11"/>
  </cols>
  <sheetData>
    <row r="1" ht="60" customHeight="1" s="24">
      <c r="A1" s="35" t="inlineStr">
        <is>
          <t>Fiscal year</t>
        </is>
      </c>
      <c r="B1" s="35" t="inlineStr">
        <is>
          <t>Refugee arrivals</t>
        </is>
      </c>
      <c r="C1" s="35" t="inlineStr">
        <is>
          <t>Asylum granted: total</t>
        </is>
      </c>
      <c r="D1" s="35" t="inlineStr">
        <is>
          <t>Affirmative (USCIS)</t>
        </is>
      </c>
      <c r="E1" s="35" t="inlineStr">
        <is>
          <t>Defensive (immigration court)</t>
        </is>
      </c>
      <c r="F1" s="35" t="inlineStr">
        <is>
          <t>YoY CHANGE: refugee arrivals [formula]</t>
        </is>
      </c>
      <c r="G1" s="35" t="inlineStr">
        <is>
          <t>YoY CHANGE: asylum total [formula]</t>
        </is>
      </c>
      <c r="H1" s="35" t="inlineStr">
        <is>
          <t>SSNs issued, all (thousands, calendar yr)</t>
        </is>
      </c>
      <c r="I1" s="35" t="inlineStr">
        <is>
          <t>Parole / TPS / DACA / EAD (annual)</t>
        </is>
      </c>
      <c r="J1" s="35" t="inlineStr">
        <is>
          <t>Biden period?</t>
        </is>
      </c>
      <c r="K1" s="35" t="inlineStr">
        <is>
          <t>Notes</t>
        </is>
      </c>
    </row>
    <row r="2" ht="15" customHeight="1" s="24">
      <c r="A2" s="23" t="n">
        <v>2005</v>
      </c>
      <c r="B2" s="36" t="n">
        <v>53740</v>
      </c>
      <c r="C2" s="36" t="n">
        <v>25300</v>
      </c>
      <c r="D2" s="36" t="n">
        <v>13550</v>
      </c>
      <c r="E2" s="36" t="n">
        <v>11760</v>
      </c>
      <c r="F2" s="37" t="n"/>
      <c r="G2" s="37" t="n"/>
      <c r="H2" s="36" t="n">
        <v>5280</v>
      </c>
      <c r="I2" s="39" t="inlineStr">
        <is>
          <t>Not reported as an annual official series in sources reachable from the box (see program rows below)</t>
        </is>
      </c>
    </row>
    <row r="3" ht="15" customHeight="1" s="24">
      <c r="A3" s="23" t="n">
        <v>2006</v>
      </c>
      <c r="B3" s="36" t="n">
        <v>41090</v>
      </c>
      <c r="C3" s="36" t="n">
        <v>26350</v>
      </c>
      <c r="D3" s="36" t="n">
        <v>13050</v>
      </c>
      <c r="E3" s="36" t="n">
        <v>13300</v>
      </c>
      <c r="F3" s="40">
        <f>IF(AND(ISNUMBER(B3),ISNUMBER(B2)),B3-B2,"")</f>
        <v/>
      </c>
      <c r="G3" s="40">
        <f>IF(AND(ISNUMBER(C3),ISNUMBER(C2)),C3-C2,"")</f>
        <v/>
      </c>
      <c r="H3" s="36" t="n">
        <v>5662</v>
      </c>
      <c r="I3" s="39" t="inlineStr">
        <is>
          <t>Not reported as an annual official series in sources reachable from the box (see program rows below)</t>
        </is>
      </c>
    </row>
    <row r="4" ht="15" customHeight="1" s="24">
      <c r="A4" s="23" t="n">
        <v>2007</v>
      </c>
      <c r="B4" s="36" t="n">
        <v>48220</v>
      </c>
      <c r="C4" s="36" t="n">
        <v>25320</v>
      </c>
      <c r="D4" s="36" t="n">
        <v>12460</v>
      </c>
      <c r="E4" s="36" t="n">
        <v>12860</v>
      </c>
      <c r="F4" s="40">
        <f>IF(AND(ISNUMBER(B4),ISNUMBER(B3)),B4-B3,"")</f>
        <v/>
      </c>
      <c r="G4" s="40">
        <f>IF(AND(ISNUMBER(C4),ISNUMBER(C3)),C4-C3,"")</f>
        <v/>
      </c>
      <c r="H4" s="36" t="n">
        <v>5906</v>
      </c>
      <c r="I4" s="39" t="inlineStr">
        <is>
          <t>Not reported as an annual official series in sources reachable from the box (see program rows below)</t>
        </is>
      </c>
    </row>
    <row r="5" ht="15" customHeight="1" s="24">
      <c r="A5" s="23" t="n">
        <v>2008</v>
      </c>
      <c r="B5" s="36" t="n">
        <v>60110</v>
      </c>
      <c r="C5" s="36" t="n">
        <v>23020</v>
      </c>
      <c r="D5" s="36" t="n">
        <v>12130</v>
      </c>
      <c r="E5" s="36" t="n">
        <v>10890</v>
      </c>
      <c r="F5" s="40">
        <f>IF(AND(ISNUMBER(B5),ISNUMBER(B4)),B5-B4,"")</f>
        <v/>
      </c>
      <c r="G5" s="40">
        <f>IF(AND(ISNUMBER(C5),ISNUMBER(C4)),C5-C4,"")</f>
        <v/>
      </c>
      <c r="H5" s="36" t="n">
        <v>5785</v>
      </c>
      <c r="I5" s="39" t="inlineStr">
        <is>
          <t>Not reported as an annual official series in sources reachable from the box (see program rows below)</t>
        </is>
      </c>
    </row>
    <row r="6" ht="15" customHeight="1" s="24">
      <c r="A6" s="23" t="n">
        <v>2009</v>
      </c>
      <c r="B6" s="36" t="n">
        <v>74600</v>
      </c>
      <c r="C6" s="36" t="n">
        <v>22300</v>
      </c>
      <c r="D6" s="36" t="n">
        <v>12000</v>
      </c>
      <c r="E6" s="36" t="n">
        <v>10300</v>
      </c>
      <c r="F6" s="40">
        <f>IF(AND(ISNUMBER(B6),ISNUMBER(B5)),B6-B5,"")</f>
        <v/>
      </c>
      <c r="G6" s="40">
        <f>IF(AND(ISNUMBER(C6),ISNUMBER(C5)),C6-C5,"")</f>
        <v/>
      </c>
      <c r="H6" s="36" t="n">
        <v>5548</v>
      </c>
      <c r="I6" s="39" t="inlineStr">
        <is>
          <t>Not reported as an annual official series in sources reachable from the box (see program rows below)</t>
        </is>
      </c>
    </row>
    <row r="7" ht="15" customHeight="1" s="24">
      <c r="A7" s="23" t="n">
        <v>2010</v>
      </c>
      <c r="B7" s="36" t="n">
        <v>73290</v>
      </c>
      <c r="C7" s="36" t="n">
        <v>19780</v>
      </c>
      <c r="D7" s="36" t="n">
        <v>11260</v>
      </c>
      <c r="E7" s="36" t="n">
        <v>8520</v>
      </c>
      <c r="F7" s="40">
        <f>IF(AND(ISNUMBER(B7),ISNUMBER(B6)),B7-B6,"")</f>
        <v/>
      </c>
      <c r="G7" s="40">
        <f>IF(AND(ISNUMBER(C7),ISNUMBER(C6)),C7-C6,"")</f>
        <v/>
      </c>
      <c r="H7" s="36" t="n">
        <v>5442</v>
      </c>
      <c r="I7" s="39" t="inlineStr">
        <is>
          <t>Not reported as an annual official series in sources reachable from the box (see program rows below)</t>
        </is>
      </c>
    </row>
    <row r="8" ht="15" customHeight="1" s="24">
      <c r="A8" s="23" t="n">
        <v>2011</v>
      </c>
      <c r="B8" s="36" t="n">
        <v>56380</v>
      </c>
      <c r="C8" s="36" t="n">
        <v>23630</v>
      </c>
      <c r="D8" s="36" t="n">
        <v>13490</v>
      </c>
      <c r="E8" s="36" t="n">
        <v>10140</v>
      </c>
      <c r="F8" s="40">
        <f>IF(AND(ISNUMBER(B8),ISNUMBER(B7)),B8-B7,"")</f>
        <v/>
      </c>
      <c r="G8" s="40">
        <f>IF(AND(ISNUMBER(C8),ISNUMBER(C7)),C8-C7,"")</f>
        <v/>
      </c>
      <c r="H8" s="36" t="n">
        <v>5354</v>
      </c>
      <c r="I8" s="39" t="inlineStr">
        <is>
          <t>Not reported as an annual official series in sources reachable from the box (see program rows below)</t>
        </is>
      </c>
    </row>
    <row r="9" ht="15" customHeight="1" s="24">
      <c r="A9" s="23" t="n">
        <v>2012</v>
      </c>
      <c r="B9" s="36" t="n">
        <v>58180</v>
      </c>
      <c r="C9" s="36" t="n">
        <v>27450</v>
      </c>
      <c r="D9" s="36" t="n">
        <v>16870</v>
      </c>
      <c r="E9" s="36" t="n">
        <v>10580</v>
      </c>
      <c r="F9" s="40">
        <f>IF(AND(ISNUMBER(B9),ISNUMBER(B8)),B9-B8,"")</f>
        <v/>
      </c>
      <c r="G9" s="40">
        <f>IF(AND(ISNUMBER(C9),ISNUMBER(C8)),C9-C8,"")</f>
        <v/>
      </c>
      <c r="H9" s="36" t="n">
        <v>5490</v>
      </c>
      <c r="I9" s="39" t="inlineStr">
        <is>
          <t>Not reported as an annual official series in sources reachable from the box (see program rows below)</t>
        </is>
      </c>
    </row>
    <row r="10" ht="15" customHeight="1" s="24">
      <c r="A10" s="23" t="n">
        <v>2013</v>
      </c>
      <c r="B10" s="36" t="n">
        <v>69910</v>
      </c>
      <c r="C10" s="36" t="n">
        <v>24600</v>
      </c>
      <c r="D10" s="36" t="n">
        <v>14880</v>
      </c>
      <c r="E10" s="36" t="n">
        <v>9720</v>
      </c>
      <c r="F10" s="40">
        <f>IF(AND(ISNUMBER(B10),ISNUMBER(B9)),B10-B9,"")</f>
        <v/>
      </c>
      <c r="G10" s="40">
        <f>IF(AND(ISNUMBER(C10),ISNUMBER(C9)),C10-C9,"")</f>
        <v/>
      </c>
      <c r="H10" s="36" t="n">
        <v>5762</v>
      </c>
      <c r="I10" s="39" t="inlineStr">
        <is>
          <t>Not reported as an annual official series in sources reachable from the box (see program rows below)</t>
        </is>
      </c>
    </row>
    <row r="11" ht="15" customHeight="1" s="24">
      <c r="A11" s="23" t="n">
        <v>2014</v>
      </c>
      <c r="B11" s="36" t="n">
        <v>69980</v>
      </c>
      <c r="C11" s="36" t="n">
        <v>23020</v>
      </c>
      <c r="D11" s="36" t="n">
        <v>14420</v>
      </c>
      <c r="E11" s="36" t="n">
        <v>8600</v>
      </c>
      <c r="F11" s="40">
        <f>IF(AND(ISNUMBER(B11),ISNUMBER(B10)),B11-B10,"")</f>
        <v/>
      </c>
      <c r="G11" s="40">
        <f>IF(AND(ISNUMBER(C11),ISNUMBER(C10)),C11-C10,"")</f>
        <v/>
      </c>
      <c r="H11" s="36" t="n">
        <v>5652</v>
      </c>
      <c r="I11" s="39" t="inlineStr">
        <is>
          <t>Not reported as an annual official series in sources reachable from the box (see program rows below)</t>
        </is>
      </c>
    </row>
    <row r="12" ht="15" customHeight="1" s="24">
      <c r="A12" s="23" t="n">
        <v>2015</v>
      </c>
      <c r="B12" s="36" t="n">
        <v>69920</v>
      </c>
      <c r="C12" s="36" t="n">
        <v>25920</v>
      </c>
      <c r="D12" s="36" t="n">
        <v>17800</v>
      </c>
      <c r="E12" s="36" t="n">
        <v>8120</v>
      </c>
      <c r="F12" s="40">
        <f>IF(AND(ISNUMBER(B12),ISNUMBER(B11)),B12-B11,"")</f>
        <v/>
      </c>
      <c r="G12" s="40">
        <f>IF(AND(ISNUMBER(C12),ISNUMBER(C11)),C12-C11,"")</f>
        <v/>
      </c>
      <c r="H12" s="36" t="n">
        <v>5844</v>
      </c>
      <c r="I12" s="39" t="inlineStr">
        <is>
          <t>Not reported as an annual official series in sources reachable from the box (see program rows below)</t>
        </is>
      </c>
    </row>
    <row r="13" ht="15" customHeight="1" s="24">
      <c r="A13" s="23" t="n">
        <v>2016</v>
      </c>
      <c r="B13" s="36" t="n">
        <v>84990</v>
      </c>
      <c r="C13" s="36" t="n">
        <v>20280</v>
      </c>
      <c r="D13" s="36" t="n">
        <v>11610</v>
      </c>
      <c r="E13" s="36" t="n">
        <v>8670</v>
      </c>
      <c r="F13" s="40">
        <f>IF(AND(ISNUMBER(B13),ISNUMBER(B12)),B13-B12,"")</f>
        <v/>
      </c>
      <c r="G13" s="40">
        <f>IF(AND(ISNUMBER(C13),ISNUMBER(C12)),C13-C12,"")</f>
        <v/>
      </c>
      <c r="H13" s="36" t="n">
        <v>5945</v>
      </c>
      <c r="I13" s="39" t="inlineStr">
        <is>
          <t>Not reported as an annual official series in sources reachable from the box (see program rows below)</t>
        </is>
      </c>
    </row>
    <row r="14" ht="15" customHeight="1" s="24">
      <c r="A14" s="23" t="n">
        <v>2017</v>
      </c>
      <c r="B14" s="36" t="n">
        <v>53690</v>
      </c>
      <c r="C14" s="36" t="n">
        <v>26340</v>
      </c>
      <c r="D14" s="36" t="n">
        <v>15800</v>
      </c>
      <c r="E14" s="36" t="n">
        <v>10540</v>
      </c>
      <c r="F14" s="40">
        <f>IF(AND(ISNUMBER(B14),ISNUMBER(B13)),B14-B13,"")</f>
        <v/>
      </c>
      <c r="G14" s="40">
        <f>IF(AND(ISNUMBER(C14),ISNUMBER(C13)),C14-C13,"")</f>
        <v/>
      </c>
      <c r="H14" s="36" t="n">
        <v>5776</v>
      </c>
      <c r="I14" s="39" t="inlineStr">
        <is>
          <t>Not reported as an annual official series in sources reachable from the box (see program rows below)</t>
        </is>
      </c>
    </row>
    <row r="15" ht="15" customHeight="1" s="24">
      <c r="A15" s="23" t="n">
        <v>2018</v>
      </c>
      <c r="B15" s="36" t="n">
        <v>22410</v>
      </c>
      <c r="C15" s="36" t="n">
        <v>37650</v>
      </c>
      <c r="D15" s="36" t="n">
        <v>24480</v>
      </c>
      <c r="E15" s="36" t="n">
        <v>13170</v>
      </c>
      <c r="F15" s="40">
        <f>IF(AND(ISNUMBER(B15),ISNUMBER(B14)),B15-B14,"")</f>
        <v/>
      </c>
      <c r="G15" s="40">
        <f>IF(AND(ISNUMBER(C15),ISNUMBER(C14)),C15-C14,"")</f>
        <v/>
      </c>
      <c r="H15" s="36" t="n">
        <v>5566</v>
      </c>
      <c r="I15" s="39" t="inlineStr">
        <is>
          <t>Not reported as an annual official series in sources reachable from the box (see program rows below)</t>
        </is>
      </c>
    </row>
    <row r="16" ht="15" customHeight="1" s="24">
      <c r="A16" s="23" t="n">
        <v>2019</v>
      </c>
      <c r="B16" s="36" t="n">
        <v>29920</v>
      </c>
      <c r="C16" s="36" t="n">
        <v>45780</v>
      </c>
      <c r="D16" s="36" t="n">
        <v>26880</v>
      </c>
      <c r="E16" s="36" t="n">
        <v>18890</v>
      </c>
      <c r="F16" s="40">
        <f>IF(AND(ISNUMBER(B16),ISNUMBER(B15)),B16-B15,"")</f>
        <v/>
      </c>
      <c r="G16" s="40">
        <f>IF(AND(ISNUMBER(C16),ISNUMBER(C15)),C16-C15,"")</f>
        <v/>
      </c>
      <c r="H16" s="36" t="n">
        <v>5403</v>
      </c>
      <c r="I16" s="39" t="inlineStr">
        <is>
          <t>Not reported as an annual official series in sources reachable from the box (see program rows below)</t>
        </is>
      </c>
    </row>
    <row r="17" ht="15" customHeight="1" s="24">
      <c r="A17" s="23" t="n">
        <v>2020</v>
      </c>
      <c r="B17" s="36" t="n">
        <v>11840</v>
      </c>
      <c r="C17" s="36" t="n">
        <v>30680</v>
      </c>
      <c r="D17" s="36" t="n">
        <v>16080</v>
      </c>
      <c r="E17" s="36" t="n">
        <v>14600</v>
      </c>
      <c r="F17" s="40">
        <f>IF(AND(ISNUMBER(B17),ISNUMBER(B16)),B17-B16,"")</f>
        <v/>
      </c>
      <c r="G17" s="40">
        <f>IF(AND(ISNUMBER(C17),ISNUMBER(C16)),C17-C16,"")</f>
        <v/>
      </c>
      <c r="H17" s="36" t="n">
        <v>4461</v>
      </c>
      <c r="I17" s="39" t="inlineStr">
        <is>
          <t>Not reported as an annual official series in sources reachable from the box (see program rows below)</t>
        </is>
      </c>
    </row>
    <row r="18" ht="15" customHeight="1" s="24">
      <c r="A18" s="43" t="n">
        <v>2021</v>
      </c>
      <c r="B18" s="44" t="n">
        <v>11450</v>
      </c>
      <c r="C18" s="44" t="n">
        <v>16450</v>
      </c>
      <c r="D18" s="44" t="n">
        <v>9030</v>
      </c>
      <c r="E18" s="44" t="n">
        <v>7410</v>
      </c>
      <c r="F18" s="40">
        <f>IF(AND(ISNUMBER(B18),ISNUMBER(B17)),B18-B17,"")</f>
        <v/>
      </c>
      <c r="G18" s="40">
        <f>IF(AND(ISNUMBER(C18),ISNUMBER(C17)),C18-C17,"")</f>
        <v/>
      </c>
      <c r="H18" s="44" t="n">
        <v>4934</v>
      </c>
      <c r="I18" s="45" t="inlineStr">
        <is>
          <t>Not reported as an annual official series in sources reachable from the box (see program rows below)</t>
        </is>
      </c>
      <c r="J18" s="45" t="inlineStr">
        <is>
          <t>Partial (Biden from Jan 20, 2021; Oct 1, 2020-Jan 19, 2021 under Trump)</t>
        </is>
      </c>
      <c r="K18" s="43" t="n"/>
    </row>
    <row r="19" ht="15" customHeight="1" s="24">
      <c r="A19" s="43" t="n">
        <v>2022</v>
      </c>
      <c r="B19" s="44" t="n">
        <v>25520</v>
      </c>
      <c r="C19" s="44" t="n">
        <v>35160</v>
      </c>
      <c r="D19" s="44" t="n">
        <v>12620</v>
      </c>
      <c r="E19" s="44" t="n">
        <v>22540</v>
      </c>
      <c r="F19" s="40">
        <f>IF(AND(ISNUMBER(B19),ISNUMBER(B18)),B19-B18,"")</f>
        <v/>
      </c>
      <c r="G19" s="40">
        <f>IF(AND(ISNUMBER(C19),ISNUMBER(C18)),C19-C18,"")</f>
        <v/>
      </c>
      <c r="H19" s="44" t="n">
        <v>5975</v>
      </c>
      <c r="I19" s="45" t="inlineStr">
        <is>
          <t>Not reported as an annual official series in sources reachable from the box (see program rows below)</t>
        </is>
      </c>
      <c r="J19" s="43" t="inlineStr">
        <is>
          <t>Yes</t>
        </is>
      </c>
      <c r="K19" s="43" t="n"/>
    </row>
    <row r="20" ht="15" customHeight="1" s="24">
      <c r="A20" s="43" t="n">
        <v>2023</v>
      </c>
      <c r="B20" s="44" t="n">
        <v>60050</v>
      </c>
      <c r="C20" s="44" t="n">
        <v>51550</v>
      </c>
      <c r="D20" s="44" t="n">
        <v>19420</v>
      </c>
      <c r="E20" s="44" t="n">
        <v>32140</v>
      </c>
      <c r="F20" s="40">
        <f>IF(AND(ISNUMBER(B20),ISNUMBER(B19)),B20-B19,"")</f>
        <v/>
      </c>
      <c r="G20" s="40">
        <f>IF(AND(ISNUMBER(C20),ISNUMBER(C19)),C20-C19,"")</f>
        <v/>
      </c>
      <c r="H20" s="44" t="n">
        <v>6909</v>
      </c>
      <c r="I20" s="45" t="inlineStr">
        <is>
          <t>Not reported as an annual official series in sources reachable from the box (see program rows below)</t>
        </is>
      </c>
      <c r="J20" s="43" t="inlineStr">
        <is>
          <t>Yes</t>
        </is>
      </c>
      <c r="K20" s="43" t="n"/>
    </row>
    <row r="21" ht="15" customHeight="1" s="24">
      <c r="A21" s="43" t="n">
        <v>2024</v>
      </c>
      <c r="B21" s="44" t="n">
        <v>100060</v>
      </c>
      <c r="C21" s="44" t="n">
        <v>68170</v>
      </c>
      <c r="D21" s="44" t="n">
        <v>35840</v>
      </c>
      <c r="E21" s="44" t="n">
        <v>32330</v>
      </c>
      <c r="F21" s="40">
        <f>IF(AND(ISNUMBER(B21),ISNUMBER(B20)),B21-B20,"")</f>
        <v/>
      </c>
      <c r="G21" s="40">
        <f>IF(AND(ISNUMBER(C21),ISNUMBER(C20)),C21-C20,"")</f>
        <v/>
      </c>
      <c r="H21" s="44" t="n">
        <v>7470</v>
      </c>
      <c r="I21" s="45" t="inlineStr">
        <is>
          <t>Not reported as an annual official series in sources reachable from the box (see program rows below)</t>
        </is>
      </c>
      <c r="J21" s="43" t="inlineStr">
        <is>
          <t>Yes</t>
        </is>
      </c>
      <c r="K21" s="43" t="n"/>
    </row>
    <row r="22" ht="15" customHeight="1" s="24">
      <c r="A22" s="43" t="n">
        <v>2025</v>
      </c>
      <c r="B22" s="43" t="inlineStr">
        <is>
          <t>Not reported</t>
        </is>
      </c>
      <c r="C22" s="43" t="inlineStr">
        <is>
          <t>Not reported</t>
        </is>
      </c>
      <c r="D22" s="43" t="inlineStr">
        <is>
          <t>Not reported</t>
        </is>
      </c>
      <c r="E22" s="43" t="inlineStr">
        <is>
          <t>Not reported</t>
        </is>
      </c>
      <c r="F22" s="40">
        <f>IF(AND(ISNUMBER(B22),ISNUMBER(B21)),B22-B21,"")</f>
        <v/>
      </c>
      <c r="G22" s="40">
        <f>IF(AND(ISNUMBER(C22),ISNUMBER(C21)),C22-C21,"")</f>
        <v/>
      </c>
      <c r="H22" s="43" t="inlineStr">
        <is>
          <t>Not reported</t>
        </is>
      </c>
      <c r="I22" s="45" t="inlineStr">
        <is>
          <t>Not reported as an annual official series in sources reachable from the box (see program rows below)</t>
        </is>
      </c>
      <c r="J22" s="43" t="inlineStr">
        <is>
          <t>Partial (Biden Oct 1, 2024-Jan 19, 2025)</t>
        </is>
      </c>
      <c r="K22" s="45" t="inlineStr">
        <is>
          <t>FY2025 DHS Yearbook tables not yet published.</t>
        </is>
      </c>
    </row>
    <row r="23" ht="15" customHeight="1" s="24">
      <c r="A23" s="46" t="inlineStr">
        <is>
          <t>BIDEN-PERIOD SUM (FY2021-FY2024 only; sum-only row as requested)</t>
        </is>
      </c>
      <c r="B23" s="46">
        <f>SUM(B18:B21)</f>
        <v/>
      </c>
      <c r="C23" s="46">
        <f>SUM(C18:C21)</f>
        <v/>
      </c>
      <c r="D23" s="46">
        <f>SUM(D18:D21)</f>
        <v/>
      </c>
      <c r="E23" s="46">
        <f>SUM(E18:E21)</f>
        <v/>
      </c>
      <c r="F23" s="46" t="n"/>
      <c r="G23" s="46" t="n"/>
      <c r="H23" s="46" t="n"/>
      <c r="I23" s="46" t="n"/>
      <c r="J23" s="46" t="inlineStr">
        <is>
          <t>FY2021 includes ~3.7 months under Trump; FY2025 (Oct 1, 2024-Jan 19, 2025 under Biden) excluded because FY2025 data are not published.</t>
        </is>
      </c>
      <c r="K23" s="46" t="n"/>
    </row>
    <row r="25" ht="15" customHeight="1" s="24">
      <c r="A25" s="23" t="inlineStr">
        <is>
          <t>Program / item</t>
        </is>
      </c>
      <c r="B25" s="23" t="inlineStr">
        <is>
          <t>Figure (as published)</t>
        </is>
      </c>
      <c r="C25" s="23" t="inlineStr">
        <is>
          <t>Period</t>
        </is>
      </c>
      <c r="D25" s="23" t="inlineStr">
        <is>
          <t>Source ID</t>
        </is>
      </c>
      <c r="E25" s="23" t="inlineStr">
        <is>
          <t>Legal authority / court rulings / notes</t>
        </is>
      </c>
    </row>
    <row r="26" ht="15" customHeight="1" s="24">
      <c r="A26" s="23" t="inlineStr">
        <is>
          <t>CHNV parole (Cuba, Haiti, Nicaragua, Venezuela)</t>
        </is>
      </c>
      <c r="B26" s="23" t="inlineStr">
        <is>
          <t>~532,000 granted parole</t>
        </is>
      </c>
      <c r="C26" s="23" t="inlineStr">
        <is>
          <t>Oct 2022-Jan 22, 2025</t>
        </is>
      </c>
      <c r="D26" s="23" t="inlineStr">
        <is>
          <t>CHNV-FR</t>
        </is>
      </c>
      <c r="E26" s="23" t="inlineStr">
        <is>
          <t>INA 212(d)(5). DHS terminated CHNV Mar 25, 2025 (90 FR 13611). D. Mass. (Doe v. Noem) stayed termination Apr 14, 2025; SCOTUS stayed that order May 30, 2025 (No. 24A1079), allowing terminations. Earlier Texas v. DHS challenge to CHNV (S.D. Tex.) dismissed for lack of standing Mar 8, 2024 (not re-verified from box).</t>
        </is>
      </c>
    </row>
    <row r="27" ht="15" customHeight="1" s="24">
      <c r="A27" s="23" t="inlineStr">
        <is>
          <t>CHNV arrivals granted parole, by nationality</t>
        </is>
      </c>
      <c r="B27" s="23" t="inlineStr">
        <is>
          <t>Cubans 110,240; Haitians 211,040; Nicaraguans 93,070; Venezuelans 117,330</t>
        </is>
      </c>
      <c r="C27" s="23" t="inlineStr">
        <is>
          <t>through Dec 2024</t>
        </is>
      </c>
      <c r="D27" s="23" t="inlineStr">
        <is>
          <t>CBP-DEC24</t>
        </is>
      </c>
      <c r="E27" s="23" t="inlineStr">
        <is>
          <t>CBP monthly update figures (not summed here).</t>
        </is>
      </c>
    </row>
    <row r="28" ht="15" customHeight="1" s="24">
      <c r="A28" s="23" t="inlineStr">
        <is>
          <t>CBP One appointments</t>
        </is>
      </c>
      <c r="B28" s="23" t="inlineStr">
        <is>
          <t>more than 936,500 scheduled appointments at ports of entry</t>
        </is>
      </c>
      <c r="C28" s="23" t="inlineStr">
        <is>
          <t>Jan 2023-Dec 2024</t>
        </is>
      </c>
      <c r="D28" s="23" t="inlineStr">
        <is>
          <t>CBP-DEC24</t>
        </is>
      </c>
      <c r="E28" s="23" t="inlineStr">
        <is>
          <t>Scheduling function ended Jan 20, 2025 (CBP-JAN25). Processing at ports under INA 212(d)(5) parole or NTA; related 'Circumvention of Lawful Pathways' rule litigated (East Bay Sanctuary Covenant v. Biden) - not re-verified from box.</t>
        </is>
      </c>
    </row>
    <row r="29" ht="15" customHeight="1" s="24">
      <c r="A29" s="23" t="inlineStr">
        <is>
          <t>Operation Allies Welcome (Afghans)</t>
        </is>
      </c>
      <c r="B29" s="23" t="inlineStr">
        <is>
          <t>Not reported</t>
        </is>
      </c>
      <c r="C29" s="23" t="inlineStr">
        <is>
          <t>2021-2022</t>
        </is>
      </c>
      <c r="D29" s="23" t="inlineStr">
        <is>
          <t>—</t>
        </is>
      </c>
      <c r="E29" s="23" t="inlineStr">
        <is>
          <t>DHS OAW totals not retrieved from an official page reachable in this pass.</t>
        </is>
      </c>
    </row>
    <row r="30" ht="15" customHeight="1" s="24">
      <c r="A30" s="23" t="inlineStr">
        <is>
          <t>Uniting for Ukraine (U4U)</t>
        </is>
      </c>
      <c r="B30" s="23" t="inlineStr">
        <is>
          <t>Not reported</t>
        </is>
      </c>
      <c r="C30" s="23" t="inlineStr">
        <is>
          <t>2022-2025</t>
        </is>
      </c>
      <c r="D30" s="23" t="inlineStr">
        <is>
          <t>—</t>
        </is>
      </c>
      <c r="E30" s="23" t="inlineStr">
        <is>
          <t>Not retrieved.</t>
        </is>
      </c>
    </row>
    <row r="31" ht="15" customHeight="1" s="24">
      <c r="A31" s="23" t="inlineStr">
        <is>
          <t>Border parole (e.g., Parole+ATD at southwest border)</t>
        </is>
      </c>
      <c r="B31" s="23" t="inlineStr">
        <is>
          <t>Not reported</t>
        </is>
      </c>
      <c r="C31" s="23" t="inlineStr">
        <is>
          <t>FY2021-2025</t>
        </is>
      </c>
      <c r="D31" s="23" t="inlineStr">
        <is>
          <t>—</t>
        </is>
      </c>
      <c r="E31" s="23" t="inlineStr">
        <is>
          <t>Available in OHSS monthly enforcement/parole data; not extracted.</t>
        </is>
      </c>
    </row>
    <row r="32" ht="15" customHeight="1" s="24">
      <c r="A32" s="23" t="inlineStr">
        <is>
          <t>TPS</t>
        </is>
      </c>
      <c r="B32" s="23" t="inlineStr">
        <is>
          <t>Not reported (annual)</t>
        </is>
      </c>
      <c r="C32" s="23" t="inlineStr">
        <is>
          <t>FY2005-2025</t>
        </is>
      </c>
      <c r="D32" s="23" t="inlineStr">
        <is>
          <t>—</t>
        </is>
      </c>
      <c r="E32" s="23" t="inlineStr">
        <is>
          <t>INA 244. No single annual official population series retrieved; USCIS/CRS publish point-in-time estimates by country.</t>
        </is>
      </c>
    </row>
    <row r="33" ht="15" customHeight="1" s="24">
      <c r="A33" s="23" t="inlineStr">
        <is>
          <t>DACA active recipients</t>
        </is>
      </c>
      <c r="B33" s="23" t="inlineStr">
        <is>
          <t>436,350 (rounded)</t>
        </is>
      </c>
      <c r="C33" s="23" t="inlineStr">
        <is>
          <t>as of Jun 30, 2026</t>
        </is>
      </c>
      <c r="D33" s="23" t="inlineStr">
        <is>
          <t>USCIS-DACA</t>
        </is>
      </c>
      <c r="E33" s="23" t="inlineStr">
        <is>
          <t>Annual historical series not compiled; USCIS publishes point-in-time quarterly counts.</t>
        </is>
      </c>
    </row>
    <row r="34" ht="15" customHeight="1" s="24">
      <c r="A34" s="23" t="inlineStr">
        <is>
          <t>I-765 EAD approvals by category (c8 asylum applicant, c11 parole, a18/c19 TPS-related a12/c19, a3 refugee, c33 DACA)</t>
        </is>
      </c>
      <c r="B34" s="23" t="inlineStr">
        <is>
          <t>Not reported (annual)</t>
        </is>
      </c>
      <c r="C34" s="23" t="inlineStr">
        <is>
          <t>FY2005-2025</t>
        </is>
      </c>
      <c r="D34" s="23" t="inlineStr">
        <is>
          <t>USCIS-I765</t>
        </is>
      </c>
      <c r="E34" s="23" t="inlineStr">
        <is>
          <t>USCIS publishes quarterly (not annual) receipts/approvals by category; building annual totals would require summing quarters, which the rules prohibit. Current file covers Apr 1-Jun 30, 2026 only.</t>
        </is>
      </c>
    </row>
    <row r="35" ht="15" customHeight="1" s="24">
      <c r="A35" s="23" t="inlineStr">
        <is>
          <t>SSNs to noncitizens / Enumeration Beyond Entry</t>
        </is>
      </c>
      <c r="B35" s="23" t="inlineStr">
        <is>
          <t>Not reported</t>
        </is>
      </c>
      <c r="C35" s="23" t="inlineStr">
        <is>
          <t>—</t>
        </is>
      </c>
      <c r="D35" s="23" t="inlineStr">
        <is>
          <t>SSA-2F</t>
        </is>
      </c>
      <c r="E35" s="23" t="inlineStr">
        <is>
          <t>SSA publishes total SSNs issued and age shares only; no noncitizen or EBE counts. Age 20-49 share of SSNs issued: 30.5% (2023), 33.8% (2024) per Table 2.F12.</t>
        </is>
      </c>
    </row>
    <row r="36" ht="15" customHeight="1" s="24">
      <c r="A36" s="23" t="inlineStr">
        <is>
          <t>Amnesty / legalization</t>
        </is>
      </c>
      <c r="B36" s="23" t="inlineStr">
        <is>
          <t>No general amnesty enacted since IRCA (1986)</t>
        </is>
      </c>
      <c r="C36" s="23" t="inlineStr">
        <is>
          <t>—</t>
        </is>
      </c>
      <c r="D36" s="23" t="inlineStr">
        <is>
          <t>—</t>
        </is>
      </c>
      <c r="E36" s="23" t="inlineStr">
        <is>
          <t>Immigration Reform and Control Act of 1986 (Pub. L. 99-603) was the last broad legalization law. Parole, TPS and DACA are temporary, discretionary statuses that do not confer permanent status or citizenship.</t>
        </is>
      </c>
    </row>
    <row r="37" ht="15" customHeight="1" s="24">
      <c r="A37" s="23" t="inlineStr">
        <is>
          <t>Legal authorities</t>
        </is>
      </c>
      <c r="B37" s="23" t="inlineStr">
        <is>
          <t>INA 207 (refugees), 208 (asylum), 212(d)(5) (parole), 244 (TPS)</t>
        </is>
      </c>
      <c r="C37" s="23" t="inlineStr">
        <is>
          <t>—</t>
        </is>
      </c>
      <c r="D37" s="23" t="inlineStr">
        <is>
          <t>—</t>
        </is>
      </c>
      <c r="E37" s="23" t="inlineStr">
        <is>
          <t>DACA rests on a 2012 DHS memorandum/2022 rule; litigation (Texas v. United States) ongoing.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2026-09-24T22:00:19Z</dcterms:created>
  <dcterms:modified xmlns:dcterms="http://purl.org/dc/terms/" xmlns:xsi="http://www.w3.org/2001/XMLSchema-instance" xsi:type="dcterms:W3CDTF">2026-09-26T08:08:29Z</dcterms:modified>
  <cp:revision>0</cp:revision>
</cp:coreProperties>
</file>